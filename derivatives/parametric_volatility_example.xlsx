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ak\latex\derivatives\"/>
    </mc:Choice>
  </mc:AlternateContent>
  <xr:revisionPtr revIDLastSave="0" documentId="13_ncr:1_{C8F298AA-46AB-43C9-AE32-734861E478A0}" xr6:coauthVersionLast="47" xr6:coauthVersionMax="47" xr10:uidLastSave="{00000000-0000-0000-0000-000000000000}"/>
  <bookViews>
    <workbookView xWindow="-120" yWindow="-120" windowWidth="38640" windowHeight="21120" xr2:uid="{31829330-7045-44DE-930E-36EDCF213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9" i="1" l="1"/>
  <c r="AE10" i="1"/>
  <c r="AD10" i="1"/>
  <c r="AC11" i="1"/>
  <c r="AC12" i="1" s="1"/>
  <c r="AC13" i="1" s="1"/>
  <c r="Y10" i="1"/>
  <c r="Z10" i="1" s="1"/>
  <c r="T11" i="1"/>
  <c r="Y11" i="1"/>
  <c r="Z11" i="1" s="1"/>
  <c r="T12" i="1"/>
  <c r="W35" i="1"/>
  <c r="W36" i="1"/>
  <c r="W37" i="1"/>
  <c r="W38" i="1"/>
  <c r="W39" i="1"/>
  <c r="B107" i="1"/>
  <c r="K78" i="1"/>
  <c r="K107" i="1"/>
  <c r="K110" i="1"/>
  <c r="K109" i="1"/>
  <c r="K127" i="1"/>
  <c r="K126" i="1"/>
  <c r="K125" i="1"/>
  <c r="K124" i="1"/>
  <c r="K108" i="1"/>
  <c r="K106" i="1"/>
  <c r="K98" i="1"/>
  <c r="K97" i="1"/>
  <c r="K96" i="1"/>
  <c r="K95" i="1"/>
  <c r="K81" i="1"/>
  <c r="K80" i="1"/>
  <c r="K77" i="1"/>
  <c r="B109" i="1"/>
  <c r="B127" i="1"/>
  <c r="B126" i="1"/>
  <c r="B125" i="1"/>
  <c r="B124" i="1"/>
  <c r="B110" i="1"/>
  <c r="B108" i="1"/>
  <c r="B106" i="1"/>
  <c r="B78" i="1"/>
  <c r="B77" i="1"/>
  <c r="D79" i="1" s="1"/>
  <c r="B98" i="1"/>
  <c r="B97" i="1"/>
  <c r="B96" i="1"/>
  <c r="B95" i="1"/>
  <c r="B81" i="1"/>
  <c r="B80" i="1"/>
  <c r="B79" i="1"/>
  <c r="B48" i="1"/>
  <c r="B52" i="1"/>
  <c r="B51" i="1"/>
  <c r="B50" i="1"/>
  <c r="B49" i="1"/>
  <c r="B69" i="1"/>
  <c r="B68" i="1"/>
  <c r="B67" i="1"/>
  <c r="B66" i="1"/>
  <c r="B5" i="1"/>
  <c r="U3" i="1"/>
  <c r="U4" i="1"/>
  <c r="U5" i="1"/>
  <c r="U6" i="1"/>
  <c r="U2" i="1"/>
  <c r="AE11" i="1" l="1"/>
  <c r="AD11" i="1"/>
  <c r="AC14" i="1"/>
  <c r="AD13" i="1"/>
  <c r="AE13" i="1"/>
  <c r="AE12" i="1"/>
  <c r="AD12" i="1"/>
  <c r="Y12" i="1"/>
  <c r="Z12" i="1" s="1"/>
  <c r="M80" i="1"/>
  <c r="O80" i="1" s="1"/>
  <c r="J91" i="1" s="1"/>
  <c r="K91" i="1" s="1"/>
  <c r="D106" i="1"/>
  <c r="F106" i="1" s="1"/>
  <c r="A117" i="1" s="1"/>
  <c r="Y13" i="1"/>
  <c r="Y14" i="1" s="1"/>
  <c r="M107" i="1"/>
  <c r="O107" i="1" s="1"/>
  <c r="J118" i="1" s="1"/>
  <c r="K118" i="1" s="1"/>
  <c r="Z13" i="1"/>
  <c r="T13" i="1"/>
  <c r="Z14" i="1"/>
  <c r="Y15" i="1"/>
  <c r="M108" i="1"/>
  <c r="O108" i="1" s="1"/>
  <c r="J119" i="1" s="1"/>
  <c r="K119" i="1" s="1"/>
  <c r="M109" i="1"/>
  <c r="O109" i="1" s="1"/>
  <c r="J120" i="1" s="1"/>
  <c r="K120" i="1" s="1"/>
  <c r="M78" i="1"/>
  <c r="M79" i="1"/>
  <c r="M106" i="1"/>
  <c r="M110" i="1"/>
  <c r="M81" i="1"/>
  <c r="M77" i="1"/>
  <c r="D108" i="1"/>
  <c r="F108" i="1" s="1"/>
  <c r="A119" i="1" s="1"/>
  <c r="B119" i="1" s="1"/>
  <c r="D109" i="1"/>
  <c r="F109" i="1" s="1"/>
  <c r="A120" i="1" s="1"/>
  <c r="B120" i="1" s="1"/>
  <c r="D110" i="1"/>
  <c r="D107" i="1"/>
  <c r="D81" i="1"/>
  <c r="F81" i="1" s="1"/>
  <c r="A92" i="1" s="1"/>
  <c r="B92" i="1" s="1"/>
  <c r="D80" i="1"/>
  <c r="F80" i="1" s="1"/>
  <c r="A91" i="1" s="1"/>
  <c r="B91" i="1" s="1"/>
  <c r="D48" i="1"/>
  <c r="F48" i="1" s="1"/>
  <c r="G48" i="1" s="1"/>
  <c r="D50" i="1"/>
  <c r="F50" i="1" s="1"/>
  <c r="A61" i="1" s="1"/>
  <c r="B61" i="1" s="1"/>
  <c r="D52" i="1"/>
  <c r="F52" i="1" s="1"/>
  <c r="A63" i="1" s="1"/>
  <c r="B63" i="1" s="1"/>
  <c r="D49" i="1"/>
  <c r="F49" i="1" s="1"/>
  <c r="A60" i="1" s="1"/>
  <c r="B60" i="1" s="1"/>
  <c r="F79" i="1"/>
  <c r="A90" i="1" s="1"/>
  <c r="B90" i="1" s="1"/>
  <c r="D77" i="1"/>
  <c r="D78" i="1"/>
  <c r="D51" i="1"/>
  <c r="F51" i="1" s="1"/>
  <c r="A62" i="1" s="1"/>
  <c r="B62" i="1" s="1"/>
  <c r="B40" i="1"/>
  <c r="B39" i="1"/>
  <c r="B38" i="1"/>
  <c r="B37" i="1"/>
  <c r="D23" i="1"/>
  <c r="V39" i="1" s="1"/>
  <c r="D22" i="1"/>
  <c r="V38" i="1" s="1"/>
  <c r="D21" i="1"/>
  <c r="V37" i="1" s="1"/>
  <c r="D20" i="1"/>
  <c r="V36" i="1" s="1"/>
  <c r="D19" i="1"/>
  <c r="V35" i="1" s="1"/>
  <c r="AC15" i="1" l="1"/>
  <c r="AD14" i="1"/>
  <c r="AE14" i="1"/>
  <c r="P109" i="1"/>
  <c r="T14" i="1"/>
  <c r="Z15" i="1"/>
  <c r="Y16" i="1"/>
  <c r="G108" i="1"/>
  <c r="O106" i="1"/>
  <c r="J117" i="1" s="1"/>
  <c r="P80" i="1"/>
  <c r="P108" i="1"/>
  <c r="O77" i="1"/>
  <c r="J88" i="1" s="1"/>
  <c r="O110" i="1"/>
  <c r="J121" i="1" s="1"/>
  <c r="K121" i="1" s="1"/>
  <c r="O81" i="1"/>
  <c r="J92" i="1" s="1"/>
  <c r="K92" i="1" s="1"/>
  <c r="O79" i="1"/>
  <c r="J90" i="1" s="1"/>
  <c r="K90" i="1" s="1"/>
  <c r="O78" i="1"/>
  <c r="J89" i="1" s="1"/>
  <c r="K89" i="1" s="1"/>
  <c r="P107" i="1"/>
  <c r="F110" i="1"/>
  <c r="A121" i="1" s="1"/>
  <c r="B121" i="1" s="1"/>
  <c r="B117" i="1"/>
  <c r="F107" i="1"/>
  <c r="A118" i="1" s="1"/>
  <c r="B118" i="1" s="1"/>
  <c r="G109" i="1"/>
  <c r="G106" i="1"/>
  <c r="A59" i="1"/>
  <c r="B59" i="1" s="1"/>
  <c r="E59" i="1" s="1"/>
  <c r="G49" i="1"/>
  <c r="G50" i="1"/>
  <c r="F78" i="1"/>
  <c r="A89" i="1" s="1"/>
  <c r="B89" i="1" s="1"/>
  <c r="F77" i="1"/>
  <c r="A88" i="1" s="1"/>
  <c r="G80" i="1"/>
  <c r="G79" i="1"/>
  <c r="G81" i="1"/>
  <c r="G52" i="1"/>
  <c r="G51" i="1"/>
  <c r="F22" i="1"/>
  <c r="T38" i="1" s="1"/>
  <c r="T2" i="1"/>
  <c r="T6" i="1"/>
  <c r="T5" i="1"/>
  <c r="F21" i="1"/>
  <c r="T37" i="1" s="1"/>
  <c r="T4" i="1"/>
  <c r="T3" i="1"/>
  <c r="F23" i="1"/>
  <c r="T39" i="1" s="1"/>
  <c r="F20" i="1"/>
  <c r="T36" i="1" s="1"/>
  <c r="F19" i="1"/>
  <c r="T35" i="1" s="1"/>
  <c r="AE15" i="1" l="1"/>
  <c r="AC16" i="1"/>
  <c r="AD15" i="1"/>
  <c r="T15" i="1"/>
  <c r="Z16" i="1"/>
  <c r="Y17" i="1"/>
  <c r="P79" i="1"/>
  <c r="P78" i="1"/>
  <c r="P81" i="1"/>
  <c r="P110" i="1"/>
  <c r="K117" i="1"/>
  <c r="N117" i="1" s="1"/>
  <c r="K88" i="1"/>
  <c r="N89" i="1" s="1"/>
  <c r="P77" i="1"/>
  <c r="P106" i="1"/>
  <c r="E118" i="1"/>
  <c r="E116" i="1"/>
  <c r="G107" i="1"/>
  <c r="E117" i="1"/>
  <c r="G110" i="1"/>
  <c r="A33" i="1"/>
  <c r="B33" i="1" s="1"/>
  <c r="B88" i="1"/>
  <c r="G77" i="1"/>
  <c r="G78" i="1"/>
  <c r="E58" i="1"/>
  <c r="E60" i="1"/>
  <c r="G22" i="1"/>
  <c r="A32" i="1"/>
  <c r="B32" i="1" s="1"/>
  <c r="G21" i="1"/>
  <c r="A30" i="1"/>
  <c r="B30" i="1" s="1"/>
  <c r="A34" i="1"/>
  <c r="B34" i="1" s="1"/>
  <c r="A31" i="1"/>
  <c r="B31" i="1" s="1"/>
  <c r="G19" i="1"/>
  <c r="G20" i="1"/>
  <c r="G23" i="1"/>
  <c r="E88" i="1" l="1"/>
  <c r="E89" i="1"/>
  <c r="N118" i="1"/>
  <c r="N116" i="1"/>
  <c r="AE16" i="1"/>
  <c r="AC17" i="1"/>
  <c r="AD16" i="1"/>
  <c r="E87" i="1"/>
  <c r="T16" i="1"/>
  <c r="Y18" i="1"/>
  <c r="Z17" i="1"/>
  <c r="N88" i="1"/>
  <c r="N87" i="1"/>
  <c r="C125" i="1"/>
  <c r="C124" i="1"/>
  <c r="C126" i="1"/>
  <c r="C127" i="1"/>
  <c r="C67" i="1"/>
  <c r="E67" i="1" s="1"/>
  <c r="C69" i="1"/>
  <c r="E69" i="1" s="1"/>
  <c r="C68" i="1"/>
  <c r="E68" i="1" s="1"/>
  <c r="C66" i="1"/>
  <c r="D66" i="1" s="1"/>
  <c r="E31" i="1"/>
  <c r="E29" i="1"/>
  <c r="E30" i="1"/>
  <c r="C95" i="1" l="1"/>
  <c r="L125" i="1"/>
  <c r="AF16" i="1"/>
  <c r="AI16" i="1" s="1"/>
  <c r="L124" i="1"/>
  <c r="AG10" i="1"/>
  <c r="AJ10" i="1" s="1"/>
  <c r="AF11" i="1"/>
  <c r="AI11" i="1" s="1"/>
  <c r="AF10" i="1"/>
  <c r="AI10" i="1" s="1"/>
  <c r="AH11" i="1"/>
  <c r="AK11" i="1" s="1"/>
  <c r="AF12" i="1"/>
  <c r="AI12" i="1" s="1"/>
  <c r="AF13" i="1"/>
  <c r="AI13" i="1" s="1"/>
  <c r="AH10" i="1"/>
  <c r="AK10" i="1" s="1"/>
  <c r="AG11" i="1"/>
  <c r="AJ11" i="1" s="1"/>
  <c r="AH12" i="1"/>
  <c r="AK12" i="1" s="1"/>
  <c r="AG12" i="1"/>
  <c r="AJ12" i="1" s="1"/>
  <c r="AF14" i="1"/>
  <c r="AI14" i="1" s="1"/>
  <c r="AH13" i="1"/>
  <c r="AK13" i="1" s="1"/>
  <c r="AG13" i="1"/>
  <c r="AJ13" i="1" s="1"/>
  <c r="AF15" i="1"/>
  <c r="AI15" i="1" s="1"/>
  <c r="AH14" i="1"/>
  <c r="AK14" i="1" s="1"/>
  <c r="AG14" i="1"/>
  <c r="AJ14" i="1" s="1"/>
  <c r="AH15" i="1"/>
  <c r="AK15" i="1" s="1"/>
  <c r="AG15" i="1"/>
  <c r="AJ15" i="1" s="1"/>
  <c r="L127" i="1"/>
  <c r="M127" i="1" s="1"/>
  <c r="L126" i="1"/>
  <c r="N126" i="1" s="1"/>
  <c r="AH16" i="1"/>
  <c r="AK16" i="1" s="1"/>
  <c r="AG16" i="1"/>
  <c r="AJ16" i="1" s="1"/>
  <c r="AD17" i="1"/>
  <c r="AC18" i="1"/>
  <c r="AF17" i="1"/>
  <c r="AI17" i="1" s="1"/>
  <c r="AE17" i="1"/>
  <c r="C97" i="1"/>
  <c r="D97" i="1" s="1"/>
  <c r="C96" i="1"/>
  <c r="D96" i="1" s="1"/>
  <c r="C98" i="1"/>
  <c r="E98" i="1" s="1"/>
  <c r="U10" i="1"/>
  <c r="U11" i="1"/>
  <c r="U12" i="1"/>
  <c r="U13" i="1"/>
  <c r="U14" i="1"/>
  <c r="U15" i="1"/>
  <c r="T17" i="1"/>
  <c r="U16" i="1"/>
  <c r="Z18" i="1"/>
  <c r="Y19" i="1"/>
  <c r="L97" i="1"/>
  <c r="N97" i="1" s="1"/>
  <c r="D67" i="1"/>
  <c r="F67" i="1" s="1"/>
  <c r="L96" i="1"/>
  <c r="N96" i="1" s="1"/>
  <c r="L98" i="1"/>
  <c r="N98" i="1" s="1"/>
  <c r="L95" i="1"/>
  <c r="M95" i="1" s="1"/>
  <c r="E127" i="1"/>
  <c r="D127" i="1"/>
  <c r="D126" i="1"/>
  <c r="E126" i="1"/>
  <c r="E124" i="1"/>
  <c r="D124" i="1"/>
  <c r="D125" i="1"/>
  <c r="E125" i="1"/>
  <c r="D68" i="1"/>
  <c r="F68" i="1" s="1"/>
  <c r="E66" i="1"/>
  <c r="F66" i="1" s="1"/>
  <c r="D69" i="1"/>
  <c r="F69" i="1" s="1"/>
  <c r="C38" i="1"/>
  <c r="E38" i="1" s="1"/>
  <c r="C40" i="1"/>
  <c r="D40" i="1" s="1"/>
  <c r="C37" i="1"/>
  <c r="E37" i="1" s="1"/>
  <c r="C39" i="1"/>
  <c r="E39" i="1" s="1"/>
  <c r="D95" i="1" l="1"/>
  <c r="E95" i="1"/>
  <c r="N125" i="1"/>
  <c r="M125" i="1"/>
  <c r="N124" i="1"/>
  <c r="M124" i="1"/>
  <c r="AL16" i="1"/>
  <c r="AL13" i="1"/>
  <c r="AL15" i="1"/>
  <c r="AL12" i="1"/>
  <c r="AL14" i="1"/>
  <c r="AL10" i="1"/>
  <c r="AL11" i="1"/>
  <c r="D98" i="1"/>
  <c r="F98" i="1" s="1"/>
  <c r="N127" i="1"/>
  <c r="O127" i="1" s="1"/>
  <c r="M126" i="1"/>
  <c r="O126" i="1" s="1"/>
  <c r="E96" i="1"/>
  <c r="F96" i="1" s="1"/>
  <c r="AD18" i="1"/>
  <c r="AF18" i="1"/>
  <c r="AI18" i="1" s="1"/>
  <c r="AC19" i="1"/>
  <c r="AE18" i="1"/>
  <c r="AH17" i="1"/>
  <c r="AK17" i="1" s="1"/>
  <c r="AG17" i="1"/>
  <c r="AJ17" i="1" s="1"/>
  <c r="F127" i="1"/>
  <c r="E97" i="1"/>
  <c r="F97" i="1" s="1"/>
  <c r="M97" i="1"/>
  <c r="O97" i="1" s="1"/>
  <c r="N95" i="1"/>
  <c r="O95" i="1" s="1"/>
  <c r="M96" i="1"/>
  <c r="O96" i="1" s="1"/>
  <c r="M98" i="1"/>
  <c r="O98" i="1" s="1"/>
  <c r="U17" i="1"/>
  <c r="T18" i="1"/>
  <c r="Z19" i="1"/>
  <c r="Y20" i="1"/>
  <c r="F125" i="1"/>
  <c r="F124" i="1"/>
  <c r="F126" i="1"/>
  <c r="D71" i="1"/>
  <c r="B71" i="1"/>
  <c r="E40" i="1"/>
  <c r="F40" i="1" s="1"/>
  <c r="D37" i="1"/>
  <c r="F37" i="1" s="1"/>
  <c r="D38" i="1"/>
  <c r="F38" i="1" s="1"/>
  <c r="D39" i="1"/>
  <c r="F39" i="1" s="1"/>
  <c r="O125" i="1" l="1"/>
  <c r="F95" i="1"/>
  <c r="B100" i="1" s="1"/>
  <c r="O124" i="1"/>
  <c r="AL17" i="1"/>
  <c r="D129" i="1"/>
  <c r="AH18" i="1"/>
  <c r="AK18" i="1" s="1"/>
  <c r="AF19" i="1"/>
  <c r="AI19" i="1" s="1"/>
  <c r="AE19" i="1"/>
  <c r="AC20" i="1"/>
  <c r="AD19" i="1"/>
  <c r="AG18" i="1"/>
  <c r="AJ18" i="1" s="1"/>
  <c r="M100" i="1"/>
  <c r="M129" i="1"/>
  <c r="D100" i="1"/>
  <c r="U18" i="1"/>
  <c r="T19" i="1"/>
  <c r="Z20" i="1"/>
  <c r="Y21" i="1"/>
  <c r="B129" i="1"/>
  <c r="K100" i="1"/>
  <c r="F71" i="1"/>
  <c r="B9" i="1" s="1"/>
  <c r="B42" i="1"/>
  <c r="D42" i="1"/>
  <c r="K129" i="1" l="1"/>
  <c r="O129" i="1" s="1"/>
  <c r="B13" i="1" s="1"/>
  <c r="AL18" i="1"/>
  <c r="F129" i="1"/>
  <c r="B11" i="1" s="1"/>
  <c r="AG19" i="1"/>
  <c r="AJ19" i="1" s="1"/>
  <c r="AF20" i="1"/>
  <c r="AI20" i="1" s="1"/>
  <c r="AE20" i="1"/>
  <c r="AC21" i="1"/>
  <c r="AD20" i="1"/>
  <c r="AH19" i="1"/>
  <c r="AK19" i="1" s="1"/>
  <c r="O100" i="1"/>
  <c r="B12" i="1" s="1"/>
  <c r="F100" i="1"/>
  <c r="B10" i="1" s="1"/>
  <c r="T20" i="1"/>
  <c r="U19" i="1"/>
  <c r="Y22" i="1"/>
  <c r="Z21" i="1"/>
  <c r="F42" i="1"/>
  <c r="B8" i="1" s="1"/>
  <c r="AL19" i="1" l="1"/>
  <c r="AF21" i="1"/>
  <c r="AI21" i="1" s="1"/>
  <c r="AC22" i="1"/>
  <c r="AE21" i="1"/>
  <c r="AD21" i="1"/>
  <c r="AH20" i="1"/>
  <c r="AK20" i="1" s="1"/>
  <c r="AG20" i="1"/>
  <c r="AJ20" i="1" s="1"/>
  <c r="U20" i="1"/>
  <c r="T21" i="1"/>
  <c r="Z22" i="1"/>
  <c r="Y23" i="1"/>
  <c r="C13" i="1"/>
  <c r="C10" i="1"/>
  <c r="AL20" i="1" l="1"/>
  <c r="AG21" i="1"/>
  <c r="AJ21" i="1" s="1"/>
  <c r="AH21" i="1"/>
  <c r="AK21" i="1" s="1"/>
  <c r="AF22" i="1"/>
  <c r="AI22" i="1" s="1"/>
  <c r="AC23" i="1"/>
  <c r="AE22" i="1"/>
  <c r="AD22" i="1"/>
  <c r="U21" i="1"/>
  <c r="T22" i="1"/>
  <c r="Z23" i="1"/>
  <c r="Y24" i="1"/>
  <c r="C11" i="1"/>
  <c r="C9" i="1"/>
  <c r="AL21" i="1" l="1"/>
  <c r="AG22" i="1"/>
  <c r="AJ22" i="1" s="1"/>
  <c r="AH22" i="1"/>
  <c r="AK22" i="1" s="1"/>
  <c r="AF23" i="1"/>
  <c r="AI23" i="1" s="1"/>
  <c r="AD23" i="1"/>
  <c r="AC24" i="1"/>
  <c r="AE23" i="1"/>
  <c r="U22" i="1"/>
  <c r="T23" i="1"/>
  <c r="Z24" i="1"/>
  <c r="Y25" i="1"/>
  <c r="C12" i="1"/>
  <c r="AL22" i="1" l="1"/>
  <c r="AF24" i="1"/>
  <c r="AI24" i="1" s="1"/>
  <c r="AC25" i="1"/>
  <c r="AD24" i="1"/>
  <c r="AE24" i="1"/>
  <c r="AH23" i="1"/>
  <c r="AK23" i="1" s="1"/>
  <c r="AG23" i="1"/>
  <c r="AJ23" i="1" s="1"/>
  <c r="U23" i="1"/>
  <c r="T24" i="1"/>
  <c r="Y26" i="1"/>
  <c r="Z25" i="1"/>
  <c r="AL23" i="1" l="1"/>
  <c r="AF25" i="1"/>
  <c r="AI25" i="1" s="1"/>
  <c r="AC26" i="1"/>
  <c r="AD25" i="1"/>
  <c r="AE25" i="1"/>
  <c r="AH24" i="1"/>
  <c r="AK24" i="1" s="1"/>
  <c r="AG24" i="1"/>
  <c r="AJ24" i="1" s="1"/>
  <c r="U24" i="1"/>
  <c r="T25" i="1"/>
  <c r="Z26" i="1"/>
  <c r="Y27" i="1"/>
  <c r="AL24" i="1" l="1"/>
  <c r="AF26" i="1"/>
  <c r="AI26" i="1" s="1"/>
  <c r="AD26" i="1"/>
  <c r="AC27" i="1"/>
  <c r="AE26" i="1"/>
  <c r="AH25" i="1"/>
  <c r="AK25" i="1" s="1"/>
  <c r="AG25" i="1"/>
  <c r="AJ25" i="1" s="1"/>
  <c r="T26" i="1"/>
  <c r="U25" i="1"/>
  <c r="Z27" i="1"/>
  <c r="Y28" i="1"/>
  <c r="AL25" i="1" l="1"/>
  <c r="AH26" i="1"/>
  <c r="AK26" i="1" s="1"/>
  <c r="AF27" i="1"/>
  <c r="AI27" i="1" s="1"/>
  <c r="AC28" i="1"/>
  <c r="AD27" i="1"/>
  <c r="AE27" i="1"/>
  <c r="AG26" i="1"/>
  <c r="AJ26" i="1" s="1"/>
  <c r="T27" i="1"/>
  <c r="U26" i="1"/>
  <c r="Z28" i="1"/>
  <c r="Y29" i="1"/>
  <c r="AL26" i="1" l="1"/>
  <c r="AF28" i="1"/>
  <c r="AI28" i="1" s="1"/>
  <c r="AE28" i="1"/>
  <c r="AD28" i="1"/>
  <c r="AC29" i="1"/>
  <c r="AH27" i="1"/>
  <c r="AK27" i="1" s="1"/>
  <c r="AG27" i="1"/>
  <c r="AJ27" i="1" s="1"/>
  <c r="U27" i="1"/>
  <c r="T28" i="1"/>
  <c r="Y30" i="1"/>
  <c r="Z29" i="1"/>
  <c r="AL27" i="1" l="1"/>
  <c r="AF29" i="1"/>
  <c r="AI29" i="1" s="1"/>
  <c r="AC30" i="1"/>
  <c r="AD29" i="1"/>
  <c r="AE29" i="1"/>
  <c r="AG28" i="1"/>
  <c r="AJ28" i="1" s="1"/>
  <c r="AH28" i="1"/>
  <c r="AK28" i="1" s="1"/>
  <c r="U28" i="1"/>
  <c r="T29" i="1"/>
  <c r="Z30" i="1"/>
  <c r="Y31" i="1"/>
  <c r="AL28" i="1" l="1"/>
  <c r="AH29" i="1"/>
  <c r="AK29" i="1" s="1"/>
  <c r="AG29" i="1"/>
  <c r="AJ29" i="1" s="1"/>
  <c r="AF30" i="1"/>
  <c r="AI30" i="1" s="1"/>
  <c r="AC31" i="1"/>
  <c r="AD30" i="1"/>
  <c r="AE30" i="1"/>
  <c r="U29" i="1"/>
  <c r="T30" i="1"/>
  <c r="Z31" i="1"/>
  <c r="Y32" i="1"/>
  <c r="AL29" i="1" l="1"/>
  <c r="AG30" i="1"/>
  <c r="AJ30" i="1" s="1"/>
  <c r="AF31" i="1"/>
  <c r="AI31" i="1" s="1"/>
  <c r="AE31" i="1"/>
  <c r="AC32" i="1"/>
  <c r="AD31" i="1"/>
  <c r="AH30" i="1"/>
  <c r="AK30" i="1" s="1"/>
  <c r="U30" i="1"/>
  <c r="T31" i="1"/>
  <c r="Z32" i="1"/>
  <c r="Y33" i="1"/>
  <c r="AL30" i="1" l="1"/>
  <c r="AG31" i="1"/>
  <c r="AJ31" i="1" s="1"/>
  <c r="AF32" i="1"/>
  <c r="AI32" i="1" s="1"/>
  <c r="AD32" i="1"/>
  <c r="AC33" i="1"/>
  <c r="AE32" i="1"/>
  <c r="AH31" i="1"/>
  <c r="AK31" i="1" s="1"/>
  <c r="U31" i="1"/>
  <c r="T32" i="1"/>
  <c r="Y34" i="1"/>
  <c r="Z33" i="1"/>
  <c r="AL31" i="1" l="1"/>
  <c r="AH32" i="1"/>
  <c r="AK32" i="1" s="1"/>
  <c r="AF33" i="1"/>
  <c r="AI33" i="1" s="1"/>
  <c r="AD33" i="1"/>
  <c r="AC34" i="1"/>
  <c r="AE33" i="1"/>
  <c r="AG32" i="1"/>
  <c r="AJ32" i="1" s="1"/>
  <c r="U32" i="1"/>
  <c r="T33" i="1"/>
  <c r="Z34" i="1"/>
  <c r="Y35" i="1"/>
  <c r="AL32" i="1" l="1"/>
  <c r="AH33" i="1"/>
  <c r="AK33" i="1" s="1"/>
  <c r="AF34" i="1"/>
  <c r="AI34" i="1" s="1"/>
  <c r="AD34" i="1"/>
  <c r="AE34" i="1"/>
  <c r="AC35" i="1"/>
  <c r="AG33" i="1"/>
  <c r="AJ33" i="1" s="1"/>
  <c r="T34" i="1"/>
  <c r="U34" i="1" s="1"/>
  <c r="U33" i="1"/>
  <c r="Z35" i="1"/>
  <c r="Y36" i="1"/>
  <c r="AL33" i="1" l="1"/>
  <c r="AG34" i="1"/>
  <c r="AJ34" i="1" s="1"/>
  <c r="AF35" i="1"/>
  <c r="AI35" i="1" s="1"/>
  <c r="AC36" i="1"/>
  <c r="AE35" i="1"/>
  <c r="AD35" i="1"/>
  <c r="AH34" i="1"/>
  <c r="AK34" i="1" s="1"/>
  <c r="Y37" i="1"/>
  <c r="Z36" i="1"/>
  <c r="AL34" i="1" l="1"/>
  <c r="AF36" i="1"/>
  <c r="AI36" i="1" s="1"/>
  <c r="AD36" i="1"/>
  <c r="AC37" i="1"/>
  <c r="AE36" i="1"/>
  <c r="AG35" i="1"/>
  <c r="AJ35" i="1" s="1"/>
  <c r="AH35" i="1"/>
  <c r="AK35" i="1" s="1"/>
  <c r="Z37" i="1"/>
  <c r="Y38" i="1"/>
  <c r="AL35" i="1" l="1"/>
  <c r="AF37" i="1"/>
  <c r="AI37" i="1" s="1"/>
  <c r="AD37" i="1"/>
  <c r="AE37" i="1"/>
  <c r="AC38" i="1"/>
  <c r="AH36" i="1"/>
  <c r="AK36" i="1" s="1"/>
  <c r="AG36" i="1"/>
  <c r="AJ36" i="1" s="1"/>
  <c r="Z38" i="1"/>
  <c r="Y39" i="1"/>
  <c r="AL36" i="1" l="1"/>
  <c r="AF38" i="1"/>
  <c r="AI38" i="1" s="1"/>
  <c r="AC39" i="1"/>
  <c r="AE38" i="1"/>
  <c r="AD38" i="1"/>
  <c r="AH37" i="1"/>
  <c r="AK37" i="1" s="1"/>
  <c r="AG37" i="1"/>
  <c r="AJ37" i="1" s="1"/>
  <c r="Y40" i="1"/>
  <c r="Z39" i="1"/>
  <c r="AL37" i="1" l="1"/>
  <c r="AG38" i="1"/>
  <c r="AJ38" i="1" s="1"/>
  <c r="AH38" i="1"/>
  <c r="AK38" i="1" s="1"/>
  <c r="AF39" i="1"/>
  <c r="AI39" i="1" s="1"/>
  <c r="AE39" i="1"/>
  <c r="AD39" i="1"/>
  <c r="AC40" i="1"/>
  <c r="Z40" i="1"/>
  <c r="Y41" i="1"/>
  <c r="AL38" i="1" l="1"/>
  <c r="AF40" i="1"/>
  <c r="AI40" i="1" s="1"/>
  <c r="AE40" i="1"/>
  <c r="AD40" i="1"/>
  <c r="AC41" i="1"/>
  <c r="AG39" i="1"/>
  <c r="AJ39" i="1" s="1"/>
  <c r="AH39" i="1"/>
  <c r="AK39" i="1" s="1"/>
  <c r="Y42" i="1"/>
  <c r="Z41" i="1"/>
  <c r="AL39" i="1" l="1"/>
  <c r="AF41" i="1"/>
  <c r="AI41" i="1" s="1"/>
  <c r="AE41" i="1"/>
  <c r="AD41" i="1"/>
  <c r="AC42" i="1"/>
  <c r="AG40" i="1"/>
  <c r="AJ40" i="1" s="1"/>
  <c r="AH40" i="1"/>
  <c r="AK40" i="1" s="1"/>
  <c r="Z42" i="1"/>
  <c r="Y43" i="1"/>
  <c r="AL40" i="1" l="1"/>
  <c r="AF42" i="1"/>
  <c r="AI42" i="1" s="1"/>
  <c r="AD42" i="1"/>
  <c r="AE42" i="1"/>
  <c r="AC43" i="1"/>
  <c r="AG41" i="1"/>
  <c r="AJ41" i="1" s="1"/>
  <c r="AH41" i="1"/>
  <c r="AK41" i="1" s="1"/>
  <c r="Y44" i="1"/>
  <c r="Z43" i="1"/>
  <c r="AL41" i="1" l="1"/>
  <c r="AF43" i="1"/>
  <c r="AI43" i="1" s="1"/>
  <c r="AC44" i="1"/>
  <c r="AD43" i="1"/>
  <c r="AE43" i="1"/>
  <c r="AG42" i="1"/>
  <c r="AJ42" i="1" s="1"/>
  <c r="AH42" i="1"/>
  <c r="AK42" i="1" s="1"/>
  <c r="Z44" i="1"/>
  <c r="Y45" i="1"/>
  <c r="AL42" i="1" l="1"/>
  <c r="AH43" i="1"/>
  <c r="AK43" i="1" s="1"/>
  <c r="AG43" i="1"/>
  <c r="AJ43" i="1" s="1"/>
  <c r="AF44" i="1"/>
  <c r="AI44" i="1" s="1"/>
  <c r="AD44" i="1"/>
  <c r="AC45" i="1"/>
  <c r="AE44" i="1"/>
  <c r="Z45" i="1"/>
  <c r="Y46" i="1"/>
  <c r="AL43" i="1" l="1"/>
  <c r="AH44" i="1"/>
  <c r="AK44" i="1" s="1"/>
  <c r="AF45" i="1"/>
  <c r="AI45" i="1" s="1"/>
  <c r="AE45" i="1"/>
  <c r="AD45" i="1"/>
  <c r="AC46" i="1"/>
  <c r="AG44" i="1"/>
  <c r="AJ44" i="1" s="1"/>
  <c r="Y47" i="1"/>
  <c r="Z46" i="1"/>
  <c r="AL44" i="1" l="1"/>
  <c r="AF46" i="1"/>
  <c r="AI46" i="1" s="1"/>
  <c r="AD46" i="1"/>
  <c r="AE46" i="1"/>
  <c r="AC47" i="1"/>
  <c r="AG45" i="1"/>
  <c r="AJ45" i="1" s="1"/>
  <c r="AH45" i="1"/>
  <c r="AK45" i="1" s="1"/>
  <c r="Y48" i="1"/>
  <c r="Z47" i="1"/>
  <c r="AL45" i="1" l="1"/>
  <c r="AF47" i="1"/>
  <c r="AI47" i="1" s="1"/>
  <c r="AC48" i="1"/>
  <c r="AD47" i="1"/>
  <c r="AE47" i="1"/>
  <c r="AG46" i="1"/>
  <c r="AJ46" i="1" s="1"/>
  <c r="AH46" i="1"/>
  <c r="AK46" i="1" s="1"/>
  <c r="Z48" i="1"/>
  <c r="Y49" i="1"/>
  <c r="AL46" i="1" l="1"/>
  <c r="AH47" i="1"/>
  <c r="AK47" i="1" s="1"/>
  <c r="AG47" i="1"/>
  <c r="AJ47" i="1" s="1"/>
  <c r="AF48" i="1"/>
  <c r="AI48" i="1" s="1"/>
  <c r="AC49" i="1"/>
  <c r="AD48" i="1"/>
  <c r="AE48" i="1"/>
  <c r="Y50" i="1"/>
  <c r="Z49" i="1"/>
  <c r="AL47" i="1" l="1"/>
  <c r="AF49" i="1"/>
  <c r="AI49" i="1" s="1"/>
  <c r="AD49" i="1"/>
  <c r="AE49" i="1"/>
  <c r="AC50" i="1"/>
  <c r="AC51" i="1" s="1"/>
  <c r="AG48" i="1"/>
  <c r="AJ48" i="1" s="1"/>
  <c r="AH48" i="1"/>
  <c r="AK48" i="1" s="1"/>
  <c r="Z50" i="1"/>
  <c r="Y51" i="1"/>
  <c r="AD51" i="1" l="1"/>
  <c r="AG51" i="1" s="1"/>
  <c r="AJ51" i="1" s="1"/>
  <c r="AE51" i="1"/>
  <c r="AH51" i="1" s="1"/>
  <c r="AK51" i="1" s="1"/>
  <c r="AC52" i="1"/>
  <c r="AF51" i="1"/>
  <c r="AI51" i="1" s="1"/>
  <c r="AL48" i="1"/>
  <c r="AF50" i="1"/>
  <c r="AI50" i="1" s="1"/>
  <c r="AE50" i="1"/>
  <c r="AD50" i="1"/>
  <c r="AH49" i="1"/>
  <c r="AK49" i="1" s="1"/>
  <c r="AG49" i="1"/>
  <c r="AJ49" i="1" s="1"/>
  <c r="Y52" i="1"/>
  <c r="Z51" i="1"/>
  <c r="AD52" i="1" l="1"/>
  <c r="AG52" i="1" s="1"/>
  <c r="AJ52" i="1" s="1"/>
  <c r="AE52" i="1"/>
  <c r="AH52" i="1" s="1"/>
  <c r="AK52" i="1" s="1"/>
  <c r="AC53" i="1"/>
  <c r="AF52" i="1"/>
  <c r="AI52" i="1" s="1"/>
  <c r="AL51" i="1"/>
  <c r="AL49" i="1"/>
  <c r="AG50" i="1"/>
  <c r="AJ50" i="1" s="1"/>
  <c r="AH50" i="1"/>
  <c r="AK50" i="1" s="1"/>
  <c r="Z52" i="1"/>
  <c r="Y53" i="1"/>
  <c r="AD53" i="1" l="1"/>
  <c r="AG53" i="1" s="1"/>
  <c r="AJ53" i="1" s="1"/>
  <c r="AC54" i="1"/>
  <c r="AE53" i="1"/>
  <c r="AH53" i="1" s="1"/>
  <c r="AK53" i="1" s="1"/>
  <c r="AF53" i="1"/>
  <c r="AI53" i="1" s="1"/>
  <c r="AL52" i="1"/>
  <c r="AL50" i="1"/>
  <c r="Z53" i="1"/>
  <c r="Y54" i="1"/>
  <c r="AE54" i="1" l="1"/>
  <c r="AH54" i="1" s="1"/>
  <c r="AK54" i="1" s="1"/>
  <c r="AC55" i="1"/>
  <c r="AD54" i="1"/>
  <c r="AG54" i="1" s="1"/>
  <c r="AJ54" i="1" s="1"/>
  <c r="AF54" i="1"/>
  <c r="AI54" i="1" s="1"/>
  <c r="AL53" i="1"/>
  <c r="Z54" i="1"/>
  <c r="Y55" i="1"/>
  <c r="AL54" i="1" l="1"/>
  <c r="AC56" i="1"/>
  <c r="AE55" i="1"/>
  <c r="AH55" i="1" s="1"/>
  <c r="AK55" i="1" s="1"/>
  <c r="AD55" i="1"/>
  <c r="AG55" i="1" s="1"/>
  <c r="AJ55" i="1" s="1"/>
  <c r="AF55" i="1"/>
  <c r="AI55" i="1" s="1"/>
  <c r="Y56" i="1"/>
  <c r="Z55" i="1"/>
  <c r="AL55" i="1" l="1"/>
  <c r="AC57" i="1"/>
  <c r="AE56" i="1"/>
  <c r="AH56" i="1" s="1"/>
  <c r="AK56" i="1" s="1"/>
  <c r="AD56" i="1"/>
  <c r="AG56" i="1" s="1"/>
  <c r="AJ56" i="1" s="1"/>
  <c r="AF56" i="1"/>
  <c r="AI56" i="1" s="1"/>
  <c r="Y57" i="1"/>
  <c r="Z56" i="1"/>
  <c r="AL56" i="1" l="1"/>
  <c r="AC58" i="1"/>
  <c r="AD57" i="1"/>
  <c r="AG57" i="1" s="1"/>
  <c r="AJ57" i="1" s="1"/>
  <c r="AE57" i="1"/>
  <c r="AH57" i="1" s="1"/>
  <c r="AK57" i="1" s="1"/>
  <c r="AF57" i="1"/>
  <c r="AI57" i="1" s="1"/>
  <c r="Y58" i="1"/>
  <c r="Z57" i="1"/>
  <c r="AL57" i="1" l="1"/>
  <c r="AC59" i="1"/>
  <c r="AE58" i="1"/>
  <c r="AH58" i="1" s="1"/>
  <c r="AK58" i="1" s="1"/>
  <c r="AD58" i="1"/>
  <c r="AG58" i="1" s="1"/>
  <c r="AJ58" i="1" s="1"/>
  <c r="AF58" i="1"/>
  <c r="AI58" i="1" s="1"/>
  <c r="Z58" i="1"/>
  <c r="Y59" i="1"/>
  <c r="AL58" i="1" l="1"/>
  <c r="AD59" i="1"/>
  <c r="AG59" i="1" s="1"/>
  <c r="AJ59" i="1" s="1"/>
  <c r="AE59" i="1"/>
  <c r="AH59" i="1" s="1"/>
  <c r="AK59" i="1" s="1"/>
  <c r="AC60" i="1"/>
  <c r="AF59" i="1"/>
  <c r="AI59" i="1" s="1"/>
  <c r="Y60" i="1"/>
  <c r="Z59" i="1"/>
  <c r="AC61" i="1" l="1"/>
  <c r="AD60" i="1"/>
  <c r="AG60" i="1" s="1"/>
  <c r="AJ60" i="1" s="1"/>
  <c r="AE60" i="1"/>
  <c r="AH60" i="1" s="1"/>
  <c r="AK60" i="1" s="1"/>
  <c r="AF60" i="1"/>
  <c r="AI60" i="1" s="1"/>
  <c r="AL59" i="1"/>
  <c r="Z60" i="1"/>
  <c r="Y61" i="1"/>
  <c r="AL60" i="1" l="1"/>
  <c r="AC62" i="1"/>
  <c r="AD61" i="1"/>
  <c r="AG61" i="1" s="1"/>
  <c r="AJ61" i="1" s="1"/>
  <c r="AE61" i="1"/>
  <c r="AH61" i="1" s="1"/>
  <c r="AK61" i="1" s="1"/>
  <c r="AF61" i="1"/>
  <c r="AI61" i="1" s="1"/>
  <c r="Z61" i="1"/>
  <c r="Y62" i="1"/>
  <c r="AL61" i="1" l="1"/>
  <c r="AC63" i="1"/>
  <c r="AD62" i="1"/>
  <c r="AG62" i="1" s="1"/>
  <c r="AJ62" i="1" s="1"/>
  <c r="AE62" i="1"/>
  <c r="AH62" i="1" s="1"/>
  <c r="AK62" i="1" s="1"/>
  <c r="AF62" i="1"/>
  <c r="AI62" i="1" s="1"/>
  <c r="Z62" i="1"/>
  <c r="Y63" i="1"/>
  <c r="AC64" i="1" l="1"/>
  <c r="AD63" i="1"/>
  <c r="AG63" i="1" s="1"/>
  <c r="AJ63" i="1" s="1"/>
  <c r="AE63" i="1"/>
  <c r="AH63" i="1" s="1"/>
  <c r="AK63" i="1" s="1"/>
  <c r="AF63" i="1"/>
  <c r="AI63" i="1" s="1"/>
  <c r="AL62" i="1"/>
  <c r="Z63" i="1"/>
  <c r="Y64" i="1"/>
  <c r="AL63" i="1" l="1"/>
  <c r="AC65" i="1"/>
  <c r="AD64" i="1"/>
  <c r="AG64" i="1" s="1"/>
  <c r="AJ64" i="1" s="1"/>
  <c r="AE64" i="1"/>
  <c r="AH64" i="1" s="1"/>
  <c r="AK64" i="1" s="1"/>
  <c r="AF64" i="1"/>
  <c r="AI64" i="1" s="1"/>
  <c r="Y65" i="1"/>
  <c r="Z64" i="1"/>
  <c r="AL64" i="1" l="1"/>
  <c r="AC66" i="1"/>
  <c r="AE65" i="1"/>
  <c r="AH65" i="1" s="1"/>
  <c r="AK65" i="1" s="1"/>
  <c r="AD65" i="1"/>
  <c r="AG65" i="1" s="1"/>
  <c r="AJ65" i="1" s="1"/>
  <c r="AF65" i="1"/>
  <c r="AI65" i="1" s="1"/>
  <c r="Y66" i="1"/>
  <c r="Z65" i="1"/>
  <c r="AL65" i="1" l="1"/>
  <c r="AC67" i="1"/>
  <c r="AE66" i="1"/>
  <c r="AH66" i="1" s="1"/>
  <c r="AK66" i="1" s="1"/>
  <c r="AD66" i="1"/>
  <c r="AG66" i="1" s="1"/>
  <c r="AJ66" i="1" s="1"/>
  <c r="AF66" i="1"/>
  <c r="AI66" i="1" s="1"/>
  <c r="Z66" i="1"/>
  <c r="Y67" i="1"/>
  <c r="AL66" i="1" l="1"/>
  <c r="AC68" i="1"/>
  <c r="AD67" i="1"/>
  <c r="AG67" i="1" s="1"/>
  <c r="AJ67" i="1" s="1"/>
  <c r="AE67" i="1"/>
  <c r="AH67" i="1" s="1"/>
  <c r="AK67" i="1" s="1"/>
  <c r="AF67" i="1"/>
  <c r="AI67" i="1" s="1"/>
  <c r="Y68" i="1"/>
  <c r="Z67" i="1"/>
  <c r="AL67" i="1" l="1"/>
  <c r="AE68" i="1"/>
  <c r="AH68" i="1" s="1"/>
  <c r="AK68" i="1" s="1"/>
  <c r="AD68" i="1"/>
  <c r="AG68" i="1" s="1"/>
  <c r="AJ68" i="1" s="1"/>
  <c r="AC69" i="1"/>
  <c r="AF68" i="1"/>
  <c r="AI68" i="1" s="1"/>
  <c r="Z68" i="1"/>
  <c r="Y69" i="1"/>
  <c r="AL68" i="1" l="1"/>
  <c r="AC70" i="1"/>
  <c r="AD69" i="1"/>
  <c r="AG69" i="1" s="1"/>
  <c r="AJ69" i="1" s="1"/>
  <c r="AE69" i="1"/>
  <c r="AH69" i="1" s="1"/>
  <c r="AK69" i="1" s="1"/>
  <c r="AF69" i="1"/>
  <c r="AI69" i="1" s="1"/>
  <c r="Z69" i="1"/>
  <c r="Y70" i="1"/>
  <c r="AL69" i="1" l="1"/>
  <c r="AD70" i="1"/>
  <c r="AG70" i="1" s="1"/>
  <c r="AJ70" i="1" s="1"/>
  <c r="AE70" i="1"/>
  <c r="AH70" i="1" s="1"/>
  <c r="AK70" i="1" s="1"/>
  <c r="AF70" i="1"/>
  <c r="AI70" i="1" s="1"/>
  <c r="Y71" i="1"/>
  <c r="Z70" i="1"/>
  <c r="AL70" i="1" l="1"/>
  <c r="AM69" i="1"/>
  <c r="Y72" i="1"/>
  <c r="Z71" i="1"/>
  <c r="AM67" i="1" l="1"/>
  <c r="AM63" i="1"/>
  <c r="AM65" i="1"/>
  <c r="AM61" i="1"/>
  <c r="AM70" i="1"/>
  <c r="AM30" i="1"/>
  <c r="AM36" i="1"/>
  <c r="AM20" i="1"/>
  <c r="AM11" i="1"/>
  <c r="AM44" i="1"/>
  <c r="AM26" i="1"/>
  <c r="AM33" i="1"/>
  <c r="AM15" i="1"/>
  <c r="AM19" i="1"/>
  <c r="AM13" i="1"/>
  <c r="AM22" i="1"/>
  <c r="AM17" i="1"/>
  <c r="AM42" i="1"/>
  <c r="AM34" i="1"/>
  <c r="AM41" i="1"/>
  <c r="AM21" i="1"/>
  <c r="AM49" i="1"/>
  <c r="AM45" i="1"/>
  <c r="AM50" i="1"/>
  <c r="AM16" i="1"/>
  <c r="AM24" i="1"/>
  <c r="AM40" i="1"/>
  <c r="AM37" i="1"/>
  <c r="AM53" i="1"/>
  <c r="AM39" i="1"/>
  <c r="AM12" i="1"/>
  <c r="AM35" i="1"/>
  <c r="AM14" i="1"/>
  <c r="AM10" i="1"/>
  <c r="AM18" i="1"/>
  <c r="AM31" i="1"/>
  <c r="AM38" i="1"/>
  <c r="AM47" i="1"/>
  <c r="AM54" i="1"/>
  <c r="AM23" i="1"/>
  <c r="AM32" i="1"/>
  <c r="AM55" i="1"/>
  <c r="AM48" i="1"/>
  <c r="AM43" i="1"/>
  <c r="AM46" i="1"/>
  <c r="AM52" i="1"/>
  <c r="AM28" i="1"/>
  <c r="AM51" i="1"/>
  <c r="AM29" i="1"/>
  <c r="AM25" i="1"/>
  <c r="AM27" i="1"/>
  <c r="AM57" i="1"/>
  <c r="AM56" i="1"/>
  <c r="AM59" i="1"/>
  <c r="AM58" i="1"/>
  <c r="AM60" i="1"/>
  <c r="AM68" i="1"/>
  <c r="AM64" i="1"/>
  <c r="AM66" i="1"/>
  <c r="AM62" i="1"/>
  <c r="Z72" i="1"/>
  <c r="Y73" i="1"/>
  <c r="Y74" i="1" l="1"/>
  <c r="Z73" i="1"/>
  <c r="Z74" i="1" l="1"/>
  <c r="Y75" i="1"/>
  <c r="Z75" i="1" l="1"/>
  <c r="Y76" i="1"/>
  <c r="Z76" i="1" l="1"/>
  <c r="Y77" i="1"/>
  <c r="Z77" i="1" l="1"/>
  <c r="Y78" i="1"/>
  <c r="Z78" i="1" l="1"/>
  <c r="Y79" i="1"/>
  <c r="Z79" i="1" l="1"/>
  <c r="Y80" i="1"/>
  <c r="Y81" i="1" l="1"/>
  <c r="Z80" i="1"/>
  <c r="Y82" i="1" l="1"/>
  <c r="Z81" i="1"/>
  <c r="Z82" i="1" l="1"/>
  <c r="Y83" i="1"/>
  <c r="Y84" i="1" l="1"/>
  <c r="Z83" i="1"/>
  <c r="Z84" i="1" l="1"/>
  <c r="Y85" i="1"/>
  <c r="Z85" i="1" l="1"/>
  <c r="Y86" i="1"/>
  <c r="Y87" i="1" l="1"/>
  <c r="Z86" i="1"/>
  <c r="Y88" i="1" l="1"/>
  <c r="Z87" i="1"/>
  <c r="Y89" i="1" l="1"/>
  <c r="Z88" i="1"/>
  <c r="Y90" i="1" l="1"/>
  <c r="Z89" i="1"/>
  <c r="Z90" i="1" l="1"/>
  <c r="Y91" i="1"/>
  <c r="Y92" i="1" l="1"/>
  <c r="Z91" i="1"/>
  <c r="Z92" i="1" l="1"/>
  <c r="Y93" i="1"/>
  <c r="Z93" i="1" l="1"/>
  <c r="Y94" i="1"/>
  <c r="Y95" i="1" l="1"/>
  <c r="Z94" i="1"/>
  <c r="Z95" i="1" l="1"/>
  <c r="Y96" i="1"/>
  <c r="Z96" i="1" l="1"/>
  <c r="Y97" i="1"/>
  <c r="Y98" i="1" l="1"/>
  <c r="Z97" i="1"/>
  <c r="Z98" i="1" l="1"/>
  <c r="Y99" i="1"/>
  <c r="Y100" i="1" l="1"/>
  <c r="Z99" i="1"/>
  <c r="Z100" i="1" l="1"/>
  <c r="Y101" i="1"/>
  <c r="Z101" i="1" l="1"/>
  <c r="Y102" i="1"/>
  <c r="Y103" i="1" l="1"/>
  <c r="Z102" i="1"/>
  <c r="Z103" i="1" l="1"/>
  <c r="Y104" i="1"/>
  <c r="Y105" i="1" l="1"/>
  <c r="Z104" i="1"/>
  <c r="Y106" i="1" l="1"/>
  <c r="Z105" i="1"/>
  <c r="Z106" i="1" l="1"/>
  <c r="Y107" i="1"/>
  <c r="Y108" i="1" l="1"/>
  <c r="Z107" i="1"/>
  <c r="Z108" i="1" l="1"/>
  <c r="Y109" i="1"/>
  <c r="Z109" i="1" l="1"/>
  <c r="Y110" i="1"/>
  <c r="Y111" i="1" l="1"/>
  <c r="Z110" i="1"/>
  <c r="Y112" i="1" l="1"/>
  <c r="Z111" i="1"/>
  <c r="Y113" i="1" l="1"/>
  <c r="Z112" i="1"/>
  <c r="Y114" i="1" l="1"/>
  <c r="Z113" i="1"/>
  <c r="Z114" i="1" l="1"/>
  <c r="Y115" i="1"/>
  <c r="Y116" i="1" l="1"/>
  <c r="Z115" i="1"/>
  <c r="Z116" i="1" l="1"/>
  <c r="Y117" i="1"/>
  <c r="Z117" i="1" l="1"/>
  <c r="Y118" i="1"/>
  <c r="Y119" i="1" l="1"/>
  <c r="Z118" i="1"/>
  <c r="Z119" i="1" l="1"/>
  <c r="Y120" i="1"/>
  <c r="Y121" i="1" l="1"/>
  <c r="Z120" i="1"/>
  <c r="Y122" i="1" l="1"/>
  <c r="Z121" i="1"/>
  <c r="Z122" i="1" l="1"/>
  <c r="Y123" i="1"/>
  <c r="Y124" i="1" l="1"/>
  <c r="Z123" i="1"/>
  <c r="Z124" i="1" l="1"/>
  <c r="Y125" i="1"/>
  <c r="Z125" i="1" l="1"/>
  <c r="Y126" i="1"/>
  <c r="Z126" i="1" l="1"/>
  <c r="Y127" i="1"/>
  <c r="Y128" i="1" l="1"/>
  <c r="Z127" i="1"/>
  <c r="Z128" i="1" l="1"/>
  <c r="Y129" i="1"/>
  <c r="Y130" i="1" l="1"/>
  <c r="Z129" i="1"/>
  <c r="Z130" i="1" l="1"/>
  <c r="Y131" i="1"/>
  <c r="Y132" i="1" l="1"/>
  <c r="Z131" i="1"/>
  <c r="Z132" i="1" l="1"/>
  <c r="Y133" i="1"/>
  <c r="Z133" i="1" l="1"/>
  <c r="Y134" i="1"/>
  <c r="Z134" i="1" l="1"/>
  <c r="Y135" i="1"/>
  <c r="Y136" i="1" l="1"/>
  <c r="Z135" i="1"/>
  <c r="Y137" i="1" l="1"/>
  <c r="Z136" i="1"/>
  <c r="Y138" i="1" l="1"/>
  <c r="Z137" i="1"/>
  <c r="Z138" i="1" l="1"/>
  <c r="Y139" i="1"/>
  <c r="Y140" i="1" l="1"/>
  <c r="Z139" i="1"/>
  <c r="Z140" i="1" l="1"/>
  <c r="Y141" i="1"/>
  <c r="Z141" i="1" l="1"/>
  <c r="Y142" i="1"/>
  <c r="Y143" i="1" l="1"/>
  <c r="Z142" i="1"/>
  <c r="Z143" i="1" l="1"/>
  <c r="Y144" i="1"/>
  <c r="Y145" i="1" l="1"/>
  <c r="Z144" i="1"/>
  <c r="Y146" i="1" l="1"/>
  <c r="Z145" i="1"/>
  <c r="Z146" i="1" l="1"/>
  <c r="Y147" i="1"/>
  <c r="Z147" i="1" l="1"/>
  <c r="Y148" i="1"/>
  <c r="Z148" i="1" l="1"/>
  <c r="Y149" i="1"/>
  <c r="Z149" i="1" l="1"/>
  <c r="Y150" i="1"/>
  <c r="Y151" i="1" l="1"/>
  <c r="Z150" i="1"/>
  <c r="Z151" i="1" l="1"/>
  <c r="Y152" i="1"/>
  <c r="Y153" i="1" l="1"/>
  <c r="Z152" i="1"/>
  <c r="Y154" i="1" l="1"/>
  <c r="Z153" i="1"/>
  <c r="Z154" i="1" l="1"/>
  <c r="Y155" i="1"/>
  <c r="Y156" i="1" l="1"/>
  <c r="Z155" i="1"/>
  <c r="Z156" i="1" l="1"/>
  <c r="Y157" i="1"/>
  <c r="Z157" i="1" l="1"/>
  <c r="Y158" i="1"/>
  <c r="Z158" i="1" l="1"/>
  <c r="Y159" i="1"/>
  <c r="Z159" i="1" l="1"/>
  <c r="Y160" i="1"/>
  <c r="Y161" i="1" l="1"/>
  <c r="Z160" i="1"/>
  <c r="Y162" i="1" l="1"/>
  <c r="Z161" i="1"/>
  <c r="Z162" i="1" l="1"/>
  <c r="Y163" i="1"/>
  <c r="Y164" i="1" l="1"/>
  <c r="Z163" i="1"/>
  <c r="Z164" i="1" l="1"/>
  <c r="Y165" i="1"/>
  <c r="Z165" i="1" l="1"/>
  <c r="Y166" i="1"/>
  <c r="Y167" i="1" l="1"/>
  <c r="Z166" i="1"/>
  <c r="Y168" i="1" l="1"/>
  <c r="Z167" i="1"/>
  <c r="Y169" i="1" l="1"/>
  <c r="Z168" i="1"/>
  <c r="Y170" i="1" l="1"/>
  <c r="Z169" i="1"/>
  <c r="Z170" i="1" l="1"/>
  <c r="Y171" i="1"/>
  <c r="Y172" i="1" l="1"/>
  <c r="Z171" i="1"/>
  <c r="Z172" i="1" l="1"/>
  <c r="Y173" i="1"/>
  <c r="Z173" i="1" l="1"/>
  <c r="Y174" i="1"/>
  <c r="Z174" i="1" l="1"/>
  <c r="Y175" i="1"/>
  <c r="Z175" i="1" l="1"/>
  <c r="Y176" i="1"/>
  <c r="Y177" i="1" l="1"/>
  <c r="Z176" i="1"/>
  <c r="Y178" i="1" l="1"/>
  <c r="Z177" i="1"/>
  <c r="Z178" i="1" l="1"/>
  <c r="Y179" i="1"/>
  <c r="Y180" i="1" l="1"/>
  <c r="Z179" i="1"/>
  <c r="Z180" i="1" l="1"/>
  <c r="Y181" i="1"/>
  <c r="Z181" i="1" l="1"/>
  <c r="Y182" i="1"/>
  <c r="Y183" i="1" l="1"/>
  <c r="Z182" i="1"/>
  <c r="Z183" i="1" l="1"/>
  <c r="Y184" i="1"/>
  <c r="Z184" i="1" l="1"/>
  <c r="Y185" i="1"/>
  <c r="Y186" i="1" l="1"/>
  <c r="Z185" i="1"/>
  <c r="Z186" i="1" l="1"/>
  <c r="Y187" i="1"/>
  <c r="Y188" i="1" l="1"/>
  <c r="Z187" i="1"/>
  <c r="Z188" i="1" l="1"/>
  <c r="Y189" i="1"/>
  <c r="Z189" i="1" l="1"/>
  <c r="Y190" i="1"/>
  <c r="Y191" i="1" l="1"/>
  <c r="Z190" i="1"/>
  <c r="Y192" i="1" l="1"/>
  <c r="Z191" i="1"/>
  <c r="Y193" i="1" l="1"/>
  <c r="Z192" i="1"/>
  <c r="Y194" i="1" l="1"/>
  <c r="Z193" i="1"/>
  <c r="Z194" i="1" l="1"/>
  <c r="Y195" i="1"/>
  <c r="Y196" i="1" l="1"/>
  <c r="Z195" i="1"/>
  <c r="Z196" i="1" l="1"/>
  <c r="Y197" i="1"/>
  <c r="Z197" i="1" l="1"/>
  <c r="Y198" i="1"/>
  <c r="Y199" i="1" l="1"/>
  <c r="Z198" i="1"/>
  <c r="Y200" i="1" l="1"/>
  <c r="Z199" i="1"/>
  <c r="Z200" i="1" l="1"/>
  <c r="Y201" i="1"/>
  <c r="Y202" i="1" l="1"/>
  <c r="Z201" i="1"/>
  <c r="Z202" i="1" l="1"/>
  <c r="Y203" i="1"/>
  <c r="Z203" i="1" l="1"/>
  <c r="Y204" i="1"/>
  <c r="Z204" i="1" l="1"/>
  <c r="Y205" i="1"/>
  <c r="Z205" i="1" l="1"/>
  <c r="Y206" i="1"/>
  <c r="Z206" i="1" l="1"/>
  <c r="Y207" i="1"/>
  <c r="Z207" i="1" l="1"/>
  <c r="Y208" i="1"/>
  <c r="Z208" i="1" l="1"/>
  <c r="Y209" i="1"/>
  <c r="Y210" i="1" l="1"/>
  <c r="Z209" i="1"/>
  <c r="Z210" i="1" l="1"/>
  <c r="Y211" i="1"/>
  <c r="Y212" i="1" l="1"/>
  <c r="Z211" i="1"/>
  <c r="Z212" i="1" l="1"/>
  <c r="Y213" i="1"/>
  <c r="Z213" i="1" l="1"/>
  <c r="Y214" i="1"/>
  <c r="Y215" i="1" l="1"/>
  <c r="Z214" i="1"/>
  <c r="Z215" i="1" l="1"/>
  <c r="Y216" i="1"/>
  <c r="Y217" i="1" l="1"/>
  <c r="Z216" i="1"/>
  <c r="Y218" i="1" l="1"/>
  <c r="Z217" i="1"/>
  <c r="Z218" i="1" l="1"/>
  <c r="Y219" i="1"/>
  <c r="Y220" i="1" l="1"/>
  <c r="Z219" i="1"/>
  <c r="Z220" i="1" l="1"/>
  <c r="Y221" i="1"/>
  <c r="Z221" i="1" l="1"/>
  <c r="Y222" i="1"/>
  <c r="Z222" i="1" l="1"/>
  <c r="Y223" i="1"/>
  <c r="Y224" i="1" l="1"/>
  <c r="Z223" i="1"/>
  <c r="Z224" i="1" l="1"/>
  <c r="Y225" i="1"/>
  <c r="Y226" i="1" l="1"/>
  <c r="Z225" i="1"/>
  <c r="Y227" i="1" l="1"/>
  <c r="Z226" i="1"/>
  <c r="Y228" i="1" l="1"/>
  <c r="Z227" i="1"/>
  <c r="Z228" i="1" l="1"/>
  <c r="Y229" i="1"/>
  <c r="Z229" i="1" l="1"/>
  <c r="Y230" i="1"/>
  <c r="Z230" i="1" l="1"/>
  <c r="Y231" i="1"/>
  <c r="Z231" i="1" l="1"/>
  <c r="Y232" i="1"/>
  <c r="Y233" i="1" l="1"/>
  <c r="Z232" i="1"/>
  <c r="Y234" i="1" l="1"/>
  <c r="Z233" i="1"/>
  <c r="Y235" i="1" l="1"/>
  <c r="Z234" i="1"/>
  <c r="Y236" i="1" l="1"/>
  <c r="Z235" i="1"/>
  <c r="Z236" i="1" l="1"/>
  <c r="Y237" i="1"/>
  <c r="Y238" i="1" l="1"/>
  <c r="Z237" i="1"/>
  <c r="Y239" i="1" l="1"/>
  <c r="Z238" i="1"/>
  <c r="Y240" i="1" l="1"/>
  <c r="Z239" i="1"/>
  <c r="Y241" i="1" l="1"/>
  <c r="Z240" i="1"/>
  <c r="Y242" i="1" l="1"/>
  <c r="Z241" i="1"/>
  <c r="Y243" i="1" l="1"/>
  <c r="Z242" i="1"/>
  <c r="Y244" i="1" l="1"/>
  <c r="Z243" i="1"/>
  <c r="Y245" i="1" l="1"/>
  <c r="Z244" i="1"/>
  <c r="Y246" i="1" l="1"/>
  <c r="Z245" i="1"/>
  <c r="Z246" i="1" l="1"/>
  <c r="Y247" i="1"/>
  <c r="Y248" i="1" l="1"/>
  <c r="Z247" i="1"/>
  <c r="Z248" i="1" l="1"/>
  <c r="Y249" i="1"/>
  <c r="Z249" i="1" l="1"/>
  <c r="Y250" i="1"/>
  <c r="Z250" i="1" s="1"/>
</calcChain>
</file>

<file path=xl/sharedStrings.xml><?xml version="1.0" encoding="utf-8"?>
<sst xmlns="http://schemas.openxmlformats.org/spreadsheetml/2006/main" count="299" uniqueCount="78">
  <si>
    <t>EDNT</t>
  </si>
  <si>
    <t>K1</t>
  </si>
  <si>
    <t>K2</t>
  </si>
  <si>
    <t>Vega, $/%</t>
  </si>
  <si>
    <t>DN</t>
  </si>
  <si>
    <t>Vol Bump</t>
  </si>
  <si>
    <t>RR25</t>
  </si>
  <si>
    <t>FLY25</t>
  </si>
  <si>
    <t>RR10</t>
  </si>
  <si>
    <t>FLY10</t>
  </si>
  <si>
    <t>Strategy</t>
  </si>
  <si>
    <t>Volatility</t>
  </si>
  <si>
    <t>Call Delta</t>
  </si>
  <si>
    <t>Strike (solve)</t>
  </si>
  <si>
    <t>Delta (check)</t>
  </si>
  <si>
    <t>Moneyness</t>
  </si>
  <si>
    <t>Moneyness^2</t>
  </si>
  <si>
    <t>10P</t>
  </si>
  <si>
    <t>25P</t>
  </si>
  <si>
    <t>25C</t>
  </si>
  <si>
    <t>10C</t>
  </si>
  <si>
    <t>Strike</t>
  </si>
  <si>
    <t>d1</t>
  </si>
  <si>
    <t>d2</t>
  </si>
  <si>
    <t>A</t>
  </si>
  <si>
    <t>K1 + eps</t>
  </si>
  <si>
    <t>B</t>
  </si>
  <si>
    <t>C</t>
  </si>
  <si>
    <t>K2 + eps</t>
  </si>
  <si>
    <t>Digital K1</t>
  </si>
  <si>
    <t>Digital K2</t>
  </si>
  <si>
    <t>1. DN + 0.1%</t>
  </si>
  <si>
    <t>2. RR25 + 0.1%</t>
  </si>
  <si>
    <t>5. FLY10 + 0.1%</t>
  </si>
  <si>
    <t>Market DN-RR-FLY</t>
  </si>
  <si>
    <t>Single vanillas</t>
  </si>
  <si>
    <t>Delta to strike</t>
  </si>
  <si>
    <t>OLS Inputs</t>
  </si>
  <si>
    <t>Vanilla call</t>
  </si>
  <si>
    <t>Scenario</t>
  </si>
  <si>
    <t>Current</t>
  </si>
  <si>
    <t>Put Delta</t>
  </si>
  <si>
    <t>Label</t>
  </si>
  <si>
    <t>Step</t>
  </si>
  <si>
    <t>Parametric</t>
  </si>
  <si>
    <t>Market</t>
  </si>
  <si>
    <t>Maturity (T)</t>
  </si>
  <si>
    <t>Forward (F)</t>
  </si>
  <si>
    <t>Low (K1)</t>
  </si>
  <si>
    <t>High (K2)</t>
  </si>
  <si>
    <t>Epsilon</t>
  </si>
  <si>
    <t>USD rate (r)</t>
  </si>
  <si>
    <t>EUR rate (q)</t>
  </si>
  <si>
    <t>EURUSD (S)</t>
  </si>
  <si>
    <t>Europen Do Not Touch</t>
  </si>
  <si>
    <t>Spot</t>
  </si>
  <si>
    <t>Sigma = A + B*M + C*M^2</t>
  </si>
  <si>
    <t>Premium (current PV)</t>
  </si>
  <si>
    <t>3. RR10 + 0.1%</t>
  </si>
  <si>
    <t>4. FLY25 + 0.1%</t>
  </si>
  <si>
    <t>Payoff:</t>
  </si>
  <si>
    <t>1,000,000 if K1 &lt;= S(T) &lt;= K2</t>
  </si>
  <si>
    <t>0 otherwise</t>
  </si>
  <si>
    <t>EDNT PV, $</t>
  </si>
  <si>
    <t>Payout, USD</t>
  </si>
  <si>
    <t>Eps</t>
  </si>
  <si>
    <t>Strike-eps</t>
  </si>
  <si>
    <t>Strike+eps</t>
  </si>
  <si>
    <t>Sigma(K)</t>
  </si>
  <si>
    <t>Sigma(K-eps)</t>
  </si>
  <si>
    <t>Sigma(K+eps)</t>
  </si>
  <si>
    <t>Moneyness: M = LN(K/F)</t>
  </si>
  <si>
    <t>Fitting volatility smile: sigma(K) = A + B*LN(K/F) + C*(LN(K/F))^2</t>
  </si>
  <si>
    <t>Call(K)</t>
  </si>
  <si>
    <t>Call(K-eps)</t>
  </si>
  <si>
    <t>Call(K+eps)</t>
  </si>
  <si>
    <t>C''(K)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</si>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</sst>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.0000"/>
    <numFmt numFmtId="166" formatCode="0.0000"/>
    <numFmt numFmtId="167" formatCode="0.000"/>
    <numFmt numFmtId="168" formatCode="#,##0.000"/>
    <numFmt numFmtId="169" formatCode="#,##0.00000"/>
    <numFmt numFmtId="170" formatCode="0.000%"/>
    <numFmt numFmtId="171" formatCode="0.00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1" fillId="0" borderId="0" xfId="0" applyFont="1"/>
    <xf numFmtId="9" fontId="0" fillId="0" borderId="0" xfId="0" applyNumberFormat="1"/>
    <xf numFmtId="167" fontId="0" fillId="0" borderId="0" xfId="0" applyNumberFormat="1"/>
    <xf numFmtId="0" fontId="0" fillId="0" borderId="2" xfId="0" applyBorder="1"/>
    <xf numFmtId="10" fontId="0" fillId="3" borderId="2" xfId="0" applyNumberFormat="1" applyFill="1" applyBorder="1"/>
    <xf numFmtId="9" fontId="0" fillId="0" borderId="2" xfId="0" applyNumberFormat="1" applyBorder="1"/>
    <xf numFmtId="165" fontId="0" fillId="3" borderId="2" xfId="0" applyNumberFormat="1" applyFill="1" applyBorder="1"/>
    <xf numFmtId="10" fontId="0" fillId="0" borderId="2" xfId="0" applyNumberFormat="1" applyBorder="1"/>
    <xf numFmtId="165" fontId="0" fillId="0" borderId="2" xfId="0" applyNumberFormat="1" applyBorder="1"/>
    <xf numFmtId="4" fontId="0" fillId="0" borderId="2" xfId="0" applyNumberFormat="1" applyBorder="1"/>
    <xf numFmtId="3" fontId="0" fillId="3" borderId="2" xfId="0" applyNumberFormat="1" applyFill="1" applyBorder="1"/>
    <xf numFmtId="10" fontId="0" fillId="5" borderId="2" xfId="0" applyNumberFormat="1" applyFill="1" applyBorder="1"/>
    <xf numFmtId="3" fontId="0" fillId="5" borderId="2" xfId="0" applyNumberFormat="1" applyFill="1" applyBorder="1"/>
    <xf numFmtId="0" fontId="0" fillId="5" borderId="2" xfId="0" applyFill="1" applyBorder="1"/>
    <xf numFmtId="168" fontId="0" fillId="0" borderId="0" xfId="0" applyNumberFormat="1"/>
    <xf numFmtId="3" fontId="0" fillId="4" borderId="2" xfId="0" applyNumberFormat="1" applyFill="1" applyBorder="1"/>
    <xf numFmtId="166" fontId="0" fillId="5" borderId="2" xfId="0" applyNumberFormat="1" applyFill="1" applyBorder="1"/>
    <xf numFmtId="165" fontId="0" fillId="5" borderId="2" xfId="0" applyNumberFormat="1" applyFill="1" applyBorder="1"/>
    <xf numFmtId="169" fontId="0" fillId="0" borderId="0" xfId="0" applyNumberFormat="1"/>
    <xf numFmtId="4" fontId="0" fillId="5" borderId="2" xfId="0" applyNumberFormat="1" applyFill="1" applyBorder="1"/>
    <xf numFmtId="166" fontId="0" fillId="0" borderId="0" xfId="0" applyNumberFormat="1"/>
    <xf numFmtId="170" fontId="0" fillId="0" borderId="0" xfId="0" applyNumberFormat="1"/>
    <xf numFmtId="171" fontId="0" fillId="0" borderId="0" xfId="0" applyNumberFormat="1"/>
    <xf numFmtId="11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Volatility</a:t>
            </a:r>
            <a:r>
              <a:rPr lang="en-US" baseline="0"/>
              <a:t> by Delta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Volatility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089C621-F2B6-4714-BDEE-3A96B74716C4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10C-4E36-B6D8-3EEA51243E7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43626FD-1142-4271-BC10-4CE05356B63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10C-4E36-B6D8-3EEA51243E7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172EDE-1E16-4683-B49F-FF784DBE257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10C-4E36-B6D8-3EEA51243E7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9B4CD43-2E99-49CC-8E12-9261384D6E9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10C-4E36-B6D8-3EEA51243E7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5CABA82-D83A-47B2-AAC3-FA35BF9B7F7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10C-4E36-B6D8-3EEA51243E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Sheet1!$S$2:$S$6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90</c:v>
                </c:pt>
              </c:numCache>
            </c:numRef>
          </c:xVal>
          <c:yVal>
            <c:numRef>
              <c:f>Sheet1!$T$2:$T$6</c:f>
              <c:numCache>
                <c:formatCode>0.00%</c:formatCode>
                <c:ptCount val="5"/>
                <c:pt idx="0">
                  <c:v>8.7499999999999994E-2</c:v>
                </c:pt>
                <c:pt idx="1">
                  <c:v>7.6000000000000012E-2</c:v>
                </c:pt>
                <c:pt idx="2">
                  <c:v>6.9000000000000006E-2</c:v>
                </c:pt>
                <c:pt idx="3">
                  <c:v>6.8000000000000005E-2</c:v>
                </c:pt>
                <c:pt idx="4">
                  <c:v>7.2500000000000009E-2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Sheet1!$U$2:$U$6</c15:f>
                <c15:dlblRangeCache>
                  <c:ptCount val="5"/>
                  <c:pt idx="0">
                    <c:v>10P</c:v>
                  </c:pt>
                  <c:pt idx="1">
                    <c:v>25P</c:v>
                  </c:pt>
                  <c:pt idx="2">
                    <c:v>DN</c:v>
                  </c:pt>
                  <c:pt idx="3">
                    <c:v>25C</c:v>
                  </c:pt>
                  <c:pt idx="4">
                    <c:v>10C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10C-4E36-B6D8-3EEA51243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022152"/>
        <c:axId val="722025104"/>
      </c:scatterChart>
      <c:valAx>
        <c:axId val="722022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25104"/>
        <c:crosses val="autoZero"/>
        <c:crossBetween val="midCat"/>
        <c:majorUnit val="10"/>
      </c:valAx>
      <c:valAx>
        <c:axId val="722025104"/>
        <c:scaling>
          <c:orientation val="minMax"/>
          <c:max val="0.1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22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Parametric Volatility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0255905511811"/>
          <c:y val="0.12645045045045045"/>
          <c:w val="0.83130074365704287"/>
          <c:h val="0.7003121231467688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Sheet1!$U$9</c:f>
              <c:strCache>
                <c:ptCount val="1"/>
                <c:pt idx="0">
                  <c:v>Parametric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Sheet1!$T$10:$T$39</c:f>
              <c:numCache>
                <c:formatCode>#,##0.00</c:formatCode>
                <c:ptCount val="3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 formatCode="#,##0.0000">
                  <c:v>1.0949090068168106</c:v>
                </c:pt>
                <c:pt idx="26" formatCode="#,##0.0000">
                  <c:v>1.1293039487620771</c:v>
                </c:pt>
                <c:pt idx="27" formatCode="#,##0.0000">
                  <c:v>1.1587614138335498</c:v>
                </c:pt>
                <c:pt idx="28" formatCode="#,##0.0000">
                  <c:v>1.1857247812154261</c:v>
                </c:pt>
                <c:pt idx="29" formatCode="#,##0.0000">
                  <c:v>1.2140828375149078</c:v>
                </c:pt>
              </c:numCache>
            </c:numRef>
          </c:xVal>
          <c:yVal>
            <c:numRef>
              <c:f>Sheet1!$U$10:$U$39</c:f>
              <c:numCache>
                <c:formatCode>0.00%</c:formatCode>
                <c:ptCount val="30"/>
                <c:pt idx="0">
                  <c:v>0.16690163787807857</c:v>
                </c:pt>
                <c:pt idx="1">
                  <c:v>0.15526370930971153</c:v>
                </c:pt>
                <c:pt idx="2">
                  <c:v>0.14446197909298242</c:v>
                </c:pt>
                <c:pt idx="3">
                  <c:v>0.13447312555479016</c:v>
                </c:pt>
                <c:pt idx="4">
                  <c:v>0.1252746377517584</c:v>
                </c:pt>
                <c:pt idx="5">
                  <c:v>0.11684478058710904</c:v>
                </c:pt>
                <c:pt idx="6">
                  <c:v>0.10916256172609889</c:v>
                </c:pt>
                <c:pt idx="7">
                  <c:v>0.10220770020190049</c:v>
                </c:pt>
                <c:pt idx="8">
                  <c:v>9.5960596611223428E-2</c:v>
                </c:pt>
                <c:pt idx="9">
                  <c:v>9.04023048058189E-2</c:v>
                </c:pt>
                <c:pt idx="10">
                  <c:v>8.5514504992336121E-2</c:v>
                </c:pt>
                <c:pt idx="11">
                  <c:v>8.1279478158845161E-2</c:v>
                </c:pt>
                <c:pt idx="12">
                  <c:v>7.7680081751746344E-2</c:v>
                </c:pt>
                <c:pt idx="13">
                  <c:v>7.4699726531794922E-2</c:v>
                </c:pt>
                <c:pt idx="14">
                  <c:v>7.2322354542605466E-2</c:v>
                </c:pt>
                <c:pt idx="15">
                  <c:v>7.0532418129298391E-2</c:v>
                </c:pt>
                <c:pt idx="16">
                  <c:v>6.9314859948939017E-2</c:v>
                </c:pt>
                <c:pt idx="17">
                  <c:v>6.8655093918120372E-2</c:v>
                </c:pt>
                <c:pt idx="18">
                  <c:v>6.8538987046476971E-2</c:v>
                </c:pt>
                <c:pt idx="19">
                  <c:v>6.8952842108113269E-2</c:v>
                </c:pt>
                <c:pt idx="20">
                  <c:v>6.9883381105899187E-2</c:v>
                </c:pt>
                <c:pt idx="21">
                  <c:v>7.1317729486351511E-2</c:v>
                </c:pt>
                <c:pt idx="22">
                  <c:v>7.3243401065392191E-2</c:v>
                </c:pt>
                <c:pt idx="23">
                  <c:v>7.5648283627673327E-2</c:v>
                </c:pt>
                <c:pt idx="24">
                  <c:v>7.8520625164394758E-2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ED-4988-A076-F2DF0C9EF937}"/>
            </c:ext>
          </c:extLst>
        </c:ser>
        <c:ser>
          <c:idx val="1"/>
          <c:order val="1"/>
          <c:tx>
            <c:strRef>
              <c:f>Sheet1!$V$9</c:f>
              <c:strCache>
                <c:ptCount val="1"/>
                <c:pt idx="0">
                  <c:v>Market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DED-4988-A076-F2DF0C9EF93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DED-4988-A076-F2DF0C9EF93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DED-4988-A076-F2DF0C9EF93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DED-4988-A076-F2DF0C9EF93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DED-4988-A076-F2DF0C9EF93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ED-4988-A076-F2DF0C9EF93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ED-4988-A076-F2DF0C9EF93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DED-4988-A076-F2DF0C9EF93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DED-4988-A076-F2DF0C9EF93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DED-4988-A076-F2DF0C9EF93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DED-4988-A076-F2DF0C9EF93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DED-4988-A076-F2DF0C9EF93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DED-4988-A076-F2DF0C9EF93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DED-4988-A076-F2DF0C9EF93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DED-4988-A076-F2DF0C9EF93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DED-4988-A076-F2DF0C9EF93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DED-4988-A076-F2DF0C9EF93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DED-4988-A076-F2DF0C9EF93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DED-4988-A076-F2DF0C9EF93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DED-4988-A076-F2DF0C9EF93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DED-4988-A076-F2DF0C9EF93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DED-4988-A076-F2DF0C9EF93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DED-4988-A076-F2DF0C9EF93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DED-4988-A076-F2DF0C9EF93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BDED-4988-A076-F2DF0C9EF93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3A3EBCF-BE74-416D-8A5F-7625CA727FF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DED-4988-A076-F2DF0C9EF93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206951D-D29A-4F30-A1D0-2EC0DE8BC11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DED-4988-A076-F2DF0C9EF93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9C08CD4-2129-435D-8FA3-84640F64E1C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DED-4988-A076-F2DF0C9EF93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DFF76FD-6FE2-43B9-89E2-57D5CF33828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DED-4988-A076-F2DF0C9EF93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61BF8C6-52D3-4287-900E-0D8A8483504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BDED-4988-A076-F2DF0C9EF9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Sheet1!$T$10:$T$39</c:f>
              <c:numCache>
                <c:formatCode>#,##0.00</c:formatCode>
                <c:ptCount val="3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 formatCode="#,##0.0000">
                  <c:v>1.0949090068168106</c:v>
                </c:pt>
                <c:pt idx="26" formatCode="#,##0.0000">
                  <c:v>1.1293039487620771</c:v>
                </c:pt>
                <c:pt idx="27" formatCode="#,##0.0000">
                  <c:v>1.1587614138335498</c:v>
                </c:pt>
                <c:pt idx="28" formatCode="#,##0.0000">
                  <c:v>1.1857247812154261</c:v>
                </c:pt>
                <c:pt idx="29" formatCode="#,##0.0000">
                  <c:v>1.2140828375149078</c:v>
                </c:pt>
              </c:numCache>
            </c:numRef>
          </c:xVal>
          <c:yVal>
            <c:numRef>
              <c:f>Sheet1!$V$10:$V$39</c:f>
              <c:numCache>
                <c:formatCode>General</c:formatCode>
                <c:ptCount val="30"/>
                <c:pt idx="25" formatCode="0.00%">
                  <c:v>8.7499999999999994E-2</c:v>
                </c:pt>
                <c:pt idx="26" formatCode="0.00%">
                  <c:v>7.6000000000000012E-2</c:v>
                </c:pt>
                <c:pt idx="27" formatCode="0.00%">
                  <c:v>6.9000000000000006E-2</c:v>
                </c:pt>
                <c:pt idx="28" formatCode="0.00%">
                  <c:v>6.8000000000000005E-2</c:v>
                </c:pt>
                <c:pt idx="29" formatCode="0.00%">
                  <c:v>7.2500000000000009E-2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Sheet1!$W$10:$W$39</c15:f>
                <c15:dlblRangeCache>
                  <c:ptCount val="30"/>
                  <c:pt idx="25">
                    <c:v>10P</c:v>
                  </c:pt>
                  <c:pt idx="26">
                    <c:v>25P</c:v>
                  </c:pt>
                  <c:pt idx="27">
                    <c:v>DN</c:v>
                  </c:pt>
                  <c:pt idx="28">
                    <c:v>25C</c:v>
                  </c:pt>
                  <c:pt idx="29">
                    <c:v>10C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BDED-4988-A076-F2DF0C9EF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266048"/>
        <c:axId val="713265392"/>
      </c:scatterChart>
      <c:valAx>
        <c:axId val="713266048"/>
        <c:scaling>
          <c:orientation val="minMax"/>
          <c:max val="1.25"/>
          <c:min val="1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265392"/>
        <c:crosses val="autoZero"/>
        <c:crossBetween val="midCat"/>
        <c:majorUnit val="2.0000000000000004E-2"/>
      </c:valAx>
      <c:valAx>
        <c:axId val="713265392"/>
        <c:scaling>
          <c:orientation val="minMax"/>
          <c:max val="0.1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2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European</a:t>
            </a:r>
            <a:r>
              <a:rPr lang="en-US" baseline="0"/>
              <a:t> Do Not Touch (EDNT)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Sheet1!$Z$9</c:f>
              <c:strCache>
                <c:ptCount val="1"/>
                <c:pt idx="0">
                  <c:v>EDNT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Sheet1!$Y$10:$Y$250</c:f>
              <c:numCache>
                <c:formatCode>#,##0.000</c:formatCode>
                <c:ptCount val="241"/>
                <c:pt idx="0">
                  <c:v>1</c:v>
                </c:pt>
                <c:pt idx="1">
                  <c:v>1.0009999999999999</c:v>
                </c:pt>
                <c:pt idx="2">
                  <c:v>1.0019999999999998</c:v>
                </c:pt>
                <c:pt idx="3">
                  <c:v>1.0029999999999997</c:v>
                </c:pt>
                <c:pt idx="4">
                  <c:v>1.0039999999999996</c:v>
                </c:pt>
                <c:pt idx="5">
                  <c:v>1.0049999999999994</c:v>
                </c:pt>
                <c:pt idx="6">
                  <c:v>1.0059999999999993</c:v>
                </c:pt>
                <c:pt idx="7">
                  <c:v>1.0069999999999992</c:v>
                </c:pt>
                <c:pt idx="8">
                  <c:v>1.0079999999999991</c:v>
                </c:pt>
                <c:pt idx="9">
                  <c:v>1.008999999999999</c:v>
                </c:pt>
                <c:pt idx="10">
                  <c:v>1.0099999999999989</c:v>
                </c:pt>
                <c:pt idx="11">
                  <c:v>1.0109999999999988</c:v>
                </c:pt>
                <c:pt idx="12">
                  <c:v>1.0119999999999987</c:v>
                </c:pt>
                <c:pt idx="13">
                  <c:v>1.0129999999999986</c:v>
                </c:pt>
                <c:pt idx="14">
                  <c:v>1.0139999999999985</c:v>
                </c:pt>
                <c:pt idx="15">
                  <c:v>1.0149999999999983</c:v>
                </c:pt>
                <c:pt idx="16">
                  <c:v>1.0159999999999982</c:v>
                </c:pt>
                <c:pt idx="17">
                  <c:v>1.0169999999999981</c:v>
                </c:pt>
                <c:pt idx="18">
                  <c:v>1.017999999999998</c:v>
                </c:pt>
                <c:pt idx="19">
                  <c:v>1.0189999999999979</c:v>
                </c:pt>
                <c:pt idx="20">
                  <c:v>1.0199999999999978</c:v>
                </c:pt>
                <c:pt idx="21">
                  <c:v>1.0209999999999977</c:v>
                </c:pt>
                <c:pt idx="22">
                  <c:v>1.0219999999999976</c:v>
                </c:pt>
                <c:pt idx="23">
                  <c:v>1.0229999999999975</c:v>
                </c:pt>
                <c:pt idx="24">
                  <c:v>1.0239999999999974</c:v>
                </c:pt>
                <c:pt idx="25">
                  <c:v>1.0249999999999972</c:v>
                </c:pt>
                <c:pt idx="26">
                  <c:v>1.0259999999999971</c:v>
                </c:pt>
                <c:pt idx="27">
                  <c:v>1.026999999999997</c:v>
                </c:pt>
                <c:pt idx="28">
                  <c:v>1.0279999999999969</c:v>
                </c:pt>
                <c:pt idx="29">
                  <c:v>1.0289999999999968</c:v>
                </c:pt>
                <c:pt idx="30">
                  <c:v>1.0299999999999967</c:v>
                </c:pt>
                <c:pt idx="31">
                  <c:v>1.0309999999999966</c:v>
                </c:pt>
                <c:pt idx="32">
                  <c:v>1.0319999999999965</c:v>
                </c:pt>
                <c:pt idx="33">
                  <c:v>1.0329999999999964</c:v>
                </c:pt>
                <c:pt idx="34">
                  <c:v>1.0339999999999963</c:v>
                </c:pt>
                <c:pt idx="35">
                  <c:v>1.0349999999999961</c:v>
                </c:pt>
                <c:pt idx="36">
                  <c:v>1.035999999999996</c:v>
                </c:pt>
                <c:pt idx="37">
                  <c:v>1.0369999999999959</c:v>
                </c:pt>
                <c:pt idx="38">
                  <c:v>1.0379999999999958</c:v>
                </c:pt>
                <c:pt idx="39">
                  <c:v>1.0389999999999957</c:v>
                </c:pt>
                <c:pt idx="40">
                  <c:v>1.0399999999999956</c:v>
                </c:pt>
                <c:pt idx="41">
                  <c:v>1.0409999999999955</c:v>
                </c:pt>
                <c:pt idx="42">
                  <c:v>1.0419999999999954</c:v>
                </c:pt>
                <c:pt idx="43">
                  <c:v>1.0429999999999953</c:v>
                </c:pt>
                <c:pt idx="44">
                  <c:v>1.0439999999999952</c:v>
                </c:pt>
                <c:pt idx="45">
                  <c:v>1.044999999999995</c:v>
                </c:pt>
                <c:pt idx="46">
                  <c:v>1.0459999999999949</c:v>
                </c:pt>
                <c:pt idx="47">
                  <c:v>1.0469999999999948</c:v>
                </c:pt>
                <c:pt idx="48">
                  <c:v>1.0479999999999947</c:v>
                </c:pt>
                <c:pt idx="49">
                  <c:v>1.0489999999999946</c:v>
                </c:pt>
                <c:pt idx="50">
                  <c:v>1.0499999999999945</c:v>
                </c:pt>
                <c:pt idx="51">
                  <c:v>1.0509999999999944</c:v>
                </c:pt>
                <c:pt idx="52">
                  <c:v>1.0519999999999943</c:v>
                </c:pt>
                <c:pt idx="53">
                  <c:v>1.0529999999999942</c:v>
                </c:pt>
                <c:pt idx="54">
                  <c:v>1.0539999999999941</c:v>
                </c:pt>
                <c:pt idx="55">
                  <c:v>1.0549999999999939</c:v>
                </c:pt>
                <c:pt idx="56">
                  <c:v>1.0559999999999938</c:v>
                </c:pt>
                <c:pt idx="57">
                  <c:v>1.0569999999999937</c:v>
                </c:pt>
                <c:pt idx="58">
                  <c:v>1.0579999999999936</c:v>
                </c:pt>
                <c:pt idx="59">
                  <c:v>1.0589999999999935</c:v>
                </c:pt>
                <c:pt idx="60">
                  <c:v>1.0599999999999934</c:v>
                </c:pt>
                <c:pt idx="61">
                  <c:v>1.0609999999999933</c:v>
                </c:pt>
                <c:pt idx="62">
                  <c:v>1.0619999999999932</c:v>
                </c:pt>
                <c:pt idx="63">
                  <c:v>1.0629999999999931</c:v>
                </c:pt>
                <c:pt idx="64">
                  <c:v>1.063999999999993</c:v>
                </c:pt>
                <c:pt idx="65">
                  <c:v>1.0649999999999928</c:v>
                </c:pt>
                <c:pt idx="66">
                  <c:v>1.0659999999999927</c:v>
                </c:pt>
                <c:pt idx="67">
                  <c:v>1.0669999999999926</c:v>
                </c:pt>
                <c:pt idx="68">
                  <c:v>1.0679999999999925</c:v>
                </c:pt>
                <c:pt idx="69">
                  <c:v>1.0689999999999924</c:v>
                </c:pt>
                <c:pt idx="70">
                  <c:v>1.0699999999999923</c:v>
                </c:pt>
                <c:pt idx="71">
                  <c:v>1.0709999999999922</c:v>
                </c:pt>
                <c:pt idx="72">
                  <c:v>1.0719999999999921</c:v>
                </c:pt>
                <c:pt idx="73">
                  <c:v>1.072999999999992</c:v>
                </c:pt>
                <c:pt idx="74">
                  <c:v>1.0739999999999919</c:v>
                </c:pt>
                <c:pt idx="75">
                  <c:v>1.0749999999999917</c:v>
                </c:pt>
                <c:pt idx="76">
                  <c:v>1.0759999999999916</c:v>
                </c:pt>
                <c:pt idx="77">
                  <c:v>1.0769999999999915</c:v>
                </c:pt>
                <c:pt idx="78">
                  <c:v>1.0779999999999914</c:v>
                </c:pt>
                <c:pt idx="79">
                  <c:v>1.0789999999999913</c:v>
                </c:pt>
                <c:pt idx="80">
                  <c:v>1.0799999999999912</c:v>
                </c:pt>
                <c:pt idx="81">
                  <c:v>1.0809999999999911</c:v>
                </c:pt>
                <c:pt idx="82">
                  <c:v>1.081999999999991</c:v>
                </c:pt>
                <c:pt idx="83">
                  <c:v>1.0829999999999909</c:v>
                </c:pt>
                <c:pt idx="84">
                  <c:v>1.0839999999999907</c:v>
                </c:pt>
                <c:pt idx="85">
                  <c:v>1.0849999999999906</c:v>
                </c:pt>
                <c:pt idx="86">
                  <c:v>1.0859999999999905</c:v>
                </c:pt>
                <c:pt idx="87">
                  <c:v>1.0869999999999904</c:v>
                </c:pt>
                <c:pt idx="88">
                  <c:v>1.0879999999999903</c:v>
                </c:pt>
                <c:pt idx="89">
                  <c:v>1.0889999999999902</c:v>
                </c:pt>
                <c:pt idx="90">
                  <c:v>1.0899999999999901</c:v>
                </c:pt>
                <c:pt idx="91">
                  <c:v>1.09099999999999</c:v>
                </c:pt>
                <c:pt idx="92">
                  <c:v>1.0919999999999899</c:v>
                </c:pt>
                <c:pt idx="93">
                  <c:v>1.0929999999999898</c:v>
                </c:pt>
                <c:pt idx="94">
                  <c:v>1.0939999999999896</c:v>
                </c:pt>
                <c:pt idx="95">
                  <c:v>1.0949999999999895</c:v>
                </c:pt>
                <c:pt idx="96">
                  <c:v>1.0959999999999894</c:v>
                </c:pt>
                <c:pt idx="97">
                  <c:v>1.0969999999999893</c:v>
                </c:pt>
                <c:pt idx="98">
                  <c:v>1.0979999999999892</c:v>
                </c:pt>
                <c:pt idx="99">
                  <c:v>1.0989999999999891</c:v>
                </c:pt>
                <c:pt idx="100">
                  <c:v>1.099999999999989</c:v>
                </c:pt>
                <c:pt idx="101">
                  <c:v>1.1009999999999889</c:v>
                </c:pt>
                <c:pt idx="102">
                  <c:v>1.1019999999999888</c:v>
                </c:pt>
                <c:pt idx="103">
                  <c:v>1.1029999999999887</c:v>
                </c:pt>
                <c:pt idx="104">
                  <c:v>1.1039999999999885</c:v>
                </c:pt>
                <c:pt idx="105">
                  <c:v>1.1049999999999884</c:v>
                </c:pt>
                <c:pt idx="106">
                  <c:v>1.1059999999999883</c:v>
                </c:pt>
                <c:pt idx="107">
                  <c:v>1.1069999999999882</c:v>
                </c:pt>
                <c:pt idx="108">
                  <c:v>1.1079999999999881</c:v>
                </c:pt>
                <c:pt idx="109">
                  <c:v>1.108999999999988</c:v>
                </c:pt>
                <c:pt idx="110">
                  <c:v>1.1099999999999879</c:v>
                </c:pt>
                <c:pt idx="111">
                  <c:v>1.1109999999999878</c:v>
                </c:pt>
                <c:pt idx="112">
                  <c:v>1.1119999999999877</c:v>
                </c:pt>
                <c:pt idx="113">
                  <c:v>1.1129999999999876</c:v>
                </c:pt>
                <c:pt idx="114">
                  <c:v>1.1139999999999874</c:v>
                </c:pt>
                <c:pt idx="115">
                  <c:v>1.1149999999999873</c:v>
                </c:pt>
                <c:pt idx="116">
                  <c:v>1.1159999999999872</c:v>
                </c:pt>
                <c:pt idx="117">
                  <c:v>1.1169999999999871</c:v>
                </c:pt>
                <c:pt idx="118">
                  <c:v>1.117999999999987</c:v>
                </c:pt>
                <c:pt idx="119">
                  <c:v>1.1189999999999869</c:v>
                </c:pt>
                <c:pt idx="120">
                  <c:v>1.1199999999999868</c:v>
                </c:pt>
                <c:pt idx="121">
                  <c:v>1.1209999999999867</c:v>
                </c:pt>
                <c:pt idx="122">
                  <c:v>1.1219999999999866</c:v>
                </c:pt>
                <c:pt idx="123">
                  <c:v>1.1229999999999865</c:v>
                </c:pt>
                <c:pt idx="124">
                  <c:v>1.1239999999999863</c:v>
                </c:pt>
                <c:pt idx="125">
                  <c:v>1.1249999999999862</c:v>
                </c:pt>
                <c:pt idx="126">
                  <c:v>1.1259999999999861</c:v>
                </c:pt>
                <c:pt idx="127">
                  <c:v>1.126999999999986</c:v>
                </c:pt>
                <c:pt idx="128">
                  <c:v>1.1279999999999859</c:v>
                </c:pt>
                <c:pt idx="129">
                  <c:v>1.1289999999999858</c:v>
                </c:pt>
                <c:pt idx="130">
                  <c:v>1.1299999999999857</c:v>
                </c:pt>
                <c:pt idx="131">
                  <c:v>1.1309999999999856</c:v>
                </c:pt>
                <c:pt idx="132">
                  <c:v>1.1319999999999855</c:v>
                </c:pt>
                <c:pt idx="133">
                  <c:v>1.1329999999999854</c:v>
                </c:pt>
                <c:pt idx="134">
                  <c:v>1.1339999999999852</c:v>
                </c:pt>
                <c:pt idx="135">
                  <c:v>1.1349999999999851</c:v>
                </c:pt>
                <c:pt idx="136">
                  <c:v>1.135999999999985</c:v>
                </c:pt>
                <c:pt idx="137">
                  <c:v>1.1369999999999849</c:v>
                </c:pt>
                <c:pt idx="138">
                  <c:v>1.1379999999999848</c:v>
                </c:pt>
                <c:pt idx="139">
                  <c:v>1.1389999999999847</c:v>
                </c:pt>
                <c:pt idx="140">
                  <c:v>1.1399999999999846</c:v>
                </c:pt>
                <c:pt idx="141">
                  <c:v>1.1409999999999845</c:v>
                </c:pt>
                <c:pt idx="142">
                  <c:v>1.1419999999999844</c:v>
                </c:pt>
                <c:pt idx="143">
                  <c:v>1.1429999999999843</c:v>
                </c:pt>
                <c:pt idx="144">
                  <c:v>1.1439999999999841</c:v>
                </c:pt>
                <c:pt idx="145">
                  <c:v>1.144999999999984</c:v>
                </c:pt>
                <c:pt idx="146">
                  <c:v>1.1459999999999839</c:v>
                </c:pt>
                <c:pt idx="147">
                  <c:v>1.1469999999999838</c:v>
                </c:pt>
                <c:pt idx="148">
                  <c:v>1.1479999999999837</c:v>
                </c:pt>
                <c:pt idx="149">
                  <c:v>1.1489999999999836</c:v>
                </c:pt>
                <c:pt idx="150">
                  <c:v>1.1499999999999835</c:v>
                </c:pt>
                <c:pt idx="151">
                  <c:v>1.1509999999999834</c:v>
                </c:pt>
                <c:pt idx="152">
                  <c:v>1.1519999999999833</c:v>
                </c:pt>
                <c:pt idx="153">
                  <c:v>1.1529999999999831</c:v>
                </c:pt>
                <c:pt idx="154">
                  <c:v>1.153999999999983</c:v>
                </c:pt>
                <c:pt idx="155">
                  <c:v>1.1549999999999829</c:v>
                </c:pt>
                <c:pt idx="156">
                  <c:v>1.1559999999999828</c:v>
                </c:pt>
                <c:pt idx="157">
                  <c:v>1.1569999999999827</c:v>
                </c:pt>
                <c:pt idx="158">
                  <c:v>1.1579999999999826</c:v>
                </c:pt>
                <c:pt idx="159">
                  <c:v>1.1589999999999825</c:v>
                </c:pt>
                <c:pt idx="160">
                  <c:v>1.1599999999999824</c:v>
                </c:pt>
                <c:pt idx="161">
                  <c:v>1.1609999999999823</c:v>
                </c:pt>
                <c:pt idx="162">
                  <c:v>1.1619999999999822</c:v>
                </c:pt>
                <c:pt idx="163">
                  <c:v>1.162999999999982</c:v>
                </c:pt>
                <c:pt idx="164">
                  <c:v>1.1639999999999819</c:v>
                </c:pt>
                <c:pt idx="165">
                  <c:v>1.1649999999999818</c:v>
                </c:pt>
                <c:pt idx="166">
                  <c:v>1.1659999999999817</c:v>
                </c:pt>
                <c:pt idx="167">
                  <c:v>1.1669999999999816</c:v>
                </c:pt>
                <c:pt idx="168">
                  <c:v>1.1679999999999815</c:v>
                </c:pt>
                <c:pt idx="169">
                  <c:v>1.1689999999999814</c:v>
                </c:pt>
                <c:pt idx="170">
                  <c:v>1.1699999999999813</c:v>
                </c:pt>
                <c:pt idx="171">
                  <c:v>1.1709999999999812</c:v>
                </c:pt>
                <c:pt idx="172">
                  <c:v>1.1719999999999811</c:v>
                </c:pt>
                <c:pt idx="173">
                  <c:v>1.1729999999999809</c:v>
                </c:pt>
                <c:pt idx="174">
                  <c:v>1.1739999999999808</c:v>
                </c:pt>
                <c:pt idx="175">
                  <c:v>1.1749999999999807</c:v>
                </c:pt>
                <c:pt idx="176">
                  <c:v>1.1759999999999806</c:v>
                </c:pt>
                <c:pt idx="177">
                  <c:v>1.1769999999999805</c:v>
                </c:pt>
                <c:pt idx="178">
                  <c:v>1.1779999999999804</c:v>
                </c:pt>
                <c:pt idx="179">
                  <c:v>1.1789999999999803</c:v>
                </c:pt>
                <c:pt idx="180">
                  <c:v>1.1799999999999802</c:v>
                </c:pt>
                <c:pt idx="181">
                  <c:v>1.1809999999999801</c:v>
                </c:pt>
                <c:pt idx="182">
                  <c:v>1.18199999999998</c:v>
                </c:pt>
                <c:pt idx="183">
                  <c:v>1.1829999999999798</c:v>
                </c:pt>
                <c:pt idx="184">
                  <c:v>1.1839999999999797</c:v>
                </c:pt>
                <c:pt idx="185">
                  <c:v>1.1849999999999796</c:v>
                </c:pt>
                <c:pt idx="186">
                  <c:v>1.1859999999999795</c:v>
                </c:pt>
                <c:pt idx="187">
                  <c:v>1.1869999999999794</c:v>
                </c:pt>
                <c:pt idx="188">
                  <c:v>1.1879999999999793</c:v>
                </c:pt>
                <c:pt idx="189">
                  <c:v>1.1889999999999792</c:v>
                </c:pt>
                <c:pt idx="190">
                  <c:v>1.1899999999999791</c:v>
                </c:pt>
                <c:pt idx="191">
                  <c:v>1.190999999999979</c:v>
                </c:pt>
                <c:pt idx="192">
                  <c:v>1.1919999999999789</c:v>
                </c:pt>
                <c:pt idx="193">
                  <c:v>1.1929999999999787</c:v>
                </c:pt>
                <c:pt idx="194">
                  <c:v>1.1939999999999786</c:v>
                </c:pt>
                <c:pt idx="195">
                  <c:v>1.1949999999999785</c:v>
                </c:pt>
                <c:pt idx="196">
                  <c:v>1.1959999999999784</c:v>
                </c:pt>
                <c:pt idx="197">
                  <c:v>1.1969999999999783</c:v>
                </c:pt>
                <c:pt idx="198">
                  <c:v>1.1979999999999782</c:v>
                </c:pt>
                <c:pt idx="199">
                  <c:v>1.1989999999999781</c:v>
                </c:pt>
                <c:pt idx="200">
                  <c:v>1.199999999999978</c:v>
                </c:pt>
                <c:pt idx="201">
                  <c:v>1.2009999999999779</c:v>
                </c:pt>
                <c:pt idx="202">
                  <c:v>1.2019999999999778</c:v>
                </c:pt>
                <c:pt idx="203">
                  <c:v>1.2029999999999776</c:v>
                </c:pt>
                <c:pt idx="204">
                  <c:v>1.2039999999999775</c:v>
                </c:pt>
                <c:pt idx="205">
                  <c:v>1.2049999999999774</c:v>
                </c:pt>
                <c:pt idx="206">
                  <c:v>1.2059999999999773</c:v>
                </c:pt>
                <c:pt idx="207">
                  <c:v>1.2069999999999772</c:v>
                </c:pt>
                <c:pt idx="208">
                  <c:v>1.2079999999999771</c:v>
                </c:pt>
                <c:pt idx="209">
                  <c:v>1.208999999999977</c:v>
                </c:pt>
                <c:pt idx="210">
                  <c:v>1.2099999999999769</c:v>
                </c:pt>
                <c:pt idx="211">
                  <c:v>1.2109999999999768</c:v>
                </c:pt>
                <c:pt idx="212">
                  <c:v>1.2119999999999767</c:v>
                </c:pt>
                <c:pt idx="213">
                  <c:v>1.2129999999999765</c:v>
                </c:pt>
                <c:pt idx="214">
                  <c:v>1.2139999999999764</c:v>
                </c:pt>
                <c:pt idx="215">
                  <c:v>1.2149999999999763</c:v>
                </c:pt>
                <c:pt idx="216">
                  <c:v>1.2159999999999762</c:v>
                </c:pt>
                <c:pt idx="217">
                  <c:v>1.2169999999999761</c:v>
                </c:pt>
                <c:pt idx="218">
                  <c:v>1.217999999999976</c:v>
                </c:pt>
                <c:pt idx="219">
                  <c:v>1.2189999999999759</c:v>
                </c:pt>
                <c:pt idx="220">
                  <c:v>1.2199999999999758</c:v>
                </c:pt>
                <c:pt idx="221">
                  <c:v>1.2209999999999757</c:v>
                </c:pt>
                <c:pt idx="222">
                  <c:v>1.2219999999999756</c:v>
                </c:pt>
                <c:pt idx="223">
                  <c:v>1.2229999999999754</c:v>
                </c:pt>
                <c:pt idx="224">
                  <c:v>1.2239999999999753</c:v>
                </c:pt>
                <c:pt idx="225">
                  <c:v>1.2249999999999752</c:v>
                </c:pt>
                <c:pt idx="226">
                  <c:v>1.2259999999999751</c:v>
                </c:pt>
                <c:pt idx="227">
                  <c:v>1.226999999999975</c:v>
                </c:pt>
                <c:pt idx="228">
                  <c:v>1.2279999999999749</c:v>
                </c:pt>
                <c:pt idx="229">
                  <c:v>1.2289999999999748</c:v>
                </c:pt>
                <c:pt idx="230">
                  <c:v>1.2299999999999747</c:v>
                </c:pt>
                <c:pt idx="231">
                  <c:v>1.2309999999999746</c:v>
                </c:pt>
                <c:pt idx="232">
                  <c:v>1.2319999999999744</c:v>
                </c:pt>
                <c:pt idx="233">
                  <c:v>1.2329999999999743</c:v>
                </c:pt>
                <c:pt idx="234">
                  <c:v>1.2339999999999742</c:v>
                </c:pt>
                <c:pt idx="235">
                  <c:v>1.2349999999999741</c:v>
                </c:pt>
                <c:pt idx="236">
                  <c:v>1.235999999999974</c:v>
                </c:pt>
                <c:pt idx="237">
                  <c:v>1.2369999999999739</c:v>
                </c:pt>
                <c:pt idx="238">
                  <c:v>1.2379999999999738</c:v>
                </c:pt>
                <c:pt idx="239">
                  <c:v>1.2389999999999737</c:v>
                </c:pt>
                <c:pt idx="240">
                  <c:v>1.2399999999999736</c:v>
                </c:pt>
              </c:numCache>
            </c:numRef>
          </c:xVal>
          <c:yVal>
            <c:numRef>
              <c:f>Sheet1!$Z$10:$Z$250</c:f>
              <c:numCache>
                <c:formatCode>#,##0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1000000</c:v>
                </c:pt>
                <c:pt idx="102">
                  <c:v>1000000</c:v>
                </c:pt>
                <c:pt idx="103">
                  <c:v>1000000</c:v>
                </c:pt>
                <c:pt idx="104">
                  <c:v>1000000</c:v>
                </c:pt>
                <c:pt idx="105">
                  <c:v>1000000</c:v>
                </c:pt>
                <c:pt idx="106">
                  <c:v>1000000</c:v>
                </c:pt>
                <c:pt idx="107">
                  <c:v>1000000</c:v>
                </c:pt>
                <c:pt idx="108">
                  <c:v>1000000</c:v>
                </c:pt>
                <c:pt idx="109">
                  <c:v>1000000</c:v>
                </c:pt>
                <c:pt idx="110">
                  <c:v>1000000</c:v>
                </c:pt>
                <c:pt idx="111">
                  <c:v>1000000</c:v>
                </c:pt>
                <c:pt idx="112">
                  <c:v>1000000</c:v>
                </c:pt>
                <c:pt idx="113">
                  <c:v>1000000</c:v>
                </c:pt>
                <c:pt idx="114">
                  <c:v>1000000</c:v>
                </c:pt>
                <c:pt idx="115">
                  <c:v>1000000</c:v>
                </c:pt>
                <c:pt idx="116">
                  <c:v>1000000</c:v>
                </c:pt>
                <c:pt idx="117">
                  <c:v>1000000</c:v>
                </c:pt>
                <c:pt idx="118">
                  <c:v>1000000</c:v>
                </c:pt>
                <c:pt idx="119">
                  <c:v>1000000</c:v>
                </c:pt>
                <c:pt idx="120">
                  <c:v>1000000</c:v>
                </c:pt>
                <c:pt idx="121">
                  <c:v>1000000</c:v>
                </c:pt>
                <c:pt idx="122">
                  <c:v>1000000</c:v>
                </c:pt>
                <c:pt idx="123">
                  <c:v>1000000</c:v>
                </c:pt>
                <c:pt idx="124">
                  <c:v>1000000</c:v>
                </c:pt>
                <c:pt idx="125">
                  <c:v>1000000</c:v>
                </c:pt>
                <c:pt idx="126">
                  <c:v>1000000</c:v>
                </c:pt>
                <c:pt idx="127">
                  <c:v>1000000</c:v>
                </c:pt>
                <c:pt idx="128">
                  <c:v>1000000</c:v>
                </c:pt>
                <c:pt idx="129">
                  <c:v>1000000</c:v>
                </c:pt>
                <c:pt idx="130">
                  <c:v>1000000</c:v>
                </c:pt>
                <c:pt idx="131">
                  <c:v>1000000</c:v>
                </c:pt>
                <c:pt idx="132">
                  <c:v>1000000</c:v>
                </c:pt>
                <c:pt idx="133">
                  <c:v>1000000</c:v>
                </c:pt>
                <c:pt idx="134">
                  <c:v>1000000</c:v>
                </c:pt>
                <c:pt idx="135">
                  <c:v>1000000</c:v>
                </c:pt>
                <c:pt idx="136">
                  <c:v>1000000</c:v>
                </c:pt>
                <c:pt idx="137">
                  <c:v>1000000</c:v>
                </c:pt>
                <c:pt idx="138">
                  <c:v>1000000</c:v>
                </c:pt>
                <c:pt idx="139">
                  <c:v>1000000</c:v>
                </c:pt>
                <c:pt idx="140">
                  <c:v>1000000</c:v>
                </c:pt>
                <c:pt idx="141">
                  <c:v>1000000</c:v>
                </c:pt>
                <c:pt idx="142">
                  <c:v>1000000</c:v>
                </c:pt>
                <c:pt idx="143">
                  <c:v>1000000</c:v>
                </c:pt>
                <c:pt idx="144">
                  <c:v>1000000</c:v>
                </c:pt>
                <c:pt idx="145">
                  <c:v>1000000</c:v>
                </c:pt>
                <c:pt idx="146">
                  <c:v>1000000</c:v>
                </c:pt>
                <c:pt idx="147">
                  <c:v>1000000</c:v>
                </c:pt>
                <c:pt idx="148">
                  <c:v>1000000</c:v>
                </c:pt>
                <c:pt idx="149">
                  <c:v>1000000</c:v>
                </c:pt>
                <c:pt idx="150">
                  <c:v>1000000</c:v>
                </c:pt>
                <c:pt idx="151">
                  <c:v>1000000</c:v>
                </c:pt>
                <c:pt idx="152">
                  <c:v>1000000</c:v>
                </c:pt>
                <c:pt idx="153">
                  <c:v>1000000</c:v>
                </c:pt>
                <c:pt idx="154">
                  <c:v>1000000</c:v>
                </c:pt>
                <c:pt idx="155">
                  <c:v>1000000</c:v>
                </c:pt>
                <c:pt idx="156">
                  <c:v>1000000</c:v>
                </c:pt>
                <c:pt idx="157">
                  <c:v>1000000</c:v>
                </c:pt>
                <c:pt idx="158">
                  <c:v>1000000</c:v>
                </c:pt>
                <c:pt idx="159">
                  <c:v>1000000</c:v>
                </c:pt>
                <c:pt idx="160">
                  <c:v>1000000</c:v>
                </c:pt>
                <c:pt idx="161">
                  <c:v>1000000</c:v>
                </c:pt>
                <c:pt idx="162">
                  <c:v>1000000</c:v>
                </c:pt>
                <c:pt idx="163">
                  <c:v>1000000</c:v>
                </c:pt>
                <c:pt idx="164">
                  <c:v>1000000</c:v>
                </c:pt>
                <c:pt idx="165">
                  <c:v>1000000</c:v>
                </c:pt>
                <c:pt idx="166">
                  <c:v>1000000</c:v>
                </c:pt>
                <c:pt idx="167">
                  <c:v>1000000</c:v>
                </c:pt>
                <c:pt idx="168">
                  <c:v>1000000</c:v>
                </c:pt>
                <c:pt idx="169">
                  <c:v>1000000</c:v>
                </c:pt>
                <c:pt idx="170">
                  <c:v>1000000</c:v>
                </c:pt>
                <c:pt idx="171">
                  <c:v>1000000</c:v>
                </c:pt>
                <c:pt idx="172">
                  <c:v>1000000</c:v>
                </c:pt>
                <c:pt idx="173">
                  <c:v>1000000</c:v>
                </c:pt>
                <c:pt idx="174">
                  <c:v>1000000</c:v>
                </c:pt>
                <c:pt idx="175">
                  <c:v>1000000</c:v>
                </c:pt>
                <c:pt idx="176">
                  <c:v>1000000</c:v>
                </c:pt>
                <c:pt idx="177">
                  <c:v>1000000</c:v>
                </c:pt>
                <c:pt idx="178">
                  <c:v>1000000</c:v>
                </c:pt>
                <c:pt idx="179">
                  <c:v>1000000</c:v>
                </c:pt>
                <c:pt idx="180">
                  <c:v>1000000</c:v>
                </c:pt>
                <c:pt idx="181">
                  <c:v>1000000</c:v>
                </c:pt>
                <c:pt idx="182">
                  <c:v>1000000</c:v>
                </c:pt>
                <c:pt idx="183">
                  <c:v>1000000</c:v>
                </c:pt>
                <c:pt idx="184">
                  <c:v>1000000</c:v>
                </c:pt>
                <c:pt idx="185">
                  <c:v>1000000</c:v>
                </c:pt>
                <c:pt idx="186">
                  <c:v>1000000</c:v>
                </c:pt>
                <c:pt idx="187">
                  <c:v>1000000</c:v>
                </c:pt>
                <c:pt idx="188">
                  <c:v>1000000</c:v>
                </c:pt>
                <c:pt idx="189">
                  <c:v>1000000</c:v>
                </c:pt>
                <c:pt idx="190">
                  <c:v>1000000</c:v>
                </c:pt>
                <c:pt idx="191">
                  <c:v>1000000</c:v>
                </c:pt>
                <c:pt idx="192">
                  <c:v>1000000</c:v>
                </c:pt>
                <c:pt idx="193">
                  <c:v>1000000</c:v>
                </c:pt>
                <c:pt idx="194">
                  <c:v>1000000</c:v>
                </c:pt>
                <c:pt idx="195">
                  <c:v>1000000</c:v>
                </c:pt>
                <c:pt idx="196">
                  <c:v>1000000</c:v>
                </c:pt>
                <c:pt idx="197">
                  <c:v>1000000</c:v>
                </c:pt>
                <c:pt idx="198">
                  <c:v>1000000</c:v>
                </c:pt>
                <c:pt idx="199">
                  <c:v>1000000</c:v>
                </c:pt>
                <c:pt idx="200">
                  <c:v>1000000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7E-4580-9DD3-8F8448E84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050944"/>
        <c:axId val="1891064976"/>
      </c:scatterChart>
      <c:valAx>
        <c:axId val="1923050944"/>
        <c:scaling>
          <c:orientation val="minMax"/>
          <c:max val="1.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064976"/>
        <c:crosses val="autoZero"/>
        <c:crossBetween val="midCat"/>
      </c:valAx>
      <c:valAx>
        <c:axId val="189106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05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Probability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Sheet1!$AM$9</c:f>
              <c:strCache>
                <c:ptCount val="1"/>
                <c:pt idx="0">
                  <c:v>Probability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Sheet1!$AC$10:$AC$70</c:f>
              <c:numCache>
                <c:formatCode>0.0000</c:formatCode>
                <c:ptCount val="61"/>
                <c:pt idx="0">
                  <c:v>1.05</c:v>
                </c:pt>
                <c:pt idx="1">
                  <c:v>1.0549999999999999</c:v>
                </c:pt>
                <c:pt idx="2">
                  <c:v>1.0599999999999998</c:v>
                </c:pt>
                <c:pt idx="3">
                  <c:v>1.0649999999999997</c:v>
                </c:pt>
                <c:pt idx="4">
                  <c:v>1.0699999999999996</c:v>
                </c:pt>
                <c:pt idx="5">
                  <c:v>1.0749999999999995</c:v>
                </c:pt>
                <c:pt idx="6">
                  <c:v>1.0799999999999994</c:v>
                </c:pt>
                <c:pt idx="7">
                  <c:v>1.0849999999999993</c:v>
                </c:pt>
                <c:pt idx="8">
                  <c:v>1.0899999999999992</c:v>
                </c:pt>
                <c:pt idx="9">
                  <c:v>1.0949999999999991</c:v>
                </c:pt>
                <c:pt idx="10">
                  <c:v>1.099999999999999</c:v>
                </c:pt>
                <c:pt idx="11">
                  <c:v>1.1049999999999989</c:v>
                </c:pt>
                <c:pt idx="12">
                  <c:v>1.1099999999999988</c:v>
                </c:pt>
                <c:pt idx="13">
                  <c:v>1.1149999999999987</c:v>
                </c:pt>
                <c:pt idx="14">
                  <c:v>1.1199999999999986</c:v>
                </c:pt>
                <c:pt idx="15">
                  <c:v>1.1249999999999984</c:v>
                </c:pt>
                <c:pt idx="16">
                  <c:v>1.1299999999999983</c:v>
                </c:pt>
                <c:pt idx="17">
                  <c:v>1.1349999999999982</c:v>
                </c:pt>
                <c:pt idx="18">
                  <c:v>1.1399999999999981</c:v>
                </c:pt>
                <c:pt idx="19">
                  <c:v>1.144999999999998</c:v>
                </c:pt>
                <c:pt idx="20">
                  <c:v>1.1499999999999979</c:v>
                </c:pt>
                <c:pt idx="21">
                  <c:v>1.1549999999999978</c:v>
                </c:pt>
                <c:pt idx="22">
                  <c:v>1.1599999999999977</c:v>
                </c:pt>
                <c:pt idx="23">
                  <c:v>1.1649999999999976</c:v>
                </c:pt>
                <c:pt idx="24">
                  <c:v>1.1699999999999975</c:v>
                </c:pt>
                <c:pt idx="25">
                  <c:v>1.1749999999999974</c:v>
                </c:pt>
                <c:pt idx="26">
                  <c:v>1.1799999999999973</c:v>
                </c:pt>
                <c:pt idx="27">
                  <c:v>1.1849999999999972</c:v>
                </c:pt>
                <c:pt idx="28">
                  <c:v>1.1899999999999971</c:v>
                </c:pt>
                <c:pt idx="29">
                  <c:v>1.194999999999997</c:v>
                </c:pt>
                <c:pt idx="30">
                  <c:v>1.1999999999999968</c:v>
                </c:pt>
                <c:pt idx="31">
                  <c:v>1.2049999999999967</c:v>
                </c:pt>
                <c:pt idx="32">
                  <c:v>1.2099999999999966</c:v>
                </c:pt>
                <c:pt idx="33">
                  <c:v>1.2149999999999965</c:v>
                </c:pt>
                <c:pt idx="34">
                  <c:v>1.2199999999999964</c:v>
                </c:pt>
                <c:pt idx="35">
                  <c:v>1.2249999999999963</c:v>
                </c:pt>
                <c:pt idx="36">
                  <c:v>1.2299999999999962</c:v>
                </c:pt>
                <c:pt idx="37">
                  <c:v>1.2349999999999961</c:v>
                </c:pt>
                <c:pt idx="38">
                  <c:v>1.239999999999996</c:v>
                </c:pt>
                <c:pt idx="39">
                  <c:v>1.2449999999999959</c:v>
                </c:pt>
                <c:pt idx="40">
                  <c:v>1.2499999999999958</c:v>
                </c:pt>
                <c:pt idx="41">
                  <c:v>1.2549999999999957</c:v>
                </c:pt>
                <c:pt idx="42">
                  <c:v>1.2599999999999956</c:v>
                </c:pt>
                <c:pt idx="43">
                  <c:v>1.2649999999999955</c:v>
                </c:pt>
                <c:pt idx="44">
                  <c:v>1.2699999999999954</c:v>
                </c:pt>
                <c:pt idx="45">
                  <c:v>1.2749999999999952</c:v>
                </c:pt>
                <c:pt idx="46">
                  <c:v>1.2799999999999951</c:v>
                </c:pt>
                <c:pt idx="47">
                  <c:v>1.284999999999995</c:v>
                </c:pt>
                <c:pt idx="48">
                  <c:v>1.2899999999999949</c:v>
                </c:pt>
                <c:pt idx="49">
                  <c:v>1.2949999999999948</c:v>
                </c:pt>
                <c:pt idx="50">
                  <c:v>1.2999999999999947</c:v>
                </c:pt>
                <c:pt idx="51">
                  <c:v>1.3049999999999946</c:v>
                </c:pt>
                <c:pt idx="52">
                  <c:v>1.3099999999999945</c:v>
                </c:pt>
                <c:pt idx="53">
                  <c:v>1.3149999999999944</c:v>
                </c:pt>
                <c:pt idx="54">
                  <c:v>1.3199999999999943</c:v>
                </c:pt>
                <c:pt idx="55">
                  <c:v>1.3249999999999942</c:v>
                </c:pt>
                <c:pt idx="56">
                  <c:v>1.3299999999999941</c:v>
                </c:pt>
                <c:pt idx="57">
                  <c:v>1.334999999999994</c:v>
                </c:pt>
                <c:pt idx="58">
                  <c:v>1.3399999999999939</c:v>
                </c:pt>
                <c:pt idx="59">
                  <c:v>1.3449999999999938</c:v>
                </c:pt>
                <c:pt idx="60">
                  <c:v>1.3499999999999936</c:v>
                </c:pt>
              </c:numCache>
            </c:numRef>
          </c:xVal>
          <c:yVal>
            <c:numRef>
              <c:f>Sheet1!$AM$10:$AM$70</c:f>
              <c:numCache>
                <c:formatCode>0.00%</c:formatCode>
                <c:ptCount val="61"/>
                <c:pt idx="0">
                  <c:v>2.4938748870468714E-3</c:v>
                </c:pt>
                <c:pt idx="1">
                  <c:v>2.8298925283318467E-3</c:v>
                </c:pt>
                <c:pt idx="2">
                  <c:v>3.2578882362376826E-3</c:v>
                </c:pt>
                <c:pt idx="3">
                  <c:v>3.7986616345095582E-3</c:v>
                </c:pt>
                <c:pt idx="4">
                  <c:v>4.4774694091237605E-3</c:v>
                </c:pt>
                <c:pt idx="5">
                  <c:v>5.3248158061173561E-3</c:v>
                </c:pt>
                <c:pt idx="6">
                  <c:v>6.3765030888964661E-3</c:v>
                </c:pt>
                <c:pt idx="7">
                  <c:v>7.6738221547341988E-3</c:v>
                </c:pt>
                <c:pt idx="8">
                  <c:v>9.2627508242058149E-3</c:v>
                </c:pt>
                <c:pt idx="9">
                  <c:v>1.1191997218901097E-2</c:v>
                </c:pt>
                <c:pt idx="10">
                  <c:v>1.3509888227413967E-2</c:v>
                </c:pt>
                <c:pt idx="11">
                  <c:v>1.625879677596169E-2</c:v>
                </c:pt>
                <c:pt idx="12">
                  <c:v>1.9467618083084063E-2</c:v>
                </c:pt>
                <c:pt idx="13">
                  <c:v>2.3141874420853591E-2</c:v>
                </c:pt>
                <c:pt idx="14">
                  <c:v>2.7252266912264268E-2</c:v>
                </c:pt>
                <c:pt idx="15">
                  <c:v>3.1723109594901024E-2</c:v>
                </c:pt>
                <c:pt idx="16">
                  <c:v>3.6422910723394736E-2</c:v>
                </c:pt>
                <c:pt idx="17">
                  <c:v>4.1160633322242193E-2</c:v>
                </c:pt>
                <c:pt idx="18">
                  <c:v>4.5691021235013056E-2</c:v>
                </c:pt>
                <c:pt idx="19">
                  <c:v>4.9730902441290817E-2</c:v>
                </c:pt>
                <c:pt idx="20">
                  <c:v>5.2987518032086407E-2</c:v>
                </c:pt>
                <c:pt idx="21">
                  <c:v>5.5194969205516725E-2</c:v>
                </c:pt>
                <c:pt idx="22">
                  <c:v>5.6153192734264605E-2</c:v>
                </c:pt>
                <c:pt idx="23">
                  <c:v>5.5761041337521793E-2</c:v>
                </c:pt>
                <c:pt idx="24">
                  <c:v>5.4034613699812335E-2</c:v>
                </c:pt>
                <c:pt idx="25">
                  <c:v>5.1106811567953325E-2</c:v>
                </c:pt>
                <c:pt idx="26">
                  <c:v>4.7206879312548612E-2</c:v>
                </c:pt>
                <c:pt idx="27">
                  <c:v>4.2625703315813446E-2</c:v>
                </c:pt>
                <c:pt idx="28">
                  <c:v>3.767448743609584E-2</c:v>
                </c:pt>
                <c:pt idx="29">
                  <c:v>3.2646094300185204E-2</c:v>
                </c:pt>
                <c:pt idx="30">
                  <c:v>2.7786060382891199E-2</c:v>
                </c:pt>
                <c:pt idx="31">
                  <c:v>2.3276465085906032E-2</c:v>
                </c:pt>
                <c:pt idx="32">
                  <c:v>1.923243096283872E-2</c:v>
                </c:pt>
                <c:pt idx="33">
                  <c:v>1.5708650932677416E-2</c:v>
                </c:pt>
                <c:pt idx="34">
                  <c:v>1.2711403426322834E-2</c:v>
                </c:pt>
                <c:pt idx="35">
                  <c:v>1.0212772237174933E-2</c:v>
                </c:pt>
                <c:pt idx="36">
                  <c:v>8.1640338261330676E-3</c:v>
                </c:pt>
                <c:pt idx="37">
                  <c:v>6.5065441866526234E-3</c:v>
                </c:pt>
                <c:pt idx="38">
                  <c:v>5.1797902893949109E-3</c:v>
                </c:pt>
                <c:pt idx="39">
                  <c:v>4.1264442226062051E-3</c:v>
                </c:pt>
                <c:pt idx="40">
                  <c:v>3.2952672905274508E-3</c:v>
                </c:pt>
                <c:pt idx="41">
                  <c:v>2.6422775394441145E-3</c:v>
                </c:pt>
                <c:pt idx="42">
                  <c:v>2.1308158077043065E-3</c:v>
                </c:pt>
                <c:pt idx="43">
                  <c:v>1.7309924473176092E-3</c:v>
                </c:pt>
                <c:pt idx="44">
                  <c:v>1.4188558295624332E-3</c:v>
                </c:pt>
                <c:pt idx="45">
                  <c:v>1.1754408392872305E-3</c:v>
                </c:pt>
                <c:pt idx="46">
                  <c:v>9.8585766497873237E-4</c:v>
                </c:pt>
                <c:pt idx="47">
                  <c:v>8.3850217692721808E-4</c:v>
                </c:pt>
                <c:pt idx="48">
                  <c:v>7.2436546801846191E-4</c:v>
                </c:pt>
                <c:pt idx="49">
                  <c:v>6.364676106075188E-4</c:v>
                </c:pt>
                <c:pt idx="50">
                  <c:v>5.6940021196347874E-4</c:v>
                </c:pt>
                <c:pt idx="51">
                  <c:v>5.1899020741327545E-4</c:v>
                </c:pt>
                <c:pt idx="52">
                  <c:v>4.8198415176698345E-4</c:v>
                </c:pt>
                <c:pt idx="53">
                  <c:v>4.5587494751960362E-4</c:v>
                </c:pt>
                <c:pt idx="54">
                  <c:v>4.386946720488506E-4</c:v>
                </c:pt>
                <c:pt idx="55">
                  <c:v>4.2891094741429991E-4</c:v>
                </c:pt>
                <c:pt idx="56">
                  <c:v>4.2531376181173926E-4</c:v>
                </c:pt>
                <c:pt idx="57">
                  <c:v>4.2694617837378188E-4</c:v>
                </c:pt>
                <c:pt idx="58">
                  <c:v>4.3305177547374468E-4</c:v>
                </c:pt>
                <c:pt idx="59">
                  <c:v>4.4302392661889128E-4</c:v>
                </c:pt>
                <c:pt idx="60">
                  <c:v>4.5636252630062475E-4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5F-403C-9F87-8F8216D2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620431"/>
        <c:axId val="551601231"/>
      </c:scatterChart>
      <c:valAx>
        <c:axId val="551620431"/>
        <c:scaling>
          <c:orientation val="minMax"/>
          <c:max val="1.25"/>
          <c:min val="1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01231"/>
        <c:crosses val="autoZero"/>
        <c:crossBetween val="midCat"/>
      </c:valAx>
      <c:valAx>
        <c:axId val="551601231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2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13</xdr:row>
      <xdr:rowOff>6350</xdr:rowOff>
    </xdr:from>
    <xdr:to>
      <xdr:col>15</xdr:col>
      <xdr:colOff>361950</xdr:colOff>
      <xdr:row>28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BD0F53-7217-4CB1-9E5C-E1A672342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</xdr:colOff>
      <xdr:row>28</xdr:row>
      <xdr:rowOff>107951</xdr:rowOff>
    </xdr:from>
    <xdr:to>
      <xdr:col>15</xdr:col>
      <xdr:colOff>338137</xdr:colOff>
      <xdr:row>51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E0DDFE-58EE-46E0-9094-8B2DBCDC1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</xdr:colOff>
      <xdr:row>0</xdr:row>
      <xdr:rowOff>25400</xdr:rowOff>
    </xdr:from>
    <xdr:to>
      <xdr:col>15</xdr:col>
      <xdr:colOff>447675</xdr:colOff>
      <xdr:row>12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2E8E21-209E-B8B4-0AF4-0843980D9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480060</xdr:colOff>
      <xdr:row>0</xdr:row>
      <xdr:rowOff>64770</xdr:rowOff>
    </xdr:from>
    <xdr:to>
      <xdr:col>23</xdr:col>
      <xdr:colOff>175260</xdr:colOff>
      <xdr:row>20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D77CC8-EDB5-6687-BFB7-1B343CCA5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0850-711D-4D01-9D99-2B44DD5A7EF0}">
  <dimension ref="A1:AM509"/>
  <sheetViews>
    <sheetView tabSelected="1" workbookViewId="0">
      <selection activeCell="F3" sqref="F3"/>
    </sheetView>
  </sheetViews>
  <sheetFormatPr defaultRowHeight="15" x14ac:dyDescent="0.25"/>
  <cols>
    <col min="1" max="1" width="11.28515625" customWidth="1"/>
    <col min="2" max="2" width="9.7109375" customWidth="1"/>
    <col min="5" max="5" width="10" bestFit="1" customWidth="1"/>
    <col min="6" max="6" width="9.7109375" bestFit="1" customWidth="1"/>
    <col min="7" max="7" width="10" bestFit="1" customWidth="1"/>
    <col min="29" max="29" width="11.28515625" bestFit="1" customWidth="1"/>
    <col min="32" max="32" width="7.85546875" bestFit="1" customWidth="1"/>
    <col min="38" max="39" width="12" bestFit="1" customWidth="1"/>
  </cols>
  <sheetData>
    <row r="1" spans="1:39" x14ac:dyDescent="0.25">
      <c r="A1" s="12" t="s">
        <v>53</v>
      </c>
      <c r="B1" s="25">
        <v>1.1539999999999999</v>
      </c>
      <c r="E1" s="34" t="s">
        <v>54</v>
      </c>
      <c r="F1" s="35"/>
      <c r="S1" t="s">
        <v>41</v>
      </c>
      <c r="T1" t="s">
        <v>11</v>
      </c>
      <c r="U1" t="s">
        <v>42</v>
      </c>
    </row>
    <row r="2" spans="1:39" x14ac:dyDescent="0.25">
      <c r="A2" s="12" t="s">
        <v>46</v>
      </c>
      <c r="B2" s="22">
        <v>0.25</v>
      </c>
      <c r="E2" s="12" t="s">
        <v>64</v>
      </c>
      <c r="F2" s="21">
        <v>1000000</v>
      </c>
      <c r="S2">
        <v>10</v>
      </c>
      <c r="T2" s="3">
        <f>D19</f>
        <v>8.7499999999999994E-2</v>
      </c>
      <c r="U2" t="str">
        <f>C19</f>
        <v>10P</v>
      </c>
    </row>
    <row r="3" spans="1:39" x14ac:dyDescent="0.25">
      <c r="A3" s="12" t="s">
        <v>51</v>
      </c>
      <c r="B3" s="20">
        <v>3.5999999999999997E-2</v>
      </c>
      <c r="E3" s="12" t="s">
        <v>48</v>
      </c>
      <c r="F3" s="28">
        <v>1.1000000000000001</v>
      </c>
      <c r="S3">
        <v>25</v>
      </c>
      <c r="T3" s="3">
        <f>D20</f>
        <v>7.6000000000000012E-2</v>
      </c>
      <c r="U3" t="str">
        <f>C20</f>
        <v>25P</v>
      </c>
    </row>
    <row r="4" spans="1:39" x14ac:dyDescent="0.25">
      <c r="A4" s="12" t="s">
        <v>52</v>
      </c>
      <c r="B4" s="20">
        <v>2.1000000000000001E-2</v>
      </c>
      <c r="E4" s="12" t="s">
        <v>49</v>
      </c>
      <c r="F4" s="28">
        <v>1.2</v>
      </c>
      <c r="S4">
        <v>50</v>
      </c>
      <c r="T4" s="3">
        <f>D21</f>
        <v>6.9000000000000006E-2</v>
      </c>
      <c r="U4" t="str">
        <f>C21</f>
        <v>DN</v>
      </c>
    </row>
    <row r="5" spans="1:39" x14ac:dyDescent="0.25">
      <c r="A5" s="12" t="s">
        <v>47</v>
      </c>
      <c r="B5" s="26">
        <f>B1 * EXP((B3 - B4)*B2)</f>
        <v>1.1583356242145937</v>
      </c>
      <c r="E5" t="s">
        <v>60</v>
      </c>
      <c r="S5">
        <v>75</v>
      </c>
      <c r="T5" s="3">
        <f>D22</f>
        <v>6.8000000000000005E-2</v>
      </c>
      <c r="U5" t="str">
        <f>C22</f>
        <v>25C</v>
      </c>
    </row>
    <row r="6" spans="1:39" x14ac:dyDescent="0.25">
      <c r="B6" s="6"/>
      <c r="E6" t="s">
        <v>61</v>
      </c>
      <c r="S6">
        <v>90</v>
      </c>
      <c r="T6" s="3">
        <f>D23</f>
        <v>7.2500000000000009E-2</v>
      </c>
      <c r="U6" t="str">
        <f>C23</f>
        <v>10C</v>
      </c>
    </row>
    <row r="7" spans="1:39" x14ac:dyDescent="0.25">
      <c r="A7" s="12" t="s">
        <v>39</v>
      </c>
      <c r="B7" s="12" t="s">
        <v>63</v>
      </c>
      <c r="C7" s="12" t="s">
        <v>3</v>
      </c>
      <c r="E7" t="s">
        <v>62</v>
      </c>
      <c r="AB7" t="s">
        <v>65</v>
      </c>
      <c r="AC7" s="32">
        <v>1.0000000000000001E-5</v>
      </c>
    </row>
    <row r="8" spans="1:39" x14ac:dyDescent="0.25">
      <c r="A8" s="12" t="s">
        <v>40</v>
      </c>
      <c r="B8" s="24">
        <f>F42</f>
        <v>789772.99953014147</v>
      </c>
      <c r="C8" s="12"/>
    </row>
    <row r="9" spans="1:39" x14ac:dyDescent="0.25">
      <c r="A9" s="12" t="s">
        <v>4</v>
      </c>
      <c r="B9" s="19">
        <f>F71</f>
        <v>783974.49553293432</v>
      </c>
      <c r="C9" s="19">
        <f>(B9 - B$8) * 0.01 / $F$12</f>
        <v>-57985.039972071536</v>
      </c>
      <c r="S9" t="s">
        <v>43</v>
      </c>
      <c r="T9" t="s">
        <v>21</v>
      </c>
      <c r="U9" t="s">
        <v>44</v>
      </c>
      <c r="V9" t="s">
        <v>45</v>
      </c>
      <c r="W9" t="s">
        <v>42</v>
      </c>
      <c r="X9" t="s">
        <v>43</v>
      </c>
      <c r="Y9" t="s">
        <v>55</v>
      </c>
      <c r="Z9" t="s">
        <v>0</v>
      </c>
      <c r="AB9" t="s">
        <v>43</v>
      </c>
      <c r="AC9" t="s">
        <v>21</v>
      </c>
      <c r="AD9" t="s">
        <v>66</v>
      </c>
      <c r="AE9" t="s">
        <v>67</v>
      </c>
      <c r="AF9" t="s">
        <v>68</v>
      </c>
      <c r="AG9" t="s">
        <v>69</v>
      </c>
      <c r="AH9" t="s">
        <v>70</v>
      </c>
      <c r="AI9" t="s">
        <v>73</v>
      </c>
      <c r="AJ9" t="s">
        <v>74</v>
      </c>
      <c r="AK9" t="s">
        <v>75</v>
      </c>
      <c r="AL9" t="s">
        <v>76</v>
      </c>
      <c r="AM9" t="s">
        <v>77</v>
      </c>
    </row>
    <row r="10" spans="1:39" x14ac:dyDescent="0.25">
      <c r="A10" s="12" t="s">
        <v>6</v>
      </c>
      <c r="B10" s="19">
        <f>F100</f>
        <v>790091.59042804188</v>
      </c>
      <c r="C10" s="19">
        <f>(B10 - B$8) * 0.01 / $F$12</f>
        <v>3185.9089790040161</v>
      </c>
      <c r="S10">
        <v>0.01</v>
      </c>
      <c r="T10" s="5">
        <v>1</v>
      </c>
      <c r="U10" s="3">
        <f t="shared" ref="U10:U34" si="0">$E$29 + $E$30 * LN(T10 / $B$5) + $E$31 * (LN(T10 / $B$5))^2</f>
        <v>0.16690163787807857</v>
      </c>
      <c r="X10">
        <v>1E-3</v>
      </c>
      <c r="Y10" s="23">
        <f>$T$10</f>
        <v>1</v>
      </c>
      <c r="Z10" s="7">
        <f>IF(AND(Y10&gt;=$F$3, Y10&lt;=$F$4), $F$2, 0)</f>
        <v>0</v>
      </c>
      <c r="AB10">
        <v>5.0000000000000001E-3</v>
      </c>
      <c r="AC10" s="29">
        <v>1.05</v>
      </c>
      <c r="AD10" s="29">
        <f>AC10-$AC$7</f>
        <v>1.04999</v>
      </c>
      <c r="AE10" s="29">
        <f>AC10+$AC$7</f>
        <v>1.0500100000000001</v>
      </c>
      <c r="AF10" s="30">
        <f>$E$29 + LN(AC10/$B$5) * $E$30 + (LN(AC10/$B$5))^2 * $E$31</f>
        <v>0.11684478058710904</v>
      </c>
      <c r="AG10" s="30">
        <f t="shared" ref="AG10:AH10" si="1">$E$29 + LN(AD10/$B$5) * $E$30 + (LN(AD10/$B$5))^2 * $E$31</f>
        <v>0.11685283356049236</v>
      </c>
      <c r="AH10" s="30">
        <f t="shared" si="1"/>
        <v>0.11683672836130474</v>
      </c>
      <c r="AI10" s="31">
        <f>$B$1 * EXP(-$B$4*$B$2) * _xlfn.NORM.DIST((LN($B$1/AC10) + ($B$3-$B$4+AF10^2/2)*$B$2)/(AF10*SQRT($B$2)), 0, 1, TRUE) - AC10*EXP(-$B$3*$B$2)*_xlfn.NORM.DIST((LN($B$1/AC10) + ($B$3-$B$4-AF10^2/2)*$B$2)/(AF10*SQRT($B$2)), 0, 1, TRUE)</f>
        <v>0.10858819559657473</v>
      </c>
      <c r="AJ10" s="31">
        <f t="shared" ref="AJ10:AK10" si="2">$B$1 * EXP(-$B$4*$B$2) * _xlfn.NORM.DIST((LN($B$1/AD10) + ($B$3-$B$4+AG10^2/2)*$B$2)/(AG10*SQRT($B$2)), 0, 1, TRUE) - AD10*EXP(-$B$3*$B$2)*_xlfn.NORM.DIST((LN($B$1/AD10) + ($B$3-$B$4-AG10^2/2)*$B$2)/(AG10*SQRT($B$2)), 0, 1, TRUE)</f>
        <v>0.10859804467952072</v>
      </c>
      <c r="AK10" s="31">
        <f t="shared" si="2"/>
        <v>0.10857834656301468</v>
      </c>
      <c r="AL10" s="5">
        <f>(AJ10+AK10-AI10*2)/$AC$7^2</f>
        <v>0.4938593978209837</v>
      </c>
      <c r="AM10" s="3">
        <f>AL10/SUM($AL$10:$AL$70)</f>
        <v>2.4938748870468714E-3</v>
      </c>
    </row>
    <row r="11" spans="1:39" x14ac:dyDescent="0.25">
      <c r="A11" s="12" t="s">
        <v>7</v>
      </c>
      <c r="B11" s="19">
        <f>F129</f>
        <v>784619.10942768096</v>
      </c>
      <c r="C11" s="19">
        <f>(B11 - B$8) * 0.01 / $F$12</f>
        <v>-51538.901024605148</v>
      </c>
      <c r="T11" s="5">
        <f t="shared" ref="T11:T34" si="3">T10+$S$10</f>
        <v>1.01</v>
      </c>
      <c r="U11" s="3">
        <f t="shared" si="0"/>
        <v>0.15526370930971153</v>
      </c>
      <c r="Y11" s="23">
        <f t="shared" ref="Y11:Y74" si="4">Y10+$X$10</f>
        <v>1.0009999999999999</v>
      </c>
      <c r="Z11" s="7">
        <f t="shared" ref="Z11:Z74" si="5">IF(AND(Y11&gt;=$F$3, Y11&lt;=$F$4), $F$2, 0)</f>
        <v>0</v>
      </c>
      <c r="AC11" s="29">
        <f>AC10+$AB$10</f>
        <v>1.0549999999999999</v>
      </c>
      <c r="AD11" s="29">
        <f t="shared" ref="AD11:AD70" si="6">AC11-$AC$7</f>
        <v>1.0549899999999999</v>
      </c>
      <c r="AE11" s="29">
        <f t="shared" ref="AE11:AE50" si="7">AC11+$AC$7</f>
        <v>1.05501</v>
      </c>
      <c r="AF11" s="30">
        <f t="shared" ref="AF11:AF50" si="8">$E$29 + LN(AC11/$B$5) * $E$30 + (LN(AC11/$B$5))^2 * $E$31</f>
        <v>0.1129115002449651</v>
      </c>
      <c r="AG11" s="30">
        <f t="shared" ref="AG11:AG50" si="9">$E$29 + LN(AD11/$B$5) * $E$30 + (LN(AD11/$B$5))^2 * $E$31</f>
        <v>0.11291918198760528</v>
      </c>
      <c r="AH11" s="30">
        <f t="shared" ref="AH11:AH50" si="10">$E$29 + LN(AE11/$B$5) * $E$30 + (LN(AE11/$B$5))^2 * $E$31</f>
        <v>0.11290381923967768</v>
      </c>
      <c r="AI11" s="31">
        <f t="shared" ref="AI11:AI50" si="11">$B$1 * EXP(-$B$4*$B$2) * _xlfn.NORM.DIST((LN($B$1/AC11) + ($B$3-$B$4+AF11^2/2)*$B$2)/(AF11*SQRT($B$2)), 0, 1, TRUE) - AC11*EXP(-$B$3*$B$2)*_xlfn.NORM.DIST((LN($B$1/AC11) + ($B$3-$B$4-AF11^2/2)*$B$2)/(AF11*SQRT($B$2)), 0, 1, TRUE)</f>
        <v>0.10367009998656451</v>
      </c>
      <c r="AJ11" s="31">
        <f t="shared" ref="AJ11:AJ50" si="12">$B$1 * EXP(-$B$4*$B$2) * _xlfn.NORM.DIST((LN($B$1/AD11) + ($B$3-$B$4+AG11^2/2)*$B$2)/(AG11*SQRT($B$2)), 0, 1, TRUE) - AD11*EXP(-$B$3*$B$2)*_xlfn.NORM.DIST((LN($B$1/AD11) + ($B$3-$B$4-AG11^2/2)*$B$2)/(AG11*SQRT($B$2)), 0, 1, TRUE)</f>
        <v>0.10367992278472038</v>
      </c>
      <c r="AK11" s="31">
        <f t="shared" ref="AK11:AK50" si="13">$B$1 * EXP(-$B$4*$B$2) * _xlfn.NORM.DIST((LN($B$1/AE11) + ($B$3-$B$4+AH11^2/2)*$B$2)/(AH11*SQRT($B$2)), 0, 1, TRUE) - AE11*EXP(-$B$3*$B$2)*_xlfn.NORM.DIST((LN($B$1/AE11) + ($B$3-$B$4-AH11^2/2)*$B$2)/(AH11*SQRT($B$2)), 0, 1, TRUE)</f>
        <v>0.10366027724444871</v>
      </c>
      <c r="AL11" s="5">
        <f t="shared" ref="AL11:AL70" si="14">(AJ11+AK11-AI11*2)/$AC$7^2</f>
        <v>0.5604006148018924</v>
      </c>
      <c r="AM11" s="3">
        <f t="shared" ref="AM11:AM70" si="15">AL11/SUM($AL$10:$AL$70)</f>
        <v>2.8298925283318467E-3</v>
      </c>
    </row>
    <row r="12" spans="1:39" x14ac:dyDescent="0.25">
      <c r="A12" s="12" t="s">
        <v>8</v>
      </c>
      <c r="B12" s="19">
        <f>O100</f>
        <v>790123.17731798696</v>
      </c>
      <c r="C12" s="19">
        <f>(B12 - B$8) * 0.01 / $F$12</f>
        <v>3501.7778784548864</v>
      </c>
      <c r="E12" t="s">
        <v>5</v>
      </c>
      <c r="F12" s="2">
        <v>1E-3</v>
      </c>
      <c r="T12" s="5">
        <f t="shared" si="3"/>
        <v>1.02</v>
      </c>
      <c r="U12" s="3">
        <f t="shared" si="0"/>
        <v>0.14446197909298242</v>
      </c>
      <c r="Y12" s="23">
        <f t="shared" si="4"/>
        <v>1.0019999999999998</v>
      </c>
      <c r="Z12" s="7">
        <f t="shared" si="5"/>
        <v>0</v>
      </c>
      <c r="AC12" s="29">
        <f t="shared" ref="AC12:AC70" si="16">AC11+$AB$10</f>
        <v>1.0599999999999998</v>
      </c>
      <c r="AD12" s="29">
        <f t="shared" si="6"/>
        <v>1.0599899999999998</v>
      </c>
      <c r="AE12" s="29">
        <f t="shared" si="7"/>
        <v>1.0600099999999999</v>
      </c>
      <c r="AF12" s="30">
        <f t="shared" si="8"/>
        <v>0.10916256172609898</v>
      </c>
      <c r="AG12" s="30">
        <f t="shared" si="9"/>
        <v>0.10916987730754898</v>
      </c>
      <c r="AH12" s="30">
        <f t="shared" si="10"/>
        <v>0.10915524687194955</v>
      </c>
      <c r="AI12" s="31">
        <f t="shared" si="11"/>
        <v>9.8766052257546311E-2</v>
      </c>
      <c r="AJ12" s="31">
        <f t="shared" si="12"/>
        <v>9.8775845004851481E-2</v>
      </c>
      <c r="AK12" s="31">
        <f t="shared" si="13"/>
        <v>9.8756259574756755E-2</v>
      </c>
      <c r="AL12" s="5">
        <f t="shared" si="14"/>
        <v>0.64515615072480148</v>
      </c>
      <c r="AM12" s="3">
        <f t="shared" si="15"/>
        <v>3.2578882362376826E-3</v>
      </c>
    </row>
    <row r="13" spans="1:39" x14ac:dyDescent="0.25">
      <c r="A13" s="12" t="s">
        <v>9</v>
      </c>
      <c r="B13" s="19">
        <f>O129</f>
        <v>793286.9863444512</v>
      </c>
      <c r="C13" s="19">
        <f>(B13 - B$8) * 0.01 / $F$12</f>
        <v>35139.868143097265</v>
      </c>
      <c r="E13" t="s">
        <v>50</v>
      </c>
      <c r="F13">
        <v>1E-4</v>
      </c>
      <c r="T13" s="5">
        <f t="shared" si="3"/>
        <v>1.03</v>
      </c>
      <c r="U13" s="3">
        <f t="shared" si="0"/>
        <v>0.13447312555479016</v>
      </c>
      <c r="Y13" s="23">
        <f t="shared" si="4"/>
        <v>1.0029999999999997</v>
      </c>
      <c r="Z13" s="7">
        <f t="shared" si="5"/>
        <v>0</v>
      </c>
      <c r="AC13" s="29">
        <f t="shared" si="16"/>
        <v>1.0649999999999997</v>
      </c>
      <c r="AD13" s="29">
        <f t="shared" si="6"/>
        <v>1.0649899999999997</v>
      </c>
      <c r="AE13" s="29">
        <f t="shared" si="7"/>
        <v>1.0650099999999998</v>
      </c>
      <c r="AF13" s="30">
        <f t="shared" si="8"/>
        <v>0.10559545189492538</v>
      </c>
      <c r="AG13" s="30">
        <f t="shared" si="9"/>
        <v>0.10560240629865306</v>
      </c>
      <c r="AH13" s="30">
        <f t="shared" si="10"/>
        <v>0.10558849820861636</v>
      </c>
      <c r="AI13" s="31">
        <f t="shared" si="11"/>
        <v>9.3878179863807198E-2</v>
      </c>
      <c r="AJ13" s="31">
        <f t="shared" si="12"/>
        <v>9.38879377842462E-2</v>
      </c>
      <c r="AK13" s="31">
        <f t="shared" si="13"/>
        <v>9.386842201859269E-2</v>
      </c>
      <c r="AL13" s="5">
        <f t="shared" si="14"/>
        <v>0.7522449330110702</v>
      </c>
      <c r="AM13" s="3">
        <f t="shared" si="15"/>
        <v>3.7986616345095582E-3</v>
      </c>
    </row>
    <row r="14" spans="1:39" x14ac:dyDescent="0.25">
      <c r="T14" s="5">
        <f t="shared" si="3"/>
        <v>1.04</v>
      </c>
      <c r="U14" s="3">
        <f t="shared" si="0"/>
        <v>0.1252746377517584</v>
      </c>
      <c r="Y14" s="23">
        <f t="shared" si="4"/>
        <v>1.0039999999999996</v>
      </c>
      <c r="Z14" s="7">
        <f t="shared" si="5"/>
        <v>0</v>
      </c>
      <c r="AC14" s="29">
        <f t="shared" si="16"/>
        <v>1.0699999999999996</v>
      </c>
      <c r="AD14" s="29">
        <f t="shared" si="6"/>
        <v>1.0699899999999996</v>
      </c>
      <c r="AE14" s="29">
        <f t="shared" si="7"/>
        <v>1.0700099999999997</v>
      </c>
      <c r="AF14" s="30">
        <f t="shared" si="8"/>
        <v>0.10220770020190074</v>
      </c>
      <c r="AG14" s="30">
        <f t="shared" si="9"/>
        <v>0.10221429832710345</v>
      </c>
      <c r="AH14" s="30">
        <f t="shared" si="10"/>
        <v>0.10220110278440156</v>
      </c>
      <c r="AI14" s="31">
        <f t="shared" si="11"/>
        <v>8.9009170401493476E-2</v>
      </c>
      <c r="AJ14" s="31">
        <f t="shared" si="12"/>
        <v>8.9018887481422726E-2</v>
      </c>
      <c r="AK14" s="31">
        <f t="shared" si="13"/>
        <v>8.8999453410231077E-2</v>
      </c>
      <c r="AL14" s="5">
        <f t="shared" si="14"/>
        <v>0.88666851638663491</v>
      </c>
      <c r="AM14" s="3">
        <f t="shared" si="15"/>
        <v>4.4774694091237605E-3</v>
      </c>
    </row>
    <row r="15" spans="1:39" x14ac:dyDescent="0.25">
      <c r="A15" s="8" t="s">
        <v>57</v>
      </c>
      <c r="B15" s="8"/>
      <c r="C15" s="8"/>
      <c r="D15" s="8"/>
      <c r="E15" s="8"/>
      <c r="F15" s="8"/>
      <c r="G15" s="8"/>
      <c r="H15" s="8"/>
      <c r="T15" s="5">
        <f t="shared" si="3"/>
        <v>1.05</v>
      </c>
      <c r="U15" s="3">
        <f t="shared" si="0"/>
        <v>0.11684478058710904</v>
      </c>
      <c r="Y15" s="23">
        <f t="shared" si="4"/>
        <v>1.0049999999999994</v>
      </c>
      <c r="Z15" s="7">
        <f t="shared" si="5"/>
        <v>0</v>
      </c>
      <c r="AC15" s="29">
        <f t="shared" si="16"/>
        <v>1.0749999999999995</v>
      </c>
      <c r="AD15" s="29">
        <f t="shared" si="6"/>
        <v>1.0749899999999994</v>
      </c>
      <c r="AE15" s="29">
        <f t="shared" si="7"/>
        <v>1.0750099999999996</v>
      </c>
      <c r="AF15" s="30">
        <f t="shared" si="8"/>
        <v>9.8996877787895399E-2</v>
      </c>
      <c r="AG15" s="30">
        <f t="shared" si="9"/>
        <v>9.9003124451268298E-2</v>
      </c>
      <c r="AH15" s="30">
        <f t="shared" si="10"/>
        <v>9.8990631822674133E-2</v>
      </c>
      <c r="AI15" s="31">
        <f t="shared" si="11"/>
        <v>8.4162397166306913E-2</v>
      </c>
      <c r="AJ15" s="31">
        <f t="shared" si="12"/>
        <v>8.4172065879051683E-2</v>
      </c>
      <c r="AK15" s="31">
        <f t="shared" si="13"/>
        <v>8.4152728559008905E-2</v>
      </c>
      <c r="AL15" s="5">
        <f t="shared" si="14"/>
        <v>1.054467624328481</v>
      </c>
      <c r="AM15" s="3">
        <f t="shared" si="15"/>
        <v>5.3248158061173561E-3</v>
      </c>
    </row>
    <row r="16" spans="1:39" x14ac:dyDescent="0.25">
      <c r="T16" s="5">
        <f t="shared" si="3"/>
        <v>1.06</v>
      </c>
      <c r="U16" s="3">
        <f t="shared" si="0"/>
        <v>0.10916256172609889</v>
      </c>
      <c r="Y16" s="23">
        <f t="shared" si="4"/>
        <v>1.0059999999999993</v>
      </c>
      <c r="Z16" s="7">
        <f t="shared" si="5"/>
        <v>0</v>
      </c>
      <c r="AC16" s="29">
        <f t="shared" si="16"/>
        <v>1.0799999999999994</v>
      </c>
      <c r="AD16" s="29">
        <f t="shared" si="6"/>
        <v>1.0799899999999993</v>
      </c>
      <c r="AE16" s="29">
        <f t="shared" si="7"/>
        <v>1.0800099999999995</v>
      </c>
      <c r="AF16" s="30">
        <f t="shared" si="8"/>
        <v>9.5960596611223803E-2</v>
      </c>
      <c r="AG16" s="30">
        <f t="shared" si="9"/>
        <v>9.5966496548683666E-2</v>
      </c>
      <c r="AH16" s="30">
        <f t="shared" si="10"/>
        <v>9.5954697362523572E-2</v>
      </c>
      <c r="AI16" s="31">
        <f t="shared" si="11"/>
        <v>7.9342069852179731E-2</v>
      </c>
      <c r="AJ16" s="31">
        <f t="shared" si="12"/>
        <v>7.9351680830139881E-2</v>
      </c>
      <c r="AK16" s="31">
        <f t="shared" si="13"/>
        <v>7.9332459000492794E-2</v>
      </c>
      <c r="AL16" s="5">
        <f t="shared" si="14"/>
        <v>1.2627321410718648</v>
      </c>
      <c r="AM16" s="3">
        <f t="shared" si="15"/>
        <v>6.3765030888964661E-3</v>
      </c>
    </row>
    <row r="17" spans="1:39" x14ac:dyDescent="0.25">
      <c r="A17" s="33" t="s">
        <v>34</v>
      </c>
      <c r="B17" s="33"/>
      <c r="C17" s="33" t="s">
        <v>35</v>
      </c>
      <c r="D17" s="33"/>
      <c r="E17" s="33" t="s">
        <v>36</v>
      </c>
      <c r="F17" s="33"/>
      <c r="G17" s="33"/>
      <c r="T17" s="5">
        <f t="shared" si="3"/>
        <v>1.07</v>
      </c>
      <c r="U17" s="3">
        <f t="shared" si="0"/>
        <v>0.10220770020190049</v>
      </c>
      <c r="Y17" s="23">
        <f t="shared" si="4"/>
        <v>1.0069999999999992</v>
      </c>
      <c r="Z17" s="7">
        <f t="shared" si="5"/>
        <v>0</v>
      </c>
      <c r="AC17" s="29">
        <f t="shared" si="16"/>
        <v>1.0849999999999993</v>
      </c>
      <c r="AD17" s="29">
        <f t="shared" si="6"/>
        <v>1.0849899999999992</v>
      </c>
      <c r="AE17" s="29">
        <f t="shared" si="7"/>
        <v>1.0850099999999994</v>
      </c>
      <c r="AF17" s="30">
        <f t="shared" si="8"/>
        <v>9.3096508596664615E-2</v>
      </c>
      <c r="AG17" s="30">
        <f t="shared" si="9"/>
        <v>9.3102066465030275E-2</v>
      </c>
      <c r="AH17" s="30">
        <f t="shared" si="10"/>
        <v>9.3090951407823072E-2</v>
      </c>
      <c r="AI17" s="31">
        <f t="shared" si="11"/>
        <v>7.4553412109876427E-2</v>
      </c>
      <c r="AJ17" s="31">
        <f t="shared" si="12"/>
        <v>7.4562953762360218E-2</v>
      </c>
      <c r="AK17" s="31">
        <f t="shared" si="13"/>
        <v>7.4543870609356522E-2</v>
      </c>
      <c r="AL17" s="5">
        <f t="shared" si="14"/>
        <v>1.5196388591931507</v>
      </c>
      <c r="AM17" s="3">
        <f t="shared" si="15"/>
        <v>7.6738221547341988E-3</v>
      </c>
    </row>
    <row r="18" spans="1:39" x14ac:dyDescent="0.25">
      <c r="A18" s="12" t="s">
        <v>10</v>
      </c>
      <c r="B18" s="12" t="s">
        <v>11</v>
      </c>
      <c r="C18" s="12" t="s">
        <v>21</v>
      </c>
      <c r="D18" s="12" t="s">
        <v>11</v>
      </c>
      <c r="E18" s="12" t="s">
        <v>12</v>
      </c>
      <c r="F18" s="12" t="s">
        <v>13</v>
      </c>
      <c r="G18" s="12" t="s">
        <v>14</v>
      </c>
      <c r="T18" s="5">
        <f t="shared" si="3"/>
        <v>1.08</v>
      </c>
      <c r="U18" s="3">
        <f t="shared" si="0"/>
        <v>9.5960596611223428E-2</v>
      </c>
      <c r="Y18" s="23">
        <f t="shared" si="4"/>
        <v>1.0079999999999991</v>
      </c>
      <c r="Z18" s="7">
        <f t="shared" si="5"/>
        <v>0</v>
      </c>
      <c r="AC18" s="29">
        <f t="shared" si="16"/>
        <v>1.0899999999999992</v>
      </c>
      <c r="AD18" s="29">
        <f t="shared" si="6"/>
        <v>1.0899899999999991</v>
      </c>
      <c r="AE18" s="29">
        <f t="shared" si="7"/>
        <v>1.0900099999999993</v>
      </c>
      <c r="AF18" s="30">
        <f t="shared" si="8"/>
        <v>9.0402304805819303E-2</v>
      </c>
      <c r="AG18" s="30">
        <f t="shared" si="9"/>
        <v>9.0407525184450055E-2</v>
      </c>
      <c r="AH18" s="30">
        <f t="shared" si="10"/>
        <v>9.0397085097630558E-2</v>
      </c>
      <c r="AI18" s="31">
        <f t="shared" si="11"/>
        <v>6.9802865619030707E-2</v>
      </c>
      <c r="AJ18" s="31">
        <f t="shared" si="12"/>
        <v>6.9812323699457335E-2</v>
      </c>
      <c r="AK18" s="31">
        <f t="shared" si="13"/>
        <v>6.9793407722033352E-2</v>
      </c>
      <c r="AL18" s="5">
        <f t="shared" si="14"/>
        <v>1.8342927177172894</v>
      </c>
      <c r="AM18" s="3">
        <f t="shared" si="15"/>
        <v>9.2627508242058149E-3</v>
      </c>
    </row>
    <row r="19" spans="1:39" x14ac:dyDescent="0.25">
      <c r="A19" s="12" t="s">
        <v>4</v>
      </c>
      <c r="B19" s="20">
        <v>6.9000000000000006E-2</v>
      </c>
      <c r="C19" s="12" t="s">
        <v>17</v>
      </c>
      <c r="D19" s="13">
        <f>B19 + B23 - B21/2</f>
        <v>8.7499999999999994E-2</v>
      </c>
      <c r="E19" s="14">
        <v>0.9</v>
      </c>
      <c r="F19" s="15">
        <f>$B$1 / EXP(_xlfn.NORM.INV(E19 * EXP($B$4*$B$2), 0, 1) * D19 * SQRT($B$2) - ($B$3 - $B$4 + D19^2/2)*$B$2)</f>
        <v>1.0949090068168106</v>
      </c>
      <c r="G19" s="16">
        <f t="shared" ref="G19:G21" si="17">EXP(-$B$4*$B$2)*_xlfn.NORM.DIST(1/(D19*SQRT($B$2)) * (LN($B$1 / F19) + ($B$3 - $B$4 + D19^2/2)*$B$2), 0, 1, 1)</f>
        <v>0.90000000000000024</v>
      </c>
      <c r="T19" s="5">
        <f t="shared" si="3"/>
        <v>1.0900000000000001</v>
      </c>
      <c r="U19" s="3">
        <f t="shared" si="0"/>
        <v>9.04023048058189E-2</v>
      </c>
      <c r="Y19" s="23">
        <f t="shared" si="4"/>
        <v>1.008999999999999</v>
      </c>
      <c r="Z19" s="7">
        <f t="shared" si="5"/>
        <v>0</v>
      </c>
      <c r="AC19" s="29">
        <f t="shared" si="16"/>
        <v>1.0949999999999991</v>
      </c>
      <c r="AD19" s="29">
        <f t="shared" si="6"/>
        <v>1.094989999999999</v>
      </c>
      <c r="AE19" s="29">
        <f t="shared" si="7"/>
        <v>1.0950099999999992</v>
      </c>
      <c r="AF19" s="30">
        <f t="shared" si="8"/>
        <v>8.7875714628185456E-2</v>
      </c>
      <c r="AG19" s="30">
        <f t="shared" si="9"/>
        <v>8.788060202057868E-2</v>
      </c>
      <c r="AH19" s="30">
        <f t="shared" si="10"/>
        <v>8.7870827897302134E-2</v>
      </c>
      <c r="AI19" s="31">
        <f t="shared" si="11"/>
        <v>6.5098316813156698E-2</v>
      </c>
      <c r="AJ19" s="31">
        <f t="shared" si="12"/>
        <v>6.5107673948037403E-2</v>
      </c>
      <c r="AK19" s="31">
        <f t="shared" si="13"/>
        <v>6.5088959899909926E-2</v>
      </c>
      <c r="AL19" s="5">
        <f t="shared" si="14"/>
        <v>2.2163393342822242</v>
      </c>
      <c r="AM19" s="3">
        <f t="shared" si="15"/>
        <v>1.1191997218901097E-2</v>
      </c>
    </row>
    <row r="20" spans="1:39" x14ac:dyDescent="0.25">
      <c r="A20" s="12" t="s">
        <v>6</v>
      </c>
      <c r="B20" s="20">
        <v>-8.0000000000000002E-3</v>
      </c>
      <c r="C20" s="12" t="s">
        <v>18</v>
      </c>
      <c r="D20" s="13">
        <f>B19+B22 - B20/2</f>
        <v>7.6000000000000012E-2</v>
      </c>
      <c r="E20" s="14">
        <v>0.75</v>
      </c>
      <c r="F20" s="15">
        <f>$B$1 / EXP(_xlfn.NORM.INV(E20 * EXP($B$4*$B$2), 0, 1) * D20 * SQRT($B$2) - ($B$3 - $B$4 + D20^2/2)*$B$2)</f>
        <v>1.1293039487620771</v>
      </c>
      <c r="G20" s="16">
        <f t="shared" si="17"/>
        <v>0.75000000000000044</v>
      </c>
      <c r="T20" s="5">
        <f t="shared" si="3"/>
        <v>1.1000000000000001</v>
      </c>
      <c r="U20" s="3">
        <f t="shared" si="0"/>
        <v>8.5514504992336121E-2</v>
      </c>
      <c r="Y20" s="23">
        <f t="shared" si="4"/>
        <v>1.0099999999999989</v>
      </c>
      <c r="Z20" s="7">
        <f t="shared" si="5"/>
        <v>0</v>
      </c>
      <c r="AC20" s="29">
        <f t="shared" si="16"/>
        <v>1.099999999999999</v>
      </c>
      <c r="AD20" s="29">
        <f t="shared" si="6"/>
        <v>1.0999899999999989</v>
      </c>
      <c r="AE20" s="29">
        <f t="shared" si="7"/>
        <v>1.100009999999999</v>
      </c>
      <c r="AF20" s="30">
        <f t="shared" si="8"/>
        <v>8.5514504992336648E-2</v>
      </c>
      <c r="AG20" s="30">
        <f t="shared" si="9"/>
        <v>8.5519063827685676E-2</v>
      </c>
      <c r="AH20" s="30">
        <f t="shared" si="10"/>
        <v>8.550994680971255E-2</v>
      </c>
      <c r="AI20" s="31">
        <f t="shared" si="11"/>
        <v>6.0449337004196191E-2</v>
      </c>
      <c r="AJ20" s="31">
        <f t="shared" si="12"/>
        <v>6.0458572209214245E-2</v>
      </c>
      <c r="AK20" s="31">
        <f t="shared" si="13"/>
        <v>6.044010206671302E-2</v>
      </c>
      <c r="AL20" s="5">
        <f t="shared" si="14"/>
        <v>2.6753488313602243</v>
      </c>
      <c r="AM20" s="3">
        <f t="shared" si="15"/>
        <v>1.3509888227413967E-2</v>
      </c>
    </row>
    <row r="21" spans="1:39" x14ac:dyDescent="0.25">
      <c r="A21" s="12" t="s">
        <v>8</v>
      </c>
      <c r="B21" s="20">
        <v>-1.4999999999999999E-2</v>
      </c>
      <c r="C21" s="12" t="s">
        <v>4</v>
      </c>
      <c r="D21" s="13">
        <f>B19</f>
        <v>6.9000000000000006E-2</v>
      </c>
      <c r="E21" s="14">
        <v>0.5</v>
      </c>
      <c r="F21" s="15">
        <f>$B$1 / EXP(_xlfn.NORM.INV(E21 * EXP($B$4*$B$2), 0, 1) * D21 * SQRT($B$2) - ($B$3 - $B$4 + D21^2/2)*$B$2)</f>
        <v>1.1587614138335498</v>
      </c>
      <c r="G21" s="16">
        <f t="shared" si="17"/>
        <v>0.50000000000000022</v>
      </c>
      <c r="T21" s="5">
        <f t="shared" si="3"/>
        <v>1.1100000000000001</v>
      </c>
      <c r="U21" s="3">
        <f t="shared" si="0"/>
        <v>8.1279478158845161E-2</v>
      </c>
      <c r="Y21" s="23">
        <f t="shared" si="4"/>
        <v>1.0109999999999988</v>
      </c>
      <c r="Z21" s="7">
        <f t="shared" si="5"/>
        <v>0</v>
      </c>
      <c r="AC21" s="29">
        <f t="shared" si="16"/>
        <v>1.1049999999999989</v>
      </c>
      <c r="AD21" s="29">
        <f t="shared" si="6"/>
        <v>1.1049899999999988</v>
      </c>
      <c r="AE21" s="29">
        <f t="shared" si="7"/>
        <v>1.1050099999999989</v>
      </c>
      <c r="AF21" s="30">
        <f t="shared" si="8"/>
        <v>8.3316479596625886E-2</v>
      </c>
      <c r="AG21" s="30">
        <f t="shared" si="9"/>
        <v>8.332071423133966E-2</v>
      </c>
      <c r="AH21" s="30">
        <f t="shared" si="10"/>
        <v>8.3312245605996163E-2</v>
      </c>
      <c r="AI21" s="31">
        <f t="shared" si="11"/>
        <v>5.58674190748496E-2</v>
      </c>
      <c r="AJ21" s="31">
        <f t="shared" si="12"/>
        <v>5.5876507300746669E-2</v>
      </c>
      <c r="AK21" s="31">
        <f t="shared" si="13"/>
        <v>5.5858331170923758E-2</v>
      </c>
      <c r="AL21" s="5">
        <f t="shared" si="14"/>
        <v>3.2197122745714064</v>
      </c>
      <c r="AM21" s="3">
        <f t="shared" si="15"/>
        <v>1.625879677596169E-2</v>
      </c>
    </row>
    <row r="22" spans="1:39" x14ac:dyDescent="0.25">
      <c r="A22" s="12" t="s">
        <v>7</v>
      </c>
      <c r="B22" s="20">
        <v>3.0000000000000001E-3</v>
      </c>
      <c r="C22" s="12" t="s">
        <v>19</v>
      </c>
      <c r="D22" s="13">
        <f>B19 + B22 + B20/2</f>
        <v>6.8000000000000005E-2</v>
      </c>
      <c r="E22" s="14">
        <v>0.25</v>
      </c>
      <c r="F22" s="15">
        <f>$B$1 / EXP(_xlfn.NORM.INV(E22 * EXP($B$4*$B$2), 0, 1) * D22 * SQRT($B$2) - ($B$3 - $B$4 + D22^2/2)*$B$2)</f>
        <v>1.1857247812154261</v>
      </c>
      <c r="G22" s="16">
        <f>EXP(-$B$4*$B$2)*_xlfn.NORM.DIST(1/(D22*SQRT($B$2)) * (LN($B$1 / F22) + ($B$3 - $B$4 + D22^2/2)*$B$2), 0, 1, 1)</f>
        <v>0.25000000000000094</v>
      </c>
      <c r="T22" s="5">
        <f t="shared" si="3"/>
        <v>1.1200000000000001</v>
      </c>
      <c r="U22" s="3">
        <f t="shared" si="0"/>
        <v>7.7680081751746344E-2</v>
      </c>
      <c r="Y22" s="23">
        <f t="shared" si="4"/>
        <v>1.0119999999999987</v>
      </c>
      <c r="Z22" s="7">
        <f t="shared" si="5"/>
        <v>0</v>
      </c>
      <c r="AC22" s="29">
        <f t="shared" si="16"/>
        <v>1.1099999999999988</v>
      </c>
      <c r="AD22" s="29">
        <f t="shared" si="6"/>
        <v>1.1099899999999987</v>
      </c>
      <c r="AE22" s="29">
        <f t="shared" si="7"/>
        <v>1.1100099999999988</v>
      </c>
      <c r="AF22" s="30">
        <f t="shared" si="8"/>
        <v>8.1279478158845717E-2</v>
      </c>
      <c r="AG22" s="30">
        <f t="shared" si="9"/>
        <v>8.1283392878030741E-2</v>
      </c>
      <c r="AH22" s="30">
        <f t="shared" si="10"/>
        <v>8.1275564075245027E-2</v>
      </c>
      <c r="AI22" s="31">
        <f t="shared" si="11"/>
        <v>5.1366184184738484E-2</v>
      </c>
      <c r="AJ22" s="31">
        <f t="shared" si="12"/>
        <v>5.1375095956986305E-2</v>
      </c>
      <c r="AK22" s="31">
        <f t="shared" si="13"/>
        <v>5.1357272798005837E-2</v>
      </c>
      <c r="AL22" s="5">
        <f t="shared" si="14"/>
        <v>3.8551517533846886</v>
      </c>
      <c r="AM22" s="3">
        <f t="shared" si="15"/>
        <v>1.9467618083084063E-2</v>
      </c>
    </row>
    <row r="23" spans="1:39" x14ac:dyDescent="0.25">
      <c r="A23" s="12" t="s">
        <v>9</v>
      </c>
      <c r="B23" s="20">
        <v>1.0999999999999999E-2</v>
      </c>
      <c r="C23" s="12" t="s">
        <v>20</v>
      </c>
      <c r="D23" s="13">
        <f>B19 + B23 + B21/2</f>
        <v>7.2500000000000009E-2</v>
      </c>
      <c r="E23" s="14">
        <v>0.1</v>
      </c>
      <c r="F23" s="15">
        <f>$B$1 / EXP(_xlfn.NORM.INV(E23 * EXP($B$4*$B$2), 0, 1) * D23 * SQRT($B$2) - ($B$3 - $B$4 + D23^2/2)*$B$2)</f>
        <v>1.2140828375149078</v>
      </c>
      <c r="G23" s="16">
        <f>EXP(-$B$4*$B$2)*_xlfn.NORM.DIST(1/(D23*SQRT($B$2)) * (LN($B$1 / F23) + ($B$3 - $B$4 + D23^2/2)*$B$2), 0, 1, 1)</f>
        <v>9.9999999999999215E-2</v>
      </c>
      <c r="S23" s="9"/>
      <c r="T23" s="5">
        <f t="shared" si="3"/>
        <v>1.1300000000000001</v>
      </c>
      <c r="U23" s="3">
        <f t="shared" si="0"/>
        <v>7.4699726531794922E-2</v>
      </c>
      <c r="V23" s="9"/>
      <c r="W23" s="9"/>
      <c r="Y23" s="23">
        <f t="shared" si="4"/>
        <v>1.0129999999999986</v>
      </c>
      <c r="Z23" s="7">
        <f t="shared" si="5"/>
        <v>0</v>
      </c>
      <c r="AC23" s="29">
        <f t="shared" si="16"/>
        <v>1.1149999999999987</v>
      </c>
      <c r="AD23" s="29">
        <f t="shared" si="6"/>
        <v>1.1149899999999986</v>
      </c>
      <c r="AE23" s="29">
        <f t="shared" si="7"/>
        <v>1.1150099999999987</v>
      </c>
      <c r="AF23" s="30">
        <f t="shared" si="8"/>
        <v>7.9401375684298225E-2</v>
      </c>
      <c r="AG23" s="30">
        <f t="shared" si="9"/>
        <v>7.9404974703204484E-2</v>
      </c>
      <c r="AH23" s="30">
        <f t="shared" si="10"/>
        <v>7.9397777292614852E-2</v>
      </c>
      <c r="AI23" s="31">
        <f t="shared" si="11"/>
        <v>4.696152077333593E-2</v>
      </c>
      <c r="AJ23" s="31">
        <f t="shared" si="12"/>
        <v>4.6970222012392981E-2</v>
      </c>
      <c r="AK23" s="31">
        <f t="shared" si="13"/>
        <v>4.6952819992554962E-2</v>
      </c>
      <c r="AL23" s="5">
        <f t="shared" si="14"/>
        <v>4.5827608374793263</v>
      </c>
      <c r="AM23" s="3">
        <f t="shared" si="15"/>
        <v>2.3141874420853591E-2</v>
      </c>
    </row>
    <row r="24" spans="1:39" x14ac:dyDescent="0.25">
      <c r="B24" s="3"/>
      <c r="D24" s="3"/>
      <c r="E24" s="10"/>
      <c r="F24" s="6"/>
      <c r="G24" s="3"/>
      <c r="H24" s="3"/>
      <c r="T24" s="5">
        <f t="shared" si="3"/>
        <v>1.1400000000000001</v>
      </c>
      <c r="U24" s="3">
        <f t="shared" si="0"/>
        <v>7.2322354542605466E-2</v>
      </c>
      <c r="Y24" s="23">
        <f t="shared" si="4"/>
        <v>1.0139999999999985</v>
      </c>
      <c r="Z24" s="7">
        <f t="shared" si="5"/>
        <v>0</v>
      </c>
      <c r="AC24" s="29">
        <f t="shared" si="16"/>
        <v>1.1199999999999986</v>
      </c>
      <c r="AD24" s="29">
        <f t="shared" si="6"/>
        <v>1.1199899999999985</v>
      </c>
      <c r="AE24" s="29">
        <f t="shared" si="7"/>
        <v>1.1200099999999986</v>
      </c>
      <c r="AF24" s="30">
        <f t="shared" si="8"/>
        <v>7.7680081751746843E-2</v>
      </c>
      <c r="AG24" s="30">
        <f t="shared" si="9"/>
        <v>7.7683369217178402E-2</v>
      </c>
      <c r="AH24" s="30">
        <f t="shared" si="10"/>
        <v>7.7676794905312235E-2</v>
      </c>
      <c r="AI24" s="31">
        <f t="shared" si="11"/>
        <v>4.2671607253569332E-2</v>
      </c>
      <c r="AJ24" s="31">
        <f t="shared" si="12"/>
        <v>4.2680059382265823E-2</v>
      </c>
      <c r="AK24" s="31">
        <f t="shared" si="13"/>
        <v>4.2663155664546593E-2</v>
      </c>
      <c r="AL24" s="5">
        <f t="shared" si="14"/>
        <v>5.3967375013286292</v>
      </c>
      <c r="AM24" s="3">
        <f t="shared" si="15"/>
        <v>2.7252266912264268E-2</v>
      </c>
    </row>
    <row r="25" spans="1:39" x14ac:dyDescent="0.25">
      <c r="A25" t="s">
        <v>71</v>
      </c>
      <c r="B25" s="3"/>
      <c r="D25" s="3"/>
      <c r="E25" s="10"/>
      <c r="F25" s="6"/>
      <c r="G25" s="27"/>
      <c r="H25" s="3"/>
      <c r="T25" s="5">
        <f t="shared" si="3"/>
        <v>1.1500000000000001</v>
      </c>
      <c r="U25" s="3">
        <f t="shared" si="0"/>
        <v>7.0532418129298391E-2</v>
      </c>
      <c r="Y25" s="23">
        <f t="shared" si="4"/>
        <v>1.0149999999999983</v>
      </c>
      <c r="Z25" s="7">
        <f t="shared" si="5"/>
        <v>0</v>
      </c>
      <c r="AC25" s="29">
        <f t="shared" si="16"/>
        <v>1.1249999999999984</v>
      </c>
      <c r="AD25" s="29">
        <f t="shared" si="6"/>
        <v>1.1249899999999984</v>
      </c>
      <c r="AE25" s="29">
        <f t="shared" si="7"/>
        <v>1.1250099999999985</v>
      </c>
      <c r="AF25" s="30">
        <f t="shared" si="8"/>
        <v>7.6113539816737463E-2</v>
      </c>
      <c r="AG25" s="30">
        <f t="shared" si="9"/>
        <v>7.6116519808428776E-2</v>
      </c>
      <c r="AH25" s="30">
        <f t="shared" si="10"/>
        <v>7.6110560435949895E-2</v>
      </c>
      <c r="AI25" s="31">
        <f t="shared" si="11"/>
        <v>3.8516762151635797E-2</v>
      </c>
      <c r="AJ25" s="31">
        <f t="shared" si="12"/>
        <v>3.8524922605656098E-2</v>
      </c>
      <c r="AK25" s="31">
        <f t="shared" si="13"/>
        <v>3.850860232582487E-2</v>
      </c>
      <c r="AL25" s="5">
        <f t="shared" si="14"/>
        <v>6.2820937341001573</v>
      </c>
      <c r="AM25" s="3">
        <f t="shared" si="15"/>
        <v>3.1723109594901024E-2</v>
      </c>
    </row>
    <row r="26" spans="1:39" x14ac:dyDescent="0.25">
      <c r="A26" t="s">
        <v>72</v>
      </c>
      <c r="B26" s="3"/>
      <c r="D26" s="3"/>
      <c r="E26" s="10"/>
      <c r="F26" s="6"/>
      <c r="G26" s="27"/>
      <c r="H26" s="3"/>
      <c r="T26" s="5">
        <f t="shared" si="3"/>
        <v>1.1600000000000001</v>
      </c>
      <c r="U26" s="3">
        <f t="shared" si="0"/>
        <v>6.9314859948939017E-2</v>
      </c>
      <c r="Y26" s="23">
        <f t="shared" si="4"/>
        <v>1.0159999999999982</v>
      </c>
      <c r="Z26" s="7">
        <f t="shared" si="5"/>
        <v>0</v>
      </c>
      <c r="AC26" s="29">
        <f t="shared" si="16"/>
        <v>1.1299999999999983</v>
      </c>
      <c r="AD26" s="29">
        <f t="shared" si="6"/>
        <v>1.1299899999999983</v>
      </c>
      <c r="AE26" s="29">
        <f t="shared" si="7"/>
        <v>1.1300099999999984</v>
      </c>
      <c r="AF26" s="30">
        <f t="shared" si="8"/>
        <v>7.4699726531795407E-2</v>
      </c>
      <c r="AG26" s="30">
        <f t="shared" si="9"/>
        <v>7.4702403063754474E-2</v>
      </c>
      <c r="AH26" s="30">
        <f t="shared" si="10"/>
        <v>7.4697050602777038E-2</v>
      </c>
      <c r="AI26" s="31">
        <f t="shared" si="11"/>
        <v>3.4519065216681244E-2</v>
      </c>
      <c r="AJ26" s="31">
        <f t="shared" si="12"/>
        <v>3.4526888464055383E-2</v>
      </c>
      <c r="AK26" s="31">
        <f t="shared" si="13"/>
        <v>3.4511242690586141E-2</v>
      </c>
      <c r="AL26" s="5">
        <f t="shared" si="14"/>
        <v>7.2127903649743521</v>
      </c>
      <c r="AM26" s="3">
        <f t="shared" si="15"/>
        <v>3.6422910723394736E-2</v>
      </c>
    </row>
    <row r="27" spans="1:39" x14ac:dyDescent="0.25">
      <c r="B27" s="3"/>
      <c r="D27" s="3"/>
      <c r="E27" s="10"/>
      <c r="F27" s="6"/>
      <c r="G27" s="3"/>
      <c r="H27" s="3"/>
      <c r="T27" s="5">
        <f t="shared" si="3"/>
        <v>1.1700000000000002</v>
      </c>
      <c r="U27" s="3">
        <f t="shared" si="0"/>
        <v>6.8655093918120372E-2</v>
      </c>
      <c r="Y27" s="23">
        <f t="shared" si="4"/>
        <v>1.0169999999999981</v>
      </c>
      <c r="Z27" s="7">
        <f t="shared" si="5"/>
        <v>0</v>
      </c>
      <c r="AC27" s="29">
        <f t="shared" si="16"/>
        <v>1.1349999999999982</v>
      </c>
      <c r="AD27" s="29">
        <f t="shared" si="6"/>
        <v>1.1349899999999982</v>
      </c>
      <c r="AE27" s="29">
        <f t="shared" si="7"/>
        <v>1.1350099999999983</v>
      </c>
      <c r="AF27" s="30">
        <f t="shared" si="8"/>
        <v>7.3436651083018736E-2</v>
      </c>
      <c r="AG27" s="30">
        <f t="shared" si="9"/>
        <v>7.343902810483785E-2</v>
      </c>
      <c r="AH27" s="30">
        <f t="shared" si="10"/>
        <v>7.3434274656304838E-2</v>
      </c>
      <c r="AI27" s="31">
        <f t="shared" si="11"/>
        <v>3.0701704841953226E-2</v>
      </c>
      <c r="AJ27" s="31">
        <f t="shared" si="12"/>
        <v>3.0709143979019027E-2</v>
      </c>
      <c r="AK27" s="31">
        <f t="shared" si="13"/>
        <v>3.0694266519987079E-2</v>
      </c>
      <c r="AL27" s="5">
        <f t="shared" si="14"/>
        <v>8.1509965443871106</v>
      </c>
      <c r="AM27" s="3">
        <f t="shared" si="15"/>
        <v>4.1160633322242193E-2</v>
      </c>
    </row>
    <row r="28" spans="1:39" x14ac:dyDescent="0.25">
      <c r="A28" s="33" t="s">
        <v>37</v>
      </c>
      <c r="B28" s="33"/>
      <c r="D28" t="s">
        <v>56</v>
      </c>
      <c r="F28" s="6"/>
      <c r="G28" s="5"/>
      <c r="H28" s="3"/>
      <c r="T28" s="5">
        <f t="shared" si="3"/>
        <v>1.1800000000000002</v>
      </c>
      <c r="U28" s="3">
        <f t="shared" si="0"/>
        <v>6.8538987046476971E-2</v>
      </c>
      <c r="Y28" s="23">
        <f t="shared" si="4"/>
        <v>1.017999999999998</v>
      </c>
      <c r="Z28" s="7">
        <f t="shared" si="5"/>
        <v>0</v>
      </c>
      <c r="AC28" s="29">
        <f t="shared" si="16"/>
        <v>1.1399999999999981</v>
      </c>
      <c r="AD28" s="29">
        <f t="shared" si="6"/>
        <v>1.1399899999999981</v>
      </c>
      <c r="AE28" s="29">
        <f t="shared" si="7"/>
        <v>1.1400099999999982</v>
      </c>
      <c r="AF28" s="30">
        <f t="shared" si="8"/>
        <v>7.2322354542605896E-2</v>
      </c>
      <c r="AG28" s="30">
        <f t="shared" si="9"/>
        <v>7.2324435940740908E-2</v>
      </c>
      <c r="AH28" s="30">
        <f t="shared" si="10"/>
        <v>7.2320273731865614E-2</v>
      </c>
      <c r="AI28" s="31">
        <f t="shared" si="11"/>
        <v>2.7088034657307358E-2</v>
      </c>
      <c r="AJ28" s="31">
        <f t="shared" si="12"/>
        <v>2.7095043576798261E-2</v>
      </c>
      <c r="AK28" s="31">
        <f t="shared" si="13"/>
        <v>2.7081026642630901E-2</v>
      </c>
      <c r="AL28" s="5">
        <f t="shared" si="14"/>
        <v>9.0481444559031825</v>
      </c>
      <c r="AM28" s="3">
        <f t="shared" si="15"/>
        <v>4.5691021235013056E-2</v>
      </c>
    </row>
    <row r="29" spans="1:39" x14ac:dyDescent="0.25">
      <c r="A29" s="12" t="s">
        <v>15</v>
      </c>
      <c r="B29" s="12" t="s">
        <v>16</v>
      </c>
      <c r="D29" s="12" t="s">
        <v>24</v>
      </c>
      <c r="E29" s="16">
        <f>INDEX(LINEST(D19:D23, A30:B34, 1, 0), 3)</f>
        <v>6.9478426720588835E-2</v>
      </c>
      <c r="F29" s="6"/>
      <c r="G29" s="3"/>
      <c r="H29" s="3"/>
      <c r="T29" s="5">
        <f t="shared" si="3"/>
        <v>1.1900000000000002</v>
      </c>
      <c r="U29" s="3">
        <f t="shared" si="0"/>
        <v>6.8952842108113269E-2</v>
      </c>
      <c r="Y29" s="23">
        <f t="shared" si="4"/>
        <v>1.0189999999999979</v>
      </c>
      <c r="Z29" s="7">
        <f t="shared" si="5"/>
        <v>0</v>
      </c>
      <c r="AC29" s="29">
        <f t="shared" si="16"/>
        <v>1.144999999999998</v>
      </c>
      <c r="AD29" s="29">
        <f t="shared" si="6"/>
        <v>1.144989999999998</v>
      </c>
      <c r="AE29" s="29">
        <f t="shared" si="7"/>
        <v>1.1450099999999981</v>
      </c>
      <c r="AF29" s="30">
        <f t="shared" si="8"/>
        <v>7.1354909236868796E-2</v>
      </c>
      <c r="AG29" s="30">
        <f t="shared" si="9"/>
        <v>7.1356698835887994E-2</v>
      </c>
      <c r="AH29" s="30">
        <f t="shared" si="10"/>
        <v>7.1353120217656371E-2</v>
      </c>
      <c r="AI29" s="31">
        <f t="shared" si="11"/>
        <v>2.3700365900843789E-2</v>
      </c>
      <c r="AJ29" s="31">
        <f t="shared" si="12"/>
        <v>2.3706901926154544E-2</v>
      </c>
      <c r="AK29" s="31">
        <f t="shared" si="13"/>
        <v>2.3693830860348819E-2</v>
      </c>
      <c r="AL29" s="5">
        <f t="shared" si="14"/>
        <v>9.8481578447717748</v>
      </c>
      <c r="AM29" s="3">
        <f t="shared" si="15"/>
        <v>4.9730902441290817E-2</v>
      </c>
    </row>
    <row r="30" spans="1:39" x14ac:dyDescent="0.25">
      <c r="A30" s="16">
        <f>LN(F19 / $B$5)</f>
        <v>-5.631290706777313E-2</v>
      </c>
      <c r="B30" s="16">
        <f>A30^2</f>
        <v>3.171143502423653E-3</v>
      </c>
      <c r="D30" s="12" t="s">
        <v>26</v>
      </c>
      <c r="E30" s="16">
        <f>INDEX(LINEST(D19:D23, A30:B34, 1, 0), 2)</f>
        <v>-0.11922747537162547</v>
      </c>
      <c r="F30" s="6"/>
      <c r="G30" s="3"/>
      <c r="H30" s="3"/>
      <c r="T30" s="5">
        <f t="shared" si="3"/>
        <v>1.2000000000000002</v>
      </c>
      <c r="U30" s="3">
        <f t="shared" si="0"/>
        <v>6.9883381105899187E-2</v>
      </c>
      <c r="Y30" s="23">
        <f t="shared" si="4"/>
        <v>1.0199999999999978</v>
      </c>
      <c r="Z30" s="7">
        <f t="shared" si="5"/>
        <v>0</v>
      </c>
      <c r="AC30" s="29">
        <f t="shared" si="16"/>
        <v>1.1499999999999979</v>
      </c>
      <c r="AD30" s="29">
        <f t="shared" si="6"/>
        <v>1.1499899999999978</v>
      </c>
      <c r="AE30" s="29">
        <f t="shared" si="7"/>
        <v>1.150009999999998</v>
      </c>
      <c r="AF30" s="30">
        <f t="shared" si="8"/>
        <v>7.053241812929871E-2</v>
      </c>
      <c r="AG30" s="30">
        <f t="shared" si="9"/>
        <v>7.0533919693101951E-2</v>
      </c>
      <c r="AH30" s="30">
        <f t="shared" si="10"/>
        <v>7.0530917137834465E-2</v>
      </c>
      <c r="AI30" s="31">
        <f t="shared" si="11"/>
        <v>2.055857745259726E-2</v>
      </c>
      <c r="AJ30" s="31">
        <f t="shared" si="12"/>
        <v>2.0564604216478544E-2</v>
      </c>
      <c r="AK30" s="31">
        <f t="shared" si="13"/>
        <v>2.0552551738022173E-2</v>
      </c>
      <c r="AL30" s="5">
        <f t="shared" si="14"/>
        <v>10.493061974869986</v>
      </c>
      <c r="AM30" s="3">
        <f t="shared" si="15"/>
        <v>5.2987518032086407E-2</v>
      </c>
    </row>
    <row r="31" spans="1:39" x14ac:dyDescent="0.25">
      <c r="A31" s="16">
        <f>LN(F20 / $B$5)</f>
        <v>-2.5382699698755316E-2</v>
      </c>
      <c r="B31" s="16">
        <f>A31^2</f>
        <v>6.442814439971932E-4</v>
      </c>
      <c r="D31" s="12" t="s">
        <v>27</v>
      </c>
      <c r="E31" s="16">
        <f>INDEX(LINEST(D19:D23, A30:B34, 1, 0), 1)</f>
        <v>3.6982679829872933</v>
      </c>
      <c r="F31" s="6"/>
      <c r="G31" s="3"/>
      <c r="H31" s="3"/>
      <c r="T31" s="5">
        <f t="shared" si="3"/>
        <v>1.2100000000000002</v>
      </c>
      <c r="U31" s="3">
        <f t="shared" si="0"/>
        <v>7.1317729486351511E-2</v>
      </c>
      <c r="Y31" s="23">
        <f t="shared" si="4"/>
        <v>1.0209999999999977</v>
      </c>
      <c r="Z31" s="7">
        <f t="shared" si="5"/>
        <v>0</v>
      </c>
      <c r="AC31" s="29">
        <f t="shared" si="16"/>
        <v>1.1549999999999978</v>
      </c>
      <c r="AD31" s="29">
        <f t="shared" si="6"/>
        <v>1.1549899999999977</v>
      </c>
      <c r="AE31" s="29">
        <f t="shared" si="7"/>
        <v>1.1550099999999979</v>
      </c>
      <c r="AF31" s="30">
        <f t="shared" si="8"/>
        <v>6.9853014218264814E-2</v>
      </c>
      <c r="AG31" s="30">
        <f t="shared" si="9"/>
        <v>6.9854231451273729E-2</v>
      </c>
      <c r="AH31" s="30">
        <f t="shared" si="10"/>
        <v>6.9851797550244843E-2</v>
      </c>
      <c r="AI31" s="31">
        <f t="shared" si="11"/>
        <v>1.767868135609485E-2</v>
      </c>
      <c r="AJ31" s="31">
        <f t="shared" si="12"/>
        <v>1.7684171599355203E-2</v>
      </c>
      <c r="AK31" s="31">
        <f t="shared" si="13"/>
        <v>1.7673192205854615E-2</v>
      </c>
      <c r="AL31" s="5">
        <f t="shared" si="14"/>
        <v>10.930201188585896</v>
      </c>
      <c r="AM31" s="3">
        <f t="shared" si="15"/>
        <v>5.5194969205516725E-2</v>
      </c>
    </row>
    <row r="32" spans="1:39" x14ac:dyDescent="0.25">
      <c r="A32" s="16">
        <f>LN(F21 / $B$5)</f>
        <v>3.6751988954891534E-4</v>
      </c>
      <c r="B32" s="16">
        <f>A32^2</f>
        <v>1.3507086921404693E-7</v>
      </c>
      <c r="F32" s="6"/>
      <c r="G32" s="3"/>
      <c r="H32" s="3"/>
      <c r="J32" s="9"/>
      <c r="K32" s="9"/>
      <c r="L32" s="9"/>
      <c r="T32" s="5">
        <f t="shared" si="3"/>
        <v>1.2200000000000002</v>
      </c>
      <c r="U32" s="3">
        <f t="shared" si="0"/>
        <v>7.3243401065392191E-2</v>
      </c>
      <c r="Y32" s="23">
        <f t="shared" si="4"/>
        <v>1.0219999999999976</v>
      </c>
      <c r="Z32" s="7">
        <f t="shared" si="5"/>
        <v>0</v>
      </c>
      <c r="AC32" s="29">
        <f t="shared" si="16"/>
        <v>1.1599999999999977</v>
      </c>
      <c r="AD32" s="29">
        <f t="shared" si="6"/>
        <v>1.1599899999999976</v>
      </c>
      <c r="AE32" s="29">
        <f t="shared" si="7"/>
        <v>1.1600099999999978</v>
      </c>
      <c r="AF32" s="30">
        <f t="shared" si="8"/>
        <v>6.9314859948939267E-2</v>
      </c>
      <c r="AG32" s="30">
        <f t="shared" si="9"/>
        <v>6.9315796497259552E-2</v>
      </c>
      <c r="AH32" s="30">
        <f t="shared" si="10"/>
        <v>6.9313923958373366E-2</v>
      </c>
      <c r="AI32" s="31">
        <f t="shared" si="11"/>
        <v>1.5071522738987375E-2</v>
      </c>
      <c r="AJ32" s="31">
        <f t="shared" si="12"/>
        <v>1.5076460648506429E-2</v>
      </c>
      <c r="AK32" s="31">
        <f t="shared" si="13"/>
        <v>1.5066585941464039E-2</v>
      </c>
      <c r="AL32" s="5">
        <f t="shared" si="14"/>
        <v>11.119957177285754</v>
      </c>
      <c r="AM32" s="3">
        <f t="shared" si="15"/>
        <v>5.6153192734264605E-2</v>
      </c>
    </row>
    <row r="33" spans="1:39" x14ac:dyDescent="0.25">
      <c r="A33" s="16">
        <f>LN(F22 / $B$5)</f>
        <v>2.3370049249623742E-2</v>
      </c>
      <c r="B33" s="16">
        <f>A33^2</f>
        <v>5.4615920192983922E-4</v>
      </c>
      <c r="D33" s="3"/>
      <c r="E33" s="10"/>
      <c r="F33" s="6"/>
      <c r="G33" s="3"/>
      <c r="H33" s="3"/>
      <c r="T33" s="5">
        <f t="shared" si="3"/>
        <v>1.2300000000000002</v>
      </c>
      <c r="U33" s="3">
        <f t="shared" si="0"/>
        <v>7.5648283627673327E-2</v>
      </c>
      <c r="Y33" s="23">
        <f t="shared" si="4"/>
        <v>1.0229999999999975</v>
      </c>
      <c r="Z33" s="7">
        <f t="shared" si="5"/>
        <v>0</v>
      </c>
      <c r="AC33" s="29">
        <f t="shared" si="16"/>
        <v>1.1649999999999976</v>
      </c>
      <c r="AD33" s="29">
        <f t="shared" si="6"/>
        <v>1.1649899999999975</v>
      </c>
      <c r="AE33" s="29">
        <f t="shared" si="7"/>
        <v>1.1650099999999977</v>
      </c>
      <c r="AF33" s="30">
        <f t="shared" si="8"/>
        <v>6.8916146639055736E-2</v>
      </c>
      <c r="AG33" s="30">
        <f t="shared" si="9"/>
        <v>6.8916806091612062E-2</v>
      </c>
      <c r="AH33" s="30">
        <f t="shared" si="10"/>
        <v>6.8915487737132519E-2</v>
      </c>
      <c r="AI33" s="31">
        <f t="shared" si="11"/>
        <v>1.2741803465693535E-2</v>
      </c>
      <c r="AJ33" s="31">
        <f t="shared" si="12"/>
        <v>1.2746186188986652E-2</v>
      </c>
      <c r="AK33" s="31">
        <f t="shared" si="13"/>
        <v>1.2737421846630403E-2</v>
      </c>
      <c r="AL33" s="5">
        <f t="shared" si="14"/>
        <v>11.042299852270785</v>
      </c>
      <c r="AM33" s="3">
        <f t="shared" si="15"/>
        <v>5.5761041337521793E-2</v>
      </c>
    </row>
    <row r="34" spans="1:39" x14ac:dyDescent="0.25">
      <c r="A34" s="16">
        <f>LN(F23 / $B$5)</f>
        <v>4.7004757408746337E-2</v>
      </c>
      <c r="B34" s="16">
        <f>A34^2</f>
        <v>2.2094472190550937E-3</v>
      </c>
      <c r="D34" s="3"/>
      <c r="E34" s="10"/>
      <c r="F34" s="6"/>
      <c r="G34" s="3"/>
      <c r="H34" s="3"/>
      <c r="T34" s="5">
        <f t="shared" si="3"/>
        <v>1.2400000000000002</v>
      </c>
      <c r="U34" s="3">
        <f t="shared" si="0"/>
        <v>7.8520625164394758E-2</v>
      </c>
      <c r="Y34" s="23">
        <f t="shared" si="4"/>
        <v>1.0239999999999974</v>
      </c>
      <c r="Z34" s="7">
        <f t="shared" si="5"/>
        <v>0</v>
      </c>
      <c r="AC34" s="29">
        <f t="shared" si="16"/>
        <v>1.1699999999999975</v>
      </c>
      <c r="AD34" s="29">
        <f t="shared" si="6"/>
        <v>1.1699899999999974</v>
      </c>
      <c r="AE34" s="29">
        <f t="shared" si="7"/>
        <v>1.1700099999999976</v>
      </c>
      <c r="AF34" s="30">
        <f t="shared" si="8"/>
        <v>6.8655093918120469E-2</v>
      </c>
      <c r="AG34" s="30">
        <f t="shared" si="9"/>
        <v>6.8655479807764846E-2</v>
      </c>
      <c r="AH34" s="30">
        <f t="shared" si="10"/>
        <v>6.8654708572098933E-2</v>
      </c>
      <c r="AI34" s="31">
        <f t="shared" si="11"/>
        <v>1.0687588749335064E-2</v>
      </c>
      <c r="AJ34" s="31">
        <f t="shared" si="12"/>
        <v>1.0691426824779082E-2</v>
      </c>
      <c r="AK34" s="31">
        <f t="shared" si="13"/>
        <v>1.0683751743932768E-2</v>
      </c>
      <c r="AL34" s="5">
        <f t="shared" si="14"/>
        <v>10.700417218956202</v>
      </c>
      <c r="AM34" s="3">
        <f t="shared" si="15"/>
        <v>5.4034613699812335E-2</v>
      </c>
    </row>
    <row r="35" spans="1:39" x14ac:dyDescent="0.25">
      <c r="T35" s="6">
        <f>F19</f>
        <v>1.0949090068168106</v>
      </c>
      <c r="U35" s="3"/>
      <c r="V35" s="3">
        <f>D19</f>
        <v>8.7499999999999994E-2</v>
      </c>
      <c r="W35" t="str">
        <f>C19</f>
        <v>10P</v>
      </c>
      <c r="X35" s="9"/>
      <c r="Y35" s="23">
        <f t="shared" si="4"/>
        <v>1.0249999999999972</v>
      </c>
      <c r="Z35" s="7">
        <f t="shared" si="5"/>
        <v>0</v>
      </c>
      <c r="AC35" s="29">
        <f t="shared" si="16"/>
        <v>1.1749999999999974</v>
      </c>
      <c r="AD35" s="29">
        <f t="shared" si="6"/>
        <v>1.1749899999999973</v>
      </c>
      <c r="AE35" s="29">
        <f t="shared" si="7"/>
        <v>1.1750099999999974</v>
      </c>
      <c r="AF35" s="30">
        <f t="shared" si="8"/>
        <v>6.8529949179706895E-2</v>
      </c>
      <c r="AG35" s="30">
        <f t="shared" si="9"/>
        <v>6.8530064984301323E-2</v>
      </c>
      <c r="AH35" s="30">
        <f t="shared" si="10"/>
        <v>6.8529833911833996E-2</v>
      </c>
      <c r="AI35" s="31">
        <f t="shared" si="11"/>
        <v>8.9003868347954929E-3</v>
      </c>
      <c r="AJ35" s="31">
        <f t="shared" si="12"/>
        <v>8.9037034461268982E-3</v>
      </c>
      <c r="AK35" s="31">
        <f t="shared" si="13"/>
        <v>8.8970712355268544E-3</v>
      </c>
      <c r="AL35" s="5">
        <f t="shared" si="14"/>
        <v>10.120627669252256</v>
      </c>
      <c r="AM35" s="3">
        <f t="shared" si="15"/>
        <v>5.1106811567953325E-2</v>
      </c>
    </row>
    <row r="36" spans="1:39" x14ac:dyDescent="0.25">
      <c r="A36" s="12"/>
      <c r="B36" s="12" t="s">
        <v>21</v>
      </c>
      <c r="C36" s="12" t="s">
        <v>11</v>
      </c>
      <c r="D36" s="12" t="s">
        <v>22</v>
      </c>
      <c r="E36" s="12" t="s">
        <v>23</v>
      </c>
      <c r="F36" s="12" t="s">
        <v>38</v>
      </c>
      <c r="T36" s="6">
        <f>F20</f>
        <v>1.1293039487620771</v>
      </c>
      <c r="V36" s="3">
        <f>D20</f>
        <v>7.6000000000000012E-2</v>
      </c>
      <c r="W36" t="str">
        <f>C20</f>
        <v>25P</v>
      </c>
      <c r="Y36" s="23">
        <f t="shared" si="4"/>
        <v>1.0259999999999971</v>
      </c>
      <c r="Z36" s="7">
        <f t="shared" si="5"/>
        <v>0</v>
      </c>
      <c r="AC36" s="29">
        <f t="shared" si="16"/>
        <v>1.1799999999999973</v>
      </c>
      <c r="AD36" s="29">
        <f t="shared" si="6"/>
        <v>1.1799899999999972</v>
      </c>
      <c r="AE36" s="29">
        <f t="shared" si="7"/>
        <v>1.1800099999999973</v>
      </c>
      <c r="AF36" s="30">
        <f t="shared" si="8"/>
        <v>6.8538987046476929E-2</v>
      </c>
      <c r="AG36" s="30">
        <f t="shared" si="9"/>
        <v>6.8538836189950825E-2</v>
      </c>
      <c r="AH36" s="30">
        <f t="shared" si="10"/>
        <v>6.8539138432930052E-2</v>
      </c>
      <c r="AI36" s="31">
        <f t="shared" si="11"/>
        <v>7.3657982259942578E-3</v>
      </c>
      <c r="AJ36" s="31">
        <f t="shared" si="12"/>
        <v>7.3686273865460894E-3</v>
      </c>
      <c r="AK36" s="31">
        <f t="shared" si="13"/>
        <v>7.3629700002752485E-3</v>
      </c>
      <c r="AL36" s="5">
        <f t="shared" si="14"/>
        <v>9.3483282226358693</v>
      </c>
      <c r="AM36" s="3">
        <f t="shared" si="15"/>
        <v>4.7206879312548612E-2</v>
      </c>
    </row>
    <row r="37" spans="1:39" x14ac:dyDescent="0.25">
      <c r="A37" s="12" t="s">
        <v>1</v>
      </c>
      <c r="B37" s="17">
        <f>$F$3</f>
        <v>1.1000000000000001</v>
      </c>
      <c r="C37" s="13">
        <f>E29 + E30*LN(B37/$B$5) + E31*LN(B37/$B$5)^2</f>
        <v>8.5514504992336121E-2</v>
      </c>
      <c r="D37" s="18">
        <f>1 / (C37 * SQRT($B$2)) * (LN($B$1/B37) + ($B$3-$B$4 + C37^2/2)*$B$2)</f>
        <v>1.2299218619532732</v>
      </c>
      <c r="E37" s="18">
        <f>1 / (C37 * SQRT($B$2)) * (LN($B$1/B37) + ($B$3-$B$4 - C37^2/2)*$B$2)</f>
        <v>1.1871646094571053</v>
      </c>
      <c r="F37" s="19">
        <f>($B$1*EXP(-$B$4*$B$2)*_xlfn.NORM.DIST(D37,0,1,1) - B37*EXP(-$B$3*$B$2)*_xlfn.NORM.DIST(E37, 0, 1, 1)) * $F$2</f>
        <v>60449.337004194858</v>
      </c>
      <c r="T37" s="6">
        <f>F21</f>
        <v>1.1587614138335498</v>
      </c>
      <c r="V37" s="3">
        <f>D21</f>
        <v>6.9000000000000006E-2</v>
      </c>
      <c r="W37" t="str">
        <f>C21</f>
        <v>DN</v>
      </c>
      <c r="Y37" s="23">
        <f t="shared" si="4"/>
        <v>1.026999999999997</v>
      </c>
      <c r="Z37" s="7">
        <f t="shared" si="5"/>
        <v>0</v>
      </c>
      <c r="AC37" s="29">
        <f t="shared" si="16"/>
        <v>1.1849999999999972</v>
      </c>
      <c r="AD37" s="29">
        <f t="shared" si="6"/>
        <v>1.1849899999999971</v>
      </c>
      <c r="AE37" s="29">
        <f t="shared" si="7"/>
        <v>1.1850099999999972</v>
      </c>
      <c r="AF37" s="30">
        <f t="shared" si="8"/>
        <v>6.868050884758263E-2</v>
      </c>
      <c r="AG37" s="30">
        <f t="shared" si="9"/>
        <v>6.8680094700965921E-2</v>
      </c>
      <c r="AH37" s="30">
        <f t="shared" si="10"/>
        <v>6.8680923517436598E-2</v>
      </c>
      <c r="AI37" s="31">
        <f t="shared" si="11"/>
        <v>6.0646363273878512E-3</v>
      </c>
      <c r="AJ37" s="31">
        <f t="shared" si="12"/>
        <v>6.0670202726724742E-3</v>
      </c>
      <c r="AK37" s="31">
        <f t="shared" si="13"/>
        <v>6.0622532262155082E-3</v>
      </c>
      <c r="AL37" s="5">
        <f t="shared" si="14"/>
        <v>8.4411228007397181</v>
      </c>
      <c r="AM37" s="3">
        <f t="shared" si="15"/>
        <v>4.2625703315813446E-2</v>
      </c>
    </row>
    <row r="38" spans="1:39" x14ac:dyDescent="0.25">
      <c r="A38" s="12" t="s">
        <v>25</v>
      </c>
      <c r="B38" s="17">
        <f>$F$3 + $F$13</f>
        <v>1.1001000000000001</v>
      </c>
      <c r="C38" s="13">
        <f>E29 + E30*LN(B38/$B$5) + E31*LN(B38/$B$5)^2</f>
        <v>8.5468952535843468E-2</v>
      </c>
      <c r="D38" s="18">
        <f>1 / (C38 * SQRT($B$2)) * (LN($B$1/B38) + ($B$3-$B$4 + C38^2/2)*$B$2)</f>
        <v>1.2284273878654557</v>
      </c>
      <c r="E38" s="18">
        <f>1 / (C38 * SQRT($B$2)) * (LN($B$1/B38) + ($B$3-$B$4 - C38^2/2)*$B$2)</f>
        <v>1.1856929115975339</v>
      </c>
      <c r="F38" s="19">
        <f>($B$1*EXP(-$B$4*$B$2)*_xlfn.NORM.DIST(D38,0,1,1) - B38*EXP(-$B$3*$B$2)*_xlfn.NORM.DIST(E38, 0, 1, 1)) * $F$2</f>
        <v>60356.999684977542</v>
      </c>
      <c r="T38" s="6">
        <f>F22</f>
        <v>1.1857247812154261</v>
      </c>
      <c r="V38" s="3">
        <f>D22</f>
        <v>6.8000000000000005E-2</v>
      </c>
      <c r="W38" t="str">
        <f>C22</f>
        <v>25C</v>
      </c>
      <c r="Y38" s="23">
        <f t="shared" si="4"/>
        <v>1.0279999999999969</v>
      </c>
      <c r="Z38" s="7">
        <f t="shared" si="5"/>
        <v>0</v>
      </c>
      <c r="AC38" s="29">
        <f t="shared" si="16"/>
        <v>1.1899999999999971</v>
      </c>
      <c r="AD38" s="29">
        <f t="shared" si="6"/>
        <v>1.189989999999997</v>
      </c>
      <c r="AE38" s="29">
        <f t="shared" si="7"/>
        <v>1.1900099999999971</v>
      </c>
      <c r="AF38" s="30">
        <f t="shared" si="8"/>
        <v>6.8952842108113033E-2</v>
      </c>
      <c r="AG38" s="30">
        <f t="shared" si="9"/>
        <v>6.8952167990545515E-2</v>
      </c>
      <c r="AH38" s="30">
        <f t="shared" si="10"/>
        <v>6.8953516742330898E-2</v>
      </c>
      <c r="AI38" s="31">
        <f t="shared" si="11"/>
        <v>4.9743502373476023E-3</v>
      </c>
      <c r="AJ38" s="31">
        <f t="shared" si="12"/>
        <v>4.9763364104272179E-3</v>
      </c>
      <c r="AK38" s="31">
        <f t="shared" si="13"/>
        <v>4.9723648103318641E-3</v>
      </c>
      <c r="AL38" s="5">
        <f t="shared" si="14"/>
        <v>7.4606387734377213</v>
      </c>
      <c r="AM38" s="3">
        <f t="shared" si="15"/>
        <v>3.767448743609584E-2</v>
      </c>
    </row>
    <row r="39" spans="1:39" x14ac:dyDescent="0.25">
      <c r="A39" s="12" t="s">
        <v>2</v>
      </c>
      <c r="B39" s="17">
        <f>$F$4</f>
        <v>1.2</v>
      </c>
      <c r="C39" s="13">
        <f>E29 + E30*LN(B39/$B$5) + E31*LN(B39/$B$5)^2</f>
        <v>6.9883381105899145E-2</v>
      </c>
      <c r="D39" s="18">
        <f>1 / (C39 * SQRT($B$2)) * (LN($B$1/B39) + ($B$3-$B$4 + C39^2/2)*$B$2)</f>
        <v>-0.99385368278256703</v>
      </c>
      <c r="E39" s="18">
        <f>1 / (C39 * SQRT($B$2)) * (LN($B$1/B39) + ($B$3-$B$4 - C39^2/2)*$B$2)</f>
        <v>-1.0287953733355164</v>
      </c>
      <c r="F39" s="19">
        <f>($B$1*EXP(-$B$4*$B$2)*_xlfn.NORM.DIST(D39,0,1,1) - B39*EXP(-$B$3*$B$2)*_xlfn.NORM.DIST(E39, 0, 1, 1)) * $F$2</f>
        <v>3328.4408944939114</v>
      </c>
      <c r="T39" s="6">
        <f>F23</f>
        <v>1.2140828375149078</v>
      </c>
      <c r="V39" s="3">
        <f>D23</f>
        <v>7.2500000000000009E-2</v>
      </c>
      <c r="W39" t="str">
        <f>C23</f>
        <v>10C</v>
      </c>
      <c r="Y39" s="23">
        <f t="shared" si="4"/>
        <v>1.0289999999999968</v>
      </c>
      <c r="Z39" s="7">
        <f t="shared" si="5"/>
        <v>0</v>
      </c>
      <c r="AC39" s="29">
        <f t="shared" si="16"/>
        <v>1.194999999999997</v>
      </c>
      <c r="AD39" s="29">
        <f t="shared" si="6"/>
        <v>1.1949899999999969</v>
      </c>
      <c r="AE39" s="29">
        <f t="shared" si="7"/>
        <v>1.195009999999997</v>
      </c>
      <c r="AF39" s="30">
        <f t="shared" si="8"/>
        <v>6.9354340050261587E-2</v>
      </c>
      <c r="AG39" s="30">
        <f t="shared" si="9"/>
        <v>6.9353409229978957E-2</v>
      </c>
      <c r="AH39" s="30">
        <f t="shared" si="10"/>
        <v>6.9355271380708447E-2</v>
      </c>
      <c r="AI39" s="31">
        <f t="shared" si="11"/>
        <v>4.0705492711990421E-3</v>
      </c>
      <c r="AJ39" s="31">
        <f t="shared" si="12"/>
        <v>4.0721873031790423E-3</v>
      </c>
      <c r="AK39" s="31">
        <f t="shared" si="13"/>
        <v>4.0689118857061835E-3</v>
      </c>
      <c r="AL39" s="5">
        <f t="shared" si="14"/>
        <v>6.4648714159787337</v>
      </c>
      <c r="AM39" s="3">
        <f t="shared" si="15"/>
        <v>3.2646094300185204E-2</v>
      </c>
    </row>
    <row r="40" spans="1:39" x14ac:dyDescent="0.25">
      <c r="A40" s="12" t="s">
        <v>28</v>
      </c>
      <c r="B40" s="17">
        <f>$F$4+$F$13</f>
        <v>1.2000999999999999</v>
      </c>
      <c r="C40" s="13">
        <f>E29 + E30*LN(B40/$B$5) + E31*LN(B40/$B$5)^2</f>
        <v>6.9895251858567098E-2</v>
      </c>
      <c r="D40" s="18">
        <f>1 / (C40 * SQRT($B$2)) * (LN($B$1/B40) + ($B$3-$B$4 + C40^2/2)*$B$2)</f>
        <v>-0.9960633766866539</v>
      </c>
      <c r="E40" s="18">
        <f>1 / (C40 * SQRT($B$2)) * (LN($B$1/B40) + ($B$3-$B$4 - C40^2/2)*$B$2)</f>
        <v>-1.0310110026159376</v>
      </c>
      <c r="F40" s="19">
        <f>($B$1*EXP(-$B$4*$B$2)*_xlfn.NORM.DIST(D40,0,1,1) - B40*EXP(-$B$3*$B$2)*_xlfn.NORM.DIST(E40, 0, 1, 1)) * $F$2</f>
        <v>3315.0808752296089</v>
      </c>
      <c r="Y40" s="23">
        <f t="shared" si="4"/>
        <v>1.0299999999999967</v>
      </c>
      <c r="Z40" s="7">
        <f t="shared" si="5"/>
        <v>0</v>
      </c>
      <c r="AC40" s="29">
        <f t="shared" si="16"/>
        <v>1.1999999999999968</v>
      </c>
      <c r="AD40" s="29">
        <f t="shared" si="6"/>
        <v>1.1999899999999968</v>
      </c>
      <c r="AE40" s="29">
        <f t="shared" si="7"/>
        <v>1.2000099999999969</v>
      </c>
      <c r="AF40" s="30">
        <f t="shared" si="8"/>
        <v>6.9883381105898784E-2</v>
      </c>
      <c r="AG40" s="30">
        <f t="shared" si="9"/>
        <v>6.9882196801196478E-2</v>
      </c>
      <c r="AH40" s="30">
        <f t="shared" si="10"/>
        <v>6.9884565914378124E-2</v>
      </c>
      <c r="AI40" s="31">
        <f t="shared" si="11"/>
        <v>3.3284408944943833E-3</v>
      </c>
      <c r="AJ40" s="31">
        <f t="shared" si="12"/>
        <v>3.3297799196890521E-3</v>
      </c>
      <c r="AK40" s="31">
        <f t="shared" si="13"/>
        <v>3.3271024195441201E-3</v>
      </c>
      <c r="AL40" s="5">
        <f t="shared" si="14"/>
        <v>5.5024440559492396</v>
      </c>
      <c r="AM40" s="3">
        <f t="shared" si="15"/>
        <v>2.7786060382891199E-2</v>
      </c>
    </row>
    <row r="41" spans="1:39" x14ac:dyDescent="0.25">
      <c r="Y41" s="23">
        <f t="shared" si="4"/>
        <v>1.0309999999999966</v>
      </c>
      <c r="Z41" s="7">
        <f t="shared" si="5"/>
        <v>0</v>
      </c>
      <c r="AC41" s="29">
        <f t="shared" si="16"/>
        <v>1.2049999999999967</v>
      </c>
      <c r="AD41" s="29">
        <f t="shared" si="6"/>
        <v>1.2049899999999967</v>
      </c>
      <c r="AE41" s="29">
        <f t="shared" si="7"/>
        <v>1.2050099999999968</v>
      </c>
      <c r="AF41" s="30">
        <f t="shared" si="8"/>
        <v>7.0538368440245511E-2</v>
      </c>
      <c r="AG41" s="30">
        <f t="shared" si="9"/>
        <v>7.0536933820420394E-2</v>
      </c>
      <c r="AH41" s="30">
        <f t="shared" si="10"/>
        <v>7.053980355755754E-2</v>
      </c>
      <c r="AI41" s="31">
        <f t="shared" si="11"/>
        <v>2.7240396159067537E-3</v>
      </c>
      <c r="AJ41" s="31">
        <f t="shared" si="12"/>
        <v>2.7251261465702226E-3</v>
      </c>
      <c r="AK41" s="31">
        <f t="shared" si="13"/>
        <v>2.7229535461846532E-3</v>
      </c>
      <c r="AL41" s="5">
        <f t="shared" si="14"/>
        <v>4.6094136840757463</v>
      </c>
      <c r="AM41" s="3">
        <f t="shared" si="15"/>
        <v>2.3276465085906032E-2</v>
      </c>
    </row>
    <row r="42" spans="1:39" x14ac:dyDescent="0.25">
      <c r="A42" s="12" t="s">
        <v>29</v>
      </c>
      <c r="B42" s="19">
        <f>(F37 - F38) / $F$13</f>
        <v>923373.1921731669</v>
      </c>
      <c r="C42" s="12" t="s">
        <v>30</v>
      </c>
      <c r="D42" s="19">
        <f>(F39 - F40) / $F$13</f>
        <v>133600.19264302537</v>
      </c>
      <c r="E42" s="12" t="s">
        <v>0</v>
      </c>
      <c r="F42" s="19">
        <f>B42-D42</f>
        <v>789772.99953014147</v>
      </c>
      <c r="Y42" s="23">
        <f t="shared" si="4"/>
        <v>1.0319999999999965</v>
      </c>
      <c r="Z42" s="7">
        <f t="shared" si="5"/>
        <v>0</v>
      </c>
      <c r="AC42" s="29">
        <f t="shared" si="16"/>
        <v>1.2099999999999966</v>
      </c>
      <c r="AD42" s="29">
        <f t="shared" si="6"/>
        <v>1.2099899999999966</v>
      </c>
      <c r="AE42" s="29">
        <f t="shared" si="7"/>
        <v>1.2100099999999967</v>
      </c>
      <c r="AF42" s="30">
        <f t="shared" si="8"/>
        <v>7.1317729486350914E-2</v>
      </c>
      <c r="AG42" s="30">
        <f t="shared" si="9"/>
        <v>7.1316047672621743E-2</v>
      </c>
      <c r="AH42" s="30">
        <f t="shared" si="10"/>
        <v>7.131941179137212E-2</v>
      </c>
      <c r="AI42" s="31">
        <f t="shared" si="11"/>
        <v>2.235066975501826E-3</v>
      </c>
      <c r="AJ42" s="31">
        <f t="shared" si="12"/>
        <v>2.235943431424553E-3</v>
      </c>
      <c r="AK42" s="31">
        <f t="shared" si="13"/>
        <v>2.2341909004368887E-3</v>
      </c>
      <c r="AL42" s="5">
        <f t="shared" si="14"/>
        <v>3.8085778975016633</v>
      </c>
      <c r="AM42" s="3">
        <f t="shared" si="15"/>
        <v>1.923243096283872E-2</v>
      </c>
    </row>
    <row r="43" spans="1:39" ht="14.25" customHeight="1" x14ac:dyDescent="0.25">
      <c r="Y43" s="23">
        <f t="shared" si="4"/>
        <v>1.0329999999999964</v>
      </c>
      <c r="Z43" s="7">
        <f t="shared" si="5"/>
        <v>0</v>
      </c>
      <c r="AC43" s="29">
        <f t="shared" si="16"/>
        <v>1.2149999999999965</v>
      </c>
      <c r="AD43" s="29">
        <f t="shared" si="6"/>
        <v>1.2149899999999965</v>
      </c>
      <c r="AE43" s="29">
        <f t="shared" si="7"/>
        <v>1.2150099999999966</v>
      </c>
      <c r="AF43" s="30">
        <f t="shared" si="8"/>
        <v>7.2219915490088424E-2</v>
      </c>
      <c r="AG43" s="30">
        <f t="shared" si="9"/>
        <v>7.2217989556495568E-2</v>
      </c>
      <c r="AH43" s="30">
        <f t="shared" si="10"/>
        <v>7.2221841908871931E-2</v>
      </c>
      <c r="AI43" s="31">
        <f t="shared" si="11"/>
        <v>1.8415244393034103E-3</v>
      </c>
      <c r="AJ43" s="31">
        <f t="shared" si="12"/>
        <v>1.8422283147559726E-3</v>
      </c>
      <c r="AK43" s="31">
        <f t="shared" si="13"/>
        <v>1.8408208749275956E-3</v>
      </c>
      <c r="AL43" s="5">
        <f t="shared" si="14"/>
        <v>3.1107674769437206</v>
      </c>
      <c r="AM43" s="3">
        <f t="shared" si="15"/>
        <v>1.5708650932677416E-2</v>
      </c>
    </row>
    <row r="44" spans="1:39" s="9" customFormat="1" x14ac:dyDescent="0.25">
      <c r="A44" s="8" t="s">
        <v>31</v>
      </c>
      <c r="B44" s="8"/>
      <c r="C44" s="8"/>
      <c r="D44" s="8"/>
      <c r="E44" s="8"/>
      <c r="F44" s="8"/>
      <c r="G44" s="8"/>
      <c r="H44" s="8"/>
      <c r="J44"/>
      <c r="K44"/>
      <c r="L44"/>
      <c r="S44"/>
      <c r="T44"/>
      <c r="U44"/>
      <c r="V44"/>
      <c r="W44"/>
      <c r="X44"/>
      <c r="Y44" s="23">
        <f t="shared" si="4"/>
        <v>1.0339999999999963</v>
      </c>
      <c r="Z44" s="7">
        <f t="shared" si="5"/>
        <v>0</v>
      </c>
      <c r="AC44" s="29">
        <f t="shared" si="16"/>
        <v>1.2199999999999964</v>
      </c>
      <c r="AD44" s="29">
        <f t="shared" si="6"/>
        <v>1.2199899999999964</v>
      </c>
      <c r="AE44" s="29">
        <f t="shared" si="7"/>
        <v>1.2200099999999965</v>
      </c>
      <c r="AF44" s="30">
        <f t="shared" si="8"/>
        <v>7.3243401065391359E-2</v>
      </c>
      <c r="AG44" s="30">
        <f t="shared" si="9"/>
        <v>7.3241234039676223E-2</v>
      </c>
      <c r="AH44" s="30">
        <f t="shared" si="10"/>
        <v>7.3245568570287439E-2</v>
      </c>
      <c r="AI44" s="31">
        <f t="shared" si="11"/>
        <v>1.5259690418087946E-3</v>
      </c>
      <c r="AJ44" s="31">
        <f t="shared" si="12"/>
        <v>1.5265326147688302E-3</v>
      </c>
      <c r="AK44" s="31">
        <f t="shared" si="13"/>
        <v>1.5254057205713323E-3</v>
      </c>
      <c r="AL44" s="5">
        <f t="shared" si="14"/>
        <v>2.5172257334116206</v>
      </c>
      <c r="AM44" s="3">
        <f t="shared" si="15"/>
        <v>1.2711403426322834E-2</v>
      </c>
    </row>
    <row r="45" spans="1:39" x14ac:dyDescent="0.25">
      <c r="Y45" s="23">
        <f t="shared" si="4"/>
        <v>1.0349999999999961</v>
      </c>
      <c r="Z45" s="7">
        <f t="shared" si="5"/>
        <v>0</v>
      </c>
      <c r="AC45" s="29">
        <f t="shared" si="16"/>
        <v>1.2249999999999963</v>
      </c>
      <c r="AD45" s="29">
        <f t="shared" si="6"/>
        <v>1.2249899999999962</v>
      </c>
      <c r="AE45" s="29">
        <f t="shared" si="7"/>
        <v>1.2250099999999964</v>
      </c>
      <c r="AF45" s="30">
        <f t="shared" si="8"/>
        <v>7.438668375945913E-2</v>
      </c>
      <c r="AG45" s="30">
        <f t="shared" si="9"/>
        <v>7.4384278623924077E-2</v>
      </c>
      <c r="AH45" s="30">
        <f t="shared" si="10"/>
        <v>7.4389089368255515E-2</v>
      </c>
      <c r="AI45" s="31">
        <f t="shared" si="11"/>
        <v>1.273550419006092E-3</v>
      </c>
      <c r="AJ45" s="31">
        <f t="shared" si="12"/>
        <v>1.2740008695223126E-3</v>
      </c>
      <c r="AK45" s="31">
        <f t="shared" si="13"/>
        <v>1.2731001707323164E-3</v>
      </c>
      <c r="AL45" s="5">
        <f t="shared" si="14"/>
        <v>2.0224244501321205</v>
      </c>
      <c r="AM45" s="3">
        <f t="shared" si="15"/>
        <v>1.0212772237174933E-2</v>
      </c>
    </row>
    <row r="46" spans="1:39" x14ac:dyDescent="0.25">
      <c r="A46" s="33" t="s">
        <v>34</v>
      </c>
      <c r="B46" s="33"/>
      <c r="C46" s="33" t="s">
        <v>35</v>
      </c>
      <c r="D46" s="33"/>
      <c r="E46" s="33" t="s">
        <v>36</v>
      </c>
      <c r="F46" s="33"/>
      <c r="G46" s="33"/>
      <c r="Y46" s="23">
        <f t="shared" si="4"/>
        <v>1.035999999999996</v>
      </c>
      <c r="Z46" s="7">
        <f t="shared" si="5"/>
        <v>0</v>
      </c>
      <c r="AC46" s="29">
        <f t="shared" si="16"/>
        <v>1.2299999999999962</v>
      </c>
      <c r="AD46" s="29">
        <f t="shared" si="6"/>
        <v>1.2299899999999961</v>
      </c>
      <c r="AE46" s="29">
        <f t="shared" si="7"/>
        <v>1.2300099999999963</v>
      </c>
      <c r="AF46" s="30">
        <f t="shared" si="8"/>
        <v>7.5648283627672244E-2</v>
      </c>
      <c r="AG46" s="30">
        <f t="shared" si="9"/>
        <v>7.5645643320021133E-2</v>
      </c>
      <c r="AH46" s="30">
        <f t="shared" si="10"/>
        <v>7.5650924402753408E-2</v>
      </c>
      <c r="AI46" s="31">
        <f t="shared" si="11"/>
        <v>1.0718782102620977E-3</v>
      </c>
      <c r="AJ46" s="31">
        <f t="shared" si="12"/>
        <v>1.0722380098489998E-3</v>
      </c>
      <c r="AK46" s="31">
        <f t="shared" si="13"/>
        <v>1.0715185723466913E-3</v>
      </c>
      <c r="AL46" s="5">
        <f t="shared" si="14"/>
        <v>1.6167149563539593</v>
      </c>
      <c r="AM46" s="3">
        <f t="shared" si="15"/>
        <v>8.1640338261330676E-3</v>
      </c>
    </row>
    <row r="47" spans="1:39" x14ac:dyDescent="0.25">
      <c r="A47" s="12" t="s">
        <v>10</v>
      </c>
      <c r="B47" s="12" t="s">
        <v>11</v>
      </c>
      <c r="C47" s="12" t="s">
        <v>21</v>
      </c>
      <c r="D47" s="12" t="s">
        <v>11</v>
      </c>
      <c r="E47" s="12" t="s">
        <v>12</v>
      </c>
      <c r="F47" s="12" t="s">
        <v>13</v>
      </c>
      <c r="G47" s="12" t="s">
        <v>14</v>
      </c>
      <c r="S47" s="9"/>
      <c r="T47" s="9"/>
      <c r="U47" s="9"/>
      <c r="V47" s="9"/>
      <c r="Y47" s="23">
        <f t="shared" si="4"/>
        <v>1.0369999999999959</v>
      </c>
      <c r="Z47" s="7">
        <f t="shared" si="5"/>
        <v>0</v>
      </c>
      <c r="AC47" s="29">
        <f t="shared" si="16"/>
        <v>1.2349999999999961</v>
      </c>
      <c r="AD47" s="29">
        <f t="shared" si="6"/>
        <v>1.234989999999996</v>
      </c>
      <c r="AE47" s="29">
        <f t="shared" si="7"/>
        <v>1.2350099999999962</v>
      </c>
      <c r="AF47" s="30">
        <f t="shared" si="8"/>
        <v>7.7026742817962748E-2</v>
      </c>
      <c r="AG47" s="30">
        <f t="shared" si="9"/>
        <v>7.702387023212301E-2</v>
      </c>
      <c r="AH47" s="30">
        <f t="shared" si="10"/>
        <v>7.702961586548801E-2</v>
      </c>
      <c r="AI47" s="31">
        <f t="shared" si="11"/>
        <v>9.1078530627055482E-4</v>
      </c>
      <c r="AJ47" s="31">
        <f t="shared" si="12"/>
        <v>9.1107275714263913E-4</v>
      </c>
      <c r="AK47" s="31">
        <f t="shared" si="13"/>
        <v>9.1049798424687467E-4</v>
      </c>
      <c r="AL47" s="5">
        <f t="shared" si="14"/>
        <v>1.2884840416838015</v>
      </c>
      <c r="AM47" s="3">
        <f t="shared" si="15"/>
        <v>6.5065441866526234E-3</v>
      </c>
    </row>
    <row r="48" spans="1:39" x14ac:dyDescent="0.25">
      <c r="A48" s="12" t="s">
        <v>4</v>
      </c>
      <c r="B48" s="13">
        <f>$B$19+$F$12</f>
        <v>7.0000000000000007E-2</v>
      </c>
      <c r="C48" s="12" t="s">
        <v>17</v>
      </c>
      <c r="D48" s="13">
        <f>B48 + B52 - B50/2</f>
        <v>8.8499999999999995E-2</v>
      </c>
      <c r="E48" s="14">
        <v>0.9</v>
      </c>
      <c r="F48" s="15">
        <f>$B$1 / EXP(_xlfn.NORM.INV(E48 * EXP($B$4*$B$2), 0, 1) * D48 * SQRT($B$2) - ($B$3 - $B$4 + D48^2/2)*$B$2)</f>
        <v>1.0942166809761167</v>
      </c>
      <c r="G48" s="16">
        <f t="shared" ref="G48:G50" si="18">EXP(-$B$4*$B$2)*_xlfn.NORM.DIST(1/(D48*SQRT($B$2)) * (LN($B$1 / F48) + ($B$3 - $B$4 + D48^2/2)*$B$2), 0, 1, 1)</f>
        <v>0.90000000000000036</v>
      </c>
      <c r="W48" s="9"/>
      <c r="X48" s="9"/>
      <c r="Y48" s="23">
        <f t="shared" si="4"/>
        <v>1.0379999999999958</v>
      </c>
      <c r="Z48" s="7">
        <f t="shared" si="5"/>
        <v>0</v>
      </c>
      <c r="AC48" s="29">
        <f t="shared" si="16"/>
        <v>1.239999999999996</v>
      </c>
      <c r="AD48" s="29">
        <f t="shared" si="6"/>
        <v>1.2399899999999959</v>
      </c>
      <c r="AE48" s="29">
        <f t="shared" si="7"/>
        <v>1.2400099999999961</v>
      </c>
      <c r="AF48" s="30">
        <f t="shared" si="8"/>
        <v>7.8520625164393468E-2</v>
      </c>
      <c r="AG48" s="30">
        <f t="shared" si="9"/>
        <v>7.8517523151319851E-2</v>
      </c>
      <c r="AH48" s="30">
        <f t="shared" si="10"/>
        <v>7.8523727633493245E-2</v>
      </c>
      <c r="AI48" s="31">
        <f t="shared" si="11"/>
        <v>7.8204090160352568E-4</v>
      </c>
      <c r="AJ48" s="31">
        <f t="shared" si="12"/>
        <v>7.8227073196606572E-4</v>
      </c>
      <c r="AK48" s="31">
        <f t="shared" si="13"/>
        <v>7.8181117381582316E-4</v>
      </c>
      <c r="AL48" s="5">
        <f t="shared" si="14"/>
        <v>1.0257483751274774</v>
      </c>
      <c r="AM48" s="3">
        <f t="shared" si="15"/>
        <v>5.1797902893949109E-3</v>
      </c>
    </row>
    <row r="49" spans="1:39" x14ac:dyDescent="0.25">
      <c r="A49" s="12" t="s">
        <v>6</v>
      </c>
      <c r="B49" s="20">
        <f>$B$20</f>
        <v>-8.0000000000000002E-3</v>
      </c>
      <c r="C49" s="12" t="s">
        <v>18</v>
      </c>
      <c r="D49" s="13">
        <f>B48+B51 - B49/2</f>
        <v>7.7000000000000013E-2</v>
      </c>
      <c r="E49" s="14">
        <v>0.75</v>
      </c>
      <c r="F49" s="15">
        <f>$B$1 / EXP(_xlfn.NORM.INV(E49 * EXP($B$4*$B$2), 0, 1) * D49 * SQRT($B$2) - ($B$3 - $B$4 + D49^2/2)*$B$2)</f>
        <v>1.1289377095147208</v>
      </c>
      <c r="G49" s="16">
        <f t="shared" si="18"/>
        <v>0.75000000000000033</v>
      </c>
      <c r="N49" s="6"/>
      <c r="P49" s="3"/>
      <c r="Y49" s="23">
        <f t="shared" si="4"/>
        <v>1.0389999999999957</v>
      </c>
      <c r="Z49" s="7">
        <f t="shared" si="5"/>
        <v>0</v>
      </c>
      <c r="AC49" s="29">
        <f t="shared" si="16"/>
        <v>1.2449999999999959</v>
      </c>
      <c r="AD49" s="29">
        <f t="shared" si="6"/>
        <v>1.2449899999999958</v>
      </c>
      <c r="AE49" s="29">
        <f t="shared" si="7"/>
        <v>1.245009999999996</v>
      </c>
      <c r="AF49" s="30">
        <f t="shared" si="8"/>
        <v>8.0128515789708366E-2</v>
      </c>
      <c r="AG49" s="30">
        <f t="shared" si="9"/>
        <v>8.0125187158169062E-2</v>
      </c>
      <c r="AH49" s="30">
        <f t="shared" si="10"/>
        <v>8.0131844871698013E-2</v>
      </c>
      <c r="AI49" s="31">
        <f t="shared" si="11"/>
        <v>6.790528811737237E-4</v>
      </c>
      <c r="AJ49" s="31">
        <f t="shared" si="12"/>
        <v>6.79236831918964E-4</v>
      </c>
      <c r="AK49" s="31">
        <f t="shared" si="13"/>
        <v>6.7886901214402051E-4</v>
      </c>
      <c r="AL49" s="5">
        <f t="shared" si="14"/>
        <v>0.81715537114668269</v>
      </c>
      <c r="AM49" s="3">
        <f t="shared" si="15"/>
        <v>4.1264442226062051E-3</v>
      </c>
    </row>
    <row r="50" spans="1:39" x14ac:dyDescent="0.25">
      <c r="A50" s="12" t="s">
        <v>8</v>
      </c>
      <c r="B50" s="20">
        <f>$B$21</f>
        <v>-1.4999999999999999E-2</v>
      </c>
      <c r="C50" s="12" t="s">
        <v>4</v>
      </c>
      <c r="D50" s="13">
        <f>B48</f>
        <v>7.0000000000000007E-2</v>
      </c>
      <c r="E50" s="14">
        <v>0.5</v>
      </c>
      <c r="F50" s="15">
        <f>$B$1 / EXP(_xlfn.NORM.INV(E50 * EXP($B$4*$B$2), 0, 1) * D50 * SQRT($B$2) - ($B$3 - $B$4 + D50^2/2)*$B$2)</f>
        <v>1.1587777251087923</v>
      </c>
      <c r="G50" s="16">
        <f t="shared" si="18"/>
        <v>0.50000000000000155</v>
      </c>
      <c r="N50" s="6"/>
      <c r="P50" s="3"/>
      <c r="Y50" s="23">
        <f t="shared" si="4"/>
        <v>1.0399999999999956</v>
      </c>
      <c r="Z50" s="7">
        <f t="shared" si="5"/>
        <v>0</v>
      </c>
      <c r="AC50" s="29">
        <f t="shared" si="16"/>
        <v>1.2499999999999958</v>
      </c>
      <c r="AD50" s="29">
        <f t="shared" si="6"/>
        <v>1.2499899999999957</v>
      </c>
      <c r="AE50" s="29">
        <f t="shared" si="7"/>
        <v>1.2500099999999958</v>
      </c>
      <c r="AF50" s="30">
        <f t="shared" si="8"/>
        <v>8.1849020716621465E-2</v>
      </c>
      <c r="AG50" s="30">
        <f t="shared" si="9"/>
        <v>8.1845468233966989E-2</v>
      </c>
      <c r="AH50" s="30">
        <f t="shared" si="10"/>
        <v>8.1852573644232582E-2</v>
      </c>
      <c r="AI50" s="31">
        <f t="shared" si="11"/>
        <v>5.9658524641912486E-4</v>
      </c>
      <c r="AJ50" s="31">
        <f t="shared" si="12"/>
        <v>5.9673261013903217E-4</v>
      </c>
      <c r="AK50" s="31">
        <f t="shared" si="13"/>
        <v>5.9643794795504607E-4</v>
      </c>
      <c r="AL50" s="5">
        <f t="shared" si="14"/>
        <v>0.65255828518573356</v>
      </c>
      <c r="AM50" s="3">
        <f t="shared" si="15"/>
        <v>3.2952672905274508E-3</v>
      </c>
    </row>
    <row r="51" spans="1:39" x14ac:dyDescent="0.25">
      <c r="A51" s="12" t="s">
        <v>7</v>
      </c>
      <c r="B51" s="20">
        <f>$B$22</f>
        <v>3.0000000000000001E-3</v>
      </c>
      <c r="C51" s="12" t="s">
        <v>19</v>
      </c>
      <c r="D51" s="13">
        <f>B48 + B51 + B49/2</f>
        <v>6.9000000000000006E-2</v>
      </c>
      <c r="E51" s="14">
        <v>0.25</v>
      </c>
      <c r="F51" s="15">
        <f>$B$1 / EXP(_xlfn.NORM.INV(E51 * EXP($B$4*$B$2), 0, 1) * D51 * SQRT($B$2) - ($B$3 - $B$4 + D51^2/2)*$B$2)</f>
        <v>1.1861425882511798</v>
      </c>
      <c r="G51" s="16">
        <f>EXP(-$B$4*$B$2)*_xlfn.NORM.DIST(1/(D51*SQRT($B$2)) * (LN($B$1 / F51) + ($B$3 - $B$4 + D51^2/2)*$B$2), 0, 1, 1)</f>
        <v>0.25000000000000011</v>
      </c>
      <c r="N51" s="6"/>
      <c r="P51" s="3"/>
      <c r="Y51" s="23">
        <f t="shared" si="4"/>
        <v>1.0409999999999955</v>
      </c>
      <c r="Z51" s="7">
        <f t="shared" si="5"/>
        <v>0</v>
      </c>
      <c r="AC51" s="29">
        <f t="shared" si="16"/>
        <v>1.2549999999999957</v>
      </c>
      <c r="AD51" s="29">
        <f t="shared" si="6"/>
        <v>1.2549899999999956</v>
      </c>
      <c r="AE51" s="29">
        <f t="shared" ref="AE51:AE70" si="19">AC51+$AC$7</f>
        <v>1.2550099999999957</v>
      </c>
      <c r="AF51" s="30">
        <f t="shared" ref="AF51:AF70" si="20">$E$29 + LN(AC51/$B$5) * $E$30 + (LN(AC51/$B$5))^2 * $E$31</f>
        <v>8.3680766487620684E-2</v>
      </c>
      <c r="AG51" s="30">
        <f t="shared" ref="AG51:AG70" si="21">$E$29 + LN(AD51/$B$5) * $E$30 + (LN(AD51/$B$5))^2 * $E$31</f>
        <v>8.3676992880535886E-2</v>
      </c>
      <c r="AH51" s="30">
        <f t="shared" ref="AH51:AH70" si="22">$E$29 + LN(AE51/$B$5) * $E$30 + (LN(AE51/$B$5))^2 * $E$31</f>
        <v>8.3684540534249022E-2</v>
      </c>
      <c r="AI51" s="31">
        <f t="shared" ref="AI51:AI70" si="23">$B$1 * EXP(-$B$4*$B$2) * _xlfn.NORM.DIST((LN($B$1/AC51) + ($B$3-$B$4+AF51^2/2)*$B$2)/(AF51*SQRT($B$2)), 0, 1, TRUE) - AC51*EXP(-$B$3*$B$2)*_xlfn.NORM.DIST((LN($B$1/AC51) + ($B$3-$B$4-AF51^2/2)*$B$2)/(AF51*SQRT($B$2)), 0, 1, TRUE)</f>
        <v>5.3050493114146363E-4</v>
      </c>
      <c r="AJ51" s="31">
        <f t="shared" ref="AJ51:AJ70" si="24">$B$1 * EXP(-$B$4*$B$2) * _xlfn.NORM.DIST((LN($B$1/AD51) + ($B$3-$B$4+AG51^2/2)*$B$2)/(AG51*SQRT($B$2)), 0, 1, TRUE) - AD51*EXP(-$B$3*$B$2)*_xlfn.NORM.DIST((LN($B$1/AD51) + ($B$3-$B$4-AG51^2/2)*$B$2)/(AG51*SQRT($B$2)), 0, 1, TRUE)</f>
        <v>5.3062302406550049E-4</v>
      </c>
      <c r="AK51" s="31">
        <f t="shared" ref="AK51:AK70" si="25">$B$1 * EXP(-$B$4*$B$2) * _xlfn.NORM.DIST((LN($B$1/AE51) + ($B$3-$B$4+AH51^2/2)*$B$2)/(AH51*SQRT($B$2)), 0, 1, TRUE) - AE51*EXP(-$B$3*$B$2)*_xlfn.NORM.DIST((LN($B$1/AE51) + ($B$3-$B$4-AH51^2/2)*$B$2)/(AH51*SQRT($B$2)), 0, 1, TRUE)</f>
        <v>5.3038689054216853E-4</v>
      </c>
      <c r="AL51" s="5">
        <f t="shared" si="14"/>
        <v>0.52324741761644578</v>
      </c>
      <c r="AM51" s="3">
        <f t="shared" si="15"/>
        <v>2.6422775394441145E-3</v>
      </c>
    </row>
    <row r="52" spans="1:39" x14ac:dyDescent="0.25">
      <c r="A52" s="12" t="s">
        <v>9</v>
      </c>
      <c r="B52" s="20">
        <f>$B$23</f>
        <v>1.0999999999999999E-2</v>
      </c>
      <c r="C52" s="12" t="s">
        <v>20</v>
      </c>
      <c r="D52" s="13">
        <f>B48 + B52 + B50/2</f>
        <v>7.350000000000001E-2</v>
      </c>
      <c r="E52" s="14">
        <v>0.1</v>
      </c>
      <c r="F52" s="15">
        <f>$B$1 / EXP(_xlfn.NORM.INV(E52 * EXP($B$4*$B$2), 0, 1) * D52 * SQRT($B$2) - ($B$3 - $B$4 + D52^2/2)*$B$2)</f>
        <v>1.2148813946749826</v>
      </c>
      <c r="G52" s="16">
        <f>EXP(-$B$4*$B$2)*_xlfn.NORM.DIST(1/(D52*SQRT($B$2)) * (LN($B$1 / F52) + ($B$3 - $B$4 + D52^2/2)*$B$2), 0, 1, 1)</f>
        <v>9.9999999999999756E-2</v>
      </c>
      <c r="N52" s="6"/>
      <c r="P52" s="3"/>
      <c r="Y52" s="23">
        <f t="shared" si="4"/>
        <v>1.0419999999999954</v>
      </c>
      <c r="Z52" s="7">
        <f t="shared" si="5"/>
        <v>0</v>
      </c>
      <c r="AC52" s="29">
        <f t="shared" si="16"/>
        <v>1.2599999999999956</v>
      </c>
      <c r="AD52" s="29">
        <f t="shared" si="6"/>
        <v>1.2599899999999955</v>
      </c>
      <c r="AE52" s="29">
        <f t="shared" si="19"/>
        <v>1.2600099999999956</v>
      </c>
      <c r="AF52" s="30">
        <f t="shared" si="20"/>
        <v>8.5622399793066795E-2</v>
      </c>
      <c r="AG52" s="30">
        <f t="shared" si="21"/>
        <v>8.5618407748306508E-2</v>
      </c>
      <c r="AH52" s="30">
        <f t="shared" si="22"/>
        <v>8.5626392272036625E-2</v>
      </c>
      <c r="AI52" s="31">
        <f t="shared" si="23"/>
        <v>4.7756405157070927E-4</v>
      </c>
      <c r="AJ52" s="31">
        <f t="shared" si="24"/>
        <v>4.776586126528648E-4</v>
      </c>
      <c r="AK52" s="31">
        <f t="shared" si="25"/>
        <v>4.774695326848731E-4</v>
      </c>
      <c r="AL52" s="5">
        <f t="shared" si="14"/>
        <v>0.4219631935531431</v>
      </c>
      <c r="AM52" s="3">
        <f t="shared" si="15"/>
        <v>2.1308158077043065E-3</v>
      </c>
    </row>
    <row r="53" spans="1:39" x14ac:dyDescent="0.25">
      <c r="B53" s="3"/>
      <c r="D53" s="3"/>
      <c r="E53" s="10"/>
      <c r="F53" s="6"/>
      <c r="G53" s="3"/>
      <c r="H53" s="3"/>
      <c r="N53" s="6"/>
      <c r="P53" s="3"/>
      <c r="Y53" s="23">
        <f t="shared" si="4"/>
        <v>1.0429999999999953</v>
      </c>
      <c r="Z53" s="7">
        <f t="shared" si="5"/>
        <v>0</v>
      </c>
      <c r="AC53" s="29">
        <f t="shared" si="16"/>
        <v>1.2649999999999955</v>
      </c>
      <c r="AD53" s="29">
        <f t="shared" si="6"/>
        <v>1.2649899999999954</v>
      </c>
      <c r="AE53" s="29">
        <f t="shared" si="19"/>
        <v>1.2650099999999955</v>
      </c>
      <c r="AF53" s="30">
        <f t="shared" si="20"/>
        <v>8.76725871073777E-2</v>
      </c>
      <c r="AG53" s="30">
        <f t="shared" si="21"/>
        <v>8.7668379272486482E-2</v>
      </c>
      <c r="AH53" s="30">
        <f t="shared" si="22"/>
        <v>8.7676795371222221E-2</v>
      </c>
      <c r="AI53" s="31">
        <f t="shared" si="23"/>
        <v>4.3521817777174981E-4</v>
      </c>
      <c r="AJ53" s="31">
        <f t="shared" si="24"/>
        <v>4.3529369757418918E-4</v>
      </c>
      <c r="AK53" s="31">
        <f t="shared" si="25"/>
        <v>4.3514269224797023E-4</v>
      </c>
      <c r="AL53" s="5">
        <f t="shared" si="14"/>
        <v>0.34278659771791448</v>
      </c>
      <c r="AM53" s="3">
        <f t="shared" si="15"/>
        <v>1.7309924473176092E-3</v>
      </c>
    </row>
    <row r="54" spans="1:39" x14ac:dyDescent="0.25">
      <c r="A54" t="s">
        <v>71</v>
      </c>
      <c r="B54" s="3"/>
      <c r="D54" s="3"/>
      <c r="E54" s="10"/>
      <c r="F54" s="6"/>
      <c r="G54" s="3"/>
      <c r="H54" s="3"/>
      <c r="N54" s="6"/>
      <c r="P54" s="3"/>
      <c r="Y54" s="23">
        <f t="shared" si="4"/>
        <v>1.0439999999999952</v>
      </c>
      <c r="Z54" s="7">
        <f t="shared" si="5"/>
        <v>0</v>
      </c>
      <c r="AC54" s="29">
        <f t="shared" si="16"/>
        <v>1.2699999999999954</v>
      </c>
      <c r="AD54" s="29">
        <f t="shared" si="6"/>
        <v>1.2699899999999953</v>
      </c>
      <c r="AE54" s="29">
        <f t="shared" si="19"/>
        <v>1.2700099999999954</v>
      </c>
      <c r="AF54" s="30">
        <f t="shared" si="20"/>
        <v>8.9830014333091235E-2</v>
      </c>
      <c r="AG54" s="30">
        <f t="shared" si="21"/>
        <v>8.9825593317107461E-2</v>
      </c>
      <c r="AH54" s="30">
        <f t="shared" si="22"/>
        <v>8.9834435772848303E-2</v>
      </c>
      <c r="AI54" s="31">
        <f t="shared" si="23"/>
        <v>4.014780382017441E-4</v>
      </c>
      <c r="AJ54" s="31">
        <f t="shared" si="24"/>
        <v>4.0153802472911101E-4</v>
      </c>
      <c r="AK54" s="31">
        <f t="shared" si="25"/>
        <v>4.0141807977182864E-4</v>
      </c>
      <c r="AL54" s="5">
        <f t="shared" si="14"/>
        <v>0.28097451448827465</v>
      </c>
      <c r="AM54" s="3">
        <f t="shared" si="15"/>
        <v>1.4188558295624332E-3</v>
      </c>
    </row>
    <row r="55" spans="1:39" x14ac:dyDescent="0.25">
      <c r="A55" t="s">
        <v>72</v>
      </c>
      <c r="B55" s="3"/>
      <c r="D55" s="3"/>
      <c r="E55" s="10"/>
      <c r="F55" s="6"/>
      <c r="G55" s="3"/>
      <c r="H55" s="3"/>
      <c r="N55" s="6"/>
      <c r="P55" s="3"/>
      <c r="Y55" s="23">
        <f t="shared" si="4"/>
        <v>1.044999999999995</v>
      </c>
      <c r="Z55" s="7">
        <f t="shared" si="5"/>
        <v>0</v>
      </c>
      <c r="AC55" s="29">
        <f t="shared" si="16"/>
        <v>1.2749999999999952</v>
      </c>
      <c r="AD55" s="29">
        <f t="shared" si="6"/>
        <v>1.2749899999999952</v>
      </c>
      <c r="AE55" s="29">
        <f t="shared" si="19"/>
        <v>1.2750099999999953</v>
      </c>
      <c r="AF55" s="30">
        <f t="shared" si="20"/>
        <v>9.2093386452607617E-2</v>
      </c>
      <c r="AG55" s="30">
        <f t="shared" si="21"/>
        <v>9.208875482675255E-2</v>
      </c>
      <c r="AH55" s="30">
        <f t="shared" si="22"/>
        <v>9.2098018497131034E-2</v>
      </c>
      <c r="AI55" s="31">
        <f t="shared" si="23"/>
        <v>3.7479053110854588E-4</v>
      </c>
      <c r="AJ55" s="31">
        <f t="shared" si="24"/>
        <v>3.7483772158937445E-4</v>
      </c>
      <c r="AK55" s="31">
        <f t="shared" si="25"/>
        <v>3.7474336390484753E-4</v>
      </c>
      <c r="AL55" s="5">
        <f t="shared" si="14"/>
        <v>0.23277130223320339</v>
      </c>
      <c r="AM55" s="3">
        <f t="shared" si="15"/>
        <v>1.1754408392872305E-3</v>
      </c>
    </row>
    <row r="56" spans="1:39" x14ac:dyDescent="0.25">
      <c r="B56" s="3"/>
      <c r="D56" s="3"/>
      <c r="E56" s="10"/>
      <c r="F56" s="6"/>
      <c r="G56" s="3"/>
      <c r="H56" s="3"/>
      <c r="N56" s="6"/>
      <c r="P56" s="3"/>
      <c r="Y56" s="23">
        <f t="shared" si="4"/>
        <v>1.0459999999999949</v>
      </c>
      <c r="Z56" s="7">
        <f t="shared" si="5"/>
        <v>0</v>
      </c>
      <c r="AC56" s="29">
        <f t="shared" si="16"/>
        <v>1.2799999999999951</v>
      </c>
      <c r="AD56" s="29">
        <f t="shared" si="6"/>
        <v>1.2799899999999951</v>
      </c>
      <c r="AE56" s="29">
        <f t="shared" si="19"/>
        <v>1.2800099999999952</v>
      </c>
      <c r="AF56" s="30">
        <f t="shared" si="20"/>
        <v>9.4461427187416985E-2</v>
      </c>
      <c r="AG56" s="30">
        <f t="shared" si="21"/>
        <v>9.4456587485768823E-2</v>
      </c>
      <c r="AH56" s="30">
        <f t="shared" si="22"/>
        <v>9.4466267302702078E-2</v>
      </c>
      <c r="AI56" s="31">
        <f t="shared" si="23"/>
        <v>3.5394444370252798E-4</v>
      </c>
      <c r="AJ56" s="31">
        <f t="shared" si="24"/>
        <v>3.5398097151341859E-4</v>
      </c>
      <c r="AK56" s="31">
        <f t="shared" si="25"/>
        <v>3.539079354144721E-4</v>
      </c>
      <c r="AL56" s="5">
        <f t="shared" si="14"/>
        <v>0.19522834737717429</v>
      </c>
      <c r="AM56" s="3">
        <f t="shared" si="15"/>
        <v>9.8585766497873237E-4</v>
      </c>
    </row>
    <row r="57" spans="1:39" x14ac:dyDescent="0.25">
      <c r="A57" s="33" t="s">
        <v>37</v>
      </c>
      <c r="B57" s="33"/>
      <c r="D57" t="s">
        <v>56</v>
      </c>
      <c r="F57" s="6"/>
      <c r="G57" s="3"/>
      <c r="H57" s="3"/>
      <c r="N57" s="6"/>
      <c r="P57" s="3"/>
      <c r="Y57" s="23">
        <f t="shared" si="4"/>
        <v>1.0469999999999948</v>
      </c>
      <c r="Z57" s="7">
        <f t="shared" si="5"/>
        <v>0</v>
      </c>
      <c r="AC57" s="29">
        <f t="shared" si="16"/>
        <v>1.284999999999995</v>
      </c>
      <c r="AD57" s="29">
        <f t="shared" si="6"/>
        <v>1.284989999999995</v>
      </c>
      <c r="AE57" s="29">
        <f t="shared" si="19"/>
        <v>1.2850099999999951</v>
      </c>
      <c r="AF57" s="30">
        <f t="shared" si="20"/>
        <v>9.6932878664624716E-2</v>
      </c>
      <c r="AG57" s="30">
        <f t="shared" si="21"/>
        <v>9.69278333847787E-2</v>
      </c>
      <c r="AH57" s="30">
        <f t="shared" si="22"/>
        <v>9.6937924353148713E-2</v>
      </c>
      <c r="AI57" s="31">
        <f t="shared" si="23"/>
        <v>3.3799643171340821E-4</v>
      </c>
      <c r="AJ57" s="31">
        <f t="shared" si="24"/>
        <v>3.3802395693942333E-4</v>
      </c>
      <c r="AK57" s="31">
        <f t="shared" si="25"/>
        <v>3.3796892309216273E-4</v>
      </c>
      <c r="AL57" s="5">
        <f t="shared" si="14"/>
        <v>0.16604769642603043</v>
      </c>
      <c r="AM57" s="3">
        <f t="shared" si="15"/>
        <v>8.3850217692721808E-4</v>
      </c>
    </row>
    <row r="58" spans="1:39" x14ac:dyDescent="0.25">
      <c r="A58" s="12" t="s">
        <v>15</v>
      </c>
      <c r="B58" s="12" t="s">
        <v>16</v>
      </c>
      <c r="D58" s="12" t="s">
        <v>24</v>
      </c>
      <c r="E58" s="16">
        <f>INDEX(LINEST(D48:D52, A59:B63, 1, 0), 3)</f>
        <v>7.0473961258901374E-2</v>
      </c>
      <c r="F58" s="6"/>
      <c r="G58" s="3"/>
      <c r="H58" s="3"/>
      <c r="N58" s="6"/>
      <c r="P58" s="3"/>
      <c r="Y58" s="23">
        <f t="shared" si="4"/>
        <v>1.0479999999999947</v>
      </c>
      <c r="Z58" s="7">
        <f t="shared" si="5"/>
        <v>0</v>
      </c>
      <c r="AC58" s="29">
        <f t="shared" si="16"/>
        <v>1.2899999999999949</v>
      </c>
      <c r="AD58" s="29">
        <f t="shared" si="6"/>
        <v>1.2899899999999949</v>
      </c>
      <c r="AE58" s="29">
        <f t="shared" si="19"/>
        <v>1.290009999999995</v>
      </c>
      <c r="AF58" s="30">
        <f t="shared" si="20"/>
        <v>9.9506501090592142E-2</v>
      </c>
      <c r="AG58" s="30">
        <f t="shared" si="21"/>
        <v>9.9501252694305625E-2</v>
      </c>
      <c r="AH58" s="30">
        <f t="shared" si="22"/>
        <v>9.9511749890668494E-2</v>
      </c>
      <c r="AI58" s="31">
        <f t="shared" si="23"/>
        <v>3.2621328073834804E-4</v>
      </c>
      <c r="AJ58" s="31">
        <f t="shared" si="24"/>
        <v>3.2623309175497037E-4</v>
      </c>
      <c r="AK58" s="31">
        <f t="shared" si="25"/>
        <v>3.2619348406625823E-4</v>
      </c>
      <c r="AL58" s="5">
        <f t="shared" si="14"/>
        <v>0.14344532506260774</v>
      </c>
      <c r="AM58" s="3">
        <f t="shared" si="15"/>
        <v>7.2436546801846191E-4</v>
      </c>
    </row>
    <row r="59" spans="1:39" x14ac:dyDescent="0.25">
      <c r="A59" s="16">
        <f>LN(F48 / $B$5)</f>
        <v>-5.6945420648547525E-2</v>
      </c>
      <c r="B59" s="16">
        <f>A59^2</f>
        <v>3.2427809328400229E-3</v>
      </c>
      <c r="D59" s="12" t="s">
        <v>26</v>
      </c>
      <c r="E59" s="16">
        <f>INDEX(LINEST(D48:D52, A59:B63, 1, 0), 2)</f>
        <v>-0.11814139885599927</v>
      </c>
      <c r="F59" s="6"/>
      <c r="G59" s="3"/>
      <c r="H59" s="3"/>
      <c r="N59" s="6"/>
      <c r="P59" s="3"/>
      <c r="Y59" s="23">
        <f t="shared" si="4"/>
        <v>1.0489999999999946</v>
      </c>
      <c r="Z59" s="7">
        <f t="shared" si="5"/>
        <v>0</v>
      </c>
      <c r="AC59" s="29">
        <f t="shared" si="16"/>
        <v>1.2949999999999948</v>
      </c>
      <c r="AD59" s="29">
        <f t="shared" si="6"/>
        <v>1.2949899999999948</v>
      </c>
      <c r="AE59" s="29">
        <f t="shared" si="19"/>
        <v>1.2950099999999949</v>
      </c>
      <c r="AF59" s="30">
        <f t="shared" si="20"/>
        <v>0.10218107243151314</v>
      </c>
      <c r="AG59" s="30">
        <f t="shared" si="21"/>
        <v>0.10217562334533849</v>
      </c>
      <c r="AH59" s="30">
        <f t="shared" si="22"/>
        <v>0.10218652191665938</v>
      </c>
      <c r="AI59" s="31">
        <f t="shared" si="23"/>
        <v>3.1802706055063593E-4</v>
      </c>
      <c r="AJ59" s="31">
        <f t="shared" si="24"/>
        <v>3.1804015279919204E-4</v>
      </c>
      <c r="AK59" s="31">
        <f t="shared" si="25"/>
        <v>3.1801398090598038E-4</v>
      </c>
      <c r="AL59" s="5">
        <f t="shared" si="14"/>
        <v>0.1260390056212479</v>
      </c>
      <c r="AM59" s="3">
        <f t="shared" si="15"/>
        <v>6.364676106075188E-4</v>
      </c>
    </row>
    <row r="60" spans="1:39" x14ac:dyDescent="0.25">
      <c r="A60" s="16">
        <f>LN(F49 / $B$5)</f>
        <v>-2.5707057589528355E-2</v>
      </c>
      <c r="B60" s="16">
        <f>A60^2</f>
        <v>6.6085280991132742E-4</v>
      </c>
      <c r="D60" s="12" t="s">
        <v>27</v>
      </c>
      <c r="E60" s="16">
        <f>INDEX(LINEST(D48:D52, A59:B63, 1, 0), 1)</f>
        <v>3.6128335465894481</v>
      </c>
      <c r="F60" s="6"/>
      <c r="G60" s="3"/>
      <c r="H60" s="3"/>
      <c r="N60" s="6"/>
      <c r="P60" s="3"/>
      <c r="Y60" s="23">
        <f t="shared" si="4"/>
        <v>1.0499999999999945</v>
      </c>
      <c r="Z60" s="7">
        <f t="shared" si="5"/>
        <v>0</v>
      </c>
      <c r="AC60" s="29">
        <f t="shared" si="16"/>
        <v>1.2999999999999947</v>
      </c>
      <c r="AD60" s="29">
        <f t="shared" si="6"/>
        <v>1.2999899999999946</v>
      </c>
      <c r="AE60" s="29">
        <f t="shared" si="19"/>
        <v>1.3000099999999948</v>
      </c>
      <c r="AF60" s="30">
        <f t="shared" si="20"/>
        <v>0.10495538810075672</v>
      </c>
      <c r="AG60" s="30">
        <f t="shared" si="21"/>
        <v>0.10494974071665944</v>
      </c>
      <c r="AH60" s="30">
        <f t="shared" si="22"/>
        <v>0.10496103587907596</v>
      </c>
      <c r="AI60" s="31">
        <f t="shared" si="23"/>
        <v>3.1300038011328885E-4</v>
      </c>
      <c r="AJ60" s="31">
        <f t="shared" si="24"/>
        <v>3.1300751708777594E-4</v>
      </c>
      <c r="AK60" s="31">
        <f t="shared" si="25"/>
        <v>3.1299325441457373E-4</v>
      </c>
      <c r="AL60" s="5">
        <f t="shared" si="14"/>
        <v>0.11275771982788284</v>
      </c>
      <c r="AM60" s="3">
        <f t="shared" si="15"/>
        <v>5.6940021196347874E-4</v>
      </c>
    </row>
    <row r="61" spans="1:39" x14ac:dyDescent="0.25">
      <c r="A61" s="16">
        <f>LN(F50 / $B$5)</f>
        <v>3.8159626475972114E-4</v>
      </c>
      <c r="B61" s="16">
        <f>A61^2</f>
        <v>1.4561570927857119E-7</v>
      </c>
      <c r="F61" s="6"/>
      <c r="G61" s="3"/>
      <c r="H61" s="3"/>
      <c r="N61" s="6"/>
      <c r="P61" s="3"/>
      <c r="Y61" s="23">
        <f t="shared" si="4"/>
        <v>1.0509999999999944</v>
      </c>
      <c r="Z61" s="7">
        <f t="shared" si="5"/>
        <v>0</v>
      </c>
      <c r="AC61" s="29">
        <f t="shared" si="16"/>
        <v>1.3049999999999946</v>
      </c>
      <c r="AD61" s="29">
        <f t="shared" si="6"/>
        <v>1.3049899999999945</v>
      </c>
      <c r="AE61" s="29">
        <f t="shared" si="19"/>
        <v>1.3050099999999947</v>
      </c>
      <c r="AF61" s="30">
        <f t="shared" si="20"/>
        <v>0.10782826065280654</v>
      </c>
      <c r="AG61" s="30">
        <f t="shared" si="21"/>
        <v>0.10782241732877099</v>
      </c>
      <c r="AH61" s="30">
        <f t="shared" si="22"/>
        <v>0.10783410436638168</v>
      </c>
      <c r="AI61" s="31">
        <f t="shared" si="23"/>
        <v>3.1079949559060377E-4</v>
      </c>
      <c r="AJ61" s="31">
        <f t="shared" si="24"/>
        <v>3.1080125603707986E-4</v>
      </c>
      <c r="AK61" s="31">
        <f t="shared" si="25"/>
        <v>3.1079774542163568E-4</v>
      </c>
      <c r="AL61" s="5">
        <f t="shared" si="14"/>
        <v>0.1027750801130267</v>
      </c>
      <c r="AM61" s="3">
        <f t="shared" si="15"/>
        <v>5.1899020741327545E-4</v>
      </c>
    </row>
    <row r="62" spans="1:39" x14ac:dyDescent="0.25">
      <c r="A62" s="16">
        <f>LN(F51 / $B$5)</f>
        <v>2.3722351444471133E-2</v>
      </c>
      <c r="B62" s="16">
        <f>A62^2</f>
        <v>5.6274995805500163E-4</v>
      </c>
      <c r="D62" s="3"/>
      <c r="E62" s="10"/>
      <c r="F62" s="6"/>
      <c r="G62" s="3"/>
      <c r="H62" s="3"/>
      <c r="N62" s="6"/>
      <c r="P62" s="3"/>
      <c r="Y62" s="23">
        <f t="shared" si="4"/>
        <v>1.0519999999999943</v>
      </c>
      <c r="Z62" s="7">
        <f t="shared" si="5"/>
        <v>0</v>
      </c>
      <c r="AC62" s="29">
        <f t="shared" si="16"/>
        <v>1.3099999999999945</v>
      </c>
      <c r="AD62" s="29">
        <f t="shared" si="6"/>
        <v>1.3099899999999944</v>
      </c>
      <c r="AE62" s="29">
        <f t="shared" si="19"/>
        <v>1.3100099999999946</v>
      </c>
      <c r="AF62" s="30">
        <f t="shared" si="20"/>
        <v>0.11079851948363537</v>
      </c>
      <c r="AG62" s="30">
        <f t="shared" si="21"/>
        <v>0.11079248254425783</v>
      </c>
      <c r="AH62" s="30">
        <f t="shared" si="22"/>
        <v>0.11080455680793636</v>
      </c>
      <c r="AI62" s="31">
        <f t="shared" si="23"/>
        <v>3.1117349182008605E-4</v>
      </c>
      <c r="AJ62" s="31">
        <f t="shared" si="24"/>
        <v>3.111703062942707E-4</v>
      </c>
      <c r="AK62" s="31">
        <f t="shared" si="25"/>
        <v>3.1117668689058242E-4</v>
      </c>
      <c r="AL62" s="5">
        <f t="shared" si="14"/>
        <v>9.5446810177701721E-2</v>
      </c>
      <c r="AM62" s="3">
        <f t="shared" si="15"/>
        <v>4.8198415176698345E-4</v>
      </c>
    </row>
    <row r="63" spans="1:39" x14ac:dyDescent="0.25">
      <c r="A63" s="16">
        <f>LN(F52 / $B$5)</f>
        <v>4.7662286390246132E-2</v>
      </c>
      <c r="B63" s="16">
        <f>A63^2</f>
        <v>2.2716935439458415E-3</v>
      </c>
      <c r="D63" s="3"/>
      <c r="E63" s="10"/>
      <c r="F63" s="6"/>
      <c r="G63" s="3"/>
      <c r="H63" s="3"/>
      <c r="N63" s="6"/>
      <c r="P63" s="3"/>
      <c r="Y63" s="23">
        <f t="shared" si="4"/>
        <v>1.0529999999999942</v>
      </c>
      <c r="Z63" s="7">
        <f t="shared" si="5"/>
        <v>0</v>
      </c>
      <c r="AC63" s="29">
        <f t="shared" si="16"/>
        <v>1.3149999999999944</v>
      </c>
      <c r="AD63" s="29">
        <f t="shared" si="6"/>
        <v>1.3149899999999943</v>
      </c>
      <c r="AE63" s="29">
        <f t="shared" si="19"/>
        <v>1.3150099999999945</v>
      </c>
      <c r="AF63" s="30">
        <f t="shared" si="20"/>
        <v>0.11386501053735512</v>
      </c>
      <c r="AG63" s="30">
        <f t="shared" si="21"/>
        <v>0.11385878227442427</v>
      </c>
      <c r="AH63" s="30">
        <f t="shared" si="22"/>
        <v>0.11387123918065836</v>
      </c>
      <c r="AI63" s="31">
        <f t="shared" si="23"/>
        <v>3.1393814495277172E-4</v>
      </c>
      <c r="AJ63" s="31">
        <f t="shared" si="24"/>
        <v>3.1393032418629632E-4</v>
      </c>
      <c r="AK63" s="31">
        <f t="shared" si="25"/>
        <v>3.1394597474689034E-4</v>
      </c>
      <c r="AL63" s="5">
        <f t="shared" si="14"/>
        <v>9.0276432163083328E-2</v>
      </c>
      <c r="AM63" s="3">
        <f t="shared" si="15"/>
        <v>4.5587494751960362E-4</v>
      </c>
    </row>
    <row r="64" spans="1:39" x14ac:dyDescent="0.25">
      <c r="N64" s="6"/>
      <c r="P64" s="3"/>
      <c r="Y64" s="23">
        <f t="shared" si="4"/>
        <v>1.0539999999999941</v>
      </c>
      <c r="Z64" s="7">
        <f t="shared" si="5"/>
        <v>0</v>
      </c>
      <c r="AC64" s="29">
        <f t="shared" si="16"/>
        <v>1.3199999999999943</v>
      </c>
      <c r="AD64" s="29">
        <f t="shared" si="6"/>
        <v>1.3199899999999942</v>
      </c>
      <c r="AE64" s="29">
        <f t="shared" si="19"/>
        <v>1.3200099999999944</v>
      </c>
      <c r="AF64" s="30">
        <f t="shared" si="20"/>
        <v>0.11702659601899054</v>
      </c>
      <c r="AG64" s="30">
        <f t="shared" si="21"/>
        <v>0.11702017869205583</v>
      </c>
      <c r="AH64" s="30">
        <f t="shared" si="22"/>
        <v>0.11703301372181048</v>
      </c>
      <c r="AI64" s="31">
        <f t="shared" si="23"/>
        <v>3.1896338596181135E-4</v>
      </c>
      <c r="AJ64" s="31">
        <f t="shared" si="24"/>
        <v>3.1895114293068946E-4</v>
      </c>
      <c r="AK64" s="31">
        <f t="shared" si="25"/>
        <v>3.1897563768035729E-4</v>
      </c>
      <c r="AL64" s="5">
        <f t="shared" si="14"/>
        <v>8.6874240440293335E-2</v>
      </c>
      <c r="AM64" s="3">
        <f t="shared" si="15"/>
        <v>4.386946720488506E-4</v>
      </c>
    </row>
    <row r="65" spans="1:39" x14ac:dyDescent="0.25">
      <c r="A65" s="12"/>
      <c r="B65" s="12" t="s">
        <v>21</v>
      </c>
      <c r="C65" s="12" t="s">
        <v>11</v>
      </c>
      <c r="D65" s="12" t="s">
        <v>22</v>
      </c>
      <c r="E65" s="12" t="s">
        <v>23</v>
      </c>
      <c r="F65" s="12" t="s">
        <v>38</v>
      </c>
      <c r="N65" s="6"/>
      <c r="P65" s="3"/>
      <c r="Y65" s="23">
        <f t="shared" si="4"/>
        <v>1.0549999999999939</v>
      </c>
      <c r="Z65" s="7">
        <f t="shared" si="5"/>
        <v>0</v>
      </c>
      <c r="AC65" s="29">
        <f t="shared" si="16"/>
        <v>1.3249999999999942</v>
      </c>
      <c r="AD65" s="29">
        <f t="shared" si="6"/>
        <v>1.3249899999999941</v>
      </c>
      <c r="AE65" s="29">
        <f t="shared" si="19"/>
        <v>1.3250099999999942</v>
      </c>
      <c r="AF65" s="30">
        <f t="shared" si="20"/>
        <v>0.12028215411322575</v>
      </c>
      <c r="AG65" s="30">
        <f t="shared" si="21"/>
        <v>0.12027554995015415</v>
      </c>
      <c r="AH65" s="30">
        <f t="shared" si="22"/>
        <v>0.12028875864775826</v>
      </c>
      <c r="AI65" s="31">
        <f t="shared" si="23"/>
        <v>3.261635314992014E-4</v>
      </c>
      <c r="AJ65" s="31">
        <f t="shared" si="24"/>
        <v>3.2614699865378925E-4</v>
      </c>
      <c r="AK65" s="31">
        <f t="shared" si="25"/>
        <v>3.2618007283829152E-4</v>
      </c>
      <c r="AL65" s="5">
        <f t="shared" si="14"/>
        <v>8.4936779831679118E-2</v>
      </c>
      <c r="AM65" s="3">
        <f t="shared" si="15"/>
        <v>4.2891094741429991E-4</v>
      </c>
    </row>
    <row r="66" spans="1:39" x14ac:dyDescent="0.25">
      <c r="A66" s="12" t="s">
        <v>1</v>
      </c>
      <c r="B66" s="17">
        <f>$F$3</f>
        <v>1.1000000000000001</v>
      </c>
      <c r="C66" s="13">
        <f>E58 + E59*LN(B66/$B$5) + E60*LN(B66/$B$5)^2</f>
        <v>8.622579050245649E-2</v>
      </c>
      <c r="D66" s="18">
        <f>1 / (C66 * SQRT($B$2)) * (LN($B$1/B66) + ($B$3-$B$4 + C66^2/2)*$B$2)</f>
        <v>1.2201302845360589</v>
      </c>
      <c r="E66" s="18">
        <f>1 / (C66 * SQRT($B$2)) * (LN($B$1/B66) + ($B$3-$B$4 - C66^2/2)*$B$2)</f>
        <v>1.1770173892848306</v>
      </c>
      <c r="F66" s="19">
        <f>($B$1*EXP(-$B$4*$B$2)*_xlfn.NORM.DIST(D66,0,1,1) - B66*EXP(-$B$3*$B$2)*_xlfn.NORM.DIST(E66, 0, 1, 1)) * $F$2</f>
        <v>60526.247840826385</v>
      </c>
      <c r="N66" s="6"/>
      <c r="P66" s="3"/>
      <c r="Y66" s="23">
        <f t="shared" si="4"/>
        <v>1.0559999999999938</v>
      </c>
      <c r="Z66" s="7">
        <f t="shared" si="5"/>
        <v>0</v>
      </c>
      <c r="AC66" s="29">
        <f t="shared" si="16"/>
        <v>1.3299999999999941</v>
      </c>
      <c r="AD66" s="29">
        <f t="shared" si="6"/>
        <v>1.329989999999994</v>
      </c>
      <c r="AE66" s="29">
        <f t="shared" si="19"/>
        <v>1.3300099999999941</v>
      </c>
      <c r="AF66" s="30">
        <f t="shared" si="20"/>
        <v>0.12363057870897971</v>
      </c>
      <c r="AG66" s="30">
        <f t="shared" si="21"/>
        <v>0.12362378990650076</v>
      </c>
      <c r="AH66" s="30">
        <f t="shared" si="22"/>
        <v>0.12363736787855695</v>
      </c>
      <c r="AI66" s="31">
        <f t="shared" si="23"/>
        <v>3.354896412784119E-4</v>
      </c>
      <c r="AJ66" s="31">
        <f t="shared" si="24"/>
        <v>3.3546888405417731E-4</v>
      </c>
      <c r="AK66" s="31">
        <f t="shared" si="25"/>
        <v>3.3551040692508978E-4</v>
      </c>
      <c r="AL66" s="5">
        <f t="shared" si="14"/>
        <v>8.4224432983504002E-2</v>
      </c>
      <c r="AM66" s="3">
        <f t="shared" si="15"/>
        <v>4.2531376181173926E-4</v>
      </c>
    </row>
    <row r="67" spans="1:39" x14ac:dyDescent="0.25">
      <c r="A67" s="12" t="s">
        <v>25</v>
      </c>
      <c r="B67" s="17">
        <f>$F$3 + $F$13</f>
        <v>1.1001000000000001</v>
      </c>
      <c r="C67" s="13">
        <f>E58 + E59*LN(B67/$B$5) + E60*LN(B67/$B$5)^2</f>
        <v>8.6181138712864341E-2</v>
      </c>
      <c r="D67" s="18">
        <f>1 / (C67 * SQRT($B$2)) * (LN($B$1/B67) + ($B$3-$B$4 + C67^2/2)*$B$2)</f>
        <v>1.2186304959683001</v>
      </c>
      <c r="E67" s="18">
        <f>1 / (C67 * SQRT($B$2)) * (LN($B$1/B67) + ($B$3-$B$4 - C67^2/2)*$B$2)</f>
        <v>1.1755399266118678</v>
      </c>
      <c r="F67" s="19">
        <f>($B$1*EXP(-$B$4*$B$2)*_xlfn.NORM.DIST(D67,0,1,1) - B67*EXP(-$B$3*$B$2)*_xlfn.NORM.DIST(E67, 0, 1, 1)) * $F$2</f>
        <v>60434.149188765216</v>
      </c>
      <c r="N67" s="6"/>
      <c r="P67" s="3"/>
      <c r="Y67" s="23">
        <f t="shared" si="4"/>
        <v>1.0569999999999937</v>
      </c>
      <c r="Z67" s="7">
        <f t="shared" si="5"/>
        <v>0</v>
      </c>
      <c r="AC67" s="29">
        <f t="shared" si="16"/>
        <v>1.334999999999994</v>
      </c>
      <c r="AD67" s="29">
        <f t="shared" si="6"/>
        <v>1.3349899999999939</v>
      </c>
      <c r="AE67" s="29">
        <f t="shared" si="19"/>
        <v>1.335009999999994</v>
      </c>
      <c r="AF67" s="30">
        <f t="shared" si="20"/>
        <v>0.12707077912966708</v>
      </c>
      <c r="AG67" s="30">
        <f t="shared" si="21"/>
        <v>0.12706380785390681</v>
      </c>
      <c r="AH67" s="30">
        <f t="shared" si="22"/>
        <v>0.12707775076822364</v>
      </c>
      <c r="AI67" s="31">
        <f t="shared" si="23"/>
        <v>3.4692351028337357E-4</v>
      </c>
      <c r="AJ67" s="31">
        <f t="shared" si="24"/>
        <v>3.4689853775173897E-4</v>
      </c>
      <c r="AK67" s="31">
        <f t="shared" si="25"/>
        <v>3.4694849126977803E-4</v>
      </c>
      <c r="AL67" s="5">
        <f t="shared" si="14"/>
        <v>8.454769870325228E-2</v>
      </c>
      <c r="AM67" s="3">
        <f t="shared" si="15"/>
        <v>4.2694617837378188E-4</v>
      </c>
    </row>
    <row r="68" spans="1:39" x14ac:dyDescent="0.25">
      <c r="A68" s="12" t="s">
        <v>2</v>
      </c>
      <c r="B68" s="17">
        <f>$F$4</f>
        <v>1.2</v>
      </c>
      <c r="C68" s="13">
        <f>E58 + E59*LN(B68/$B$5) + E60*LN(B68/$B$5)^2</f>
        <v>7.0810610119536044E-2</v>
      </c>
      <c r="D68" s="18">
        <f>1 / (C68 * SQRT($B$2)) * (LN($B$1/B68) + ($B$3-$B$4 + C68^2/2)*$B$2)</f>
        <v>-0.98037909393137179</v>
      </c>
      <c r="E68" s="18">
        <f>1 / (C68 * SQRT($B$2)) * (LN($B$1/B68) + ($B$3-$B$4 - C68^2/2)*$B$2)</f>
        <v>-1.0157843989911399</v>
      </c>
      <c r="F68" s="19">
        <f>($B$1*EXP(-$B$4*$B$2)*_xlfn.NORM.DIST(D68,0,1,1) - B68*EXP(-$B$3*$B$2)*_xlfn.NORM.DIST(E68, 0, 1, 1)) * $F$2</f>
        <v>3458.8828285815607</v>
      </c>
      <c r="N68" s="6"/>
      <c r="P68" s="3"/>
      <c r="Y68" s="23">
        <f t="shared" si="4"/>
        <v>1.0579999999999936</v>
      </c>
      <c r="Z68" s="7">
        <f t="shared" si="5"/>
        <v>0</v>
      </c>
      <c r="AC68" s="29">
        <f t="shared" si="16"/>
        <v>1.3399999999999939</v>
      </c>
      <c r="AD68" s="29">
        <f t="shared" si="6"/>
        <v>1.3399899999999938</v>
      </c>
      <c r="AE68" s="29">
        <f t="shared" si="19"/>
        <v>1.3400099999999939</v>
      </c>
      <c r="AF68" s="30">
        <f t="shared" si="20"/>
        <v>0.13060167986901033</v>
      </c>
      <c r="AG68" s="30">
        <f t="shared" si="21"/>
        <v>0.13059452825601423</v>
      </c>
      <c r="AH68" s="30">
        <f t="shared" si="22"/>
        <v>0.13060883184056041</v>
      </c>
      <c r="AI68" s="31">
        <f t="shared" si="23"/>
        <v>3.6047291881641241E-4</v>
      </c>
      <c r="AJ68" s="31">
        <f t="shared" si="24"/>
        <v>3.6044369213390423E-4</v>
      </c>
      <c r="AK68" s="31">
        <f t="shared" si="25"/>
        <v>3.6050215407459896E-4</v>
      </c>
      <c r="AL68" s="5">
        <f t="shared" si="14"/>
        <v>8.5756783618773355E-2</v>
      </c>
      <c r="AM68" s="3">
        <f t="shared" si="15"/>
        <v>4.3305177547374468E-4</v>
      </c>
    </row>
    <row r="69" spans="1:39" x14ac:dyDescent="0.25">
      <c r="A69" s="12" t="s">
        <v>28</v>
      </c>
      <c r="B69" s="17">
        <f>$F$4+$F$13</f>
        <v>1.2000999999999999</v>
      </c>
      <c r="C69" s="13">
        <f>E58 + E59*LN(B69/$B$5) + E60*LN(B69/$B$5)^2</f>
        <v>7.0822067630880448E-2</v>
      </c>
      <c r="D69" s="18">
        <f>1 / (C69 * SQRT($B$2)) * (LN($B$1/B69) + ($B$3-$B$4 + C69^2/2)*$B$2)</f>
        <v>-0.98256797846553157</v>
      </c>
      <c r="E69" s="18">
        <f>1 / (C69 * SQRT($B$2)) * (LN($B$1/B69) + ($B$3-$B$4 - C69^2/2)*$B$2)</f>
        <v>-1.0179790122809718</v>
      </c>
      <c r="F69" s="19">
        <f>($B$1*EXP(-$B$4*$B$2)*_xlfn.NORM.DIST(D69,0,1,1) - B69*EXP(-$B$3*$B$2)*_xlfn.NORM.DIST(E69, 0, 1, 1)) * $F$2</f>
        <v>3445.1816260736846</v>
      </c>
      <c r="N69" s="6"/>
      <c r="P69" s="3"/>
      <c r="Y69" s="23">
        <f t="shared" si="4"/>
        <v>1.0589999999999935</v>
      </c>
      <c r="Z69" s="7">
        <f t="shared" si="5"/>
        <v>0</v>
      </c>
      <c r="AC69" s="29">
        <f t="shared" si="16"/>
        <v>1.3449999999999938</v>
      </c>
      <c r="AD69" s="29">
        <f t="shared" si="6"/>
        <v>1.3449899999999937</v>
      </c>
      <c r="AE69" s="29">
        <f t="shared" si="19"/>
        <v>1.3450099999999938</v>
      </c>
      <c r="AF69" s="30">
        <f t="shared" si="20"/>
        <v>0.1342222203322673</v>
      </c>
      <c r="AG69" s="30">
        <f t="shared" si="21"/>
        <v>0.13421489048851254</v>
      </c>
      <c r="AH69" s="30">
        <f t="shared" si="22"/>
        <v>0.13422955053039243</v>
      </c>
      <c r="AI69" s="31">
        <f t="shared" si="23"/>
        <v>3.7616785131613234E-4</v>
      </c>
      <c r="AJ69" s="31">
        <f t="shared" si="24"/>
        <v>3.7613429047684763E-4</v>
      </c>
      <c r="AK69" s="31">
        <f t="shared" si="25"/>
        <v>3.7620142092857287E-4</v>
      </c>
      <c r="AL69" s="5">
        <f t="shared" si="14"/>
        <v>8.7731558129355833E-2</v>
      </c>
      <c r="AM69" s="3">
        <f t="shared" si="15"/>
        <v>4.4302392661889128E-4</v>
      </c>
    </row>
    <row r="70" spans="1:39" x14ac:dyDescent="0.25">
      <c r="N70" s="6"/>
      <c r="P70" s="3"/>
      <c r="Y70" s="23">
        <f t="shared" si="4"/>
        <v>1.0599999999999934</v>
      </c>
      <c r="Z70" s="7">
        <f t="shared" si="5"/>
        <v>0</v>
      </c>
      <c r="AC70" s="29">
        <f t="shared" si="16"/>
        <v>1.3499999999999936</v>
      </c>
      <c r="AD70" s="29">
        <f t="shared" si="6"/>
        <v>1.3499899999999936</v>
      </c>
      <c r="AE70" s="29">
        <f t="shared" si="19"/>
        <v>1.3500099999999937</v>
      </c>
      <c r="AF70" s="30">
        <f t="shared" si="20"/>
        <v>0.1379313545827463</v>
      </c>
      <c r="AG70" s="30">
        <f t="shared" si="21"/>
        <v>0.13792384858564338</v>
      </c>
      <c r="AH70" s="30">
        <f t="shared" si="22"/>
        <v>0.13793886093009355</v>
      </c>
      <c r="AI70" s="31">
        <f t="shared" si="23"/>
        <v>3.9405746212343648E-4</v>
      </c>
      <c r="AJ70" s="31">
        <f t="shared" si="24"/>
        <v>3.9401945140243519E-4</v>
      </c>
      <c r="AK70" s="31">
        <f t="shared" si="25"/>
        <v>3.9409548188173646E-4</v>
      </c>
      <c r="AL70" s="5">
        <f t="shared" si="14"/>
        <v>9.0372986871756197E-2</v>
      </c>
      <c r="AM70" s="3">
        <f t="shared" si="15"/>
        <v>4.5636252630062475E-4</v>
      </c>
    </row>
    <row r="71" spans="1:39" x14ac:dyDescent="0.25">
      <c r="A71" s="12" t="s">
        <v>29</v>
      </c>
      <c r="B71" s="19">
        <f>(F66 - F67) / $F$13</f>
        <v>920986.5206116956</v>
      </c>
      <c r="C71" s="12" t="s">
        <v>30</v>
      </c>
      <c r="D71" s="19">
        <f>(F68 - F69) / $F$13</f>
        <v>137012.02507876133</v>
      </c>
      <c r="E71" s="12" t="s">
        <v>0</v>
      </c>
      <c r="F71" s="19">
        <f>B71-D71</f>
        <v>783974.49553293432</v>
      </c>
      <c r="N71" s="6"/>
      <c r="P71" s="3"/>
      <c r="Y71" s="23">
        <f t="shared" si="4"/>
        <v>1.0609999999999933</v>
      </c>
      <c r="Z71" s="7">
        <f t="shared" si="5"/>
        <v>0</v>
      </c>
      <c r="AC71" s="29"/>
    </row>
    <row r="72" spans="1:39" x14ac:dyDescent="0.25">
      <c r="N72" s="6"/>
      <c r="P72" s="3"/>
      <c r="Y72" s="23">
        <f t="shared" si="4"/>
        <v>1.0619999999999932</v>
      </c>
      <c r="Z72" s="7">
        <f t="shared" si="5"/>
        <v>0</v>
      </c>
      <c r="AC72" s="11"/>
    </row>
    <row r="73" spans="1:39" s="9" customFormat="1" x14ac:dyDescent="0.25">
      <c r="A73" s="8" t="s">
        <v>32</v>
      </c>
      <c r="B73" s="8"/>
      <c r="C73" s="8"/>
      <c r="D73" s="8"/>
      <c r="E73" s="8"/>
      <c r="F73" s="8"/>
      <c r="G73" s="8"/>
      <c r="H73" s="8"/>
      <c r="J73" s="8" t="s">
        <v>58</v>
      </c>
      <c r="K73" s="8"/>
      <c r="L73" s="8"/>
      <c r="M73" s="8"/>
      <c r="N73" s="8"/>
      <c r="O73" s="8"/>
      <c r="P73" s="8"/>
      <c r="Q73" s="8"/>
      <c r="R73" s="8"/>
      <c r="S73"/>
      <c r="T73"/>
      <c r="U73"/>
      <c r="V73"/>
      <c r="W73"/>
      <c r="X73"/>
      <c r="Y73" s="23">
        <f t="shared" si="4"/>
        <v>1.0629999999999931</v>
      </c>
      <c r="Z73" s="7">
        <f t="shared" si="5"/>
        <v>0</v>
      </c>
      <c r="AC73" s="11"/>
    </row>
    <row r="74" spans="1:39" x14ac:dyDescent="0.25">
      <c r="Y74" s="23">
        <f t="shared" si="4"/>
        <v>1.063999999999993</v>
      </c>
      <c r="Z74" s="7">
        <f t="shared" si="5"/>
        <v>0</v>
      </c>
      <c r="AC74" s="11"/>
    </row>
    <row r="75" spans="1:39" x14ac:dyDescent="0.25">
      <c r="A75" s="33" t="s">
        <v>34</v>
      </c>
      <c r="B75" s="33"/>
      <c r="C75" s="33" t="s">
        <v>35</v>
      </c>
      <c r="D75" s="33"/>
      <c r="E75" s="33" t="s">
        <v>36</v>
      </c>
      <c r="F75" s="33"/>
      <c r="G75" s="33"/>
      <c r="H75" s="4"/>
      <c r="J75" s="33" t="s">
        <v>34</v>
      </c>
      <c r="K75" s="33"/>
      <c r="L75" s="33" t="s">
        <v>35</v>
      </c>
      <c r="M75" s="33"/>
      <c r="N75" s="33" t="s">
        <v>36</v>
      </c>
      <c r="O75" s="33"/>
      <c r="P75" s="33"/>
      <c r="Q75" s="36"/>
      <c r="R75" s="36"/>
      <c r="Y75" s="23">
        <f t="shared" ref="Y75:Y138" si="26">Y74+$X$10</f>
        <v>1.0649999999999928</v>
      </c>
      <c r="Z75" s="7">
        <f t="shared" ref="Z75:Z138" si="27">IF(AND(Y75&gt;=$F$3, Y75&lt;=$F$4), $F$2, 0)</f>
        <v>0</v>
      </c>
      <c r="AC75" s="11"/>
    </row>
    <row r="76" spans="1:39" x14ac:dyDescent="0.25">
      <c r="A76" s="12" t="s">
        <v>10</v>
      </c>
      <c r="B76" s="12" t="s">
        <v>11</v>
      </c>
      <c r="C76" s="12" t="s">
        <v>21</v>
      </c>
      <c r="D76" s="12" t="s">
        <v>11</v>
      </c>
      <c r="E76" s="12" t="s">
        <v>12</v>
      </c>
      <c r="F76" s="12" t="s">
        <v>13</v>
      </c>
      <c r="G76" s="12" t="s">
        <v>14</v>
      </c>
      <c r="J76" s="12" t="s">
        <v>10</v>
      </c>
      <c r="K76" s="12" t="s">
        <v>11</v>
      </c>
      <c r="L76" s="12" t="s">
        <v>21</v>
      </c>
      <c r="M76" s="12" t="s">
        <v>11</v>
      </c>
      <c r="N76" s="12" t="s">
        <v>12</v>
      </c>
      <c r="O76" s="12" t="s">
        <v>13</v>
      </c>
      <c r="P76" s="12" t="s">
        <v>14</v>
      </c>
      <c r="Y76" s="23">
        <f t="shared" si="26"/>
        <v>1.0659999999999927</v>
      </c>
      <c r="Z76" s="7">
        <f t="shared" si="27"/>
        <v>0</v>
      </c>
      <c r="AC76" s="11"/>
    </row>
    <row r="77" spans="1:39" x14ac:dyDescent="0.25">
      <c r="A77" s="12" t="s">
        <v>4</v>
      </c>
      <c r="B77" s="20">
        <f>$B$19</f>
        <v>6.9000000000000006E-2</v>
      </c>
      <c r="C77" s="12" t="s">
        <v>17</v>
      </c>
      <c r="D77" s="13">
        <f>B77 + B81 - B79/2</f>
        <v>8.7499999999999994E-2</v>
      </c>
      <c r="E77" s="14">
        <v>0.9</v>
      </c>
      <c r="F77" s="15">
        <f>$B$1 / EXP(_xlfn.NORM.INV(E77 * EXP($B$4*$B$2), 0, 1) * D77 * SQRT($B$2) - ($B$3 - $B$4 + D77^2/2)*$B$2)</f>
        <v>1.0949090068168106</v>
      </c>
      <c r="G77" s="16">
        <f t="shared" ref="G77:G79" si="28">EXP(-$B$4*$B$2)*_xlfn.NORM.DIST(1/(D77*SQRT($B$2)) * (LN($B$1 / F77) + ($B$3 - $B$4 + D77^2/2)*$B$2), 0, 1, 1)</f>
        <v>0.90000000000000024</v>
      </c>
      <c r="H77" s="3"/>
      <c r="J77" s="12" t="s">
        <v>4</v>
      </c>
      <c r="K77" s="20">
        <f>$B$19</f>
        <v>6.9000000000000006E-2</v>
      </c>
      <c r="L77" s="12" t="s">
        <v>17</v>
      </c>
      <c r="M77" s="13">
        <f>K77 + K81 - K79/2</f>
        <v>8.6999999999999994E-2</v>
      </c>
      <c r="N77" s="14">
        <v>0.9</v>
      </c>
      <c r="O77" s="15">
        <f>$B$1 / EXP(_xlfn.NORM.INV(N77 * EXP($B$4*$B$2), 0, 1) * M77 * SQRT($B$2) - ($B$3 - $B$4 + M77^2/2)*$B$2)</f>
        <v>1.0952554366665379</v>
      </c>
      <c r="P77" s="16">
        <f t="shared" ref="P77:P79" si="29">EXP(-$B$4*$B$2)*_xlfn.NORM.DIST(1/(M77*SQRT($B$2)) * (LN($B$1 / O77) + ($B$3 - $B$4 + M77^2/2)*$B$2), 0, 1, 1)</f>
        <v>0.9</v>
      </c>
      <c r="Q77" s="3"/>
      <c r="R77" s="3"/>
      <c r="Y77" s="23">
        <f t="shared" si="26"/>
        <v>1.0669999999999926</v>
      </c>
      <c r="Z77" s="7">
        <f t="shared" si="27"/>
        <v>0</v>
      </c>
      <c r="AC77" s="11"/>
    </row>
    <row r="78" spans="1:39" x14ac:dyDescent="0.25">
      <c r="A78" s="12" t="s">
        <v>6</v>
      </c>
      <c r="B78" s="13">
        <f>$B$20+$F$12</f>
        <v>-7.0000000000000001E-3</v>
      </c>
      <c r="C78" s="12" t="s">
        <v>18</v>
      </c>
      <c r="D78" s="13">
        <f>B77+B80 - B78/2</f>
        <v>7.5500000000000012E-2</v>
      </c>
      <c r="E78" s="14">
        <v>0.75</v>
      </c>
      <c r="F78" s="15">
        <f>$B$1 / EXP(_xlfn.NORM.INV(E78 * EXP($B$4*$B$2), 0, 1) * D78 * SQRT($B$2) - ($B$3 - $B$4 + D78^2/2)*$B$2)</f>
        <v>1.1294872188272151</v>
      </c>
      <c r="G78" s="16">
        <f t="shared" si="28"/>
        <v>0.74999999999999944</v>
      </c>
      <c r="H78" s="3"/>
      <c r="J78" s="12" t="s">
        <v>6</v>
      </c>
      <c r="K78" s="20">
        <f>$B$20</f>
        <v>-8.0000000000000002E-3</v>
      </c>
      <c r="L78" s="12" t="s">
        <v>18</v>
      </c>
      <c r="M78" s="13">
        <f>K77+K80 - K78/2</f>
        <v>7.6000000000000012E-2</v>
      </c>
      <c r="N78" s="14">
        <v>0.75</v>
      </c>
      <c r="O78" s="15">
        <f>$B$1 / EXP(_xlfn.NORM.INV(N78 * EXP($B$4*$B$2), 0, 1) * M78 * SQRT($B$2) - ($B$3 - $B$4 + M78^2/2)*$B$2)</f>
        <v>1.1293039487620771</v>
      </c>
      <c r="P78" s="16">
        <f t="shared" si="29"/>
        <v>0.75000000000000044</v>
      </c>
      <c r="Q78" s="3"/>
      <c r="R78" s="3"/>
      <c r="Y78" s="23">
        <f t="shared" si="26"/>
        <v>1.0679999999999925</v>
      </c>
      <c r="Z78" s="7">
        <f t="shared" si="27"/>
        <v>0</v>
      </c>
      <c r="AC78" s="11"/>
    </row>
    <row r="79" spans="1:39" x14ac:dyDescent="0.25">
      <c r="A79" s="12" t="s">
        <v>8</v>
      </c>
      <c r="B79" s="20">
        <f>$B$21</f>
        <v>-1.4999999999999999E-2</v>
      </c>
      <c r="C79" s="12" t="s">
        <v>4</v>
      </c>
      <c r="D79" s="13">
        <f>B77</f>
        <v>6.9000000000000006E-2</v>
      </c>
      <c r="E79" s="14">
        <v>0.5</v>
      </c>
      <c r="F79" s="15">
        <f>$B$1 / EXP(_xlfn.NORM.INV(E79 * EXP($B$4*$B$2), 0, 1) * D79 * SQRT($B$2) - ($B$3 - $B$4 + D79^2/2)*$B$2)</f>
        <v>1.1587614138335498</v>
      </c>
      <c r="G79" s="16">
        <f t="shared" si="28"/>
        <v>0.50000000000000022</v>
      </c>
      <c r="H79" s="3"/>
      <c r="J79" s="12" t="s">
        <v>8</v>
      </c>
      <c r="K79" s="13">
        <f>$B$21+$F$12</f>
        <v>-1.3999999999999999E-2</v>
      </c>
      <c r="L79" s="12" t="s">
        <v>4</v>
      </c>
      <c r="M79" s="13">
        <f>K77</f>
        <v>6.9000000000000006E-2</v>
      </c>
      <c r="N79" s="14">
        <v>0.5</v>
      </c>
      <c r="O79" s="15">
        <f>$B$1 / EXP(_xlfn.NORM.INV(N79 * EXP($B$4*$B$2), 0, 1) * M79 * SQRT($B$2) - ($B$3 - $B$4 + M79^2/2)*$B$2)</f>
        <v>1.1587614138335498</v>
      </c>
      <c r="P79" s="16">
        <f t="shared" si="29"/>
        <v>0.50000000000000022</v>
      </c>
      <c r="Q79" s="3"/>
      <c r="R79" s="3"/>
      <c r="Y79" s="23">
        <f t="shared" si="26"/>
        <v>1.0689999999999924</v>
      </c>
      <c r="Z79" s="7">
        <f t="shared" si="27"/>
        <v>0</v>
      </c>
      <c r="AC79" s="11"/>
    </row>
    <row r="80" spans="1:39" x14ac:dyDescent="0.25">
      <c r="A80" s="12" t="s">
        <v>7</v>
      </c>
      <c r="B80" s="20">
        <f>$B$22</f>
        <v>3.0000000000000001E-3</v>
      </c>
      <c r="C80" s="12" t="s">
        <v>19</v>
      </c>
      <c r="D80" s="13">
        <f>B77 + B80 + B78/2</f>
        <v>6.8500000000000005E-2</v>
      </c>
      <c r="E80" s="14">
        <v>0.25</v>
      </c>
      <c r="F80" s="15">
        <f>$B$1 / EXP(_xlfn.NORM.INV(E80 * EXP($B$4*$B$2), 0, 1) * D80 * SQRT($B$2) - ($B$3 - $B$4 + D80^2/2)*$B$2)</f>
        <v>1.1859336292735845</v>
      </c>
      <c r="G80" s="16">
        <f>EXP(-$B$4*$B$2)*_xlfn.NORM.DIST(1/(D80*SQRT($B$2)) * (LN($B$1 / F80) + ($B$3 - $B$4 + D80^2/2)*$B$2), 0, 1, 1)</f>
        <v>0.2500000000000005</v>
      </c>
      <c r="H80" s="3"/>
      <c r="J80" s="12" t="s">
        <v>7</v>
      </c>
      <c r="K80" s="20">
        <f>$B$22</f>
        <v>3.0000000000000001E-3</v>
      </c>
      <c r="L80" s="12" t="s">
        <v>19</v>
      </c>
      <c r="M80" s="13">
        <f>K77 + K80 + K78/2</f>
        <v>6.8000000000000005E-2</v>
      </c>
      <c r="N80" s="14">
        <v>0.25</v>
      </c>
      <c r="O80" s="15">
        <f>$B$1 / EXP(_xlfn.NORM.INV(N80 * EXP($B$4*$B$2), 0, 1) * M80 * SQRT($B$2) - ($B$3 - $B$4 + M80^2/2)*$B$2)</f>
        <v>1.1857247812154261</v>
      </c>
      <c r="P80" s="16">
        <f>EXP(-$B$4*$B$2)*_xlfn.NORM.DIST(1/(M80*SQRT($B$2)) * (LN($B$1 / O80) + ($B$3 - $B$4 + M80^2/2)*$B$2), 0, 1, 1)</f>
        <v>0.25000000000000094</v>
      </c>
      <c r="Q80" s="3"/>
      <c r="R80" s="3"/>
      <c r="Y80" s="23">
        <f t="shared" si="26"/>
        <v>1.0699999999999923</v>
      </c>
      <c r="Z80" s="7">
        <f t="shared" si="27"/>
        <v>0</v>
      </c>
      <c r="AC80" s="11"/>
    </row>
    <row r="81" spans="1:29" x14ac:dyDescent="0.25">
      <c r="A81" s="12" t="s">
        <v>9</v>
      </c>
      <c r="B81" s="20">
        <f>$B$23</f>
        <v>1.0999999999999999E-2</v>
      </c>
      <c r="C81" s="12" t="s">
        <v>20</v>
      </c>
      <c r="D81" s="13">
        <f>B77 + B81 + B79/2</f>
        <v>7.2500000000000009E-2</v>
      </c>
      <c r="E81" s="14">
        <v>0.1</v>
      </c>
      <c r="F81" s="15">
        <f>$B$1 / EXP(_xlfn.NORM.INV(E81 * EXP($B$4*$B$2), 0, 1) * D81 * SQRT($B$2) - ($B$3 - $B$4 + D81^2/2)*$B$2)</f>
        <v>1.2140828375149078</v>
      </c>
      <c r="G81" s="16">
        <f>EXP(-$B$4*$B$2)*_xlfn.NORM.DIST(1/(D81*SQRT($B$2)) * (LN($B$1 / F81) + ($B$3 - $B$4 + D81^2/2)*$B$2), 0, 1, 1)</f>
        <v>9.9999999999999215E-2</v>
      </c>
      <c r="H81" s="3"/>
      <c r="J81" s="12" t="s">
        <v>9</v>
      </c>
      <c r="K81" s="20">
        <f>$B$23</f>
        <v>1.0999999999999999E-2</v>
      </c>
      <c r="L81" s="12" t="s">
        <v>20</v>
      </c>
      <c r="M81" s="13">
        <f>K77 + K81 + K79/2</f>
        <v>7.3000000000000009E-2</v>
      </c>
      <c r="N81" s="14">
        <v>0.1</v>
      </c>
      <c r="O81" s="15">
        <f>$B$1 / EXP(_xlfn.NORM.INV(N81 * EXP($B$4*$B$2), 0, 1) * M81 * SQRT($B$2) - ($B$3 - $B$4 + M81^2/2)*$B$2)</f>
        <v>1.2144820125080726</v>
      </c>
      <c r="P81" s="16">
        <f>EXP(-$B$4*$B$2)*_xlfn.NORM.DIST(1/(M81*SQRT($B$2)) * (LN($B$1 / O81) + ($B$3 - $B$4 + M81^2/2)*$B$2), 0, 1, 1)</f>
        <v>0.10000000000000021</v>
      </c>
      <c r="Q81" s="3"/>
      <c r="R81" s="3"/>
      <c r="Y81" s="23">
        <f t="shared" si="26"/>
        <v>1.0709999999999922</v>
      </c>
      <c r="Z81" s="7">
        <f t="shared" si="27"/>
        <v>0</v>
      </c>
      <c r="AC81" s="11"/>
    </row>
    <row r="82" spans="1:29" x14ac:dyDescent="0.25">
      <c r="B82" s="3"/>
      <c r="D82" s="3"/>
      <c r="E82" s="10"/>
      <c r="F82" s="6"/>
      <c r="G82" s="3"/>
      <c r="K82" s="3"/>
      <c r="M82" s="3"/>
      <c r="N82" s="10"/>
      <c r="O82" s="6"/>
      <c r="P82" s="3"/>
      <c r="Y82" s="23">
        <f t="shared" si="26"/>
        <v>1.0719999999999921</v>
      </c>
      <c r="Z82" s="7">
        <f t="shared" si="27"/>
        <v>0</v>
      </c>
      <c r="AC82" s="11"/>
    </row>
    <row r="83" spans="1:29" x14ac:dyDescent="0.25">
      <c r="A83" t="s">
        <v>71</v>
      </c>
      <c r="B83" s="3"/>
      <c r="D83" s="3"/>
      <c r="E83" s="10"/>
      <c r="F83" s="6"/>
      <c r="G83" s="3"/>
      <c r="J83" t="s">
        <v>71</v>
      </c>
      <c r="K83" s="3"/>
      <c r="M83" s="3"/>
      <c r="N83" s="10"/>
      <c r="O83" s="6"/>
      <c r="P83" s="3"/>
      <c r="Y83" s="23">
        <f t="shared" si="26"/>
        <v>1.072999999999992</v>
      </c>
      <c r="Z83" s="7">
        <f t="shared" si="27"/>
        <v>0</v>
      </c>
      <c r="AC83" s="11"/>
    </row>
    <row r="84" spans="1:29" x14ac:dyDescent="0.25">
      <c r="A84" t="s">
        <v>72</v>
      </c>
      <c r="B84" s="3"/>
      <c r="D84" s="3"/>
      <c r="E84" s="10"/>
      <c r="F84" s="6"/>
      <c r="G84" s="3"/>
      <c r="H84" s="5"/>
      <c r="J84" t="s">
        <v>72</v>
      </c>
      <c r="K84" s="3"/>
      <c r="M84" s="3"/>
      <c r="N84" s="10"/>
      <c r="O84" s="6"/>
      <c r="P84" s="3"/>
      <c r="Q84" s="5"/>
      <c r="R84" s="7"/>
      <c r="Y84" s="23">
        <f t="shared" si="26"/>
        <v>1.0739999999999919</v>
      </c>
      <c r="Z84" s="7">
        <f t="shared" si="27"/>
        <v>0</v>
      </c>
      <c r="AC84" s="11"/>
    </row>
    <row r="85" spans="1:29" x14ac:dyDescent="0.25">
      <c r="B85" s="3"/>
      <c r="D85" s="3"/>
      <c r="E85" s="10"/>
      <c r="F85" s="6"/>
      <c r="G85" s="3"/>
      <c r="H85" s="5"/>
      <c r="K85" s="3"/>
      <c r="M85" s="3"/>
      <c r="N85" s="10"/>
      <c r="O85" s="6"/>
      <c r="P85" s="3"/>
      <c r="Q85" s="5"/>
      <c r="R85" s="7"/>
      <c r="Y85" s="23">
        <f t="shared" si="26"/>
        <v>1.0749999999999917</v>
      </c>
      <c r="Z85" s="7">
        <f t="shared" si="27"/>
        <v>0</v>
      </c>
      <c r="AC85" s="11"/>
    </row>
    <row r="86" spans="1:29" x14ac:dyDescent="0.25">
      <c r="A86" s="33" t="s">
        <v>37</v>
      </c>
      <c r="B86" s="33"/>
      <c r="D86" t="s">
        <v>56</v>
      </c>
      <c r="F86" s="6"/>
      <c r="G86" s="3"/>
      <c r="H86" s="5"/>
      <c r="J86" s="33" t="s">
        <v>37</v>
      </c>
      <c r="K86" s="33"/>
      <c r="M86" t="s">
        <v>56</v>
      </c>
      <c r="O86" s="6"/>
      <c r="P86" s="3"/>
      <c r="Q86" s="5"/>
      <c r="R86" s="7"/>
      <c r="Y86" s="23">
        <f t="shared" si="26"/>
        <v>1.0759999999999916</v>
      </c>
      <c r="Z86" s="7">
        <f t="shared" si="27"/>
        <v>0</v>
      </c>
      <c r="AC86" s="11"/>
    </row>
    <row r="87" spans="1:29" x14ac:dyDescent="0.25">
      <c r="A87" s="12" t="s">
        <v>15</v>
      </c>
      <c r="B87" s="12" t="s">
        <v>16</v>
      </c>
      <c r="D87" s="12" t="s">
        <v>24</v>
      </c>
      <c r="E87" s="16">
        <f>INDEX(LINEST(D77:D81, A88:B92, 1, 0), 3)</f>
        <v>6.946518070165425E-2</v>
      </c>
      <c r="F87" s="6"/>
      <c r="G87" s="3"/>
      <c r="H87" s="5"/>
      <c r="J87" s="12" t="s">
        <v>15</v>
      </c>
      <c r="K87" s="12" t="s">
        <v>16</v>
      </c>
      <c r="M87" s="12" t="s">
        <v>24</v>
      </c>
      <c r="N87" s="16">
        <f>INDEX(LINEST(M77:M81, J88:K92, 1, 0), 3)</f>
        <v>6.9474351803922432E-2</v>
      </c>
      <c r="O87" s="6"/>
      <c r="P87" s="3"/>
      <c r="Q87" s="5"/>
      <c r="R87" s="7"/>
      <c r="Y87" s="23">
        <f t="shared" si="26"/>
        <v>1.0769999999999915</v>
      </c>
      <c r="Z87" s="7">
        <f t="shared" si="27"/>
        <v>0</v>
      </c>
      <c r="AC87" s="11"/>
    </row>
    <row r="88" spans="1:29" x14ac:dyDescent="0.25">
      <c r="A88" s="16">
        <f>LN(F77 / $B$5)</f>
        <v>-5.631290706777313E-2</v>
      </c>
      <c r="B88" s="16">
        <f>A88^2</f>
        <v>3.171143502423653E-3</v>
      </c>
      <c r="D88" s="12" t="s">
        <v>26</v>
      </c>
      <c r="E88" s="16">
        <f>INDEX(LINEST(D77:D81, A88:B92, 1, 0), 2)</f>
        <v>-0.11549211454019667</v>
      </c>
      <c r="F88" s="6"/>
      <c r="G88" s="3"/>
      <c r="H88" s="5"/>
      <c r="J88" s="16">
        <f>LN(O77 / $B$5)</f>
        <v>-5.5996556527385777E-2</v>
      </c>
      <c r="K88" s="16">
        <f>J88^2</f>
        <v>3.1356143429247104E-3</v>
      </c>
      <c r="M88" s="12" t="s">
        <v>26</v>
      </c>
      <c r="N88" s="16">
        <f>INDEX(LINEST(M77:M81, J88:K92, 1, 0), 2)</f>
        <v>-0.11304854397681864</v>
      </c>
      <c r="O88" s="6"/>
      <c r="P88" s="3"/>
      <c r="Q88" s="5"/>
      <c r="R88" s="7"/>
      <c r="Y88" s="23">
        <f t="shared" si="26"/>
        <v>1.0779999999999914</v>
      </c>
      <c r="Z88" s="7">
        <f t="shared" si="27"/>
        <v>0</v>
      </c>
      <c r="AC88" s="11"/>
    </row>
    <row r="89" spans="1:29" x14ac:dyDescent="0.25">
      <c r="A89" s="16">
        <f>LN(F78 / $B$5)</f>
        <v>-2.5220427003368632E-2</v>
      </c>
      <c r="B89" s="16">
        <f>A89^2</f>
        <v>6.3606993823224565E-4</v>
      </c>
      <c r="D89" s="12" t="s">
        <v>27</v>
      </c>
      <c r="E89" s="16">
        <f>INDEX(LINEST(D77:D81, A88:B92, 1, 0), 1)</f>
        <v>3.7204916008498397</v>
      </c>
      <c r="F89" s="6"/>
      <c r="G89" s="3"/>
      <c r="H89" s="5"/>
      <c r="J89" s="16">
        <f>LN(O78 / $B$5)</f>
        <v>-2.5382699698755316E-2</v>
      </c>
      <c r="K89" s="16">
        <f>J89^2</f>
        <v>6.442814439971932E-4</v>
      </c>
      <c r="M89" s="12" t="s">
        <v>27</v>
      </c>
      <c r="N89" s="16">
        <f>INDEX(LINEST(M77:M81, J88:K92, 1, 0), 1)</f>
        <v>3.7253267083323305</v>
      </c>
      <c r="O89" s="6"/>
      <c r="P89" s="3"/>
      <c r="Q89" s="5"/>
      <c r="R89" s="7"/>
      <c r="Y89" s="23">
        <f t="shared" si="26"/>
        <v>1.0789999999999913</v>
      </c>
      <c r="Z89" s="7">
        <f t="shared" si="27"/>
        <v>0</v>
      </c>
      <c r="AC89" s="11"/>
    </row>
    <row r="90" spans="1:29" x14ac:dyDescent="0.25">
      <c r="A90" s="16">
        <f>LN(F79 / $B$5)</f>
        <v>3.6751988954891534E-4</v>
      </c>
      <c r="B90" s="16">
        <f>A90^2</f>
        <v>1.3507086921404693E-7</v>
      </c>
      <c r="F90" s="6"/>
      <c r="G90" s="3"/>
      <c r="H90" s="5"/>
      <c r="J90" s="16">
        <f>LN(O79 / $B$5)</f>
        <v>3.6751988954891534E-4</v>
      </c>
      <c r="K90" s="16">
        <f>J90^2</f>
        <v>1.3507086921404693E-7</v>
      </c>
      <c r="O90" s="6"/>
      <c r="P90" s="3"/>
      <c r="Q90" s="5"/>
      <c r="R90" s="7"/>
      <c r="Y90" s="23">
        <f t="shared" si="26"/>
        <v>1.0799999999999912</v>
      </c>
      <c r="Z90" s="7">
        <f t="shared" si="27"/>
        <v>0</v>
      </c>
      <c r="AC90" s="11"/>
    </row>
    <row r="91" spans="1:29" x14ac:dyDescent="0.25">
      <c r="A91" s="16">
        <f>LN(F80 / $B$5)</f>
        <v>2.3546169097047414E-2</v>
      </c>
      <c r="B91" s="16">
        <f>A91^2</f>
        <v>5.5442207914675062E-4</v>
      </c>
      <c r="D91" s="3"/>
      <c r="E91" s="10"/>
      <c r="F91" s="6"/>
      <c r="G91" s="3"/>
      <c r="H91" s="5"/>
      <c r="J91" s="16">
        <f>LN(O80 / $B$5)</f>
        <v>2.3370049249623742E-2</v>
      </c>
      <c r="K91" s="16">
        <f>J91^2</f>
        <v>5.4615920192983922E-4</v>
      </c>
      <c r="M91" s="3"/>
      <c r="N91" s="10"/>
      <c r="O91" s="6"/>
      <c r="P91" s="3"/>
      <c r="Q91" s="5"/>
      <c r="R91" s="7"/>
      <c r="Y91" s="23">
        <f t="shared" si="26"/>
        <v>1.0809999999999911</v>
      </c>
      <c r="Z91" s="7">
        <f t="shared" si="27"/>
        <v>0</v>
      </c>
      <c r="AC91" s="11"/>
    </row>
    <row r="92" spans="1:29" x14ac:dyDescent="0.25">
      <c r="A92" s="16">
        <f>LN(F81 / $B$5)</f>
        <v>4.7004757408746337E-2</v>
      </c>
      <c r="B92" s="16">
        <f>A92^2</f>
        <v>2.2094472190550937E-3</v>
      </c>
      <c r="D92" s="3"/>
      <c r="E92" s="10"/>
      <c r="F92" s="6"/>
      <c r="G92" s="3"/>
      <c r="H92" s="5"/>
      <c r="J92" s="16">
        <f>LN(O81 / $B$5)</f>
        <v>4.7333490649496254E-2</v>
      </c>
      <c r="K92" s="16">
        <f>J92^2</f>
        <v>2.2404593370659491E-3</v>
      </c>
      <c r="M92" s="3"/>
      <c r="N92" s="10"/>
      <c r="O92" s="6"/>
      <c r="P92" s="3"/>
      <c r="Q92" s="5"/>
      <c r="R92" s="7"/>
      <c r="Y92" s="23">
        <f t="shared" si="26"/>
        <v>1.081999999999991</v>
      </c>
      <c r="Z92" s="7">
        <f t="shared" si="27"/>
        <v>0</v>
      </c>
      <c r="AC92" s="11"/>
    </row>
    <row r="93" spans="1:29" x14ac:dyDescent="0.25">
      <c r="H93" s="5"/>
      <c r="Q93" s="5"/>
      <c r="R93" s="7"/>
      <c r="Y93" s="23">
        <f t="shared" si="26"/>
        <v>1.0829999999999909</v>
      </c>
      <c r="Z93" s="7">
        <f t="shared" si="27"/>
        <v>0</v>
      </c>
      <c r="AC93" s="11"/>
    </row>
    <row r="94" spans="1:29" x14ac:dyDescent="0.25">
      <c r="A94" s="12"/>
      <c r="B94" s="12" t="s">
        <v>21</v>
      </c>
      <c r="C94" s="12" t="s">
        <v>11</v>
      </c>
      <c r="D94" s="12" t="s">
        <v>22</v>
      </c>
      <c r="E94" s="12" t="s">
        <v>23</v>
      </c>
      <c r="F94" s="12" t="s">
        <v>38</v>
      </c>
      <c r="H94" s="5"/>
      <c r="J94" s="12"/>
      <c r="K94" s="12" t="s">
        <v>21</v>
      </c>
      <c r="L94" s="12" t="s">
        <v>11</v>
      </c>
      <c r="M94" s="12" t="s">
        <v>22</v>
      </c>
      <c r="N94" s="12" t="s">
        <v>23</v>
      </c>
      <c r="O94" s="12" t="s">
        <v>38</v>
      </c>
      <c r="Q94" s="5"/>
      <c r="R94" s="7"/>
      <c r="Y94" s="23">
        <f t="shared" si="26"/>
        <v>1.0839999999999907</v>
      </c>
      <c r="Z94" s="7">
        <f t="shared" si="27"/>
        <v>0</v>
      </c>
      <c r="AC94" s="11"/>
    </row>
    <row r="95" spans="1:29" x14ac:dyDescent="0.25">
      <c r="A95" s="12" t="s">
        <v>1</v>
      </c>
      <c r="B95" s="17">
        <f>$F$3</f>
        <v>1.1000000000000001</v>
      </c>
      <c r="C95" s="13">
        <f>E87 + E88*LN(B95/$B$5) + E89*LN(B95/$B$5)^2</f>
        <v>8.5367579509653874E-2</v>
      </c>
      <c r="D95" s="18">
        <f>1 / (C95 * SQRT($B$2)) * (LN($B$1/B95) + ($B$3-$B$4 + C95^2/2)*$B$2)</f>
        <v>1.231965145024482</v>
      </c>
      <c r="E95" s="18">
        <f>1 / (C95 * SQRT($B$2)) * (LN($B$1/B95) + ($B$3-$B$4 - C95^2/2)*$B$2)</f>
        <v>1.1892813552696548</v>
      </c>
      <c r="F95" s="19">
        <f>($B$1*EXP(-$B$4*$B$2)*_xlfn.NORM.DIST(D95,0,1,1) - B95*EXP(-$B$3*$B$2)*_xlfn.NORM.DIST(E95, 0, 1, 1)) * $F$2</f>
        <v>60433.565356773026</v>
      </c>
      <c r="H95" s="5"/>
      <c r="J95" s="12" t="s">
        <v>1</v>
      </c>
      <c r="K95" s="17">
        <f>$F$3</f>
        <v>1.1000000000000001</v>
      </c>
      <c r="L95" s="13">
        <f>N87 + N88*LN(K95/$B$5) + N89*LN(K95/$B$5)^2</f>
        <v>8.5263392284413611E-2</v>
      </c>
      <c r="M95" s="18">
        <f>1 / (L95 * SQRT($B$2)) * (LN($B$1/K95) + ($B$3-$B$4 + L95^2/2)*$B$2)</f>
        <v>1.2334184139463502</v>
      </c>
      <c r="N95" s="18">
        <f>1 / (L95 * SQRT($B$2)) * (LN($B$1/K95) + ($B$3-$B$4 - L95^2/2)*$B$2)</f>
        <v>1.1907867178041434</v>
      </c>
      <c r="O95" s="19">
        <f>($B$1*EXP(-$B$4*$B$2)*_xlfn.NORM.DIST(M95,0,1,1) - K95*EXP(-$B$3*$B$2)*_xlfn.NORM.DIST(N95, 0, 1, 1)) * $F$2</f>
        <v>60422.405491518337</v>
      </c>
      <c r="Q95" s="5"/>
      <c r="R95" s="7"/>
      <c r="Y95" s="23">
        <f t="shared" si="26"/>
        <v>1.0849999999999906</v>
      </c>
      <c r="Z95" s="7">
        <f t="shared" si="27"/>
        <v>0</v>
      </c>
      <c r="AC95" s="11"/>
    </row>
    <row r="96" spans="1:29" x14ac:dyDescent="0.25">
      <c r="A96" s="12" t="s">
        <v>25</v>
      </c>
      <c r="B96" s="17">
        <f>$F$3 + $F$13</f>
        <v>1.1001000000000001</v>
      </c>
      <c r="C96" s="13">
        <f>E87 + E88*LN(B96/$B$5) + E89*LN(B96/$B$5)^2</f>
        <v>8.5322158012220484E-2</v>
      </c>
      <c r="D96" s="18">
        <f>1 / (C96 * SQRT($B$2)) * (LN($B$1/B96) + ($B$3-$B$4 + C96^2/2)*$B$2)</f>
        <v>1.2304674044020067</v>
      </c>
      <c r="E96" s="18">
        <f>1 / (C96 * SQRT($B$2)) * (LN($B$1/B96) + ($B$3-$B$4 - C96^2/2)*$B$2)</f>
        <v>1.1878063253958966</v>
      </c>
      <c r="F96" s="19">
        <f>($B$1*EXP(-$B$4*$B$2)*_xlfn.NORM.DIST(D96,0,1,1) - B96*EXP(-$B$3*$B$2)*_xlfn.NORM.DIST(E96, 0, 1, 1)) * $F$2</f>
        <v>60341.213066726348</v>
      </c>
      <c r="H96" s="5"/>
      <c r="J96" s="12" t="s">
        <v>25</v>
      </c>
      <c r="K96" s="17">
        <f>$F$3 + $F$13</f>
        <v>1.1001000000000001</v>
      </c>
      <c r="L96" s="13">
        <f>N87 + N88*LN(K96/$B$5) + N89*LN(K96/$B$5)^2</f>
        <v>8.5218147534539448E-2</v>
      </c>
      <c r="M96" s="18">
        <f>1 / (L96 * SQRT($B$2)) * (LN($B$1/K96) + ($B$3-$B$4 + L96^2/2)*$B$2)</f>
        <v>1.2319171778530404</v>
      </c>
      <c r="N96" s="18">
        <f>1 / (L96 * SQRT($B$2)) * (LN($B$1/K96) + ($B$3-$B$4 - L96^2/2)*$B$2)</f>
        <v>1.1893081040857707</v>
      </c>
      <c r="O96" s="19">
        <f>($B$1*EXP(-$B$4*$B$2)*_xlfn.NORM.DIST(M96,0,1,1) - K96*EXP(-$B$3*$B$2)*_xlfn.NORM.DIST(N96, 0, 1, 1)) * $F$2</f>
        <v>60330.051534084552</v>
      </c>
      <c r="Q96" s="5"/>
      <c r="R96" s="7"/>
      <c r="Y96" s="23">
        <f t="shared" si="26"/>
        <v>1.0859999999999905</v>
      </c>
      <c r="Z96" s="7">
        <f t="shared" si="27"/>
        <v>0</v>
      </c>
      <c r="AC96" s="11"/>
    </row>
    <row r="97" spans="1:29" x14ac:dyDescent="0.25">
      <c r="A97" s="12" t="s">
        <v>2</v>
      </c>
      <c r="B97" s="17">
        <f>$F$4</f>
        <v>1.2</v>
      </c>
      <c r="C97" s="13">
        <f>E87 + E88*LN(B97/$B$5) + E89*LN(B97/$B$5)^2</f>
        <v>7.0029884306091278E-2</v>
      </c>
      <c r="D97" s="18">
        <f>1 / (C97 * SQRT($B$2)) * (LN($B$1/B97) + ($B$3-$B$4 + C97^2/2)*$B$2)</f>
        <v>-0.9917013562176018</v>
      </c>
      <c r="E97" s="18">
        <f>1 / (C97 * SQRT($B$2)) * (LN($B$1/B97) + ($B$3-$B$4 - C97^2/2)*$B$2)</f>
        <v>-1.0267162983706475</v>
      </c>
      <c r="F97" s="19">
        <f>($B$1*EXP(-$B$4*$B$2)*_xlfn.NORM.DIST(D97,0,1,1) - B97*EXP(-$B$3*$B$2)*_xlfn.NORM.DIST(E97, 0, 1, 1)) * $F$2</f>
        <v>3348.9351136826717</v>
      </c>
      <c r="H97" s="5"/>
      <c r="J97" s="12" t="s">
        <v>2</v>
      </c>
      <c r="K97" s="17">
        <f>$F$4</f>
        <v>1.2</v>
      </c>
      <c r="L97" s="13">
        <f>N87 + N88*LN(K97/$B$5) + N89*LN(K97/$B$5)^2</f>
        <v>7.0131442559991611E-2</v>
      </c>
      <c r="M97" s="18">
        <f>1 / (L97 * SQRT($B$2)) * (LN($B$1/K97) + ($B$3-$B$4 + L97^2/2)*$B$2)</f>
        <v>-0.99021451822843498</v>
      </c>
      <c r="N97" s="18">
        <f>1 / (L97 * SQRT($B$2)) * (LN($B$1/K97) + ($B$3-$B$4 - L97^2/2)*$B$2)</f>
        <v>-1.0252802395084306</v>
      </c>
      <c r="O97" s="19">
        <f>($B$1*EXP(-$B$4*$B$2)*_xlfn.NORM.DIST(M97,0,1,1) - K97*EXP(-$B$3*$B$2)*_xlfn.NORM.DIST(N97, 0, 1, 1)) * $F$2</f>
        <v>3363.1676772711285</v>
      </c>
      <c r="Q97" s="5"/>
      <c r="R97" s="7"/>
      <c r="Y97" s="23">
        <f t="shared" si="26"/>
        <v>1.0869999999999904</v>
      </c>
      <c r="Z97" s="7">
        <f t="shared" si="27"/>
        <v>0</v>
      </c>
      <c r="AC97" s="11"/>
    </row>
    <row r="98" spans="1:29" x14ac:dyDescent="0.25">
      <c r="A98" s="12" t="s">
        <v>28</v>
      </c>
      <c r="B98" s="17">
        <f>$F$4+$F$13</f>
        <v>1.2000999999999999</v>
      </c>
      <c r="C98" s="13">
        <f>E87 + E88*LN(B98/$B$5) + E89*LN(B98/$B$5)^2</f>
        <v>7.0042197362160857E-2</v>
      </c>
      <c r="D98" s="18">
        <f>1 / (C98 * SQRT($B$2)) * (LN($B$1/B98) + ($B$3-$B$4 + C98^2/2)*$B$2)</f>
        <v>-0.99390028308106693</v>
      </c>
      <c r="E98" s="18">
        <f>1 / (C98 * SQRT($B$2)) * (LN($B$1/B98) + ($B$3-$B$4 - C98^2/2)*$B$2)</f>
        <v>-1.0289213817621472</v>
      </c>
      <c r="F98" s="19">
        <f>($B$1*EXP(-$B$4*$B$2)*_xlfn.NORM.DIST(D98,0,1,1) - B98*EXP(-$B$3*$B$2)*_xlfn.NORM.DIST(E98, 0, 1, 1)) * $F$2</f>
        <v>3335.5919826787981</v>
      </c>
      <c r="H98" s="5"/>
      <c r="J98" s="12" t="s">
        <v>28</v>
      </c>
      <c r="K98" s="17">
        <f>$F$4+$F$13</f>
        <v>1.2000999999999999</v>
      </c>
      <c r="L98" s="13">
        <f>N87 + N88*LN(K98/$B$5) + N89*LN(K98/$B$5)^2</f>
        <v>7.014398774752395E-2</v>
      </c>
      <c r="M98" s="18">
        <f>1 / (L98 * SQRT($B$2)) * (LN($B$1/K98) + ($B$3-$B$4 + L98^2/2)*$B$2)</f>
        <v>-0.99240711313675856</v>
      </c>
      <c r="N98" s="18">
        <f>1 / (L98 * SQRT($B$2)) * (LN($B$1/K98) + ($B$3-$B$4 - L98^2/2)*$B$2)</f>
        <v>-1.0274791070105205</v>
      </c>
      <c r="O98" s="19">
        <f>($B$1*EXP(-$B$4*$B$2)*_xlfn.NORM.DIST(M98,0,1,1) - K98*EXP(-$B$3*$B$2)*_xlfn.NORM.DIST(N98, 0, 1, 1)) * $F$2</f>
        <v>3349.8260375691425</v>
      </c>
      <c r="Q98" s="5"/>
      <c r="R98" s="7"/>
      <c r="Y98" s="23">
        <f t="shared" si="26"/>
        <v>1.0879999999999903</v>
      </c>
      <c r="Z98" s="7">
        <f t="shared" si="27"/>
        <v>0</v>
      </c>
      <c r="AC98" s="11"/>
    </row>
    <row r="99" spans="1:29" x14ac:dyDescent="0.25">
      <c r="H99" s="5"/>
      <c r="Q99" s="5"/>
      <c r="R99" s="7"/>
      <c r="Y99" s="23">
        <f t="shared" si="26"/>
        <v>1.0889999999999902</v>
      </c>
      <c r="Z99" s="7">
        <f t="shared" si="27"/>
        <v>0</v>
      </c>
      <c r="AC99" s="11"/>
    </row>
    <row r="100" spans="1:29" x14ac:dyDescent="0.25">
      <c r="A100" s="12" t="s">
        <v>29</v>
      </c>
      <c r="B100" s="19">
        <f>(F95 - F96) / $F$13</f>
        <v>923522.90046677808</v>
      </c>
      <c r="C100" s="12" t="s">
        <v>30</v>
      </c>
      <c r="D100" s="19">
        <f>(F97 - F98) / $F$13</f>
        <v>133431.31003873624</v>
      </c>
      <c r="E100" s="12" t="s">
        <v>0</v>
      </c>
      <c r="F100" s="19">
        <f>B100-D100</f>
        <v>790091.59042804188</v>
      </c>
      <c r="H100" s="5"/>
      <c r="J100" s="12" t="s">
        <v>29</v>
      </c>
      <c r="K100" s="19">
        <f>(O95 - O96) / $F$13</f>
        <v>923539.57433784672</v>
      </c>
      <c r="L100" s="12" t="s">
        <v>30</v>
      </c>
      <c r="M100" s="19">
        <f>(O97 - O98) / $F$13</f>
        <v>133416.39701985969</v>
      </c>
      <c r="N100" s="12" t="s">
        <v>0</v>
      </c>
      <c r="O100" s="19">
        <f>K100-M100</f>
        <v>790123.17731798696</v>
      </c>
      <c r="Q100" s="5"/>
      <c r="R100" s="7"/>
      <c r="Y100" s="23">
        <f t="shared" si="26"/>
        <v>1.0899999999999901</v>
      </c>
      <c r="Z100" s="7">
        <f t="shared" si="27"/>
        <v>0</v>
      </c>
      <c r="AC100" s="11"/>
    </row>
    <row r="101" spans="1:29" x14ac:dyDescent="0.25">
      <c r="N101" s="11"/>
      <c r="Y101" s="23">
        <f t="shared" si="26"/>
        <v>1.09099999999999</v>
      </c>
      <c r="Z101" s="7">
        <f t="shared" si="27"/>
        <v>0</v>
      </c>
      <c r="AC101" s="11"/>
    </row>
    <row r="102" spans="1:29" x14ac:dyDescent="0.25">
      <c r="A102" s="8" t="s">
        <v>59</v>
      </c>
      <c r="B102" s="1"/>
      <c r="C102" s="1"/>
      <c r="D102" s="1"/>
      <c r="E102" s="1"/>
      <c r="F102" s="1"/>
      <c r="G102" s="1"/>
      <c r="H102" s="1"/>
      <c r="J102" s="8" t="s">
        <v>33</v>
      </c>
      <c r="K102" s="1"/>
      <c r="L102" s="1"/>
      <c r="M102" s="1"/>
      <c r="N102" s="1"/>
      <c r="O102" s="1"/>
      <c r="P102" s="1"/>
      <c r="Q102" s="1"/>
      <c r="R102" s="1"/>
      <c r="Y102" s="23">
        <f t="shared" si="26"/>
        <v>1.0919999999999899</v>
      </c>
      <c r="Z102" s="7">
        <f t="shared" si="27"/>
        <v>0</v>
      </c>
      <c r="AC102" s="11"/>
    </row>
    <row r="103" spans="1:29" x14ac:dyDescent="0.25">
      <c r="Y103" s="23">
        <f t="shared" si="26"/>
        <v>1.0929999999999898</v>
      </c>
      <c r="Z103" s="7">
        <f t="shared" si="27"/>
        <v>0</v>
      </c>
      <c r="AC103" s="11"/>
    </row>
    <row r="104" spans="1:29" x14ac:dyDescent="0.25">
      <c r="A104" s="33" t="s">
        <v>34</v>
      </c>
      <c r="B104" s="33"/>
      <c r="C104" s="33" t="s">
        <v>35</v>
      </c>
      <c r="D104" s="33"/>
      <c r="E104" s="33" t="s">
        <v>36</v>
      </c>
      <c r="F104" s="33"/>
      <c r="G104" s="33"/>
      <c r="J104" s="33" t="s">
        <v>34</v>
      </c>
      <c r="K104" s="33"/>
      <c r="L104" s="33" t="s">
        <v>35</v>
      </c>
      <c r="M104" s="33"/>
      <c r="N104" s="33" t="s">
        <v>36</v>
      </c>
      <c r="O104" s="33"/>
      <c r="P104" s="33"/>
      <c r="Q104" s="36"/>
      <c r="R104" s="36"/>
      <c r="Y104" s="23">
        <f t="shared" si="26"/>
        <v>1.0939999999999896</v>
      </c>
      <c r="Z104" s="7">
        <f t="shared" si="27"/>
        <v>0</v>
      </c>
      <c r="AC104" s="11"/>
    </row>
    <row r="105" spans="1:29" x14ac:dyDescent="0.25">
      <c r="A105" s="12" t="s">
        <v>10</v>
      </c>
      <c r="B105" s="12" t="s">
        <v>11</v>
      </c>
      <c r="C105" s="12" t="s">
        <v>21</v>
      </c>
      <c r="D105" s="12" t="s">
        <v>11</v>
      </c>
      <c r="E105" s="12" t="s">
        <v>12</v>
      </c>
      <c r="F105" s="12" t="s">
        <v>13</v>
      </c>
      <c r="G105" s="12" t="s">
        <v>14</v>
      </c>
      <c r="J105" s="12" t="s">
        <v>10</v>
      </c>
      <c r="K105" s="12" t="s">
        <v>11</v>
      </c>
      <c r="L105" s="12" t="s">
        <v>21</v>
      </c>
      <c r="M105" s="12" t="s">
        <v>11</v>
      </c>
      <c r="N105" s="12" t="s">
        <v>12</v>
      </c>
      <c r="O105" s="12" t="s">
        <v>13</v>
      </c>
      <c r="P105" s="12" t="s">
        <v>14</v>
      </c>
      <c r="Y105" s="23">
        <f t="shared" si="26"/>
        <v>1.0949999999999895</v>
      </c>
      <c r="Z105" s="7">
        <f t="shared" si="27"/>
        <v>0</v>
      </c>
      <c r="AC105" s="11"/>
    </row>
    <row r="106" spans="1:29" x14ac:dyDescent="0.25">
      <c r="A106" s="12" t="s">
        <v>4</v>
      </c>
      <c r="B106" s="20">
        <f>$B$19</f>
        <v>6.9000000000000006E-2</v>
      </c>
      <c r="C106" s="12" t="s">
        <v>17</v>
      </c>
      <c r="D106" s="13">
        <f>B106 + B110 - B108/2</f>
        <v>8.7499999999999994E-2</v>
      </c>
      <c r="E106" s="14">
        <v>0.9</v>
      </c>
      <c r="F106" s="15">
        <f>$B$1 / EXP(_xlfn.NORM.INV(E106 * EXP($B$4*$B$2), 0, 1) * D106 * SQRT($B$2) - ($B$3 - $B$4 + D106^2/2)*$B$2)</f>
        <v>1.0949090068168106</v>
      </c>
      <c r="G106" s="16">
        <f t="shared" ref="G106:G108" si="30">EXP(-$B$4*$B$2)*_xlfn.NORM.DIST(1/(D106*SQRT($B$2)) * (LN($B$1 / F106) + ($B$3 - $B$4 + D106^2/2)*$B$2), 0, 1, 1)</f>
        <v>0.90000000000000024</v>
      </c>
      <c r="H106" s="3"/>
      <c r="J106" s="12" t="s">
        <v>4</v>
      </c>
      <c r="K106" s="20">
        <f>$B$19</f>
        <v>6.9000000000000006E-2</v>
      </c>
      <c r="L106" s="12" t="s">
        <v>17</v>
      </c>
      <c r="M106" s="13">
        <f>K106 + K110 - K108/2</f>
        <v>8.8499999999999995E-2</v>
      </c>
      <c r="N106" s="14">
        <v>0.9</v>
      </c>
      <c r="O106" s="15">
        <f>$B$1 / EXP(_xlfn.NORM.INV(N106 * EXP($B$4*$B$2), 0, 1) * M106 * SQRT($B$2) - ($B$3 - $B$4 + M106^2/2)*$B$2)</f>
        <v>1.0942166809761167</v>
      </c>
      <c r="P106" s="16">
        <f t="shared" ref="P106:P108" si="31">EXP(-$B$4*$B$2)*_xlfn.NORM.DIST(1/(M106*SQRT($B$2)) * (LN($B$1 / O106) + ($B$3 - $B$4 + M106^2/2)*$B$2), 0, 1, 1)</f>
        <v>0.90000000000000036</v>
      </c>
      <c r="Q106" s="3"/>
      <c r="R106" s="3"/>
      <c r="Y106" s="23">
        <f t="shared" si="26"/>
        <v>1.0959999999999894</v>
      </c>
      <c r="Z106" s="7">
        <f t="shared" si="27"/>
        <v>0</v>
      </c>
      <c r="AC106" s="11"/>
    </row>
    <row r="107" spans="1:29" x14ac:dyDescent="0.25">
      <c r="A107" s="12" t="s">
        <v>6</v>
      </c>
      <c r="B107" s="20">
        <f>$B$20</f>
        <v>-8.0000000000000002E-3</v>
      </c>
      <c r="C107" s="12" t="s">
        <v>18</v>
      </c>
      <c r="D107" s="13">
        <f>B106+B109 - B107/2</f>
        <v>7.7000000000000013E-2</v>
      </c>
      <c r="E107" s="14">
        <v>0.75</v>
      </c>
      <c r="F107" s="15">
        <f>$B$1 / EXP(_xlfn.NORM.INV(E107 * EXP($B$4*$B$2), 0, 1) * D107 * SQRT($B$2) - ($B$3 - $B$4 + D107^2/2)*$B$2)</f>
        <v>1.1289377095147208</v>
      </c>
      <c r="G107" s="16">
        <f t="shared" si="30"/>
        <v>0.75000000000000033</v>
      </c>
      <c r="H107" s="3"/>
      <c r="J107" s="12" t="s">
        <v>6</v>
      </c>
      <c r="K107" s="20">
        <f>$B$20</f>
        <v>-8.0000000000000002E-3</v>
      </c>
      <c r="L107" s="12" t="s">
        <v>18</v>
      </c>
      <c r="M107" s="13">
        <f>K106+K109 - K107/2</f>
        <v>7.6000000000000012E-2</v>
      </c>
      <c r="N107" s="14">
        <v>0.75</v>
      </c>
      <c r="O107" s="15">
        <f>$B$1 / EXP(_xlfn.NORM.INV(N107 * EXP($B$4*$B$2), 0, 1) * M107 * SQRT($B$2) - ($B$3 - $B$4 + M107^2/2)*$B$2)</f>
        <v>1.1293039487620771</v>
      </c>
      <c r="P107" s="16">
        <f t="shared" si="31"/>
        <v>0.75000000000000044</v>
      </c>
      <c r="Q107" s="3"/>
      <c r="R107" s="3"/>
      <c r="Y107" s="23">
        <f t="shared" si="26"/>
        <v>1.0969999999999893</v>
      </c>
      <c r="Z107" s="7">
        <f t="shared" si="27"/>
        <v>0</v>
      </c>
      <c r="AC107" s="11"/>
    </row>
    <row r="108" spans="1:29" x14ac:dyDescent="0.25">
      <c r="A108" s="12" t="s">
        <v>8</v>
      </c>
      <c r="B108" s="20">
        <f>$B$21</f>
        <v>-1.4999999999999999E-2</v>
      </c>
      <c r="C108" s="12" t="s">
        <v>4</v>
      </c>
      <c r="D108" s="13">
        <f>B106</f>
        <v>6.9000000000000006E-2</v>
      </c>
      <c r="E108" s="14">
        <v>0.5</v>
      </c>
      <c r="F108" s="15">
        <f>$B$1 / EXP(_xlfn.NORM.INV(E108 * EXP($B$4*$B$2), 0, 1) * D108 * SQRT($B$2) - ($B$3 - $B$4 + D108^2/2)*$B$2)</f>
        <v>1.1587614138335498</v>
      </c>
      <c r="G108" s="16">
        <f t="shared" si="30"/>
        <v>0.50000000000000022</v>
      </c>
      <c r="H108" s="3"/>
      <c r="J108" s="12" t="s">
        <v>8</v>
      </c>
      <c r="K108" s="20">
        <f>$B$21</f>
        <v>-1.4999999999999999E-2</v>
      </c>
      <c r="L108" s="12" t="s">
        <v>4</v>
      </c>
      <c r="M108" s="13">
        <f>K106</f>
        <v>6.9000000000000006E-2</v>
      </c>
      <c r="N108" s="14">
        <v>0.5</v>
      </c>
      <c r="O108" s="15">
        <f>$B$1 / EXP(_xlfn.NORM.INV(N108 * EXP($B$4*$B$2), 0, 1) * M108 * SQRT($B$2) - ($B$3 - $B$4 + M108^2/2)*$B$2)</f>
        <v>1.1587614138335498</v>
      </c>
      <c r="P108" s="16">
        <f t="shared" si="31"/>
        <v>0.50000000000000022</v>
      </c>
      <c r="Q108" s="3"/>
      <c r="R108" s="3"/>
      <c r="Y108" s="23">
        <f t="shared" si="26"/>
        <v>1.0979999999999892</v>
      </c>
      <c r="Z108" s="7">
        <f t="shared" si="27"/>
        <v>0</v>
      </c>
      <c r="AC108" s="11"/>
    </row>
    <row r="109" spans="1:29" x14ac:dyDescent="0.25">
      <c r="A109" s="12" t="s">
        <v>7</v>
      </c>
      <c r="B109" s="13">
        <f>$B$22+$F$12</f>
        <v>4.0000000000000001E-3</v>
      </c>
      <c r="C109" s="12" t="s">
        <v>19</v>
      </c>
      <c r="D109" s="13">
        <f>B106 + B109 + B107/2</f>
        <v>6.9000000000000006E-2</v>
      </c>
      <c r="E109" s="14">
        <v>0.25</v>
      </c>
      <c r="F109" s="15">
        <f>$B$1 / EXP(_xlfn.NORM.INV(E109 * EXP($B$4*$B$2), 0, 1) * D109 * SQRT($B$2) - ($B$3 - $B$4 + D109^2/2)*$B$2)</f>
        <v>1.1861425882511798</v>
      </c>
      <c r="G109" s="16">
        <f>EXP(-$B$4*$B$2)*_xlfn.NORM.DIST(1/(D109*SQRT($B$2)) * (LN($B$1 / F109) + ($B$3 - $B$4 + D109^2/2)*$B$2), 0, 1, 1)</f>
        <v>0.25000000000000011</v>
      </c>
      <c r="H109" s="3"/>
      <c r="J109" s="12" t="s">
        <v>7</v>
      </c>
      <c r="K109" s="20">
        <f>$B$22</f>
        <v>3.0000000000000001E-3</v>
      </c>
      <c r="L109" s="12" t="s">
        <v>19</v>
      </c>
      <c r="M109" s="13">
        <f>K106 + K109 + K107/2</f>
        <v>6.8000000000000005E-2</v>
      </c>
      <c r="N109" s="14">
        <v>0.25</v>
      </c>
      <c r="O109" s="15">
        <f>$B$1 / EXP(_xlfn.NORM.INV(N109 * EXP($B$4*$B$2), 0, 1) * M109 * SQRT($B$2) - ($B$3 - $B$4 + M109^2/2)*$B$2)</f>
        <v>1.1857247812154261</v>
      </c>
      <c r="P109" s="16">
        <f>EXP(-$B$4*$B$2)*_xlfn.NORM.DIST(1/(M109*SQRT($B$2)) * (LN($B$1 / O109) + ($B$3 - $B$4 + M109^2/2)*$B$2), 0, 1, 1)</f>
        <v>0.25000000000000094</v>
      </c>
      <c r="Q109" s="3"/>
      <c r="R109" s="3"/>
      <c r="Y109" s="23">
        <f t="shared" si="26"/>
        <v>1.0989999999999891</v>
      </c>
      <c r="Z109" s="7">
        <f t="shared" si="27"/>
        <v>0</v>
      </c>
      <c r="AC109" s="11"/>
    </row>
    <row r="110" spans="1:29" x14ac:dyDescent="0.25">
      <c r="A110" s="12" t="s">
        <v>9</v>
      </c>
      <c r="B110" s="20">
        <f>$B$23</f>
        <v>1.0999999999999999E-2</v>
      </c>
      <c r="C110" s="12" t="s">
        <v>20</v>
      </c>
      <c r="D110" s="13">
        <f>B106 + B110 + B108/2</f>
        <v>7.2500000000000009E-2</v>
      </c>
      <c r="E110" s="14">
        <v>0.1</v>
      </c>
      <c r="F110" s="15">
        <f>$B$1 / EXP(_xlfn.NORM.INV(E110 * EXP($B$4*$B$2), 0, 1) * D110 * SQRT($B$2) - ($B$3 - $B$4 + D110^2/2)*$B$2)</f>
        <v>1.2140828375149078</v>
      </c>
      <c r="G110" s="16">
        <f>EXP(-$B$4*$B$2)*_xlfn.NORM.DIST(1/(D110*SQRT($B$2)) * (LN($B$1 / F110) + ($B$3 - $B$4 + D110^2/2)*$B$2), 0, 1, 1)</f>
        <v>9.9999999999999215E-2</v>
      </c>
      <c r="H110" s="3"/>
      <c r="J110" s="12" t="s">
        <v>9</v>
      </c>
      <c r="K110" s="13">
        <f>$B$23+$F$12</f>
        <v>1.2E-2</v>
      </c>
      <c r="L110" s="12" t="s">
        <v>20</v>
      </c>
      <c r="M110" s="13">
        <f>K106 + K110 + K108/2</f>
        <v>7.350000000000001E-2</v>
      </c>
      <c r="N110" s="14">
        <v>0.1</v>
      </c>
      <c r="O110" s="15">
        <f>$B$1 / EXP(_xlfn.NORM.INV(N110 * EXP($B$4*$B$2), 0, 1) * M110 * SQRT($B$2) - ($B$3 - $B$4 + M110^2/2)*$B$2)</f>
        <v>1.2148813946749826</v>
      </c>
      <c r="P110" s="16">
        <f>EXP(-$B$4*$B$2)*_xlfn.NORM.DIST(1/(M110*SQRT($B$2)) * (LN($B$1 / O110) + ($B$3 - $B$4 + M110^2/2)*$B$2), 0, 1, 1)</f>
        <v>9.9999999999999756E-2</v>
      </c>
      <c r="Q110" s="3"/>
      <c r="R110" s="3"/>
      <c r="Y110" s="23">
        <f t="shared" si="26"/>
        <v>1.099999999999989</v>
      </c>
      <c r="Z110" s="7">
        <f t="shared" si="27"/>
        <v>0</v>
      </c>
      <c r="AC110" s="11"/>
    </row>
    <row r="111" spans="1:29" x14ac:dyDescent="0.25">
      <c r="B111" s="3"/>
      <c r="D111" s="3"/>
      <c r="E111" s="10"/>
      <c r="F111" s="6"/>
      <c r="G111" s="3"/>
      <c r="K111" s="3"/>
      <c r="M111" s="3"/>
      <c r="N111" s="10"/>
      <c r="O111" s="6"/>
      <c r="P111" s="3"/>
      <c r="Y111" s="23">
        <f t="shared" si="26"/>
        <v>1.1009999999999889</v>
      </c>
      <c r="Z111" s="7">
        <f t="shared" si="27"/>
        <v>1000000</v>
      </c>
      <c r="AC111" s="11"/>
    </row>
    <row r="112" spans="1:29" x14ac:dyDescent="0.25">
      <c r="A112" t="s">
        <v>71</v>
      </c>
      <c r="B112" s="3"/>
      <c r="D112" s="3"/>
      <c r="E112" s="10"/>
      <c r="F112" s="6"/>
      <c r="G112" s="3"/>
      <c r="J112" t="s">
        <v>71</v>
      </c>
      <c r="K112" s="3"/>
      <c r="M112" s="3"/>
      <c r="N112" s="10"/>
      <c r="O112" s="6"/>
      <c r="P112" s="3"/>
      <c r="Y112" s="23">
        <f t="shared" si="26"/>
        <v>1.1019999999999888</v>
      </c>
      <c r="Z112" s="7">
        <f t="shared" si="27"/>
        <v>1000000</v>
      </c>
      <c r="AC112" s="11"/>
    </row>
    <row r="113" spans="1:29" x14ac:dyDescent="0.25">
      <c r="A113" t="s">
        <v>72</v>
      </c>
      <c r="B113" s="3"/>
      <c r="D113" s="3"/>
      <c r="E113" s="10"/>
      <c r="F113" s="6"/>
      <c r="G113" s="3"/>
      <c r="H113" s="5"/>
      <c r="J113" t="s">
        <v>72</v>
      </c>
      <c r="K113" s="3"/>
      <c r="M113" s="3"/>
      <c r="N113" s="10"/>
      <c r="O113" s="6"/>
      <c r="P113" s="3"/>
      <c r="Q113" s="5"/>
      <c r="R113" s="7"/>
      <c r="Y113" s="23">
        <f t="shared" si="26"/>
        <v>1.1029999999999887</v>
      </c>
      <c r="Z113" s="7">
        <f t="shared" si="27"/>
        <v>1000000</v>
      </c>
      <c r="AC113" s="11"/>
    </row>
    <row r="114" spans="1:29" x14ac:dyDescent="0.25">
      <c r="B114" s="3"/>
      <c r="D114" s="3"/>
      <c r="E114" s="10"/>
      <c r="F114" s="6"/>
      <c r="G114" s="3"/>
      <c r="H114" s="5"/>
      <c r="K114" s="3"/>
      <c r="M114" s="3"/>
      <c r="N114" s="10"/>
      <c r="O114" s="6"/>
      <c r="P114" s="3"/>
      <c r="Q114" s="5"/>
      <c r="R114" s="7"/>
      <c r="Y114" s="23">
        <f t="shared" si="26"/>
        <v>1.1039999999999885</v>
      </c>
      <c r="Z114" s="7">
        <f t="shared" si="27"/>
        <v>1000000</v>
      </c>
      <c r="AC114" s="11"/>
    </row>
    <row r="115" spans="1:29" x14ac:dyDescent="0.25">
      <c r="A115" s="33" t="s">
        <v>37</v>
      </c>
      <c r="B115" s="33"/>
      <c r="D115" t="s">
        <v>56</v>
      </c>
      <c r="F115" s="6"/>
      <c r="G115" s="3"/>
      <c r="H115" s="5"/>
      <c r="J115" s="33" t="s">
        <v>37</v>
      </c>
      <c r="K115" s="33"/>
      <c r="M115" t="s">
        <v>56</v>
      </c>
      <c r="O115" s="6"/>
      <c r="P115" s="3"/>
      <c r="Q115" s="5"/>
      <c r="R115" s="7"/>
      <c r="Y115" s="23">
        <f t="shared" si="26"/>
        <v>1.1049999999999884</v>
      </c>
      <c r="Z115" s="7">
        <f t="shared" si="27"/>
        <v>1000000</v>
      </c>
      <c r="AC115" s="11"/>
    </row>
    <row r="116" spans="1:29" x14ac:dyDescent="0.25">
      <c r="A116" s="12" t="s">
        <v>15</v>
      </c>
      <c r="B116" s="12" t="s">
        <v>16</v>
      </c>
      <c r="D116" s="12" t="s">
        <v>24</v>
      </c>
      <c r="E116" s="16">
        <f>INDEX(LINEST(D106:D110, A117:B121, 1, 0), 3)</f>
        <v>7.0121083605839268E-2</v>
      </c>
      <c r="F116" s="6"/>
      <c r="G116" s="3"/>
      <c r="H116" s="5"/>
      <c r="J116" s="12" t="s">
        <v>15</v>
      </c>
      <c r="K116" s="12" t="s">
        <v>16</v>
      </c>
      <c r="M116" s="12" t="s">
        <v>24</v>
      </c>
      <c r="N116" s="16">
        <f>INDEX(LINEST(M106:M110, J117:K121, 1, 0), 3)</f>
        <v>6.93706811977821E-2</v>
      </c>
      <c r="O116" s="6"/>
      <c r="P116" s="3"/>
      <c r="Q116" s="5"/>
      <c r="R116" s="7"/>
      <c r="Y116" s="23">
        <f t="shared" si="26"/>
        <v>1.1059999999999883</v>
      </c>
      <c r="Z116" s="7">
        <f t="shared" si="27"/>
        <v>1000000</v>
      </c>
      <c r="AC116" s="11"/>
    </row>
    <row r="117" spans="1:29" x14ac:dyDescent="0.25">
      <c r="A117" s="16">
        <f>LN(F106 / $B$5)</f>
        <v>-5.631290706777313E-2</v>
      </c>
      <c r="B117" s="16">
        <f>A117^2</f>
        <v>3.171143502423653E-3</v>
      </c>
      <c r="D117" s="12" t="s">
        <v>26</v>
      </c>
      <c r="E117" s="16">
        <f>INDEX(LINEST(D106:D110, A117:B121, 1, 0), 2)</f>
        <v>-0.120660112263654</v>
      </c>
      <c r="F117" s="6"/>
      <c r="G117" s="3"/>
      <c r="H117" s="5"/>
      <c r="J117" s="16">
        <f>LN(O106 / $B$5)</f>
        <v>-5.6945420648547525E-2</v>
      </c>
      <c r="K117" s="16">
        <f>J117^2</f>
        <v>3.2427809328400229E-3</v>
      </c>
      <c r="M117" s="12" t="s">
        <v>26</v>
      </c>
      <c r="N117" s="16">
        <f>INDEX(LINEST(M106:M110, J117:K121, 1, 0), 2)</f>
        <v>-0.11517235597603526</v>
      </c>
      <c r="O117" s="6"/>
      <c r="P117" s="3"/>
      <c r="Q117" s="5"/>
      <c r="R117" s="7"/>
      <c r="Y117" s="23">
        <f t="shared" si="26"/>
        <v>1.1069999999999882</v>
      </c>
      <c r="Z117" s="7">
        <f t="shared" si="27"/>
        <v>1000000</v>
      </c>
      <c r="AC117" s="11"/>
    </row>
    <row r="118" spans="1:29" x14ac:dyDescent="0.25">
      <c r="A118" s="16">
        <f>LN(F107 / $B$5)</f>
        <v>-2.5707057589528355E-2</v>
      </c>
      <c r="B118" s="16">
        <f>A118^2</f>
        <v>6.6085280991132742E-4</v>
      </c>
      <c r="D118" s="12" t="s">
        <v>27</v>
      </c>
      <c r="E118" s="16">
        <f>INDEX(LINEST(D106:D110, A117:B121, 1, 0), 1)</f>
        <v>3.4941219992452259</v>
      </c>
      <c r="F118" s="6"/>
      <c r="G118" s="3"/>
      <c r="H118" s="5"/>
      <c r="J118" s="16">
        <f>LN(O107 / $B$5)</f>
        <v>-2.5382699698755316E-2</v>
      </c>
      <c r="K118" s="16">
        <f>J118^2</f>
        <v>6.442814439971932E-4</v>
      </c>
      <c r="M118" s="12" t="s">
        <v>27</v>
      </c>
      <c r="N118" s="16">
        <f>INDEX(LINEST(M106:M110, J117:K121, 1, 0), 1)</f>
        <v>4.0101057007776255</v>
      </c>
      <c r="O118" s="6"/>
      <c r="P118" s="3"/>
      <c r="Q118" s="5"/>
      <c r="R118" s="7"/>
      <c r="Y118" s="23">
        <f t="shared" si="26"/>
        <v>1.1079999999999881</v>
      </c>
      <c r="Z118" s="7">
        <f t="shared" si="27"/>
        <v>1000000</v>
      </c>
      <c r="AC118" s="11"/>
    </row>
    <row r="119" spans="1:29" x14ac:dyDescent="0.25">
      <c r="A119" s="16">
        <f>LN(F108 / $B$5)</f>
        <v>3.6751988954891534E-4</v>
      </c>
      <c r="B119" s="16">
        <f>A119^2</f>
        <v>1.3507086921404693E-7</v>
      </c>
      <c r="F119" s="6"/>
      <c r="G119" s="3"/>
      <c r="H119" s="5"/>
      <c r="J119" s="16">
        <f>LN(O108 / $B$5)</f>
        <v>3.6751988954891534E-4</v>
      </c>
      <c r="K119" s="16">
        <f>J119^2</f>
        <v>1.3507086921404693E-7</v>
      </c>
      <c r="O119" s="6"/>
      <c r="P119" s="3"/>
      <c r="Q119" s="5"/>
      <c r="R119" s="7"/>
      <c r="Y119" s="23">
        <f t="shared" si="26"/>
        <v>1.108999999999988</v>
      </c>
      <c r="Z119" s="7">
        <f t="shared" si="27"/>
        <v>1000000</v>
      </c>
      <c r="AC119" s="11"/>
    </row>
    <row r="120" spans="1:29" x14ac:dyDescent="0.25">
      <c r="A120" s="16">
        <f>LN(F109 / $B$5)</f>
        <v>2.3722351444471133E-2</v>
      </c>
      <c r="B120" s="16">
        <f>A120^2</f>
        <v>5.6274995805500163E-4</v>
      </c>
      <c r="D120" s="3"/>
      <c r="E120" s="10"/>
      <c r="F120" s="6"/>
      <c r="G120" s="3"/>
      <c r="H120" s="5"/>
      <c r="J120" s="16">
        <f>LN(O109 / $B$5)</f>
        <v>2.3370049249623742E-2</v>
      </c>
      <c r="K120" s="16">
        <f>J120^2</f>
        <v>5.4615920192983922E-4</v>
      </c>
      <c r="M120" s="3"/>
      <c r="N120" s="10"/>
      <c r="O120" s="6"/>
      <c r="P120" s="3"/>
      <c r="Q120" s="5"/>
      <c r="R120" s="7"/>
      <c r="Y120" s="23">
        <f t="shared" si="26"/>
        <v>1.1099999999999879</v>
      </c>
      <c r="Z120" s="7">
        <f t="shared" si="27"/>
        <v>1000000</v>
      </c>
      <c r="AC120" s="11"/>
    </row>
    <row r="121" spans="1:29" x14ac:dyDescent="0.25">
      <c r="A121" s="16">
        <f>LN(F110 / $B$5)</f>
        <v>4.7004757408746337E-2</v>
      </c>
      <c r="B121" s="16">
        <f>A121^2</f>
        <v>2.2094472190550937E-3</v>
      </c>
      <c r="D121" s="3"/>
      <c r="E121" s="10"/>
      <c r="F121" s="6"/>
      <c r="G121" s="3"/>
      <c r="H121" s="5"/>
      <c r="J121" s="16">
        <f>LN(O110 / $B$5)</f>
        <v>4.7662286390246132E-2</v>
      </c>
      <c r="K121" s="16">
        <f>J121^2</f>
        <v>2.2716935439458415E-3</v>
      </c>
      <c r="M121" s="3"/>
      <c r="N121" s="10"/>
      <c r="O121" s="6"/>
      <c r="P121" s="3"/>
      <c r="Q121" s="5"/>
      <c r="R121" s="7"/>
      <c r="Y121" s="23">
        <f t="shared" si="26"/>
        <v>1.1109999999999878</v>
      </c>
      <c r="Z121" s="7">
        <f t="shared" si="27"/>
        <v>1000000</v>
      </c>
      <c r="AC121" s="11"/>
    </row>
    <row r="122" spans="1:29" ht="13.9" customHeight="1" x14ac:dyDescent="0.25">
      <c r="H122" s="5"/>
      <c r="Q122" s="5"/>
      <c r="R122" s="7"/>
      <c r="Y122" s="23">
        <f t="shared" si="26"/>
        <v>1.1119999999999877</v>
      </c>
      <c r="Z122" s="7">
        <f t="shared" si="27"/>
        <v>1000000</v>
      </c>
      <c r="AC122" s="11"/>
    </row>
    <row r="123" spans="1:29" x14ac:dyDescent="0.25">
      <c r="A123" s="12"/>
      <c r="B123" s="12" t="s">
        <v>21</v>
      </c>
      <c r="C123" s="12" t="s">
        <v>11</v>
      </c>
      <c r="D123" s="12" t="s">
        <v>22</v>
      </c>
      <c r="E123" s="12" t="s">
        <v>23</v>
      </c>
      <c r="F123" s="12" t="s">
        <v>38</v>
      </c>
      <c r="H123" s="5"/>
      <c r="J123" s="12"/>
      <c r="K123" s="12" t="s">
        <v>21</v>
      </c>
      <c r="L123" s="12" t="s">
        <v>11</v>
      </c>
      <c r="M123" s="12" t="s">
        <v>22</v>
      </c>
      <c r="N123" s="12" t="s">
        <v>23</v>
      </c>
      <c r="O123" s="12" t="s">
        <v>38</v>
      </c>
      <c r="Q123" s="5"/>
      <c r="R123" s="7"/>
      <c r="Y123" s="23">
        <f t="shared" si="26"/>
        <v>1.1129999999999876</v>
      </c>
      <c r="Z123" s="7">
        <f t="shared" si="27"/>
        <v>1000000</v>
      </c>
      <c r="AC123" s="11"/>
    </row>
    <row r="124" spans="1:29" x14ac:dyDescent="0.25">
      <c r="A124" s="12" t="s">
        <v>1</v>
      </c>
      <c r="B124" s="17">
        <f>$F$3</f>
        <v>1.1000000000000001</v>
      </c>
      <c r="C124" s="13">
        <f>E116 + E117*LN(B124/$B$5) + E118*LN(B124/$B$5)^2</f>
        <v>8.5686081116368745E-2</v>
      </c>
      <c r="D124" s="18">
        <f>1 / (C124 * SQRT($B$2)) * (LN($B$1/B124) + ($B$3-$B$4 + C124^2/2)*$B$2)</f>
        <v>1.2275447927719771</v>
      </c>
      <c r="E124" s="18">
        <f>1 / (C124 * SQRT($B$2)) * (LN($B$1/B124) + ($B$3-$B$4 - C124^2/2)*$B$2)</f>
        <v>1.1847017522137928</v>
      </c>
      <c r="F124" s="19">
        <f>($B$1*EXP(-$B$4*$B$2)*_xlfn.NORM.DIST(D124,0,1,1) - B124*EXP(-$B$3*$B$2)*_xlfn.NORM.DIST(E124, 0, 1, 1)) * $F$2</f>
        <v>60467.804899078772</v>
      </c>
      <c r="H124" s="5"/>
      <c r="J124" s="12" t="s">
        <v>1</v>
      </c>
      <c r="K124" s="17">
        <f>$F$3</f>
        <v>1.1000000000000001</v>
      </c>
      <c r="L124" s="13">
        <f>N116 + N117*LN(K124/$B$5) + N118*LN(K124/$B$5)^2</f>
        <v>8.6029884683528832E-2</v>
      </c>
      <c r="M124" s="18">
        <f>1 / (L124 * SQRT($B$2)) * (LN($B$1/K124) + ($B$3-$B$4 + L124^2/2)*$B$2)</f>
        <v>1.2228106804375607</v>
      </c>
      <c r="N124" s="18">
        <f>1 / (L124 * SQRT($B$2)) * (LN($B$1/K124) + ($B$3-$B$4 - L124^2/2)*$B$2)</f>
        <v>1.1797957380957962</v>
      </c>
      <c r="O124" s="19">
        <f>($B$1*EXP(-$B$4*$B$2)*_xlfn.NORM.DIST(M124,0,1,1) - K124*EXP(-$B$3*$B$2)*_xlfn.NORM.DIST(N124, 0, 1, 1)) * $F$2</f>
        <v>60504.972710000104</v>
      </c>
      <c r="Q124" s="5"/>
      <c r="R124" s="7"/>
      <c r="Y124" s="23">
        <f t="shared" si="26"/>
        <v>1.1139999999999874</v>
      </c>
      <c r="Z124" s="7">
        <f t="shared" si="27"/>
        <v>1000000</v>
      </c>
      <c r="AC124" s="11"/>
    </row>
    <row r="125" spans="1:29" x14ac:dyDescent="0.25">
      <c r="A125" s="12" t="s">
        <v>25</v>
      </c>
      <c r="B125" s="17">
        <f>$F$3 + $F$13</f>
        <v>1.1001000000000001</v>
      </c>
      <c r="C125" s="13">
        <f>E116 + E117*LN(B125/$B$5) + E118*LN(B125/$B$5)^2</f>
        <v>8.5642314658656377E-2</v>
      </c>
      <c r="D125" s="18">
        <f>1 / (C125 * SQRT($B$2)) * (LN($B$1/B125) + ($B$3-$B$4 + C125^2/2)*$B$2)</f>
        <v>1.2260273274820856</v>
      </c>
      <c r="E125" s="18">
        <f>1 / (C125 * SQRT($B$2)) * (LN($B$1/B125) + ($B$3-$B$4 - C125^2/2)*$B$2)</f>
        <v>1.1832061701527574</v>
      </c>
      <c r="F125" s="19">
        <f>($B$1*EXP(-$B$4*$B$2)*_xlfn.NORM.DIST(D125,0,1,1) - B125*EXP(-$B$3*$B$2)*_xlfn.NORM.DIST(E125, 0, 1, 1)) * $F$2</f>
        <v>60375.694359474321</v>
      </c>
      <c r="H125" s="5"/>
      <c r="J125" s="12" t="s">
        <v>25</v>
      </c>
      <c r="K125" s="17">
        <f>$F$3 + $F$13</f>
        <v>1.1001000000000001</v>
      </c>
      <c r="L125" s="13">
        <f>N116 + N117*LN(K125/$B$5) + N118*LN(K125/$B$5)^2</f>
        <v>8.5981773767858982E-2</v>
      </c>
      <c r="M125" s="18">
        <f>1 / (L125 * SQRT($B$2)) * (LN($B$1/K125) + ($B$3-$B$4 + L125^2/2)*$B$2)</f>
        <v>1.2213563223748205</v>
      </c>
      <c r="N125" s="18">
        <f>1 / (L125 * SQRT($B$2)) * (LN($B$1/K125) + ($B$3-$B$4 - L125^2/2)*$B$2)</f>
        <v>1.178365435490891</v>
      </c>
      <c r="O125" s="19">
        <f>($B$1*EXP(-$B$4*$B$2)*_xlfn.NORM.DIST(M125,0,1,1) - K125*EXP(-$B$3*$B$2)*_xlfn.NORM.DIST(N125, 0, 1, 1)) * $F$2</f>
        <v>60412.459326099954</v>
      </c>
      <c r="Q125" s="5"/>
      <c r="R125" s="7"/>
      <c r="Y125" s="23">
        <f t="shared" si="26"/>
        <v>1.1149999999999873</v>
      </c>
      <c r="Z125" s="7">
        <f t="shared" si="27"/>
        <v>1000000</v>
      </c>
      <c r="AC125" s="11"/>
    </row>
    <row r="126" spans="1:29" x14ac:dyDescent="0.25">
      <c r="A126" s="12" t="s">
        <v>2</v>
      </c>
      <c r="B126" s="17">
        <f>$F$4</f>
        <v>1.2</v>
      </c>
      <c r="C126" s="13">
        <f>E116 + E117*LN(B126/$B$5) + E118*LN(B126/$B$5)^2</f>
        <v>7.0220488917684787E-2</v>
      </c>
      <c r="D126" s="18">
        <f>1 / (C126 * SQRT($B$2)) * (LN($B$1/B126) + ($B$3-$B$4 + C126^2/2)*$B$2)</f>
        <v>-0.98891433569391163</v>
      </c>
      <c r="E126" s="18">
        <f>1 / (C126 * SQRT($B$2)) * (LN($B$1/B126) + ($B$3-$B$4 - C126^2/2)*$B$2)</f>
        <v>-1.0240245801527541</v>
      </c>
      <c r="F126" s="19">
        <f>($B$1*EXP(-$B$4*$B$2)*_xlfn.NORM.DIST(D126,0,1,1) - B126*EXP(-$B$3*$B$2)*_xlfn.NORM.DIST(E126, 0, 1, 1)) * $F$2</f>
        <v>3375.6640316219</v>
      </c>
      <c r="H126" s="5"/>
      <c r="J126" s="12" t="s">
        <v>2</v>
      </c>
      <c r="K126" s="17">
        <f>$F$4</f>
        <v>1.2</v>
      </c>
      <c r="L126" s="13">
        <f>N116 + N117*LN(K126/$B$5) + N118*LN(K126/$B$5)^2</f>
        <v>7.0308334351298893E-2</v>
      </c>
      <c r="M126" s="18">
        <f>1 / (L126 * SQRT($B$2)) * (LN($B$1/K126) + ($B$3-$B$4 + L126^2/2)*$B$2)</f>
        <v>-0.98763485989193078</v>
      </c>
      <c r="N126" s="18">
        <f>1 / (L126 * SQRT($B$2)) * (LN($B$1/K126) + ($B$3-$B$4 - L126^2/2)*$B$2)</f>
        <v>-1.0227890270675801</v>
      </c>
      <c r="O126" s="19">
        <f>($B$1*EXP(-$B$4*$B$2)*_xlfn.NORM.DIST(M126,0,1,1) - K126*EXP(-$B$3*$B$2)*_xlfn.NORM.DIST(N126, 0, 1, 1)) * $F$2</f>
        <v>3388.0075883597206</v>
      </c>
      <c r="Q126" s="5"/>
      <c r="R126" s="7"/>
      <c r="Y126" s="23">
        <f t="shared" si="26"/>
        <v>1.1159999999999872</v>
      </c>
      <c r="Z126" s="7">
        <f t="shared" si="27"/>
        <v>1000000</v>
      </c>
      <c r="AC126" s="11"/>
    </row>
    <row r="127" spans="1:29" x14ac:dyDescent="0.25">
      <c r="A127" s="12" t="s">
        <v>28</v>
      </c>
      <c r="B127" s="17">
        <f>$F$4+$F$13</f>
        <v>1.2000999999999999</v>
      </c>
      <c r="C127" s="13">
        <f>E116 + E117*LN(B127/$B$5) + E118*LN(B127/$B$5)^2</f>
        <v>7.0231036590454474E-2</v>
      </c>
      <c r="D127" s="18">
        <f>1 / (C127 * SQRT($B$2)) * (LN($B$1/B127) + ($B$3-$B$4 + C127^2/2)*$B$2)</f>
        <v>-0.991133562778996</v>
      </c>
      <c r="E127" s="18">
        <f>1 / (C127 * SQRT($B$2)) * (LN($B$1/B127) + ($B$3-$B$4 - C127^2/2)*$B$2)</f>
        <v>-1.0262490810742233</v>
      </c>
      <c r="F127" s="19">
        <f>($B$1*EXP(-$B$4*$B$2)*_xlfn.NORM.DIST(D127,0,1,1) - B127*EXP(-$B$3*$B$2)*_xlfn.NORM.DIST(E127, 0, 1, 1)) * $F$2</f>
        <v>3362.0154029602168</v>
      </c>
      <c r="H127" s="5"/>
      <c r="J127" s="12" t="s">
        <v>28</v>
      </c>
      <c r="K127" s="17">
        <f>$F$4+$F$13</f>
        <v>1.2000999999999999</v>
      </c>
      <c r="L127" s="13">
        <f>N116 + N117*LN(K127/$B$5) + N118*LN(K127/$B$5)^2</f>
        <v>7.0322381693783853E-2</v>
      </c>
      <c r="M127" s="18">
        <f>1 / (L127 * SQRT($B$2)) * (LN($B$1/K127) + ($B$3-$B$4 + L127^2/2)*$B$2)</f>
        <v>-0.98980048912482721</v>
      </c>
      <c r="N127" s="18">
        <f>1 / (L127 * SQRT($B$2)) * (LN($B$1/K127) + ($B$3-$B$4 - L127^2/2)*$B$2)</f>
        <v>-1.0249616799717189</v>
      </c>
      <c r="O127" s="19">
        <f>($B$1*EXP(-$B$4*$B$2)*_xlfn.NORM.DIST(M127,0,1,1) - K127*EXP(-$B$3*$B$2)*_xlfn.NORM.DIST(N127, 0, 1, 1)) * $F$2</f>
        <v>3374.8229030940156</v>
      </c>
      <c r="Q127" s="5"/>
      <c r="R127" s="7"/>
      <c r="Y127" s="23">
        <f t="shared" si="26"/>
        <v>1.1169999999999871</v>
      </c>
      <c r="Z127" s="7">
        <f t="shared" si="27"/>
        <v>1000000</v>
      </c>
      <c r="AC127" s="11"/>
    </row>
    <row r="128" spans="1:29" x14ac:dyDescent="0.25">
      <c r="H128" s="5"/>
      <c r="Q128" s="5"/>
      <c r="R128" s="7"/>
      <c r="Y128" s="23">
        <f t="shared" si="26"/>
        <v>1.117999999999987</v>
      </c>
      <c r="Z128" s="7">
        <f t="shared" si="27"/>
        <v>1000000</v>
      </c>
      <c r="AC128" s="11"/>
    </row>
    <row r="129" spans="1:29" x14ac:dyDescent="0.25">
      <c r="A129" s="12" t="s">
        <v>29</v>
      </c>
      <c r="B129" s="19">
        <f>(F124 - F125) / $F$13</f>
        <v>921105.39604451333</v>
      </c>
      <c r="C129" s="12" t="s">
        <v>30</v>
      </c>
      <c r="D129" s="19">
        <f>(F126 - F127) / $F$13</f>
        <v>136486.28661683234</v>
      </c>
      <c r="E129" s="12" t="s">
        <v>0</v>
      </c>
      <c r="F129" s="19">
        <f>B129-D129</f>
        <v>784619.10942768096</v>
      </c>
      <c r="H129" s="5"/>
      <c r="J129" s="12" t="s">
        <v>29</v>
      </c>
      <c r="K129" s="19">
        <f>(O124 - O125) / $F$13</f>
        <v>925133.83900150075</v>
      </c>
      <c r="L129" s="12" t="s">
        <v>30</v>
      </c>
      <c r="M129" s="19">
        <f>(O126 - O127) / $F$13</f>
        <v>131846.85265704957</v>
      </c>
      <c r="N129" s="12" t="s">
        <v>0</v>
      </c>
      <c r="O129" s="19">
        <f>K129-M129</f>
        <v>793286.9863444512</v>
      </c>
      <c r="Q129" s="5"/>
      <c r="R129" s="7"/>
      <c r="Y129" s="23">
        <f t="shared" si="26"/>
        <v>1.1189999999999869</v>
      </c>
      <c r="Z129" s="7">
        <f t="shared" si="27"/>
        <v>1000000</v>
      </c>
      <c r="AC129" s="11"/>
    </row>
    <row r="130" spans="1:29" x14ac:dyDescent="0.25">
      <c r="N130" s="11"/>
      <c r="Y130" s="23">
        <f t="shared" si="26"/>
        <v>1.1199999999999868</v>
      </c>
      <c r="Z130" s="7">
        <f t="shared" si="27"/>
        <v>1000000</v>
      </c>
      <c r="AC130" s="11"/>
    </row>
    <row r="131" spans="1:29" x14ac:dyDescent="0.25">
      <c r="N131" s="11"/>
      <c r="Y131" s="23">
        <f t="shared" si="26"/>
        <v>1.1209999999999867</v>
      </c>
      <c r="Z131" s="7">
        <f t="shared" si="27"/>
        <v>1000000</v>
      </c>
      <c r="AC131" s="11"/>
    </row>
    <row r="132" spans="1:29" x14ac:dyDescent="0.25">
      <c r="N132" s="11"/>
      <c r="Y132" s="23">
        <f t="shared" si="26"/>
        <v>1.1219999999999866</v>
      </c>
      <c r="Z132" s="7">
        <f t="shared" si="27"/>
        <v>1000000</v>
      </c>
      <c r="AC132" s="11"/>
    </row>
    <row r="133" spans="1:29" x14ac:dyDescent="0.25">
      <c r="N133" s="11"/>
      <c r="Y133" s="23">
        <f t="shared" si="26"/>
        <v>1.1229999999999865</v>
      </c>
      <c r="Z133" s="7">
        <f t="shared" si="27"/>
        <v>1000000</v>
      </c>
      <c r="AC133" s="11"/>
    </row>
    <row r="134" spans="1:29" x14ac:dyDescent="0.25">
      <c r="N134" s="11"/>
      <c r="Y134" s="23">
        <f t="shared" si="26"/>
        <v>1.1239999999999863</v>
      </c>
      <c r="Z134" s="7">
        <f t="shared" si="27"/>
        <v>1000000</v>
      </c>
      <c r="AC134" s="11"/>
    </row>
    <row r="135" spans="1:29" x14ac:dyDescent="0.25">
      <c r="N135" s="11"/>
      <c r="Y135" s="23">
        <f t="shared" si="26"/>
        <v>1.1249999999999862</v>
      </c>
      <c r="Z135" s="7">
        <f t="shared" si="27"/>
        <v>1000000</v>
      </c>
      <c r="AC135" s="11"/>
    </row>
    <row r="136" spans="1:29" x14ac:dyDescent="0.25">
      <c r="N136" s="11"/>
      <c r="Y136" s="23">
        <f t="shared" si="26"/>
        <v>1.1259999999999861</v>
      </c>
      <c r="Z136" s="7">
        <f t="shared" si="27"/>
        <v>1000000</v>
      </c>
      <c r="AC136" s="11"/>
    </row>
    <row r="137" spans="1:29" x14ac:dyDescent="0.25">
      <c r="N137" s="11"/>
      <c r="Y137" s="23">
        <f t="shared" si="26"/>
        <v>1.126999999999986</v>
      </c>
      <c r="Z137" s="7">
        <f t="shared" si="27"/>
        <v>1000000</v>
      </c>
      <c r="AC137" s="11"/>
    </row>
    <row r="138" spans="1:29" x14ac:dyDescent="0.25">
      <c r="N138" s="11"/>
      <c r="Y138" s="23">
        <f t="shared" si="26"/>
        <v>1.1279999999999859</v>
      </c>
      <c r="Z138" s="7">
        <f t="shared" si="27"/>
        <v>1000000</v>
      </c>
      <c r="AC138" s="11"/>
    </row>
    <row r="139" spans="1:29" x14ac:dyDescent="0.25">
      <c r="N139" s="11"/>
      <c r="Y139" s="23">
        <f t="shared" ref="Y139:Y202" si="32">Y138+$X$10</f>
        <v>1.1289999999999858</v>
      </c>
      <c r="Z139" s="7">
        <f t="shared" ref="Z139:Z202" si="33">IF(AND(Y139&gt;=$F$3, Y139&lt;=$F$4), $F$2, 0)</f>
        <v>1000000</v>
      </c>
      <c r="AC139" s="11"/>
    </row>
    <row r="140" spans="1:29" x14ac:dyDescent="0.25">
      <c r="N140" s="11"/>
      <c r="Y140" s="23">
        <f t="shared" si="32"/>
        <v>1.1299999999999857</v>
      </c>
      <c r="Z140" s="7">
        <f t="shared" si="33"/>
        <v>1000000</v>
      </c>
      <c r="AC140" s="11"/>
    </row>
    <row r="141" spans="1:29" x14ac:dyDescent="0.25">
      <c r="N141" s="11"/>
      <c r="Y141" s="23">
        <f t="shared" si="32"/>
        <v>1.1309999999999856</v>
      </c>
      <c r="Z141" s="7">
        <f t="shared" si="33"/>
        <v>1000000</v>
      </c>
      <c r="AC141" s="11"/>
    </row>
    <row r="142" spans="1:29" x14ac:dyDescent="0.25">
      <c r="N142" s="11"/>
      <c r="Y142" s="23">
        <f t="shared" si="32"/>
        <v>1.1319999999999855</v>
      </c>
      <c r="Z142" s="7">
        <f t="shared" si="33"/>
        <v>1000000</v>
      </c>
      <c r="AC142" s="11"/>
    </row>
    <row r="143" spans="1:29" x14ac:dyDescent="0.25">
      <c r="N143" s="11"/>
      <c r="Y143" s="23">
        <f t="shared" si="32"/>
        <v>1.1329999999999854</v>
      </c>
      <c r="Z143" s="7">
        <f t="shared" si="33"/>
        <v>1000000</v>
      </c>
      <c r="AC143" s="11"/>
    </row>
    <row r="144" spans="1:29" x14ac:dyDescent="0.25">
      <c r="N144" s="11"/>
      <c r="Y144" s="23">
        <f t="shared" si="32"/>
        <v>1.1339999999999852</v>
      </c>
      <c r="Z144" s="7">
        <f t="shared" si="33"/>
        <v>1000000</v>
      </c>
      <c r="AC144" s="11"/>
    </row>
    <row r="145" spans="25:29" x14ac:dyDescent="0.25">
      <c r="Y145" s="23">
        <f t="shared" si="32"/>
        <v>1.1349999999999851</v>
      </c>
      <c r="Z145" s="7">
        <f t="shared" si="33"/>
        <v>1000000</v>
      </c>
      <c r="AC145" s="11"/>
    </row>
    <row r="146" spans="25:29" x14ac:dyDescent="0.25">
      <c r="Y146" s="23">
        <f t="shared" si="32"/>
        <v>1.135999999999985</v>
      </c>
      <c r="Z146" s="7">
        <f t="shared" si="33"/>
        <v>1000000</v>
      </c>
      <c r="AC146" s="11"/>
    </row>
    <row r="147" spans="25:29" x14ac:dyDescent="0.25">
      <c r="Y147" s="23">
        <f t="shared" si="32"/>
        <v>1.1369999999999849</v>
      </c>
      <c r="Z147" s="7">
        <f t="shared" si="33"/>
        <v>1000000</v>
      </c>
      <c r="AC147" s="11"/>
    </row>
    <row r="148" spans="25:29" x14ac:dyDescent="0.25">
      <c r="Y148" s="23">
        <f t="shared" si="32"/>
        <v>1.1379999999999848</v>
      </c>
      <c r="Z148" s="7">
        <f t="shared" si="33"/>
        <v>1000000</v>
      </c>
      <c r="AC148" s="11"/>
    </row>
    <row r="149" spans="25:29" x14ac:dyDescent="0.25">
      <c r="Y149" s="23">
        <f t="shared" si="32"/>
        <v>1.1389999999999847</v>
      </c>
      <c r="Z149" s="7">
        <f t="shared" si="33"/>
        <v>1000000</v>
      </c>
      <c r="AC149" s="11"/>
    </row>
    <row r="150" spans="25:29" x14ac:dyDescent="0.25">
      <c r="Y150" s="23">
        <f t="shared" si="32"/>
        <v>1.1399999999999846</v>
      </c>
      <c r="Z150" s="7">
        <f t="shared" si="33"/>
        <v>1000000</v>
      </c>
      <c r="AC150" s="11"/>
    </row>
    <row r="151" spans="25:29" x14ac:dyDescent="0.25">
      <c r="Y151" s="23">
        <f t="shared" si="32"/>
        <v>1.1409999999999845</v>
      </c>
      <c r="Z151" s="7">
        <f t="shared" si="33"/>
        <v>1000000</v>
      </c>
      <c r="AC151" s="11"/>
    </row>
    <row r="152" spans="25:29" x14ac:dyDescent="0.25">
      <c r="Y152" s="23">
        <f t="shared" si="32"/>
        <v>1.1419999999999844</v>
      </c>
      <c r="Z152" s="7">
        <f t="shared" si="33"/>
        <v>1000000</v>
      </c>
      <c r="AC152" s="11"/>
    </row>
    <row r="153" spans="25:29" x14ac:dyDescent="0.25">
      <c r="Y153" s="23">
        <f t="shared" si="32"/>
        <v>1.1429999999999843</v>
      </c>
      <c r="Z153" s="7">
        <f t="shared" si="33"/>
        <v>1000000</v>
      </c>
      <c r="AC153" s="11"/>
    </row>
    <row r="154" spans="25:29" x14ac:dyDescent="0.25">
      <c r="Y154" s="23">
        <f t="shared" si="32"/>
        <v>1.1439999999999841</v>
      </c>
      <c r="Z154" s="7">
        <f t="shared" si="33"/>
        <v>1000000</v>
      </c>
      <c r="AC154" s="11"/>
    </row>
    <row r="155" spans="25:29" x14ac:dyDescent="0.25">
      <c r="Y155" s="23">
        <f t="shared" si="32"/>
        <v>1.144999999999984</v>
      </c>
      <c r="Z155" s="7">
        <f t="shared" si="33"/>
        <v>1000000</v>
      </c>
      <c r="AC155" s="11"/>
    </row>
    <row r="156" spans="25:29" x14ac:dyDescent="0.25">
      <c r="Y156" s="23">
        <f t="shared" si="32"/>
        <v>1.1459999999999839</v>
      </c>
      <c r="Z156" s="7">
        <f t="shared" si="33"/>
        <v>1000000</v>
      </c>
      <c r="AC156" s="11"/>
    </row>
    <row r="157" spans="25:29" x14ac:dyDescent="0.25">
      <c r="Y157" s="23">
        <f t="shared" si="32"/>
        <v>1.1469999999999838</v>
      </c>
      <c r="Z157" s="7">
        <f t="shared" si="33"/>
        <v>1000000</v>
      </c>
      <c r="AC157" s="11"/>
    </row>
    <row r="158" spans="25:29" x14ac:dyDescent="0.25">
      <c r="Y158" s="23">
        <f t="shared" si="32"/>
        <v>1.1479999999999837</v>
      </c>
      <c r="Z158" s="7">
        <f t="shared" si="33"/>
        <v>1000000</v>
      </c>
      <c r="AC158" s="11"/>
    </row>
    <row r="159" spans="25:29" x14ac:dyDescent="0.25">
      <c r="Y159" s="23">
        <f t="shared" si="32"/>
        <v>1.1489999999999836</v>
      </c>
      <c r="Z159" s="7">
        <f t="shared" si="33"/>
        <v>1000000</v>
      </c>
      <c r="AC159" s="11"/>
    </row>
    <row r="160" spans="25:29" x14ac:dyDescent="0.25">
      <c r="Y160" s="23">
        <f t="shared" si="32"/>
        <v>1.1499999999999835</v>
      </c>
      <c r="Z160" s="7">
        <f t="shared" si="33"/>
        <v>1000000</v>
      </c>
      <c r="AC160" s="11"/>
    </row>
    <row r="161" spans="25:29" x14ac:dyDescent="0.25">
      <c r="Y161" s="23">
        <f t="shared" si="32"/>
        <v>1.1509999999999834</v>
      </c>
      <c r="Z161" s="7">
        <f t="shared" si="33"/>
        <v>1000000</v>
      </c>
      <c r="AC161" s="11"/>
    </row>
    <row r="162" spans="25:29" x14ac:dyDescent="0.25">
      <c r="Y162" s="23">
        <f t="shared" si="32"/>
        <v>1.1519999999999833</v>
      </c>
      <c r="Z162" s="7">
        <f t="shared" si="33"/>
        <v>1000000</v>
      </c>
      <c r="AC162" s="11"/>
    </row>
    <row r="163" spans="25:29" x14ac:dyDescent="0.25">
      <c r="Y163" s="23">
        <f t="shared" si="32"/>
        <v>1.1529999999999831</v>
      </c>
      <c r="Z163" s="7">
        <f t="shared" si="33"/>
        <v>1000000</v>
      </c>
      <c r="AC163" s="11"/>
    </row>
    <row r="164" spans="25:29" x14ac:dyDescent="0.25">
      <c r="Y164" s="23">
        <f t="shared" si="32"/>
        <v>1.153999999999983</v>
      </c>
      <c r="Z164" s="7">
        <f t="shared" si="33"/>
        <v>1000000</v>
      </c>
      <c r="AC164" s="11"/>
    </row>
    <row r="165" spans="25:29" x14ac:dyDescent="0.25">
      <c r="Y165" s="23">
        <f t="shared" si="32"/>
        <v>1.1549999999999829</v>
      </c>
      <c r="Z165" s="7">
        <f t="shared" si="33"/>
        <v>1000000</v>
      </c>
      <c r="AC165" s="11"/>
    </row>
    <row r="166" spans="25:29" x14ac:dyDescent="0.25">
      <c r="Y166" s="23">
        <f t="shared" si="32"/>
        <v>1.1559999999999828</v>
      </c>
      <c r="Z166" s="7">
        <f t="shared" si="33"/>
        <v>1000000</v>
      </c>
      <c r="AC166" s="11"/>
    </row>
    <row r="167" spans="25:29" x14ac:dyDescent="0.25">
      <c r="Y167" s="23">
        <f t="shared" si="32"/>
        <v>1.1569999999999827</v>
      </c>
      <c r="Z167" s="7">
        <f t="shared" si="33"/>
        <v>1000000</v>
      </c>
      <c r="AC167" s="11"/>
    </row>
    <row r="168" spans="25:29" x14ac:dyDescent="0.25">
      <c r="Y168" s="23">
        <f t="shared" si="32"/>
        <v>1.1579999999999826</v>
      </c>
      <c r="Z168" s="7">
        <f t="shared" si="33"/>
        <v>1000000</v>
      </c>
      <c r="AC168" s="11"/>
    </row>
    <row r="169" spans="25:29" x14ac:dyDescent="0.25">
      <c r="Y169" s="23">
        <f t="shared" si="32"/>
        <v>1.1589999999999825</v>
      </c>
      <c r="Z169" s="7">
        <f t="shared" si="33"/>
        <v>1000000</v>
      </c>
      <c r="AC169" s="11"/>
    </row>
    <row r="170" spans="25:29" x14ac:dyDescent="0.25">
      <c r="Y170" s="23">
        <f t="shared" si="32"/>
        <v>1.1599999999999824</v>
      </c>
      <c r="Z170" s="7">
        <f t="shared" si="33"/>
        <v>1000000</v>
      </c>
      <c r="AC170" s="11"/>
    </row>
    <row r="171" spans="25:29" x14ac:dyDescent="0.25">
      <c r="Y171" s="23">
        <f t="shared" si="32"/>
        <v>1.1609999999999823</v>
      </c>
      <c r="Z171" s="7">
        <f t="shared" si="33"/>
        <v>1000000</v>
      </c>
      <c r="AC171" s="11"/>
    </row>
    <row r="172" spans="25:29" x14ac:dyDescent="0.25">
      <c r="Y172" s="23">
        <f t="shared" si="32"/>
        <v>1.1619999999999822</v>
      </c>
      <c r="Z172" s="7">
        <f t="shared" si="33"/>
        <v>1000000</v>
      </c>
      <c r="AC172" s="11"/>
    </row>
    <row r="173" spans="25:29" x14ac:dyDescent="0.25">
      <c r="Y173" s="23">
        <f t="shared" si="32"/>
        <v>1.162999999999982</v>
      </c>
      <c r="Z173" s="7">
        <f t="shared" si="33"/>
        <v>1000000</v>
      </c>
      <c r="AC173" s="11"/>
    </row>
    <row r="174" spans="25:29" x14ac:dyDescent="0.25">
      <c r="Y174" s="23">
        <f t="shared" si="32"/>
        <v>1.1639999999999819</v>
      </c>
      <c r="Z174" s="7">
        <f t="shared" si="33"/>
        <v>1000000</v>
      </c>
      <c r="AC174" s="11"/>
    </row>
    <row r="175" spans="25:29" x14ac:dyDescent="0.25">
      <c r="Y175" s="23">
        <f t="shared" si="32"/>
        <v>1.1649999999999818</v>
      </c>
      <c r="Z175" s="7">
        <f t="shared" si="33"/>
        <v>1000000</v>
      </c>
      <c r="AC175" s="11"/>
    </row>
    <row r="176" spans="25:29" x14ac:dyDescent="0.25">
      <c r="Y176" s="23">
        <f t="shared" si="32"/>
        <v>1.1659999999999817</v>
      </c>
      <c r="Z176" s="7">
        <f t="shared" si="33"/>
        <v>1000000</v>
      </c>
      <c r="AC176" s="11"/>
    </row>
    <row r="177" spans="25:29" x14ac:dyDescent="0.25">
      <c r="Y177" s="23">
        <f t="shared" si="32"/>
        <v>1.1669999999999816</v>
      </c>
      <c r="Z177" s="7">
        <f t="shared" si="33"/>
        <v>1000000</v>
      </c>
      <c r="AC177" s="11"/>
    </row>
    <row r="178" spans="25:29" x14ac:dyDescent="0.25">
      <c r="Y178" s="23">
        <f t="shared" si="32"/>
        <v>1.1679999999999815</v>
      </c>
      <c r="Z178" s="7">
        <f t="shared" si="33"/>
        <v>1000000</v>
      </c>
      <c r="AC178" s="11"/>
    </row>
    <row r="179" spans="25:29" x14ac:dyDescent="0.25">
      <c r="Y179" s="23">
        <f t="shared" si="32"/>
        <v>1.1689999999999814</v>
      </c>
      <c r="Z179" s="7">
        <f t="shared" si="33"/>
        <v>1000000</v>
      </c>
      <c r="AC179" s="11"/>
    </row>
    <row r="180" spans="25:29" x14ac:dyDescent="0.25">
      <c r="Y180" s="23">
        <f t="shared" si="32"/>
        <v>1.1699999999999813</v>
      </c>
      <c r="Z180" s="7">
        <f t="shared" si="33"/>
        <v>1000000</v>
      </c>
      <c r="AC180" s="11"/>
    </row>
    <row r="181" spans="25:29" x14ac:dyDescent="0.25">
      <c r="Y181" s="23">
        <f t="shared" si="32"/>
        <v>1.1709999999999812</v>
      </c>
      <c r="Z181" s="7">
        <f t="shared" si="33"/>
        <v>1000000</v>
      </c>
      <c r="AC181" s="11"/>
    </row>
    <row r="182" spans="25:29" x14ac:dyDescent="0.25">
      <c r="Y182" s="23">
        <f t="shared" si="32"/>
        <v>1.1719999999999811</v>
      </c>
      <c r="Z182" s="7">
        <f t="shared" si="33"/>
        <v>1000000</v>
      </c>
    </row>
    <row r="183" spans="25:29" x14ac:dyDescent="0.25">
      <c r="Y183" s="23">
        <f t="shared" si="32"/>
        <v>1.1729999999999809</v>
      </c>
      <c r="Z183" s="7">
        <f t="shared" si="33"/>
        <v>1000000</v>
      </c>
    </row>
    <row r="184" spans="25:29" x14ac:dyDescent="0.25">
      <c r="Y184" s="23">
        <f t="shared" si="32"/>
        <v>1.1739999999999808</v>
      </c>
      <c r="Z184" s="7">
        <f t="shared" si="33"/>
        <v>1000000</v>
      </c>
    </row>
    <row r="185" spans="25:29" x14ac:dyDescent="0.25">
      <c r="Y185" s="23">
        <f t="shared" si="32"/>
        <v>1.1749999999999807</v>
      </c>
      <c r="Z185" s="7">
        <f t="shared" si="33"/>
        <v>1000000</v>
      </c>
    </row>
    <row r="186" spans="25:29" x14ac:dyDescent="0.25">
      <c r="Y186" s="23">
        <f t="shared" si="32"/>
        <v>1.1759999999999806</v>
      </c>
      <c r="Z186" s="7">
        <f t="shared" si="33"/>
        <v>1000000</v>
      </c>
    </row>
    <row r="187" spans="25:29" x14ac:dyDescent="0.25">
      <c r="Y187" s="23">
        <f t="shared" si="32"/>
        <v>1.1769999999999805</v>
      </c>
      <c r="Z187" s="7">
        <f t="shared" si="33"/>
        <v>1000000</v>
      </c>
    </row>
    <row r="188" spans="25:29" x14ac:dyDescent="0.25">
      <c r="Y188" s="23">
        <f t="shared" si="32"/>
        <v>1.1779999999999804</v>
      </c>
      <c r="Z188" s="7">
        <f t="shared" si="33"/>
        <v>1000000</v>
      </c>
    </row>
    <row r="189" spans="25:29" x14ac:dyDescent="0.25">
      <c r="Y189" s="23">
        <f t="shared" si="32"/>
        <v>1.1789999999999803</v>
      </c>
      <c r="Z189" s="7">
        <f t="shared" si="33"/>
        <v>1000000</v>
      </c>
    </row>
    <row r="190" spans="25:29" x14ac:dyDescent="0.25">
      <c r="Y190" s="23">
        <f t="shared" si="32"/>
        <v>1.1799999999999802</v>
      </c>
      <c r="Z190" s="7">
        <f t="shared" si="33"/>
        <v>1000000</v>
      </c>
    </row>
    <row r="191" spans="25:29" x14ac:dyDescent="0.25">
      <c r="Y191" s="23">
        <f t="shared" si="32"/>
        <v>1.1809999999999801</v>
      </c>
      <c r="Z191" s="7">
        <f t="shared" si="33"/>
        <v>1000000</v>
      </c>
    </row>
    <row r="192" spans="25:29" x14ac:dyDescent="0.25">
      <c r="Y192" s="23">
        <f t="shared" si="32"/>
        <v>1.18199999999998</v>
      </c>
      <c r="Z192" s="7">
        <f t="shared" si="33"/>
        <v>1000000</v>
      </c>
    </row>
    <row r="193" spans="25:26" x14ac:dyDescent="0.25">
      <c r="Y193" s="23">
        <f t="shared" si="32"/>
        <v>1.1829999999999798</v>
      </c>
      <c r="Z193" s="7">
        <f t="shared" si="33"/>
        <v>1000000</v>
      </c>
    </row>
    <row r="194" spans="25:26" x14ac:dyDescent="0.25">
      <c r="Y194" s="23">
        <f t="shared" si="32"/>
        <v>1.1839999999999797</v>
      </c>
      <c r="Z194" s="7">
        <f t="shared" si="33"/>
        <v>1000000</v>
      </c>
    </row>
    <row r="195" spans="25:26" x14ac:dyDescent="0.25">
      <c r="Y195" s="23">
        <f t="shared" si="32"/>
        <v>1.1849999999999796</v>
      </c>
      <c r="Z195" s="7">
        <f t="shared" si="33"/>
        <v>1000000</v>
      </c>
    </row>
    <row r="196" spans="25:26" x14ac:dyDescent="0.25">
      <c r="Y196" s="23">
        <f t="shared" si="32"/>
        <v>1.1859999999999795</v>
      </c>
      <c r="Z196" s="7">
        <f t="shared" si="33"/>
        <v>1000000</v>
      </c>
    </row>
    <row r="197" spans="25:26" x14ac:dyDescent="0.25">
      <c r="Y197" s="23">
        <f t="shared" si="32"/>
        <v>1.1869999999999794</v>
      </c>
      <c r="Z197" s="7">
        <f t="shared" si="33"/>
        <v>1000000</v>
      </c>
    </row>
    <row r="198" spans="25:26" x14ac:dyDescent="0.25">
      <c r="Y198" s="23">
        <f t="shared" si="32"/>
        <v>1.1879999999999793</v>
      </c>
      <c r="Z198" s="7">
        <f t="shared" si="33"/>
        <v>1000000</v>
      </c>
    </row>
    <row r="199" spans="25:26" x14ac:dyDescent="0.25">
      <c r="Y199" s="23">
        <f t="shared" si="32"/>
        <v>1.1889999999999792</v>
      </c>
      <c r="Z199" s="7">
        <f t="shared" si="33"/>
        <v>1000000</v>
      </c>
    </row>
    <row r="200" spans="25:26" x14ac:dyDescent="0.25">
      <c r="Y200" s="23">
        <f t="shared" si="32"/>
        <v>1.1899999999999791</v>
      </c>
      <c r="Z200" s="7">
        <f t="shared" si="33"/>
        <v>1000000</v>
      </c>
    </row>
    <row r="201" spans="25:26" x14ac:dyDescent="0.25">
      <c r="Y201" s="23">
        <f t="shared" si="32"/>
        <v>1.190999999999979</v>
      </c>
      <c r="Z201" s="7">
        <f t="shared" si="33"/>
        <v>1000000</v>
      </c>
    </row>
    <row r="202" spans="25:26" x14ac:dyDescent="0.25">
      <c r="Y202" s="23">
        <f t="shared" si="32"/>
        <v>1.1919999999999789</v>
      </c>
      <c r="Z202" s="7">
        <f t="shared" si="33"/>
        <v>1000000</v>
      </c>
    </row>
    <row r="203" spans="25:26" x14ac:dyDescent="0.25">
      <c r="Y203" s="23">
        <f t="shared" ref="Y203:Y250" si="34">Y202+$X$10</f>
        <v>1.1929999999999787</v>
      </c>
      <c r="Z203" s="7">
        <f t="shared" ref="Z203:Z250" si="35">IF(AND(Y203&gt;=$F$3, Y203&lt;=$F$4), $F$2, 0)</f>
        <v>1000000</v>
      </c>
    </row>
    <row r="204" spans="25:26" x14ac:dyDescent="0.25">
      <c r="Y204" s="23">
        <f t="shared" si="34"/>
        <v>1.1939999999999786</v>
      </c>
      <c r="Z204" s="7">
        <f t="shared" si="35"/>
        <v>1000000</v>
      </c>
    </row>
    <row r="205" spans="25:26" x14ac:dyDescent="0.25">
      <c r="Y205" s="23">
        <f t="shared" si="34"/>
        <v>1.1949999999999785</v>
      </c>
      <c r="Z205" s="7">
        <f t="shared" si="35"/>
        <v>1000000</v>
      </c>
    </row>
    <row r="206" spans="25:26" x14ac:dyDescent="0.25">
      <c r="Y206" s="23">
        <f t="shared" si="34"/>
        <v>1.1959999999999784</v>
      </c>
      <c r="Z206" s="7">
        <f t="shared" si="35"/>
        <v>1000000</v>
      </c>
    </row>
    <row r="207" spans="25:26" x14ac:dyDescent="0.25">
      <c r="Y207" s="23">
        <f t="shared" si="34"/>
        <v>1.1969999999999783</v>
      </c>
      <c r="Z207" s="7">
        <f t="shared" si="35"/>
        <v>1000000</v>
      </c>
    </row>
    <row r="208" spans="25:26" x14ac:dyDescent="0.25">
      <c r="Y208" s="23">
        <f t="shared" si="34"/>
        <v>1.1979999999999782</v>
      </c>
      <c r="Z208" s="7">
        <f t="shared" si="35"/>
        <v>1000000</v>
      </c>
    </row>
    <row r="209" spans="25:26" x14ac:dyDescent="0.25">
      <c r="Y209" s="23">
        <f t="shared" si="34"/>
        <v>1.1989999999999781</v>
      </c>
      <c r="Z209" s="7">
        <f t="shared" si="35"/>
        <v>1000000</v>
      </c>
    </row>
    <row r="210" spans="25:26" x14ac:dyDescent="0.25">
      <c r="Y210" s="23">
        <f t="shared" si="34"/>
        <v>1.199999999999978</v>
      </c>
      <c r="Z210" s="7">
        <f t="shared" si="35"/>
        <v>1000000</v>
      </c>
    </row>
    <row r="211" spans="25:26" x14ac:dyDescent="0.25">
      <c r="Y211" s="23">
        <f t="shared" si="34"/>
        <v>1.2009999999999779</v>
      </c>
      <c r="Z211" s="7">
        <f t="shared" si="35"/>
        <v>0</v>
      </c>
    </row>
    <row r="212" spans="25:26" x14ac:dyDescent="0.25">
      <c r="Y212" s="23">
        <f t="shared" si="34"/>
        <v>1.2019999999999778</v>
      </c>
      <c r="Z212" s="7">
        <f t="shared" si="35"/>
        <v>0</v>
      </c>
    </row>
    <row r="213" spans="25:26" x14ac:dyDescent="0.25">
      <c r="Y213" s="23">
        <f t="shared" si="34"/>
        <v>1.2029999999999776</v>
      </c>
      <c r="Z213" s="7">
        <f t="shared" si="35"/>
        <v>0</v>
      </c>
    </row>
    <row r="214" spans="25:26" x14ac:dyDescent="0.25">
      <c r="Y214" s="23">
        <f t="shared" si="34"/>
        <v>1.2039999999999775</v>
      </c>
      <c r="Z214" s="7">
        <f t="shared" si="35"/>
        <v>0</v>
      </c>
    </row>
    <row r="215" spans="25:26" x14ac:dyDescent="0.25">
      <c r="Y215" s="23">
        <f t="shared" si="34"/>
        <v>1.2049999999999774</v>
      </c>
      <c r="Z215" s="7">
        <f t="shared" si="35"/>
        <v>0</v>
      </c>
    </row>
    <row r="216" spans="25:26" x14ac:dyDescent="0.25">
      <c r="Y216" s="23">
        <f t="shared" si="34"/>
        <v>1.2059999999999773</v>
      </c>
      <c r="Z216" s="7">
        <f t="shared" si="35"/>
        <v>0</v>
      </c>
    </row>
    <row r="217" spans="25:26" x14ac:dyDescent="0.25">
      <c r="Y217" s="23">
        <f t="shared" si="34"/>
        <v>1.2069999999999772</v>
      </c>
      <c r="Z217" s="7">
        <f t="shared" si="35"/>
        <v>0</v>
      </c>
    </row>
    <row r="218" spans="25:26" x14ac:dyDescent="0.25">
      <c r="Y218" s="23">
        <f t="shared" si="34"/>
        <v>1.2079999999999771</v>
      </c>
      <c r="Z218" s="7">
        <f t="shared" si="35"/>
        <v>0</v>
      </c>
    </row>
    <row r="219" spans="25:26" x14ac:dyDescent="0.25">
      <c r="Y219" s="23">
        <f t="shared" si="34"/>
        <v>1.208999999999977</v>
      </c>
      <c r="Z219" s="7">
        <f t="shared" si="35"/>
        <v>0</v>
      </c>
    </row>
    <row r="220" spans="25:26" x14ac:dyDescent="0.25">
      <c r="Y220" s="23">
        <f t="shared" si="34"/>
        <v>1.2099999999999769</v>
      </c>
      <c r="Z220" s="7">
        <f t="shared" si="35"/>
        <v>0</v>
      </c>
    </row>
    <row r="221" spans="25:26" x14ac:dyDescent="0.25">
      <c r="Y221" s="23">
        <f t="shared" si="34"/>
        <v>1.2109999999999768</v>
      </c>
      <c r="Z221" s="7">
        <f t="shared" si="35"/>
        <v>0</v>
      </c>
    </row>
    <row r="222" spans="25:26" x14ac:dyDescent="0.25">
      <c r="Y222" s="23">
        <f t="shared" si="34"/>
        <v>1.2119999999999767</v>
      </c>
      <c r="Z222" s="7">
        <f t="shared" si="35"/>
        <v>0</v>
      </c>
    </row>
    <row r="223" spans="25:26" x14ac:dyDescent="0.25">
      <c r="Y223" s="23">
        <f t="shared" si="34"/>
        <v>1.2129999999999765</v>
      </c>
      <c r="Z223" s="7">
        <f t="shared" si="35"/>
        <v>0</v>
      </c>
    </row>
    <row r="224" spans="25:26" x14ac:dyDescent="0.25">
      <c r="Y224" s="23">
        <f t="shared" si="34"/>
        <v>1.2139999999999764</v>
      </c>
      <c r="Z224" s="7">
        <f t="shared" si="35"/>
        <v>0</v>
      </c>
    </row>
    <row r="225" spans="25:26" x14ac:dyDescent="0.25">
      <c r="Y225" s="23">
        <f t="shared" si="34"/>
        <v>1.2149999999999763</v>
      </c>
      <c r="Z225" s="7">
        <f t="shared" si="35"/>
        <v>0</v>
      </c>
    </row>
    <row r="226" spans="25:26" x14ac:dyDescent="0.25">
      <c r="Y226" s="23">
        <f t="shared" si="34"/>
        <v>1.2159999999999762</v>
      </c>
      <c r="Z226" s="7">
        <f t="shared" si="35"/>
        <v>0</v>
      </c>
    </row>
    <row r="227" spans="25:26" x14ac:dyDescent="0.25">
      <c r="Y227" s="23">
        <f t="shared" si="34"/>
        <v>1.2169999999999761</v>
      </c>
      <c r="Z227" s="7">
        <f t="shared" si="35"/>
        <v>0</v>
      </c>
    </row>
    <row r="228" spans="25:26" x14ac:dyDescent="0.25">
      <c r="Y228" s="23">
        <f t="shared" si="34"/>
        <v>1.217999999999976</v>
      </c>
      <c r="Z228" s="7">
        <f t="shared" si="35"/>
        <v>0</v>
      </c>
    </row>
    <row r="229" spans="25:26" x14ac:dyDescent="0.25">
      <c r="Y229" s="23">
        <f t="shared" si="34"/>
        <v>1.2189999999999759</v>
      </c>
      <c r="Z229" s="7">
        <f t="shared" si="35"/>
        <v>0</v>
      </c>
    </row>
    <row r="230" spans="25:26" x14ac:dyDescent="0.25">
      <c r="Y230" s="23">
        <f t="shared" si="34"/>
        <v>1.2199999999999758</v>
      </c>
      <c r="Z230" s="7">
        <f t="shared" si="35"/>
        <v>0</v>
      </c>
    </row>
    <row r="231" spans="25:26" x14ac:dyDescent="0.25">
      <c r="Y231" s="23">
        <f t="shared" si="34"/>
        <v>1.2209999999999757</v>
      </c>
      <c r="Z231" s="7">
        <f t="shared" si="35"/>
        <v>0</v>
      </c>
    </row>
    <row r="232" spans="25:26" x14ac:dyDescent="0.25">
      <c r="Y232" s="23">
        <f t="shared" si="34"/>
        <v>1.2219999999999756</v>
      </c>
      <c r="Z232" s="7">
        <f t="shared" si="35"/>
        <v>0</v>
      </c>
    </row>
    <row r="233" spans="25:26" x14ac:dyDescent="0.25">
      <c r="Y233" s="23">
        <f t="shared" si="34"/>
        <v>1.2229999999999754</v>
      </c>
      <c r="Z233" s="7">
        <f t="shared" si="35"/>
        <v>0</v>
      </c>
    </row>
    <row r="234" spans="25:26" x14ac:dyDescent="0.25">
      <c r="Y234" s="23">
        <f t="shared" si="34"/>
        <v>1.2239999999999753</v>
      </c>
      <c r="Z234" s="7">
        <f t="shared" si="35"/>
        <v>0</v>
      </c>
    </row>
    <row r="235" spans="25:26" x14ac:dyDescent="0.25">
      <c r="Y235" s="23">
        <f t="shared" si="34"/>
        <v>1.2249999999999752</v>
      </c>
      <c r="Z235" s="7">
        <f t="shared" si="35"/>
        <v>0</v>
      </c>
    </row>
    <row r="236" spans="25:26" x14ac:dyDescent="0.25">
      <c r="Y236" s="23">
        <f t="shared" si="34"/>
        <v>1.2259999999999751</v>
      </c>
      <c r="Z236" s="7">
        <f t="shared" si="35"/>
        <v>0</v>
      </c>
    </row>
    <row r="237" spans="25:26" x14ac:dyDescent="0.25">
      <c r="Y237" s="23">
        <f t="shared" si="34"/>
        <v>1.226999999999975</v>
      </c>
      <c r="Z237" s="7">
        <f t="shared" si="35"/>
        <v>0</v>
      </c>
    </row>
    <row r="238" spans="25:26" x14ac:dyDescent="0.25">
      <c r="Y238" s="23">
        <f t="shared" si="34"/>
        <v>1.2279999999999749</v>
      </c>
      <c r="Z238" s="7">
        <f t="shared" si="35"/>
        <v>0</v>
      </c>
    </row>
    <row r="239" spans="25:26" x14ac:dyDescent="0.25">
      <c r="Y239" s="23">
        <f t="shared" si="34"/>
        <v>1.2289999999999748</v>
      </c>
      <c r="Z239" s="7">
        <f t="shared" si="35"/>
        <v>0</v>
      </c>
    </row>
    <row r="240" spans="25:26" x14ac:dyDescent="0.25">
      <c r="Y240" s="23">
        <f t="shared" si="34"/>
        <v>1.2299999999999747</v>
      </c>
      <c r="Z240" s="7">
        <f t="shared" si="35"/>
        <v>0</v>
      </c>
    </row>
    <row r="241" spans="25:26" x14ac:dyDescent="0.25">
      <c r="Y241" s="23">
        <f t="shared" si="34"/>
        <v>1.2309999999999746</v>
      </c>
      <c r="Z241" s="7">
        <f t="shared" si="35"/>
        <v>0</v>
      </c>
    </row>
    <row r="242" spans="25:26" x14ac:dyDescent="0.25">
      <c r="Y242" s="23">
        <f t="shared" si="34"/>
        <v>1.2319999999999744</v>
      </c>
      <c r="Z242" s="7">
        <f t="shared" si="35"/>
        <v>0</v>
      </c>
    </row>
    <row r="243" spans="25:26" x14ac:dyDescent="0.25">
      <c r="Y243" s="23">
        <f t="shared" si="34"/>
        <v>1.2329999999999743</v>
      </c>
      <c r="Z243" s="7">
        <f t="shared" si="35"/>
        <v>0</v>
      </c>
    </row>
    <row r="244" spans="25:26" x14ac:dyDescent="0.25">
      <c r="Y244" s="23">
        <f t="shared" si="34"/>
        <v>1.2339999999999742</v>
      </c>
      <c r="Z244" s="7">
        <f t="shared" si="35"/>
        <v>0</v>
      </c>
    </row>
    <row r="245" spans="25:26" x14ac:dyDescent="0.25">
      <c r="Y245" s="23">
        <f t="shared" si="34"/>
        <v>1.2349999999999741</v>
      </c>
      <c r="Z245" s="7">
        <f t="shared" si="35"/>
        <v>0</v>
      </c>
    </row>
    <row r="246" spans="25:26" x14ac:dyDescent="0.25">
      <c r="Y246" s="23">
        <f t="shared" si="34"/>
        <v>1.235999999999974</v>
      </c>
      <c r="Z246" s="7">
        <f t="shared" si="35"/>
        <v>0</v>
      </c>
    </row>
    <row r="247" spans="25:26" x14ac:dyDescent="0.25">
      <c r="Y247" s="23">
        <f t="shared" si="34"/>
        <v>1.2369999999999739</v>
      </c>
      <c r="Z247" s="7">
        <f t="shared" si="35"/>
        <v>0</v>
      </c>
    </row>
    <row r="248" spans="25:26" x14ac:dyDescent="0.25">
      <c r="Y248" s="23">
        <f t="shared" si="34"/>
        <v>1.2379999999999738</v>
      </c>
      <c r="Z248" s="7">
        <f t="shared" si="35"/>
        <v>0</v>
      </c>
    </row>
    <row r="249" spans="25:26" x14ac:dyDescent="0.25">
      <c r="Y249" s="23">
        <f t="shared" si="34"/>
        <v>1.2389999999999737</v>
      </c>
      <c r="Z249" s="7">
        <f t="shared" si="35"/>
        <v>0</v>
      </c>
    </row>
    <row r="250" spans="25:26" x14ac:dyDescent="0.25">
      <c r="Y250" s="23">
        <f t="shared" si="34"/>
        <v>1.2399999999999736</v>
      </c>
      <c r="Z250" s="7">
        <f t="shared" si="35"/>
        <v>0</v>
      </c>
    </row>
    <row r="276" spans="28:28" x14ac:dyDescent="0.25">
      <c r="AB276" s="23"/>
    </row>
    <row r="277" spans="28:28" x14ac:dyDescent="0.25">
      <c r="AB277" s="23"/>
    </row>
    <row r="278" spans="28:28" x14ac:dyDescent="0.25">
      <c r="AB278" s="23"/>
    </row>
    <row r="279" spans="28:28" x14ac:dyDescent="0.25">
      <c r="AB279" s="23"/>
    </row>
    <row r="280" spans="28:28" x14ac:dyDescent="0.25">
      <c r="AB280" s="23"/>
    </row>
    <row r="281" spans="28:28" x14ac:dyDescent="0.25">
      <c r="AB281" s="23"/>
    </row>
    <row r="282" spans="28:28" x14ac:dyDescent="0.25">
      <c r="AB282" s="23"/>
    </row>
    <row r="283" spans="28:28" x14ac:dyDescent="0.25">
      <c r="AB283" s="23"/>
    </row>
    <row r="284" spans="28:28" x14ac:dyDescent="0.25">
      <c r="AB284" s="23"/>
    </row>
    <row r="285" spans="28:28" x14ac:dyDescent="0.25">
      <c r="AB285" s="23"/>
    </row>
    <row r="286" spans="28:28" x14ac:dyDescent="0.25">
      <c r="AB286" s="23"/>
    </row>
    <row r="287" spans="28:28" x14ac:dyDescent="0.25">
      <c r="AB287" s="23"/>
    </row>
    <row r="288" spans="28:28" x14ac:dyDescent="0.25">
      <c r="AB288" s="23"/>
    </row>
    <row r="289" spans="28:28" x14ac:dyDescent="0.25">
      <c r="AB289" s="23"/>
    </row>
    <row r="290" spans="28:28" x14ac:dyDescent="0.25">
      <c r="AB290" s="23"/>
    </row>
    <row r="291" spans="28:28" x14ac:dyDescent="0.25">
      <c r="AB291" s="23"/>
    </row>
    <row r="292" spans="28:28" x14ac:dyDescent="0.25">
      <c r="AB292" s="23"/>
    </row>
    <row r="293" spans="28:28" x14ac:dyDescent="0.25">
      <c r="AB293" s="23"/>
    </row>
    <row r="294" spans="28:28" x14ac:dyDescent="0.25">
      <c r="AB294" s="23"/>
    </row>
    <row r="295" spans="28:28" x14ac:dyDescent="0.25">
      <c r="AB295" s="23"/>
    </row>
    <row r="296" spans="28:28" x14ac:dyDescent="0.25">
      <c r="AB296" s="23"/>
    </row>
    <row r="297" spans="28:28" x14ac:dyDescent="0.25">
      <c r="AB297" s="23"/>
    </row>
    <row r="298" spans="28:28" x14ac:dyDescent="0.25">
      <c r="AB298" s="23"/>
    </row>
    <row r="299" spans="28:28" x14ac:dyDescent="0.25">
      <c r="AB299" s="23"/>
    </row>
    <row r="300" spans="28:28" x14ac:dyDescent="0.25">
      <c r="AB300" s="23"/>
    </row>
    <row r="301" spans="28:28" x14ac:dyDescent="0.25">
      <c r="AB301" s="23"/>
    </row>
    <row r="302" spans="28:28" x14ac:dyDescent="0.25">
      <c r="AB302" s="23"/>
    </row>
    <row r="303" spans="28:28" x14ac:dyDescent="0.25">
      <c r="AB303" s="23"/>
    </row>
    <row r="304" spans="28:28" x14ac:dyDescent="0.25">
      <c r="AB304" s="23"/>
    </row>
    <row r="305" spans="28:28" x14ac:dyDescent="0.25">
      <c r="AB305" s="23"/>
    </row>
    <row r="306" spans="28:28" x14ac:dyDescent="0.25">
      <c r="AB306" s="23"/>
    </row>
    <row r="307" spans="28:28" x14ac:dyDescent="0.25">
      <c r="AB307" s="23"/>
    </row>
    <row r="308" spans="28:28" x14ac:dyDescent="0.25">
      <c r="AB308" s="23"/>
    </row>
    <row r="309" spans="28:28" x14ac:dyDescent="0.25">
      <c r="AB309" s="23"/>
    </row>
    <row r="310" spans="28:28" x14ac:dyDescent="0.25">
      <c r="AB310" s="23"/>
    </row>
    <row r="311" spans="28:28" x14ac:dyDescent="0.25">
      <c r="AB311" s="23"/>
    </row>
    <row r="312" spans="28:28" x14ac:dyDescent="0.25">
      <c r="AB312" s="23"/>
    </row>
    <row r="313" spans="28:28" x14ac:dyDescent="0.25">
      <c r="AB313" s="23"/>
    </row>
    <row r="314" spans="28:28" x14ac:dyDescent="0.25">
      <c r="AB314" s="23"/>
    </row>
    <row r="315" spans="28:28" x14ac:dyDescent="0.25">
      <c r="AB315" s="23"/>
    </row>
    <row r="316" spans="28:28" x14ac:dyDescent="0.25">
      <c r="AB316" s="23"/>
    </row>
    <row r="317" spans="28:28" x14ac:dyDescent="0.25">
      <c r="AB317" s="23"/>
    </row>
    <row r="318" spans="28:28" x14ac:dyDescent="0.25">
      <c r="AB318" s="23"/>
    </row>
    <row r="319" spans="28:28" x14ac:dyDescent="0.25">
      <c r="AB319" s="23"/>
    </row>
    <row r="320" spans="28:28" x14ac:dyDescent="0.25">
      <c r="AB320" s="23"/>
    </row>
    <row r="321" spans="28:28" x14ac:dyDescent="0.25">
      <c r="AB321" s="23"/>
    </row>
    <row r="322" spans="28:28" x14ac:dyDescent="0.25">
      <c r="AB322" s="23"/>
    </row>
    <row r="323" spans="28:28" x14ac:dyDescent="0.25">
      <c r="AB323" s="23"/>
    </row>
    <row r="324" spans="28:28" x14ac:dyDescent="0.25">
      <c r="AB324" s="23"/>
    </row>
    <row r="325" spans="28:28" x14ac:dyDescent="0.25">
      <c r="AB325" s="23"/>
    </row>
    <row r="326" spans="28:28" x14ac:dyDescent="0.25">
      <c r="AB326" s="23"/>
    </row>
    <row r="327" spans="28:28" x14ac:dyDescent="0.25">
      <c r="AB327" s="23"/>
    </row>
    <row r="328" spans="28:28" x14ac:dyDescent="0.25">
      <c r="AB328" s="23"/>
    </row>
    <row r="329" spans="28:28" x14ac:dyDescent="0.25">
      <c r="AB329" s="23"/>
    </row>
    <row r="330" spans="28:28" x14ac:dyDescent="0.25">
      <c r="AB330" s="23"/>
    </row>
    <row r="331" spans="28:28" x14ac:dyDescent="0.25">
      <c r="AB331" s="23"/>
    </row>
    <row r="332" spans="28:28" x14ac:dyDescent="0.25">
      <c r="AB332" s="23"/>
    </row>
    <row r="333" spans="28:28" x14ac:dyDescent="0.25">
      <c r="AB333" s="23"/>
    </row>
    <row r="334" spans="28:28" x14ac:dyDescent="0.25">
      <c r="AB334" s="23"/>
    </row>
    <row r="335" spans="28:28" x14ac:dyDescent="0.25">
      <c r="AB335" s="23"/>
    </row>
    <row r="336" spans="28:28" x14ac:dyDescent="0.25">
      <c r="AB336" s="23"/>
    </row>
    <row r="337" spans="28:28" x14ac:dyDescent="0.25">
      <c r="AB337" s="23"/>
    </row>
    <row r="338" spans="28:28" x14ac:dyDescent="0.25">
      <c r="AB338" s="23"/>
    </row>
    <row r="339" spans="28:28" x14ac:dyDescent="0.25">
      <c r="AB339" s="23"/>
    </row>
    <row r="340" spans="28:28" x14ac:dyDescent="0.25">
      <c r="AB340" s="23"/>
    </row>
    <row r="341" spans="28:28" x14ac:dyDescent="0.25">
      <c r="AB341" s="23"/>
    </row>
    <row r="342" spans="28:28" x14ac:dyDescent="0.25">
      <c r="AB342" s="23"/>
    </row>
    <row r="343" spans="28:28" x14ac:dyDescent="0.25">
      <c r="AB343" s="23"/>
    </row>
    <row r="344" spans="28:28" x14ac:dyDescent="0.25">
      <c r="AB344" s="23"/>
    </row>
    <row r="345" spans="28:28" x14ac:dyDescent="0.25">
      <c r="AB345" s="23"/>
    </row>
    <row r="346" spans="28:28" x14ac:dyDescent="0.25">
      <c r="AB346" s="23"/>
    </row>
    <row r="347" spans="28:28" x14ac:dyDescent="0.25">
      <c r="AB347" s="23"/>
    </row>
    <row r="348" spans="28:28" x14ac:dyDescent="0.25">
      <c r="AB348" s="23"/>
    </row>
    <row r="349" spans="28:28" x14ac:dyDescent="0.25">
      <c r="AB349" s="23"/>
    </row>
    <row r="350" spans="28:28" x14ac:dyDescent="0.25">
      <c r="AB350" s="23"/>
    </row>
    <row r="351" spans="28:28" x14ac:dyDescent="0.25">
      <c r="AB351" s="23"/>
    </row>
    <row r="352" spans="28:28" x14ac:dyDescent="0.25">
      <c r="AB352" s="23"/>
    </row>
    <row r="353" spans="28:28" x14ac:dyDescent="0.25">
      <c r="AB353" s="23"/>
    </row>
    <row r="354" spans="28:28" x14ac:dyDescent="0.25">
      <c r="AB354" s="23"/>
    </row>
    <row r="355" spans="28:28" x14ac:dyDescent="0.25">
      <c r="AB355" s="23"/>
    </row>
    <row r="356" spans="28:28" x14ac:dyDescent="0.25">
      <c r="AB356" s="23"/>
    </row>
    <row r="357" spans="28:28" x14ac:dyDescent="0.25">
      <c r="AB357" s="23"/>
    </row>
    <row r="358" spans="28:28" x14ac:dyDescent="0.25">
      <c r="AB358" s="23"/>
    </row>
    <row r="359" spans="28:28" x14ac:dyDescent="0.25">
      <c r="AB359" s="23"/>
    </row>
    <row r="360" spans="28:28" x14ac:dyDescent="0.25">
      <c r="AB360" s="23"/>
    </row>
    <row r="361" spans="28:28" x14ac:dyDescent="0.25">
      <c r="AB361" s="23"/>
    </row>
    <row r="362" spans="28:28" x14ac:dyDescent="0.25">
      <c r="AB362" s="23"/>
    </row>
    <row r="363" spans="28:28" x14ac:dyDescent="0.25">
      <c r="AB363" s="23"/>
    </row>
    <row r="364" spans="28:28" x14ac:dyDescent="0.25">
      <c r="AB364" s="23"/>
    </row>
    <row r="365" spans="28:28" x14ac:dyDescent="0.25">
      <c r="AB365" s="23"/>
    </row>
    <row r="366" spans="28:28" x14ac:dyDescent="0.25">
      <c r="AB366" s="23"/>
    </row>
    <row r="367" spans="28:28" x14ac:dyDescent="0.25">
      <c r="AB367" s="23"/>
    </row>
    <row r="368" spans="28:28" x14ac:dyDescent="0.25">
      <c r="AB368" s="23"/>
    </row>
    <row r="369" spans="28:28" x14ac:dyDescent="0.25">
      <c r="AB369" s="23"/>
    </row>
    <row r="370" spans="28:28" x14ac:dyDescent="0.25">
      <c r="AB370" s="23"/>
    </row>
    <row r="371" spans="28:28" x14ac:dyDescent="0.25">
      <c r="AB371" s="23"/>
    </row>
    <row r="372" spans="28:28" x14ac:dyDescent="0.25">
      <c r="AB372" s="23"/>
    </row>
    <row r="373" spans="28:28" x14ac:dyDescent="0.25">
      <c r="AB373" s="23"/>
    </row>
    <row r="374" spans="28:28" x14ac:dyDescent="0.25">
      <c r="AB374" s="23"/>
    </row>
    <row r="375" spans="28:28" x14ac:dyDescent="0.25">
      <c r="AB375" s="23"/>
    </row>
    <row r="376" spans="28:28" x14ac:dyDescent="0.25">
      <c r="AB376" s="23"/>
    </row>
    <row r="377" spans="28:28" x14ac:dyDescent="0.25">
      <c r="AB377" s="23"/>
    </row>
    <row r="378" spans="28:28" x14ac:dyDescent="0.25">
      <c r="AB378" s="23"/>
    </row>
    <row r="379" spans="28:28" x14ac:dyDescent="0.25">
      <c r="AB379" s="23"/>
    </row>
    <row r="380" spans="28:28" x14ac:dyDescent="0.25">
      <c r="AB380" s="23"/>
    </row>
    <row r="381" spans="28:28" x14ac:dyDescent="0.25">
      <c r="AB381" s="23"/>
    </row>
    <row r="382" spans="28:28" x14ac:dyDescent="0.25">
      <c r="AB382" s="23"/>
    </row>
    <row r="383" spans="28:28" x14ac:dyDescent="0.25">
      <c r="AB383" s="23"/>
    </row>
    <row r="384" spans="28:28" x14ac:dyDescent="0.25">
      <c r="AB384" s="23"/>
    </row>
    <row r="385" spans="28:28" x14ac:dyDescent="0.25">
      <c r="AB385" s="23"/>
    </row>
    <row r="386" spans="28:28" x14ac:dyDescent="0.25">
      <c r="AB386" s="23"/>
    </row>
    <row r="387" spans="28:28" x14ac:dyDescent="0.25">
      <c r="AB387" s="23"/>
    </row>
    <row r="388" spans="28:28" x14ac:dyDescent="0.25">
      <c r="AB388" s="23"/>
    </row>
    <row r="389" spans="28:28" x14ac:dyDescent="0.25">
      <c r="AB389" s="23"/>
    </row>
    <row r="390" spans="28:28" x14ac:dyDescent="0.25">
      <c r="AB390" s="23"/>
    </row>
    <row r="391" spans="28:28" x14ac:dyDescent="0.25">
      <c r="AB391" s="23"/>
    </row>
    <row r="392" spans="28:28" x14ac:dyDescent="0.25">
      <c r="AB392" s="23"/>
    </row>
    <row r="393" spans="28:28" x14ac:dyDescent="0.25">
      <c r="AB393" s="23"/>
    </row>
    <row r="394" spans="28:28" x14ac:dyDescent="0.25">
      <c r="AB394" s="23"/>
    </row>
    <row r="395" spans="28:28" x14ac:dyDescent="0.25">
      <c r="AB395" s="23"/>
    </row>
    <row r="396" spans="28:28" x14ac:dyDescent="0.25">
      <c r="AB396" s="23"/>
    </row>
    <row r="397" spans="28:28" x14ac:dyDescent="0.25">
      <c r="AB397" s="23"/>
    </row>
    <row r="398" spans="28:28" x14ac:dyDescent="0.25">
      <c r="AB398" s="23"/>
    </row>
    <row r="399" spans="28:28" x14ac:dyDescent="0.25">
      <c r="AB399" s="23"/>
    </row>
    <row r="400" spans="28:28" x14ac:dyDescent="0.25">
      <c r="AB400" s="23"/>
    </row>
    <row r="401" spans="28:28" x14ac:dyDescent="0.25">
      <c r="AB401" s="23"/>
    </row>
    <row r="402" spans="28:28" x14ac:dyDescent="0.25">
      <c r="AB402" s="23"/>
    </row>
    <row r="403" spans="28:28" x14ac:dyDescent="0.25">
      <c r="AB403" s="23"/>
    </row>
    <row r="404" spans="28:28" x14ac:dyDescent="0.25">
      <c r="AB404" s="23"/>
    </row>
    <row r="405" spans="28:28" x14ac:dyDescent="0.25">
      <c r="AB405" s="23"/>
    </row>
    <row r="406" spans="28:28" x14ac:dyDescent="0.25">
      <c r="AB406" s="23"/>
    </row>
    <row r="407" spans="28:28" x14ac:dyDescent="0.25">
      <c r="AB407" s="23"/>
    </row>
    <row r="408" spans="28:28" x14ac:dyDescent="0.25">
      <c r="AB408" s="23"/>
    </row>
    <row r="409" spans="28:28" x14ac:dyDescent="0.25">
      <c r="AB409" s="23"/>
    </row>
    <row r="410" spans="28:28" x14ac:dyDescent="0.25">
      <c r="AB410" s="23"/>
    </row>
    <row r="411" spans="28:28" x14ac:dyDescent="0.25">
      <c r="AB411" s="23"/>
    </row>
    <row r="412" spans="28:28" x14ac:dyDescent="0.25">
      <c r="AB412" s="23"/>
    </row>
    <row r="413" spans="28:28" x14ac:dyDescent="0.25">
      <c r="AB413" s="23"/>
    </row>
    <row r="414" spans="28:28" x14ac:dyDescent="0.25">
      <c r="AB414" s="23"/>
    </row>
    <row r="415" spans="28:28" x14ac:dyDescent="0.25">
      <c r="AB415" s="23"/>
    </row>
    <row r="416" spans="28:28" x14ac:dyDescent="0.25">
      <c r="AB416" s="23"/>
    </row>
    <row r="417" spans="28:28" x14ac:dyDescent="0.25">
      <c r="AB417" s="23"/>
    </row>
    <row r="418" spans="28:28" x14ac:dyDescent="0.25">
      <c r="AB418" s="23"/>
    </row>
    <row r="419" spans="28:28" x14ac:dyDescent="0.25">
      <c r="AB419" s="23"/>
    </row>
    <row r="420" spans="28:28" x14ac:dyDescent="0.25">
      <c r="AB420" s="23"/>
    </row>
    <row r="421" spans="28:28" x14ac:dyDescent="0.25">
      <c r="AB421" s="23"/>
    </row>
    <row r="422" spans="28:28" x14ac:dyDescent="0.25">
      <c r="AB422" s="23"/>
    </row>
    <row r="423" spans="28:28" x14ac:dyDescent="0.25">
      <c r="AB423" s="23"/>
    </row>
    <row r="424" spans="28:28" x14ac:dyDescent="0.25">
      <c r="AB424" s="23"/>
    </row>
    <row r="425" spans="28:28" x14ac:dyDescent="0.25">
      <c r="AB425" s="23"/>
    </row>
    <row r="426" spans="28:28" x14ac:dyDescent="0.25">
      <c r="AB426" s="23"/>
    </row>
    <row r="427" spans="28:28" x14ac:dyDescent="0.25">
      <c r="AB427" s="23"/>
    </row>
    <row r="428" spans="28:28" x14ac:dyDescent="0.25">
      <c r="AB428" s="23"/>
    </row>
    <row r="429" spans="28:28" x14ac:dyDescent="0.25">
      <c r="AB429" s="23"/>
    </row>
    <row r="430" spans="28:28" x14ac:dyDescent="0.25">
      <c r="AB430" s="23"/>
    </row>
    <row r="431" spans="28:28" x14ac:dyDescent="0.25">
      <c r="AB431" s="23"/>
    </row>
    <row r="432" spans="28:28" x14ac:dyDescent="0.25">
      <c r="AB432" s="23"/>
    </row>
    <row r="433" spans="28:28" x14ac:dyDescent="0.25">
      <c r="AB433" s="23"/>
    </row>
    <row r="434" spans="28:28" x14ac:dyDescent="0.25">
      <c r="AB434" s="23"/>
    </row>
    <row r="435" spans="28:28" x14ac:dyDescent="0.25">
      <c r="AB435" s="23"/>
    </row>
    <row r="436" spans="28:28" x14ac:dyDescent="0.25">
      <c r="AB436" s="23"/>
    </row>
    <row r="437" spans="28:28" x14ac:dyDescent="0.25">
      <c r="AB437" s="23"/>
    </row>
    <row r="438" spans="28:28" x14ac:dyDescent="0.25">
      <c r="AB438" s="23"/>
    </row>
    <row r="439" spans="28:28" x14ac:dyDescent="0.25">
      <c r="AB439" s="23"/>
    </row>
    <row r="440" spans="28:28" x14ac:dyDescent="0.25">
      <c r="AB440" s="23"/>
    </row>
    <row r="441" spans="28:28" x14ac:dyDescent="0.25">
      <c r="AB441" s="23"/>
    </row>
    <row r="442" spans="28:28" x14ac:dyDescent="0.25">
      <c r="AB442" s="23"/>
    </row>
    <row r="443" spans="28:28" x14ac:dyDescent="0.25">
      <c r="AB443" s="23"/>
    </row>
    <row r="444" spans="28:28" x14ac:dyDescent="0.25">
      <c r="AB444" s="23"/>
    </row>
    <row r="445" spans="28:28" x14ac:dyDescent="0.25">
      <c r="AB445" s="23"/>
    </row>
    <row r="446" spans="28:28" x14ac:dyDescent="0.25">
      <c r="AB446" s="23"/>
    </row>
    <row r="447" spans="28:28" x14ac:dyDescent="0.25">
      <c r="AB447" s="23"/>
    </row>
    <row r="448" spans="28:28" x14ac:dyDescent="0.25">
      <c r="AB448" s="23"/>
    </row>
    <row r="449" spans="28:28" x14ac:dyDescent="0.25">
      <c r="AB449" s="23"/>
    </row>
    <row r="450" spans="28:28" x14ac:dyDescent="0.25">
      <c r="AB450" s="23"/>
    </row>
    <row r="451" spans="28:28" x14ac:dyDescent="0.25">
      <c r="AB451" s="23"/>
    </row>
    <row r="452" spans="28:28" x14ac:dyDescent="0.25">
      <c r="AB452" s="23"/>
    </row>
    <row r="453" spans="28:28" x14ac:dyDescent="0.25">
      <c r="AB453" s="23"/>
    </row>
    <row r="454" spans="28:28" x14ac:dyDescent="0.25">
      <c r="AB454" s="23"/>
    </row>
    <row r="455" spans="28:28" x14ac:dyDescent="0.25">
      <c r="AB455" s="23"/>
    </row>
    <row r="456" spans="28:28" x14ac:dyDescent="0.25">
      <c r="AB456" s="23"/>
    </row>
    <row r="457" spans="28:28" x14ac:dyDescent="0.25">
      <c r="AB457" s="23"/>
    </row>
    <row r="458" spans="28:28" x14ac:dyDescent="0.25">
      <c r="AB458" s="23"/>
    </row>
    <row r="459" spans="28:28" x14ac:dyDescent="0.25">
      <c r="AB459" s="23"/>
    </row>
    <row r="460" spans="28:28" x14ac:dyDescent="0.25">
      <c r="AB460" s="23"/>
    </row>
    <row r="461" spans="28:28" x14ac:dyDescent="0.25">
      <c r="AB461" s="23"/>
    </row>
    <row r="462" spans="28:28" x14ac:dyDescent="0.25">
      <c r="AB462" s="23"/>
    </row>
    <row r="463" spans="28:28" x14ac:dyDescent="0.25">
      <c r="AB463" s="23"/>
    </row>
    <row r="464" spans="28:28" x14ac:dyDescent="0.25">
      <c r="AB464" s="23"/>
    </row>
    <row r="465" spans="28:28" x14ac:dyDescent="0.25">
      <c r="AB465" s="23"/>
    </row>
    <row r="466" spans="28:28" x14ac:dyDescent="0.25">
      <c r="AB466" s="23"/>
    </row>
    <row r="467" spans="28:28" x14ac:dyDescent="0.25">
      <c r="AB467" s="23"/>
    </row>
    <row r="468" spans="28:28" x14ac:dyDescent="0.25">
      <c r="AB468" s="23"/>
    </row>
    <row r="469" spans="28:28" x14ac:dyDescent="0.25">
      <c r="AB469" s="23"/>
    </row>
    <row r="470" spans="28:28" x14ac:dyDescent="0.25">
      <c r="AB470" s="23"/>
    </row>
    <row r="471" spans="28:28" x14ac:dyDescent="0.25">
      <c r="AB471" s="23"/>
    </row>
    <row r="472" spans="28:28" x14ac:dyDescent="0.25">
      <c r="AB472" s="23"/>
    </row>
    <row r="473" spans="28:28" x14ac:dyDescent="0.25">
      <c r="AB473" s="23"/>
    </row>
    <row r="474" spans="28:28" x14ac:dyDescent="0.25">
      <c r="AB474" s="23"/>
    </row>
    <row r="475" spans="28:28" x14ac:dyDescent="0.25">
      <c r="AB475" s="23"/>
    </row>
    <row r="476" spans="28:28" x14ac:dyDescent="0.25">
      <c r="AB476" s="23"/>
    </row>
    <row r="477" spans="28:28" x14ac:dyDescent="0.25">
      <c r="AB477" s="23"/>
    </row>
    <row r="478" spans="28:28" x14ac:dyDescent="0.25">
      <c r="AB478" s="23"/>
    </row>
    <row r="479" spans="28:28" x14ac:dyDescent="0.25">
      <c r="AB479" s="23"/>
    </row>
    <row r="480" spans="28:28" x14ac:dyDescent="0.25">
      <c r="AB480" s="23"/>
    </row>
    <row r="481" spans="28:28" x14ac:dyDescent="0.25">
      <c r="AB481" s="23"/>
    </row>
    <row r="482" spans="28:28" x14ac:dyDescent="0.25">
      <c r="AB482" s="23"/>
    </row>
    <row r="483" spans="28:28" x14ac:dyDescent="0.25">
      <c r="AB483" s="23"/>
    </row>
    <row r="484" spans="28:28" x14ac:dyDescent="0.25">
      <c r="AB484" s="23"/>
    </row>
    <row r="485" spans="28:28" x14ac:dyDescent="0.25">
      <c r="AB485" s="23"/>
    </row>
    <row r="486" spans="28:28" x14ac:dyDescent="0.25">
      <c r="AB486" s="23"/>
    </row>
    <row r="487" spans="28:28" x14ac:dyDescent="0.25">
      <c r="AB487" s="23"/>
    </row>
    <row r="488" spans="28:28" x14ac:dyDescent="0.25">
      <c r="AB488" s="23"/>
    </row>
    <row r="489" spans="28:28" x14ac:dyDescent="0.25">
      <c r="AB489" s="23"/>
    </row>
    <row r="490" spans="28:28" x14ac:dyDescent="0.25">
      <c r="AB490" s="23"/>
    </row>
    <row r="491" spans="28:28" x14ac:dyDescent="0.25">
      <c r="AB491" s="23"/>
    </row>
    <row r="492" spans="28:28" x14ac:dyDescent="0.25">
      <c r="AB492" s="23"/>
    </row>
    <row r="493" spans="28:28" x14ac:dyDescent="0.25">
      <c r="AB493" s="23"/>
    </row>
    <row r="494" spans="28:28" x14ac:dyDescent="0.25">
      <c r="AB494" s="23"/>
    </row>
    <row r="495" spans="28:28" x14ac:dyDescent="0.25">
      <c r="AB495" s="23"/>
    </row>
    <row r="496" spans="28:28" x14ac:dyDescent="0.25">
      <c r="AB496" s="23"/>
    </row>
    <row r="497" spans="28:28" x14ac:dyDescent="0.25">
      <c r="AB497" s="23"/>
    </row>
    <row r="498" spans="28:28" x14ac:dyDescent="0.25">
      <c r="AB498" s="23"/>
    </row>
    <row r="499" spans="28:28" x14ac:dyDescent="0.25">
      <c r="AB499" s="23"/>
    </row>
    <row r="500" spans="28:28" x14ac:dyDescent="0.25">
      <c r="AB500" s="23"/>
    </row>
    <row r="501" spans="28:28" x14ac:dyDescent="0.25">
      <c r="AB501" s="23"/>
    </row>
    <row r="502" spans="28:28" x14ac:dyDescent="0.25">
      <c r="AB502" s="23"/>
    </row>
    <row r="503" spans="28:28" x14ac:dyDescent="0.25">
      <c r="AB503" s="23"/>
    </row>
    <row r="504" spans="28:28" x14ac:dyDescent="0.25">
      <c r="AB504" s="23"/>
    </row>
    <row r="505" spans="28:28" x14ac:dyDescent="0.25">
      <c r="AB505" s="23"/>
    </row>
    <row r="506" spans="28:28" x14ac:dyDescent="0.25">
      <c r="AB506" s="23"/>
    </row>
    <row r="507" spans="28:28" x14ac:dyDescent="0.25">
      <c r="AB507" s="23"/>
    </row>
    <row r="508" spans="28:28" x14ac:dyDescent="0.25">
      <c r="AB508" s="23"/>
    </row>
    <row r="509" spans="28:28" x14ac:dyDescent="0.25">
      <c r="AB509" s="23"/>
    </row>
  </sheetData>
  <mergeCells count="27">
    <mergeCell ref="E1:F1"/>
    <mergeCell ref="J104:K104"/>
    <mergeCell ref="L104:M104"/>
    <mergeCell ref="N104:P104"/>
    <mergeCell ref="Q104:R104"/>
    <mergeCell ref="L75:M75"/>
    <mergeCell ref="N75:P75"/>
    <mergeCell ref="Q75:R75"/>
    <mergeCell ref="A57:B57"/>
    <mergeCell ref="A86:B86"/>
    <mergeCell ref="A115:B115"/>
    <mergeCell ref="J86:K86"/>
    <mergeCell ref="A104:B104"/>
    <mergeCell ref="C104:D104"/>
    <mergeCell ref="E104:G104"/>
    <mergeCell ref="J75:K75"/>
    <mergeCell ref="A75:B75"/>
    <mergeCell ref="C75:D75"/>
    <mergeCell ref="E75:G75"/>
    <mergeCell ref="J115:K115"/>
    <mergeCell ref="A17:B17"/>
    <mergeCell ref="C17:D17"/>
    <mergeCell ref="E17:G17"/>
    <mergeCell ref="A28:B28"/>
    <mergeCell ref="A46:B46"/>
    <mergeCell ref="C46:D46"/>
    <mergeCell ref="E46:G46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abak</dc:creator>
  <cp:lastModifiedBy>Artem Bakulin</cp:lastModifiedBy>
  <dcterms:created xsi:type="dcterms:W3CDTF">2022-04-02T12:16:27Z</dcterms:created>
  <dcterms:modified xsi:type="dcterms:W3CDTF">2026-04-02T20:26:47Z</dcterms:modified>
</cp:coreProperties>
</file>