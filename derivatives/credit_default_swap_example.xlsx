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ak\latex\derivatives\"/>
    </mc:Choice>
  </mc:AlternateContent>
  <xr:revisionPtr revIDLastSave="0" documentId="13_ncr:1_{D8FDECD7-D7A5-423F-BC67-3BD682734AFA}" xr6:coauthVersionLast="47" xr6:coauthVersionMax="47" xr10:uidLastSave="{00000000-0000-0000-0000-000000000000}"/>
  <bookViews>
    <workbookView xWindow="720" yWindow="4140" windowWidth="32730" windowHeight="16740" tabRatio="500" activeTab="1" xr2:uid="{00000000-000D-0000-FFFF-FFFF00000000}"/>
  </bookViews>
  <sheets>
    <sheet name="Default Prob" sheetId="1" r:id="rId1"/>
    <sheet name="Credit Default Swap" sheetId="2" r:id="rId2"/>
    <sheet name="Sensitiviti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N12" i="1"/>
  <c r="N14" i="1"/>
  <c r="N6" i="1"/>
  <c r="N7" i="1"/>
  <c r="N8" i="1"/>
  <c r="N9" i="1"/>
  <c r="N10" i="1"/>
  <c r="N11" i="1"/>
  <c r="N5" i="1"/>
  <c r="E10" i="3"/>
  <c r="B10" i="3"/>
  <c r="S12" i="2"/>
  <c r="S11" i="2"/>
  <c r="S10" i="2"/>
  <c r="S9" i="2"/>
  <c r="S13" i="2" s="1"/>
  <c r="E9" i="2"/>
  <c r="A9" i="2"/>
  <c r="B12" i="1"/>
  <c r="B11" i="1"/>
  <c r="F14" i="1"/>
  <c r="E14" i="1"/>
  <c r="B10" i="1"/>
  <c r="N13" i="1"/>
  <c r="F13" i="1"/>
  <c r="E13" i="1"/>
  <c r="B9" i="1"/>
  <c r="F12" i="1"/>
  <c r="E12" i="1"/>
  <c r="B8" i="1"/>
  <c r="F11" i="1"/>
  <c r="E11" i="1"/>
  <c r="B7" i="1"/>
  <c r="F10" i="1"/>
  <c r="E10" i="1"/>
  <c r="B6" i="1"/>
  <c r="F9" i="1"/>
  <c r="E9" i="1"/>
  <c r="B5" i="1"/>
  <c r="F8" i="1"/>
  <c r="E8" i="1"/>
  <c r="B4" i="1"/>
  <c r="F7" i="1"/>
  <c r="E7" i="1"/>
  <c r="B3" i="1"/>
  <c r="F6" i="1"/>
  <c r="E6" i="1"/>
  <c r="F5" i="1"/>
  <c r="E5" i="1"/>
  <c r="F2" i="1"/>
  <c r="F9" i="2" l="1"/>
  <c r="A10" i="2"/>
  <c r="G7" i="1"/>
  <c r="G14" i="1"/>
  <c r="G13" i="1"/>
  <c r="H13" i="1" s="1"/>
  <c r="B9" i="2"/>
  <c r="C9" i="2" s="1"/>
  <c r="D9" i="2" s="1"/>
  <c r="E10" i="2" s="1" a="1"/>
  <c r="E10" i="2" s="1"/>
  <c r="J13" i="1"/>
  <c r="I13" i="1"/>
  <c r="K13" i="1"/>
  <c r="K7" i="1"/>
  <c r="I7" i="1"/>
  <c r="J7" i="1"/>
  <c r="H7" i="1"/>
  <c r="K14" i="1"/>
  <c r="I14" i="1"/>
  <c r="J14" i="1"/>
  <c r="H14" i="1"/>
  <c r="G12" i="1"/>
  <c r="J9" i="2"/>
  <c r="K9" i="2" s="1"/>
  <c r="G6" i="1"/>
  <c r="G9" i="1"/>
  <c r="F10" i="2"/>
  <c r="A11" i="2"/>
  <c r="B10" i="2"/>
  <c r="C10" i="2" s="1"/>
  <c r="G5" i="1"/>
  <c r="G11" i="1"/>
  <c r="G8" i="1"/>
  <c r="G10" i="1"/>
  <c r="L13" i="1" l="1"/>
  <c r="D10" i="2"/>
  <c r="E11" i="2" s="1" a="1"/>
  <c r="E11" i="2" s="1"/>
  <c r="K12" i="1"/>
  <c r="I12" i="1"/>
  <c r="J12" i="1"/>
  <c r="H12" i="1"/>
  <c r="I8" i="1"/>
  <c r="K8" i="1"/>
  <c r="J8" i="1"/>
  <c r="H8" i="1"/>
  <c r="K11" i="1"/>
  <c r="J11" i="1"/>
  <c r="H11" i="1"/>
  <c r="I11" i="1"/>
  <c r="B11" i="2"/>
  <c r="C11" i="2" s="1"/>
  <c r="D11" i="2" s="1"/>
  <c r="A12" i="2"/>
  <c r="F11" i="2"/>
  <c r="I5" i="1"/>
  <c r="H5" i="1"/>
  <c r="J5" i="1"/>
  <c r="K5" i="1"/>
  <c r="J10" i="2"/>
  <c r="K10" i="2" s="1"/>
  <c r="L14" i="1"/>
  <c r="M14" i="1" s="1"/>
  <c r="R14" i="1" s="1"/>
  <c r="Q14" i="1" s="1"/>
  <c r="K9" i="1"/>
  <c r="J9" i="1"/>
  <c r="H9" i="1"/>
  <c r="I9" i="1"/>
  <c r="J6" i="1"/>
  <c r="I6" i="1"/>
  <c r="H6" i="1"/>
  <c r="K6" i="1"/>
  <c r="L7" i="1"/>
  <c r="M7" i="1" s="1"/>
  <c r="R7" i="1" s="1"/>
  <c r="Q7" i="1" s="1"/>
  <c r="M13" i="1"/>
  <c r="R13" i="1" s="1"/>
  <c r="Q13" i="1" s="1"/>
  <c r="K10" i="1"/>
  <c r="I10" i="1"/>
  <c r="H10" i="1"/>
  <c r="J10" i="1"/>
  <c r="L8" i="1" l="1"/>
  <c r="M8" i="1" s="1"/>
  <c r="R8" i="1" s="1"/>
  <c r="Q8" i="1" s="1"/>
  <c r="O8" i="1" s="1"/>
  <c r="L5" i="1"/>
  <c r="M5" i="1" s="1"/>
  <c r="R5" i="1" s="1"/>
  <c r="Q5" i="1" s="1"/>
  <c r="L12" i="1"/>
  <c r="M12" i="1" s="1"/>
  <c r="R12" i="1" s="1"/>
  <c r="Q12" i="1" s="1"/>
  <c r="J11" i="2"/>
  <c r="K11" i="2" s="1"/>
  <c r="L6" i="1"/>
  <c r="M6" i="1" s="1"/>
  <c r="R6" i="1" s="1"/>
  <c r="Q6" i="1" s="1"/>
  <c r="L9" i="1"/>
  <c r="M9" i="1" s="1"/>
  <c r="R9" i="1" s="1"/>
  <c r="Q9" i="1" s="1"/>
  <c r="A13" i="2"/>
  <c r="B12" i="2"/>
  <c r="C12" i="2" s="1"/>
  <c r="D12" i="2" s="1"/>
  <c r="E13" i="2" s="1" a="1"/>
  <c r="E13" i="2" s="1"/>
  <c r="F12" i="2"/>
  <c r="L10" i="1"/>
  <c r="M10" i="1" s="1"/>
  <c r="R10" i="1" s="1"/>
  <c r="Q10" i="1" s="1"/>
  <c r="E12" i="2" a="1"/>
  <c r="E12" i="2" s="1"/>
  <c r="L11" i="1"/>
  <c r="M11" i="1" s="1"/>
  <c r="R11" i="1" s="1"/>
  <c r="Q11" i="1" s="1"/>
  <c r="P14" i="1"/>
  <c r="O14" i="1"/>
  <c r="P8" i="1" l="1"/>
  <c r="P12" i="1"/>
  <c r="O12" i="1"/>
  <c r="O11" i="1"/>
  <c r="P11" i="1"/>
  <c r="P10" i="1"/>
  <c r="O10" i="1"/>
  <c r="P5" i="1"/>
  <c r="O5" i="1"/>
  <c r="O6" i="1"/>
  <c r="P6" i="1"/>
  <c r="P13" i="1"/>
  <c r="O13" i="1"/>
  <c r="P7" i="1"/>
  <c r="O7" i="1"/>
  <c r="J12" i="2"/>
  <c r="K12" i="2" s="1"/>
  <c r="B13" i="2"/>
  <c r="C13" i="2" s="1"/>
  <c r="D13" i="2" s="1"/>
  <c r="F13" i="2"/>
  <c r="A14" i="2"/>
  <c r="P9" i="1"/>
  <c r="O9" i="1"/>
  <c r="E14" i="2" l="1" a="1"/>
  <c r="E14" i="2" s="1"/>
  <c r="G9" i="2"/>
  <c r="H10" i="2" s="1"/>
  <c r="G10" i="2"/>
  <c r="G11" i="2"/>
  <c r="F14" i="2"/>
  <c r="A15" i="2"/>
  <c r="B14" i="2"/>
  <c r="C14" i="2" s="1"/>
  <c r="D14" i="2" s="1"/>
  <c r="E15" i="2" s="1" a="1"/>
  <c r="E15" i="2" s="1"/>
  <c r="G13" i="2"/>
  <c r="J13" i="2"/>
  <c r="K13" i="2" s="1"/>
  <c r="G12" i="2"/>
  <c r="J14" i="2" l="1"/>
  <c r="K14" i="2" s="1"/>
  <c r="G14" i="2"/>
  <c r="H11" i="2"/>
  <c r="I11" i="2" s="1"/>
  <c r="I10" i="2"/>
  <c r="F15" i="2"/>
  <c r="A16" i="2"/>
  <c r="B15" i="2"/>
  <c r="C15" i="2" s="1"/>
  <c r="D15" i="2" s="1"/>
  <c r="A17" i="2" l="1"/>
  <c r="F16" i="2"/>
  <c r="B16" i="2"/>
  <c r="C16" i="2" s="1"/>
  <c r="D16" i="2" s="1"/>
  <c r="E17" i="2" s="1" a="1"/>
  <c r="E17" i="2" s="1"/>
  <c r="J15" i="2"/>
  <c r="K15" i="2" s="1"/>
  <c r="G15" i="2"/>
  <c r="H12" i="2"/>
  <c r="I12" i="2" s="1"/>
  <c r="E16" i="2" a="1"/>
  <c r="E16" i="2" s="1"/>
  <c r="J16" i="2" l="1"/>
  <c r="K16" i="2" s="1"/>
  <c r="G16" i="2"/>
  <c r="F17" i="2"/>
  <c r="A18" i="2"/>
  <c r="B17" i="2"/>
  <c r="C17" i="2" s="1"/>
  <c r="D17" i="2" s="1"/>
  <c r="H13" i="2"/>
  <c r="I13" i="2" s="1"/>
  <c r="E18" i="2" l="1" a="1"/>
  <c r="E18" i="2" s="1"/>
  <c r="H14" i="2"/>
  <c r="F18" i="2"/>
  <c r="A19" i="2"/>
  <c r="B18" i="2"/>
  <c r="C18" i="2" s="1"/>
  <c r="D18" i="2" s="1"/>
  <c r="J17" i="2"/>
  <c r="K17" i="2" s="1"/>
  <c r="G17" i="2"/>
  <c r="H15" i="2" l="1"/>
  <c r="I15" i="2" s="1"/>
  <c r="F19" i="2"/>
  <c r="A20" i="2"/>
  <c r="B19" i="2"/>
  <c r="C19" i="2" s="1"/>
  <c r="D19" i="2" s="1"/>
  <c r="E20" i="2" s="1" a="1"/>
  <c r="E20" i="2" s="1"/>
  <c r="I14" i="2"/>
  <c r="J18" i="2"/>
  <c r="K18" i="2" s="1"/>
  <c r="G18" i="2"/>
  <c r="E19" i="2" a="1"/>
  <c r="E19" i="2" s="1"/>
  <c r="F20" i="2" l="1"/>
  <c r="A21" i="2"/>
  <c r="B20" i="2"/>
  <c r="C20" i="2" s="1"/>
  <c r="D20" i="2" s="1"/>
  <c r="J19" i="2"/>
  <c r="K19" i="2" s="1"/>
  <c r="G19" i="2"/>
  <c r="H16" i="2"/>
  <c r="E21" i="2" l="1" a="1"/>
  <c r="E21" i="2" s="1"/>
  <c r="F21" i="2"/>
  <c r="A22" i="2"/>
  <c r="B21" i="2"/>
  <c r="C21" i="2" s="1"/>
  <c r="D21" i="2" s="1"/>
  <c r="G20" i="2"/>
  <c r="J20" i="2"/>
  <c r="K20" i="2" s="1"/>
  <c r="H17" i="2"/>
  <c r="I16" i="2"/>
  <c r="E22" i="2" l="1" a="1"/>
  <c r="E22" i="2" s="1"/>
  <c r="F22" i="2"/>
  <c r="A23" i="2"/>
  <c r="B22" i="2"/>
  <c r="C22" i="2" s="1"/>
  <c r="D22" i="2" s="1"/>
  <c r="G21" i="2"/>
  <c r="J21" i="2"/>
  <c r="K21" i="2" s="1"/>
  <c r="H18" i="2"/>
  <c r="I18" i="2" s="1"/>
  <c r="I17" i="2"/>
  <c r="E23" i="2" l="1" a="1"/>
  <c r="E23" i="2" s="1"/>
  <c r="F23" i="2"/>
  <c r="A24" i="2"/>
  <c r="B23" i="2"/>
  <c r="C23" i="2" s="1"/>
  <c r="D23" i="2" s="1"/>
  <c r="G22" i="2"/>
  <c r="J22" i="2"/>
  <c r="K22" i="2" s="1"/>
  <c r="H19" i="2"/>
  <c r="I19" i="2" s="1"/>
  <c r="E24" i="2" l="1" a="1"/>
  <c r="E24" i="2" s="1"/>
  <c r="J23" i="2"/>
  <c r="K23" i="2" s="1"/>
  <c r="G23" i="2"/>
  <c r="H20" i="2"/>
  <c r="B24" i="2"/>
  <c r="C24" i="2" s="1"/>
  <c r="D24" i="2" s="1"/>
  <c r="A25" i="2"/>
  <c r="F24" i="2"/>
  <c r="H21" i="2" l="1"/>
  <c r="I21" i="2" s="1"/>
  <c r="I20" i="2"/>
  <c r="J24" i="2"/>
  <c r="K24" i="2" s="1"/>
  <c r="G24" i="2"/>
  <c r="A26" i="2"/>
  <c r="B25" i="2"/>
  <c r="C25" i="2" s="1"/>
  <c r="D25" i="2" s="1"/>
  <c r="E26" i="2" s="1" a="1"/>
  <c r="E26" i="2" s="1"/>
  <c r="F25" i="2"/>
  <c r="E25" i="2" a="1"/>
  <c r="E25" i="2" s="1"/>
  <c r="J25" i="2" l="1"/>
  <c r="K25" i="2" s="1"/>
  <c r="G25" i="2"/>
  <c r="A27" i="2"/>
  <c r="B26" i="2"/>
  <c r="C26" i="2" s="1"/>
  <c r="D26" i="2" s="1"/>
  <c r="F26" i="2"/>
  <c r="H22" i="2"/>
  <c r="I22" i="2" s="1"/>
  <c r="H23" i="2" l="1"/>
  <c r="J26" i="2"/>
  <c r="K26" i="2" s="1"/>
  <c r="G26" i="2"/>
  <c r="E27" i="2" a="1"/>
  <c r="E27" i="2" s="1"/>
  <c r="A28" i="2"/>
  <c r="B27" i="2"/>
  <c r="C27" i="2" s="1"/>
  <c r="D27" i="2" s="1"/>
  <c r="E28" i="2" s="1" a="1"/>
  <c r="E28" i="2" s="1"/>
  <c r="F27" i="2"/>
  <c r="J27" i="2" l="1"/>
  <c r="K27" i="2" s="1"/>
  <c r="G27" i="2"/>
  <c r="A29" i="2"/>
  <c r="B28" i="2"/>
  <c r="C28" i="2" s="1"/>
  <c r="D28" i="2" s="1"/>
  <c r="F28" i="2"/>
  <c r="H24" i="2"/>
  <c r="I24" i="2" s="1"/>
  <c r="I23" i="2"/>
  <c r="G28" i="2" l="1"/>
  <c r="J28" i="2"/>
  <c r="K28" i="2" s="1"/>
  <c r="E29" i="2" a="1"/>
  <c r="E29" i="2" s="1"/>
  <c r="F29" i="2"/>
  <c r="A30" i="2"/>
  <c r="B29" i="2"/>
  <c r="C29" i="2" s="1"/>
  <c r="D29" i="2" s="1"/>
  <c r="E30" i="2" s="1" a="1"/>
  <c r="E30" i="2" s="1"/>
  <c r="H25" i="2"/>
  <c r="H26" i="2" l="1"/>
  <c r="I26" i="2" s="1"/>
  <c r="I25" i="2"/>
  <c r="F30" i="2"/>
  <c r="A31" i="2"/>
  <c r="B30" i="2"/>
  <c r="C30" i="2" s="1"/>
  <c r="D30" i="2" s="1"/>
  <c r="E31" i="2" s="1" a="1"/>
  <c r="E31" i="2" s="1"/>
  <c r="J29" i="2"/>
  <c r="K29" i="2" s="1"/>
  <c r="G29" i="2"/>
  <c r="F31" i="2" l="1"/>
  <c r="A32" i="2"/>
  <c r="B31" i="2"/>
  <c r="C31" i="2" s="1"/>
  <c r="D31" i="2" s="1"/>
  <c r="J30" i="2"/>
  <c r="K30" i="2" s="1"/>
  <c r="G30" i="2"/>
  <c r="H27" i="2"/>
  <c r="I27" i="2" s="1"/>
  <c r="H28" i="2" l="1"/>
  <c r="E32" i="2" a="1"/>
  <c r="E32" i="2" s="1"/>
  <c r="F32" i="2"/>
  <c r="B32" i="2"/>
  <c r="C32" i="2" s="1"/>
  <c r="D32" i="2" s="1"/>
  <c r="A33" i="2"/>
  <c r="J31" i="2"/>
  <c r="K31" i="2" s="1"/>
  <c r="G31" i="2"/>
  <c r="H29" i="2" l="1"/>
  <c r="I29" i="2" s="1"/>
  <c r="I28" i="2"/>
  <c r="F33" i="2"/>
  <c r="A34" i="2"/>
  <c r="B33" i="2"/>
  <c r="C33" i="2" s="1"/>
  <c r="D33" i="2" s="1"/>
  <c r="E33" i="2" a="1"/>
  <c r="E33" i="2" s="1"/>
  <c r="J32" i="2"/>
  <c r="K32" i="2" s="1"/>
  <c r="G32" i="2"/>
  <c r="F34" i="2" l="1"/>
  <c r="A35" i="2"/>
  <c r="B34" i="2"/>
  <c r="C34" i="2" s="1"/>
  <c r="D34" i="2" s="1"/>
  <c r="J33" i="2"/>
  <c r="K33" i="2" s="1"/>
  <c r="G33" i="2"/>
  <c r="H30" i="2"/>
  <c r="I30" i="2" s="1"/>
  <c r="E34" i="2" a="1"/>
  <c r="E34" i="2" s="1"/>
  <c r="F35" i="2" l="1"/>
  <c r="A36" i="2"/>
  <c r="B35" i="2"/>
  <c r="C35" i="2" s="1"/>
  <c r="D35" i="2" s="1"/>
  <c r="J34" i="2"/>
  <c r="K34" i="2" s="1"/>
  <c r="G34" i="2"/>
  <c r="H31" i="2"/>
  <c r="E35" i="2" a="1"/>
  <c r="E35" i="2" s="1"/>
  <c r="H32" i="2" l="1"/>
  <c r="I32" i="2" s="1"/>
  <c r="I31" i="2"/>
  <c r="E36" i="2" a="1"/>
  <c r="E36" i="2" s="1"/>
  <c r="F36" i="2"/>
  <c r="A37" i="2"/>
  <c r="B36" i="2"/>
  <c r="C36" i="2" s="1"/>
  <c r="D36" i="2" s="1"/>
  <c r="J35" i="2"/>
  <c r="K35" i="2" s="1"/>
  <c r="G35" i="2"/>
  <c r="H33" i="2" l="1"/>
  <c r="I33" i="2" s="1"/>
  <c r="F37" i="2"/>
  <c r="B37" i="2"/>
  <c r="C37" i="2" s="1"/>
  <c r="D37" i="2" s="1"/>
  <c r="A38" i="2"/>
  <c r="G36" i="2"/>
  <c r="J36" i="2"/>
  <c r="K36" i="2" s="1"/>
  <c r="E37" i="2" a="1"/>
  <c r="E37" i="2" s="1"/>
  <c r="G37" i="2" l="1"/>
  <c r="J37" i="2"/>
  <c r="K37" i="2" s="1"/>
  <c r="H34" i="2"/>
  <c r="F38" i="2"/>
  <c r="A39" i="2"/>
  <c r="B38" i="2"/>
  <c r="C38" i="2" s="1"/>
  <c r="D38" i="2" s="1"/>
  <c r="E38" i="2" a="1"/>
  <c r="E38" i="2" s="1"/>
  <c r="H35" i="2" l="1"/>
  <c r="I34" i="2"/>
  <c r="E39" i="2" a="1"/>
  <c r="E39" i="2" s="1"/>
  <c r="F39" i="2"/>
  <c r="A40" i="2"/>
  <c r="B39" i="2"/>
  <c r="C39" i="2" s="1"/>
  <c r="D39" i="2" s="1"/>
  <c r="G38" i="2"/>
  <c r="J38" i="2"/>
  <c r="K38" i="2" s="1"/>
  <c r="H36" i="2" l="1"/>
  <c r="I36" i="2" s="1"/>
  <c r="I35" i="2"/>
  <c r="E40" i="2" a="1"/>
  <c r="E40" i="2" s="1"/>
  <c r="B40" i="2"/>
  <c r="C40" i="2" s="1"/>
  <c r="D40" i="2" s="1"/>
  <c r="A41" i="2"/>
  <c r="F40" i="2"/>
  <c r="J39" i="2"/>
  <c r="K39" i="2" s="1"/>
  <c r="G39" i="2"/>
  <c r="H37" i="2" l="1"/>
  <c r="J40" i="2"/>
  <c r="K40" i="2" s="1"/>
  <c r="G40" i="2"/>
  <c r="A42" i="2"/>
  <c r="B41" i="2"/>
  <c r="C41" i="2" s="1"/>
  <c r="D41" i="2" s="1"/>
  <c r="E42" i="2" s="1" a="1"/>
  <c r="E42" i="2" s="1"/>
  <c r="F41" i="2"/>
  <c r="E41" i="2" a="1"/>
  <c r="E41" i="2" s="1"/>
  <c r="H38" i="2" l="1"/>
  <c r="A43" i="2"/>
  <c r="B42" i="2"/>
  <c r="C42" i="2" s="1"/>
  <c r="D42" i="2" s="1"/>
  <c r="F42" i="2"/>
  <c r="J41" i="2"/>
  <c r="K41" i="2" s="1"/>
  <c r="G41" i="2"/>
  <c r="I37" i="2"/>
  <c r="E43" i="2" l="1" a="1"/>
  <c r="E43" i="2" s="1"/>
  <c r="H39" i="2"/>
  <c r="I38" i="2"/>
  <c r="J42" i="2"/>
  <c r="K42" i="2" s="1"/>
  <c r="G42" i="2"/>
  <c r="A44" i="2"/>
  <c r="B43" i="2"/>
  <c r="C43" i="2" s="1"/>
  <c r="D43" i="2" s="1"/>
  <c r="F43" i="2"/>
  <c r="J43" i="2" l="1"/>
  <c r="K43" i="2" s="1"/>
  <c r="G43" i="2"/>
  <c r="A45" i="2"/>
  <c r="B44" i="2"/>
  <c r="C44" i="2" s="1"/>
  <c r="D44" i="2" s="1"/>
  <c r="E45" i="2" s="1" a="1"/>
  <c r="E45" i="2" s="1"/>
  <c r="F44" i="2"/>
  <c r="E44" i="2" a="1"/>
  <c r="E44" i="2" s="1"/>
  <c r="H40" i="2"/>
  <c r="I40" i="2" s="1"/>
  <c r="I39" i="2"/>
  <c r="F45" i="2" l="1"/>
  <c r="A46" i="2"/>
  <c r="B45" i="2"/>
  <c r="C45" i="2" s="1"/>
  <c r="D45" i="2" s="1"/>
  <c r="G44" i="2"/>
  <c r="J44" i="2"/>
  <c r="K44" i="2" s="1"/>
  <c r="H41" i="2"/>
  <c r="I41" i="2" s="1"/>
  <c r="E46" i="2" l="1" a="1"/>
  <c r="E46" i="2" s="1"/>
  <c r="F46" i="2"/>
  <c r="A47" i="2"/>
  <c r="B46" i="2"/>
  <c r="C46" i="2" s="1"/>
  <c r="D46" i="2" s="1"/>
  <c r="J45" i="2"/>
  <c r="K45" i="2" s="1"/>
  <c r="G45" i="2"/>
  <c r="H42" i="2"/>
  <c r="I42" i="2" s="1"/>
  <c r="F47" i="2" l="1"/>
  <c r="A48" i="2"/>
  <c r="B47" i="2"/>
  <c r="C47" i="2" s="1"/>
  <c r="D47" i="2" s="1"/>
  <c r="E48" i="2" s="1" a="1"/>
  <c r="E48" i="2" s="1"/>
  <c r="J46" i="2"/>
  <c r="K46" i="2" s="1"/>
  <c r="G46" i="2"/>
  <c r="E47" i="2" a="1"/>
  <c r="E47" i="2" s="1"/>
  <c r="H43" i="2"/>
  <c r="H44" i="2" l="1"/>
  <c r="A49" i="2"/>
  <c r="F48" i="2"/>
  <c r="B48" i="2"/>
  <c r="C48" i="2" s="1"/>
  <c r="D48" i="2" s="1"/>
  <c r="E49" i="2" s="1" a="1"/>
  <c r="E49" i="2" s="1"/>
  <c r="I43" i="2"/>
  <c r="J47" i="2"/>
  <c r="K47" i="2" s="1"/>
  <c r="G47" i="2"/>
  <c r="H45" i="2" l="1"/>
  <c r="I45" i="2" s="1"/>
  <c r="J48" i="2"/>
  <c r="K48" i="2" s="1"/>
  <c r="G48" i="2"/>
  <c r="F49" i="2"/>
  <c r="A50" i="2"/>
  <c r="B49" i="2"/>
  <c r="C49" i="2" s="1"/>
  <c r="D49" i="2" s="1"/>
  <c r="I44" i="2"/>
  <c r="J49" i="2" l="1"/>
  <c r="K49" i="2" s="1"/>
  <c r="G49" i="2"/>
  <c r="F50" i="2"/>
  <c r="A51" i="2"/>
  <c r="B50" i="2"/>
  <c r="C50" i="2" s="1"/>
  <c r="D50" i="2" s="1"/>
  <c r="E50" i="2" a="1"/>
  <c r="E50" i="2" s="1"/>
  <c r="H46" i="2"/>
  <c r="I46" i="2" s="1"/>
  <c r="E51" i="2" l="1" a="1"/>
  <c r="E51" i="2" s="1"/>
  <c r="F51" i="2"/>
  <c r="A52" i="2"/>
  <c r="B51" i="2"/>
  <c r="C51" i="2" s="1"/>
  <c r="D51" i="2" s="1"/>
  <c r="J50" i="2"/>
  <c r="K50" i="2" s="1"/>
  <c r="G50" i="2"/>
  <c r="H47" i="2"/>
  <c r="I47" i="2" s="1"/>
  <c r="H48" i="2" l="1"/>
  <c r="E52" i="2" a="1"/>
  <c r="E52" i="2" s="1"/>
  <c r="F52" i="2"/>
  <c r="A53" i="2"/>
  <c r="B52" i="2"/>
  <c r="C52" i="2" s="1"/>
  <c r="D52" i="2" s="1"/>
  <c r="E53" i="2" s="1" a="1"/>
  <c r="E53" i="2" s="1"/>
  <c r="J51" i="2"/>
  <c r="K51" i="2" s="1"/>
  <c r="G51" i="2"/>
  <c r="F53" i="2" l="1"/>
  <c r="A54" i="2"/>
  <c r="B53" i="2"/>
  <c r="C53" i="2" s="1"/>
  <c r="D53" i="2" s="1"/>
  <c r="E54" i="2" s="1" a="1"/>
  <c r="E54" i="2" s="1"/>
  <c r="G52" i="2"/>
  <c r="J52" i="2"/>
  <c r="K52" i="2" s="1"/>
  <c r="H49" i="2"/>
  <c r="I49" i="2" s="1"/>
  <c r="I48" i="2"/>
  <c r="H50" i="2" l="1"/>
  <c r="F54" i="2"/>
  <c r="A55" i="2"/>
  <c r="B54" i="2"/>
  <c r="C54" i="2" s="1"/>
  <c r="D54" i="2" s="1"/>
  <c r="G53" i="2"/>
  <c r="J53" i="2"/>
  <c r="K53" i="2" s="1"/>
  <c r="G54" i="2" l="1"/>
  <c r="J54" i="2"/>
  <c r="K54" i="2" s="1"/>
  <c r="F55" i="2"/>
  <c r="A56" i="2"/>
  <c r="B55" i="2"/>
  <c r="C55" i="2" s="1"/>
  <c r="D55" i="2" s="1"/>
  <c r="E56" i="2" s="1" a="1"/>
  <c r="E56" i="2" s="1"/>
  <c r="E55" i="2" a="1"/>
  <c r="E55" i="2" s="1"/>
  <c r="H51" i="2"/>
  <c r="I51" i="2" s="1"/>
  <c r="I50" i="2"/>
  <c r="A57" i="2" l="1"/>
  <c r="B56" i="2"/>
  <c r="C56" i="2" s="1"/>
  <c r="D56" i="2" s="1"/>
  <c r="E57" i="2" s="1" a="1"/>
  <c r="E57" i="2" s="1"/>
  <c r="F56" i="2"/>
  <c r="J55" i="2"/>
  <c r="K55" i="2" s="1"/>
  <c r="G55" i="2"/>
  <c r="H52" i="2"/>
  <c r="H53" i="2" l="1"/>
  <c r="I53" i="2" s="1"/>
  <c r="I52" i="2"/>
  <c r="J56" i="2"/>
  <c r="K56" i="2" s="1"/>
  <c r="G56" i="2"/>
  <c r="A58" i="2"/>
  <c r="B57" i="2"/>
  <c r="C57" i="2" s="1"/>
  <c r="D57" i="2" s="1"/>
  <c r="F57" i="2"/>
  <c r="A59" i="2" l="1"/>
  <c r="B58" i="2"/>
  <c r="C58" i="2" s="1"/>
  <c r="D58" i="2" s="1"/>
  <c r="E59" i="2" s="1" a="1"/>
  <c r="E59" i="2" s="1"/>
  <c r="F58" i="2"/>
  <c r="J57" i="2"/>
  <c r="K57" i="2" s="1"/>
  <c r="G57" i="2"/>
  <c r="H54" i="2"/>
  <c r="I54" i="2" s="1"/>
  <c r="E58" i="2" a="1"/>
  <c r="E58" i="2" s="1"/>
  <c r="J58" i="2" l="1"/>
  <c r="K58" i="2" s="1"/>
  <c r="G58" i="2"/>
  <c r="A60" i="2"/>
  <c r="B59" i="2"/>
  <c r="C59" i="2" s="1"/>
  <c r="D59" i="2" s="1"/>
  <c r="F59" i="2"/>
  <c r="H55" i="2"/>
  <c r="I55" i="2" s="1"/>
  <c r="H56" i="2" l="1"/>
  <c r="I56" i="2" s="1"/>
  <c r="E60" i="2" a="1"/>
  <c r="E60" i="2" s="1"/>
  <c r="A61" i="2"/>
  <c r="B60" i="2"/>
  <c r="C60" i="2" s="1"/>
  <c r="D60" i="2" s="1"/>
  <c r="F60" i="2"/>
  <c r="J59" i="2"/>
  <c r="K59" i="2" s="1"/>
  <c r="G59" i="2"/>
  <c r="G60" i="2" l="1"/>
  <c r="J60" i="2"/>
  <c r="K60" i="2" s="1"/>
  <c r="F61" i="2"/>
  <c r="A62" i="2"/>
  <c r="B61" i="2"/>
  <c r="C61" i="2" s="1"/>
  <c r="D61" i="2" s="1"/>
  <c r="E61" i="2" a="1"/>
  <c r="E61" i="2" s="1"/>
  <c r="H57" i="2"/>
  <c r="I57" i="2" s="1"/>
  <c r="E62" i="2" l="1" a="1"/>
  <c r="E62" i="2" s="1"/>
  <c r="H58" i="2"/>
  <c r="J61" i="2"/>
  <c r="K61" i="2" s="1"/>
  <c r="G61" i="2"/>
  <c r="F62" i="2"/>
  <c r="A63" i="2"/>
  <c r="B62" i="2"/>
  <c r="C62" i="2" s="1"/>
  <c r="D62" i="2" s="1"/>
  <c r="E63" i="2" l="1" a="1"/>
  <c r="E63" i="2" s="1"/>
  <c r="F63" i="2"/>
  <c r="A64" i="2"/>
  <c r="B63" i="2"/>
  <c r="C63" i="2" s="1"/>
  <c r="D63" i="2" s="1"/>
  <c r="E64" i="2" s="1" a="1"/>
  <c r="E64" i="2" s="1"/>
  <c r="J62" i="2"/>
  <c r="K62" i="2" s="1"/>
  <c r="G62" i="2"/>
  <c r="H59" i="2"/>
  <c r="I59" i="2" s="1"/>
  <c r="I58" i="2"/>
  <c r="A65" i="2" l="1"/>
  <c r="F64" i="2"/>
  <c r="B64" i="2"/>
  <c r="C64" i="2" s="1"/>
  <c r="D64" i="2" s="1"/>
  <c r="J63" i="2"/>
  <c r="K63" i="2" s="1"/>
  <c r="G63" i="2"/>
  <c r="H60" i="2"/>
  <c r="I60" i="2" s="1"/>
  <c r="H61" i="2" l="1"/>
  <c r="I61" i="2" s="1"/>
  <c r="E65" i="2" a="1"/>
  <c r="E65" i="2" s="1"/>
  <c r="J64" i="2"/>
  <c r="K64" i="2" s="1"/>
  <c r="G64" i="2"/>
  <c r="F65" i="2"/>
  <c r="A66" i="2"/>
  <c r="B65" i="2"/>
  <c r="C65" i="2" s="1"/>
  <c r="D65" i="2" s="1"/>
  <c r="F66" i="2" l="1"/>
  <c r="A67" i="2"/>
  <c r="B66" i="2"/>
  <c r="C66" i="2" s="1"/>
  <c r="D66" i="2" s="1"/>
  <c r="E67" i="2" s="1" a="1"/>
  <c r="E67" i="2" s="1"/>
  <c r="J65" i="2"/>
  <c r="K65" i="2" s="1"/>
  <c r="G65" i="2"/>
  <c r="H62" i="2"/>
  <c r="I62" i="2" s="1"/>
  <c r="E66" i="2" a="1"/>
  <c r="E66" i="2" s="1"/>
  <c r="H63" i="2" l="1"/>
  <c r="F67" i="2"/>
  <c r="A68" i="2"/>
  <c r="B67" i="2"/>
  <c r="C67" i="2" s="1"/>
  <c r="D67" i="2" s="1"/>
  <c r="J66" i="2"/>
  <c r="K66" i="2" s="1"/>
  <c r="G66" i="2"/>
  <c r="H64" i="2" l="1"/>
  <c r="I63" i="2"/>
  <c r="J67" i="2"/>
  <c r="K67" i="2" s="1"/>
  <c r="G67" i="2"/>
  <c r="E68" i="2" a="1"/>
  <c r="E68" i="2" s="1"/>
  <c r="F68" i="2"/>
  <c r="A69" i="2"/>
  <c r="B68" i="2"/>
  <c r="C68" i="2" s="1"/>
  <c r="D68" i="2" s="1"/>
  <c r="G68" i="2" l="1"/>
  <c r="J68" i="2"/>
  <c r="K68" i="2" s="1"/>
  <c r="H65" i="2"/>
  <c r="I65" i="2" s="1"/>
  <c r="E69" i="2" a="1"/>
  <c r="E69" i="2" s="1"/>
  <c r="I64" i="2"/>
  <c r="F69" i="2"/>
  <c r="A70" i="2"/>
  <c r="B69" i="2"/>
  <c r="C69" i="2" s="1"/>
  <c r="D69" i="2" s="1"/>
  <c r="H66" i="2" l="1"/>
  <c r="I66" i="2" s="1"/>
  <c r="G69" i="2"/>
  <c r="J69" i="2"/>
  <c r="K69" i="2" s="1"/>
  <c r="E70" i="2" a="1"/>
  <c r="E70" i="2" s="1"/>
  <c r="F70" i="2"/>
  <c r="A71" i="2"/>
  <c r="B70" i="2"/>
  <c r="C70" i="2" s="1"/>
  <c r="D70" i="2" s="1"/>
  <c r="F71" i="2" l="1"/>
  <c r="A72" i="2"/>
  <c r="B71" i="2"/>
  <c r="C71" i="2" s="1"/>
  <c r="D71" i="2" s="1"/>
  <c r="E71" i="2" a="1"/>
  <c r="E71" i="2" s="1"/>
  <c r="G70" i="2"/>
  <c r="J70" i="2"/>
  <c r="K70" i="2" s="1"/>
  <c r="H67" i="2"/>
  <c r="I67" i="2" s="1"/>
  <c r="A73" i="2" l="1"/>
  <c r="B72" i="2"/>
  <c r="C72" i="2" s="1"/>
  <c r="D72" i="2" s="1"/>
  <c r="F72" i="2"/>
  <c r="J71" i="2"/>
  <c r="K71" i="2" s="1"/>
  <c r="G71" i="2"/>
  <c r="E72" i="2" a="1"/>
  <c r="E72" i="2" s="1"/>
  <c r="H68" i="2"/>
  <c r="I68" i="2" s="1"/>
  <c r="H69" i="2" l="1"/>
  <c r="I69" i="2" s="1"/>
  <c r="J72" i="2"/>
  <c r="K72" i="2" s="1"/>
  <c r="G72" i="2"/>
  <c r="E73" i="2" a="1"/>
  <c r="E73" i="2" s="1"/>
  <c r="A74" i="2"/>
  <c r="B73" i="2"/>
  <c r="C73" i="2" s="1"/>
  <c r="D73" i="2" s="1"/>
  <c r="E74" i="2" s="1" a="1"/>
  <c r="E74" i="2" s="1"/>
  <c r="F73" i="2"/>
  <c r="J73" i="2" l="1"/>
  <c r="K73" i="2" s="1"/>
  <c r="G73" i="2"/>
  <c r="H70" i="2"/>
  <c r="I70" i="2" s="1"/>
  <c r="A75" i="2"/>
  <c r="B74" i="2"/>
  <c r="C74" i="2" s="1"/>
  <c r="D74" i="2" s="1"/>
  <c r="F74" i="2"/>
  <c r="H71" i="2" l="1"/>
  <c r="I71" i="2" s="1"/>
  <c r="E75" i="2" a="1"/>
  <c r="E75" i="2" s="1"/>
  <c r="J74" i="2"/>
  <c r="K74" i="2" s="1"/>
  <c r="G74" i="2"/>
  <c r="A76" i="2"/>
  <c r="B75" i="2"/>
  <c r="C75" i="2" s="1"/>
  <c r="D75" i="2" s="1"/>
  <c r="F75" i="2"/>
  <c r="A77" i="2" l="1"/>
  <c r="B76" i="2"/>
  <c r="C76" i="2" s="1"/>
  <c r="D76" i="2" s="1"/>
  <c r="F76" i="2"/>
  <c r="H72" i="2"/>
  <c r="I72" i="2" s="1"/>
  <c r="E76" i="2" a="1"/>
  <c r="E76" i="2" s="1"/>
  <c r="J75" i="2"/>
  <c r="K75" i="2" s="1"/>
  <c r="G75" i="2"/>
  <c r="F77" i="2" l="1"/>
  <c r="B77" i="2"/>
  <c r="C77" i="2" s="1"/>
  <c r="D77" i="2" s="1"/>
  <c r="A78" i="2"/>
  <c r="E77" i="2" a="1"/>
  <c r="E77" i="2" s="1"/>
  <c r="G76" i="2"/>
  <c r="J76" i="2"/>
  <c r="K76" i="2" s="1"/>
  <c r="H73" i="2"/>
  <c r="I73" i="2" s="1"/>
  <c r="H74" i="2" l="1"/>
  <c r="F78" i="2"/>
  <c r="A79" i="2"/>
  <c r="B78" i="2"/>
  <c r="C78" i="2" s="1"/>
  <c r="D78" i="2" s="1"/>
  <c r="E78" i="2" a="1"/>
  <c r="E78" i="2" s="1"/>
  <c r="J77" i="2"/>
  <c r="K77" i="2" s="1"/>
  <c r="G77" i="2"/>
  <c r="E79" i="2" l="1" a="1"/>
  <c r="E79" i="2" s="1"/>
  <c r="F79" i="2"/>
  <c r="A80" i="2"/>
  <c r="B79" i="2"/>
  <c r="C79" i="2" s="1"/>
  <c r="D79" i="2" s="1"/>
  <c r="J78" i="2"/>
  <c r="K78" i="2" s="1"/>
  <c r="G78" i="2"/>
  <c r="H75" i="2"/>
  <c r="I75" i="2" s="1"/>
  <c r="I74" i="2"/>
  <c r="H76" i="2" l="1"/>
  <c r="E80" i="2" a="1"/>
  <c r="E80" i="2" s="1"/>
  <c r="F80" i="2"/>
  <c r="A81" i="2"/>
  <c r="B80" i="2"/>
  <c r="C80" i="2" s="1"/>
  <c r="D80" i="2" s="1"/>
  <c r="J79" i="2"/>
  <c r="K79" i="2" s="1"/>
  <c r="G79" i="2"/>
  <c r="F81" i="2" l="1"/>
  <c r="A82" i="2"/>
  <c r="B81" i="2"/>
  <c r="C81" i="2" s="1"/>
  <c r="D81" i="2" s="1"/>
  <c r="H77" i="2"/>
  <c r="I77" i="2" s="1"/>
  <c r="I76" i="2"/>
  <c r="J80" i="2"/>
  <c r="K80" i="2" s="1"/>
  <c r="G80" i="2"/>
  <c r="E81" i="2" a="1"/>
  <c r="E81" i="2" s="1"/>
  <c r="H78" i="2" l="1"/>
  <c r="F82" i="2"/>
  <c r="A83" i="2"/>
  <c r="B82" i="2"/>
  <c r="C82" i="2" s="1"/>
  <c r="D82" i="2" s="1"/>
  <c r="J81" i="2"/>
  <c r="K81" i="2" s="1"/>
  <c r="G81" i="2"/>
  <c r="E82" i="2" a="1"/>
  <c r="E82" i="2" s="1"/>
  <c r="F83" i="2" l="1"/>
  <c r="A84" i="2"/>
  <c r="B83" i="2"/>
  <c r="C83" i="2" s="1"/>
  <c r="D83" i="2" s="1"/>
  <c r="E84" i="2" s="1" a="1"/>
  <c r="E84" i="2" s="1"/>
  <c r="E83" i="2" a="1"/>
  <c r="E83" i="2" s="1"/>
  <c r="J82" i="2"/>
  <c r="K82" i="2" s="1"/>
  <c r="G82" i="2"/>
  <c r="H79" i="2"/>
  <c r="I79" i="2" s="1"/>
  <c r="I78" i="2"/>
  <c r="F84" i="2" l="1"/>
  <c r="A85" i="2"/>
  <c r="B84" i="2"/>
  <c r="C84" i="2" s="1"/>
  <c r="D84" i="2" s="1"/>
  <c r="J83" i="2"/>
  <c r="K83" i="2" s="1"/>
  <c r="G83" i="2"/>
  <c r="H80" i="2"/>
  <c r="H81" i="2" l="1"/>
  <c r="I80" i="2"/>
  <c r="E85" i="2" a="1"/>
  <c r="E85" i="2" s="1"/>
  <c r="F85" i="2"/>
  <c r="A86" i="2"/>
  <c r="B85" i="2"/>
  <c r="C85" i="2" s="1"/>
  <c r="D85" i="2" s="1"/>
  <c r="G84" i="2"/>
  <c r="J84" i="2"/>
  <c r="K84" i="2" s="1"/>
  <c r="G85" i="2" l="1"/>
  <c r="J85" i="2"/>
  <c r="K85" i="2" s="1"/>
  <c r="F86" i="2"/>
  <c r="A87" i="2"/>
  <c r="B86" i="2"/>
  <c r="C86" i="2" s="1"/>
  <c r="D86" i="2" s="1"/>
  <c r="E87" i="2" s="1" a="1"/>
  <c r="E87" i="2" s="1"/>
  <c r="H82" i="2"/>
  <c r="I82" i="2" s="1"/>
  <c r="I81" i="2"/>
  <c r="E86" i="2" a="1"/>
  <c r="E86" i="2" s="1"/>
  <c r="F87" i="2" l="1"/>
  <c r="A88" i="2"/>
  <c r="B87" i="2"/>
  <c r="C87" i="2" s="1"/>
  <c r="D87" i="2" s="1"/>
  <c r="G86" i="2"/>
  <c r="J86" i="2"/>
  <c r="K86" i="2" s="1"/>
  <c r="H83" i="2"/>
  <c r="E88" i="2" l="1" a="1"/>
  <c r="E88" i="2" s="1"/>
  <c r="A89" i="2"/>
  <c r="B88" i="2"/>
  <c r="C88" i="2" s="1"/>
  <c r="D88" i="2" s="1"/>
  <c r="F88" i="2"/>
  <c r="J87" i="2"/>
  <c r="K87" i="2" s="1"/>
  <c r="G87" i="2"/>
  <c r="H84" i="2"/>
  <c r="I84" i="2" s="1"/>
  <c r="I83" i="2"/>
  <c r="H85" i="2" l="1"/>
  <c r="I85" i="2" s="1"/>
  <c r="J88" i="2"/>
  <c r="K88" i="2" s="1"/>
  <c r="G88" i="2"/>
  <c r="A90" i="2"/>
  <c r="B89" i="2"/>
  <c r="C89" i="2" s="1"/>
  <c r="D89" i="2" s="1"/>
  <c r="F89" i="2"/>
  <c r="E89" i="2" a="1"/>
  <c r="E89" i="2" s="1"/>
  <c r="H86" i="2" l="1"/>
  <c r="J89" i="2"/>
  <c r="K89" i="2" s="1"/>
  <c r="G89" i="2"/>
  <c r="A91" i="2"/>
  <c r="B90" i="2"/>
  <c r="C90" i="2" s="1"/>
  <c r="D90" i="2" s="1"/>
  <c r="F90" i="2"/>
  <c r="E90" i="2" a="1"/>
  <c r="E90" i="2" s="1"/>
  <c r="J90" i="2" l="1"/>
  <c r="K90" i="2" s="1"/>
  <c r="G90" i="2"/>
  <c r="E91" i="2" a="1"/>
  <c r="E91" i="2" s="1"/>
  <c r="A92" i="2"/>
  <c r="B91" i="2"/>
  <c r="C91" i="2" s="1"/>
  <c r="D91" i="2" s="1"/>
  <c r="F91" i="2"/>
  <c r="H87" i="2"/>
  <c r="I87" i="2" s="1"/>
  <c r="I86" i="2"/>
  <c r="A93" i="2" l="1"/>
  <c r="B92" i="2"/>
  <c r="C92" i="2" s="1"/>
  <c r="D92" i="2" s="1"/>
  <c r="E93" i="2" s="1" a="1"/>
  <c r="E93" i="2" s="1"/>
  <c r="F92" i="2"/>
  <c r="H88" i="2"/>
  <c r="I88" i="2" s="1"/>
  <c r="E92" i="2" a="1"/>
  <c r="E92" i="2" s="1"/>
  <c r="J91" i="2"/>
  <c r="K91" i="2" s="1"/>
  <c r="G91" i="2"/>
  <c r="J92" i="2" l="1"/>
  <c r="K92" i="2" s="1"/>
  <c r="G92" i="2"/>
  <c r="F93" i="2"/>
  <c r="A94" i="2"/>
  <c r="B93" i="2"/>
  <c r="C93" i="2" s="1"/>
  <c r="D93" i="2" s="1"/>
  <c r="H89" i="2"/>
  <c r="E94" i="2" l="1" a="1"/>
  <c r="E94" i="2" s="1"/>
  <c r="F94" i="2"/>
  <c r="A95" i="2"/>
  <c r="B94" i="2"/>
  <c r="C94" i="2" s="1"/>
  <c r="D94" i="2" s="1"/>
  <c r="J93" i="2"/>
  <c r="K93" i="2" s="1"/>
  <c r="G93" i="2"/>
  <c r="H90" i="2"/>
  <c r="I89" i="2"/>
  <c r="J94" i="2" l="1"/>
  <c r="K94" i="2" s="1"/>
  <c r="G94" i="2"/>
  <c r="H91" i="2"/>
  <c r="I90" i="2"/>
  <c r="E95" i="2" a="1"/>
  <c r="E95" i="2" s="1"/>
  <c r="F95" i="2"/>
  <c r="A96" i="2"/>
  <c r="B95" i="2"/>
  <c r="C95" i="2" s="1"/>
  <c r="D95" i="2" s="1"/>
  <c r="H92" i="2" l="1"/>
  <c r="I91" i="2"/>
  <c r="E96" i="2" a="1"/>
  <c r="E96" i="2" s="1"/>
  <c r="F96" i="2"/>
  <c r="A97" i="2"/>
  <c r="B96" i="2"/>
  <c r="C96" i="2" s="1"/>
  <c r="D96" i="2" s="1"/>
  <c r="J95" i="2"/>
  <c r="K95" i="2" s="1"/>
  <c r="G95" i="2"/>
  <c r="J96" i="2" l="1"/>
  <c r="K96" i="2" s="1"/>
  <c r="G96" i="2"/>
  <c r="H93" i="2"/>
  <c r="I93" i="2" s="1"/>
  <c r="I92" i="2"/>
  <c r="E97" i="2" a="1"/>
  <c r="E97" i="2" s="1"/>
  <c r="F97" i="2"/>
  <c r="A98" i="2"/>
  <c r="B97" i="2"/>
  <c r="C97" i="2" s="1"/>
  <c r="D97" i="2" s="1"/>
  <c r="E98" i="2" l="1" a="1"/>
  <c r="E98" i="2" s="1"/>
  <c r="J97" i="2"/>
  <c r="K97" i="2" s="1"/>
  <c r="G97" i="2"/>
  <c r="F98" i="2"/>
  <c r="A99" i="2"/>
  <c r="B98" i="2"/>
  <c r="C98" i="2" s="1"/>
  <c r="D98" i="2" s="1"/>
  <c r="E99" i="2" s="1" a="1"/>
  <c r="E99" i="2" s="1"/>
  <c r="H94" i="2"/>
  <c r="F99" i="2" l="1"/>
  <c r="A100" i="2"/>
  <c r="B99" i="2"/>
  <c r="C99" i="2" s="1"/>
  <c r="D99" i="2" s="1"/>
  <c r="J98" i="2"/>
  <c r="K98" i="2" s="1"/>
  <c r="G98" i="2"/>
  <c r="H95" i="2"/>
  <c r="I94" i="2"/>
  <c r="E100" i="2" l="1" a="1"/>
  <c r="E100" i="2" s="1"/>
  <c r="F100" i="2"/>
  <c r="A101" i="2"/>
  <c r="B100" i="2"/>
  <c r="C100" i="2" s="1"/>
  <c r="D100" i="2" s="1"/>
  <c r="J99" i="2"/>
  <c r="K99" i="2" s="1"/>
  <c r="G99" i="2"/>
  <c r="H96" i="2"/>
  <c r="I95" i="2"/>
  <c r="H97" i="2" l="1"/>
  <c r="I97" i="2" s="1"/>
  <c r="E101" i="2" a="1"/>
  <c r="E101" i="2" s="1"/>
  <c r="I96" i="2"/>
  <c r="F101" i="2"/>
  <c r="A102" i="2"/>
  <c r="B101" i="2"/>
  <c r="C101" i="2" s="1"/>
  <c r="D101" i="2" s="1"/>
  <c r="E102" i="2" s="1" a="1"/>
  <c r="E102" i="2" s="1"/>
  <c r="G100" i="2"/>
  <c r="J100" i="2"/>
  <c r="K100" i="2" s="1"/>
  <c r="H98" i="2" l="1"/>
  <c r="I98" i="2" s="1"/>
  <c r="F102" i="2"/>
  <c r="A103" i="2"/>
  <c r="B102" i="2"/>
  <c r="C102" i="2" s="1"/>
  <c r="D102" i="2" s="1"/>
  <c r="G101" i="2"/>
  <c r="J101" i="2"/>
  <c r="K101" i="2" s="1"/>
  <c r="E103" i="2" l="1" a="1"/>
  <c r="E103" i="2" s="1"/>
  <c r="F103" i="2"/>
  <c r="A104" i="2"/>
  <c r="B103" i="2"/>
  <c r="C103" i="2" s="1"/>
  <c r="D103" i="2" s="1"/>
  <c r="G102" i="2"/>
  <c r="J102" i="2"/>
  <c r="K102" i="2" s="1"/>
  <c r="H99" i="2"/>
  <c r="I99" i="2" s="1"/>
  <c r="E104" i="2" l="1" a="1"/>
  <c r="E104" i="2" s="1"/>
  <c r="A105" i="2"/>
  <c r="B104" i="2"/>
  <c r="C104" i="2" s="1"/>
  <c r="D104" i="2" s="1"/>
  <c r="F104" i="2"/>
  <c r="J103" i="2"/>
  <c r="K103" i="2" s="1"/>
  <c r="G103" i="2"/>
  <c r="H100" i="2"/>
  <c r="H101" i="2" l="1"/>
  <c r="I101" i="2" s="1"/>
  <c r="I100" i="2"/>
  <c r="J104" i="2"/>
  <c r="K104" i="2" s="1"/>
  <c r="G104" i="2"/>
  <c r="E105" i="2" a="1"/>
  <c r="E105" i="2" s="1"/>
  <c r="A106" i="2"/>
  <c r="B105" i="2"/>
  <c r="C105" i="2" s="1"/>
  <c r="D105" i="2" s="1"/>
  <c r="F105" i="2"/>
  <c r="E106" i="2" l="1" a="1"/>
  <c r="E106" i="2" s="1"/>
  <c r="A107" i="2"/>
  <c r="B106" i="2"/>
  <c r="C106" i="2" s="1"/>
  <c r="D106" i="2" s="1"/>
  <c r="E107" i="2" s="1" a="1"/>
  <c r="E107" i="2" s="1"/>
  <c r="F106" i="2"/>
  <c r="H102" i="2"/>
  <c r="J105" i="2"/>
  <c r="K105" i="2" s="1"/>
  <c r="G105" i="2"/>
  <c r="H103" i="2" l="1"/>
  <c r="I103" i="2" s="1"/>
  <c r="I102" i="2"/>
  <c r="J106" i="2"/>
  <c r="K106" i="2" s="1"/>
  <c r="G106" i="2"/>
  <c r="A108" i="2"/>
  <c r="B107" i="2"/>
  <c r="C107" i="2" s="1"/>
  <c r="D107" i="2" s="1"/>
  <c r="F107" i="2"/>
  <c r="H104" i="2" l="1"/>
  <c r="J107" i="2"/>
  <c r="K107" i="2" s="1"/>
  <c r="G107" i="2"/>
  <c r="E108" i="2" a="1"/>
  <c r="E108" i="2" s="1"/>
  <c r="A109" i="2"/>
  <c r="B108" i="2"/>
  <c r="C108" i="2" s="1"/>
  <c r="D108" i="2" s="1"/>
  <c r="F108" i="2"/>
  <c r="H105" i="2" l="1"/>
  <c r="J108" i="2"/>
  <c r="K108" i="2" s="1"/>
  <c r="G108" i="2"/>
  <c r="F109" i="2"/>
  <c r="A110" i="2"/>
  <c r="B109" i="2"/>
  <c r="C109" i="2" s="1"/>
  <c r="D109" i="2" s="1"/>
  <c r="E109" i="2" a="1"/>
  <c r="E109" i="2" s="1"/>
  <c r="I104" i="2"/>
  <c r="E110" i="2" l="1" a="1"/>
  <c r="E110" i="2" s="1"/>
  <c r="F110" i="2"/>
  <c r="A111" i="2"/>
  <c r="B110" i="2"/>
  <c r="C110" i="2" s="1"/>
  <c r="D110" i="2" s="1"/>
  <c r="H106" i="2"/>
  <c r="J109" i="2"/>
  <c r="K109" i="2" s="1"/>
  <c r="G109" i="2"/>
  <c r="I105" i="2"/>
  <c r="F111" i="2" l="1"/>
  <c r="A112" i="2"/>
  <c r="B111" i="2"/>
  <c r="C111" i="2" s="1"/>
  <c r="D111" i="2" s="1"/>
  <c r="J110" i="2"/>
  <c r="K110" i="2" s="1"/>
  <c r="G110" i="2"/>
  <c r="E111" i="2" a="1"/>
  <c r="E111" i="2" s="1"/>
  <c r="H107" i="2"/>
  <c r="I106" i="2"/>
  <c r="E112" i="2" l="1" a="1"/>
  <c r="E112" i="2" s="1"/>
  <c r="F112" i="2"/>
  <c r="A113" i="2"/>
  <c r="B112" i="2"/>
  <c r="C112" i="2" s="1"/>
  <c r="D112" i="2" s="1"/>
  <c r="E113" i="2" s="1" a="1"/>
  <c r="E113" i="2" s="1"/>
  <c r="J111" i="2"/>
  <c r="K111" i="2" s="1"/>
  <c r="G111" i="2"/>
  <c r="H108" i="2"/>
  <c r="I107" i="2"/>
  <c r="F113" i="2" l="1"/>
  <c r="A114" i="2"/>
  <c r="B113" i="2"/>
  <c r="C113" i="2" s="1"/>
  <c r="D113" i="2" s="1"/>
  <c r="J112" i="2"/>
  <c r="K112" i="2" s="1"/>
  <c r="G112" i="2"/>
  <c r="H109" i="2"/>
  <c r="I108" i="2"/>
  <c r="F114" i="2" l="1"/>
  <c r="A115" i="2"/>
  <c r="B114" i="2"/>
  <c r="C114" i="2" s="1"/>
  <c r="D114" i="2" s="1"/>
  <c r="J113" i="2"/>
  <c r="K113" i="2" s="1"/>
  <c r="G113" i="2"/>
  <c r="H110" i="2"/>
  <c r="I110" i="2" s="1"/>
  <c r="I109" i="2"/>
  <c r="E114" i="2" a="1"/>
  <c r="E114" i="2" s="1"/>
  <c r="H111" i="2" l="1"/>
  <c r="I111" i="2" s="1"/>
  <c r="E115" i="2" a="1"/>
  <c r="E115" i="2" s="1"/>
  <c r="F115" i="2"/>
  <c r="A116" i="2"/>
  <c r="B115" i="2"/>
  <c r="C115" i="2" s="1"/>
  <c r="D115" i="2" s="1"/>
  <c r="J114" i="2"/>
  <c r="K114" i="2" s="1"/>
  <c r="G114" i="2"/>
  <c r="E116" i="2" l="1" a="1"/>
  <c r="E116" i="2" s="1"/>
  <c r="H112" i="2"/>
  <c r="I112" i="2" s="1"/>
  <c r="F116" i="2"/>
  <c r="A117" i="2"/>
  <c r="B116" i="2"/>
  <c r="C116" i="2" s="1"/>
  <c r="D116" i="2" s="1"/>
  <c r="J115" i="2"/>
  <c r="K115" i="2" s="1"/>
  <c r="G115" i="2"/>
  <c r="F117" i="2" l="1"/>
  <c r="A118" i="2"/>
  <c r="B117" i="2"/>
  <c r="C117" i="2" s="1"/>
  <c r="D117" i="2" s="1"/>
  <c r="G116" i="2"/>
  <c r="J116" i="2"/>
  <c r="K116" i="2" s="1"/>
  <c r="E118" i="2" a="1"/>
  <c r="E118" i="2" s="1"/>
  <c r="E117" i="2" a="1"/>
  <c r="E117" i="2" s="1"/>
  <c r="H113" i="2"/>
  <c r="F118" i="2" l="1"/>
  <c r="A119" i="2"/>
  <c r="B118" i="2"/>
  <c r="C118" i="2" s="1"/>
  <c r="D118" i="2" s="1"/>
  <c r="G117" i="2"/>
  <c r="J117" i="2"/>
  <c r="K117" i="2" s="1"/>
  <c r="H114" i="2"/>
  <c r="I114" i="2" s="1"/>
  <c r="I113" i="2"/>
  <c r="H115" i="2" l="1"/>
  <c r="I115" i="2" s="1"/>
  <c r="E119" i="2" a="1"/>
  <c r="E119" i="2" s="1"/>
  <c r="F119" i="2"/>
  <c r="A120" i="2"/>
  <c r="B119" i="2"/>
  <c r="C119" i="2" s="1"/>
  <c r="D119" i="2" s="1"/>
  <c r="G118" i="2"/>
  <c r="J118" i="2"/>
  <c r="K118" i="2" s="1"/>
  <c r="A121" i="2" l="1"/>
  <c r="B120" i="2"/>
  <c r="C120" i="2" s="1"/>
  <c r="D120" i="2" s="1"/>
  <c r="E121" i="2" s="1" a="1"/>
  <c r="E121" i="2" s="1"/>
  <c r="F120" i="2"/>
  <c r="J119" i="2"/>
  <c r="K119" i="2" s="1"/>
  <c r="G119" i="2"/>
  <c r="E120" i="2" a="1"/>
  <c r="E120" i="2" s="1"/>
  <c r="H116" i="2"/>
  <c r="I116" i="2" s="1"/>
  <c r="H117" i="2" l="1"/>
  <c r="I117" i="2" s="1"/>
  <c r="J120" i="2"/>
  <c r="K120" i="2" s="1"/>
  <c r="G120" i="2"/>
  <c r="A122" i="2"/>
  <c r="B121" i="2"/>
  <c r="C121" i="2" s="1"/>
  <c r="D121" i="2" s="1"/>
  <c r="F121" i="2"/>
  <c r="A123" i="2" l="1"/>
  <c r="B122" i="2"/>
  <c r="C122" i="2" s="1"/>
  <c r="D122" i="2" s="1"/>
  <c r="E123" i="2" s="1" a="1"/>
  <c r="E123" i="2" s="1"/>
  <c r="F122" i="2"/>
  <c r="H118" i="2"/>
  <c r="I118" i="2" s="1"/>
  <c r="J121" i="2"/>
  <c r="K121" i="2" s="1"/>
  <c r="G121" i="2"/>
  <c r="E122" i="2" a="1"/>
  <c r="E122" i="2" s="1"/>
  <c r="J122" i="2" l="1"/>
  <c r="K122" i="2" s="1"/>
  <c r="G122" i="2"/>
  <c r="H119" i="2"/>
  <c r="A124" i="2"/>
  <c r="B123" i="2"/>
  <c r="C123" i="2" s="1"/>
  <c r="D123" i="2" s="1"/>
  <c r="F123" i="2"/>
  <c r="J123" i="2" l="1"/>
  <c r="K123" i="2" s="1"/>
  <c r="G123" i="2"/>
  <c r="E124" i="2" a="1"/>
  <c r="E124" i="2" s="1"/>
  <c r="A125" i="2"/>
  <c r="B124" i="2"/>
  <c r="C124" i="2" s="1"/>
  <c r="D124" i="2" s="1"/>
  <c r="F124" i="2"/>
  <c r="H120" i="2"/>
  <c r="I120" i="2" s="1"/>
  <c r="I119" i="2"/>
  <c r="E125" i="2" l="1" a="1"/>
  <c r="E125" i="2" s="1"/>
  <c r="F125" i="2"/>
  <c r="A126" i="2"/>
  <c r="B125" i="2"/>
  <c r="C125" i="2" s="1"/>
  <c r="D125" i="2" s="1"/>
  <c r="H121" i="2"/>
  <c r="I121" i="2" s="1"/>
  <c r="J124" i="2"/>
  <c r="K124" i="2" s="1"/>
  <c r="G124" i="2"/>
  <c r="E126" i="2" l="1" a="1"/>
  <c r="E126" i="2" s="1"/>
  <c r="H122" i="2"/>
  <c r="F126" i="2"/>
  <c r="A127" i="2"/>
  <c r="B126" i="2"/>
  <c r="C126" i="2" s="1"/>
  <c r="D126" i="2" s="1"/>
  <c r="J125" i="2"/>
  <c r="K125" i="2" s="1"/>
  <c r="G125" i="2"/>
  <c r="H123" i="2" l="1"/>
  <c r="I123" i="2" s="1"/>
  <c r="I122" i="2"/>
  <c r="E127" i="2" a="1"/>
  <c r="E127" i="2" s="1"/>
  <c r="J126" i="2"/>
  <c r="K126" i="2" s="1"/>
  <c r="G126" i="2"/>
  <c r="F127" i="2"/>
  <c r="A128" i="2"/>
  <c r="B127" i="2"/>
  <c r="C127" i="2" s="1"/>
  <c r="D127" i="2" s="1"/>
  <c r="E128" i="2" s="1" a="1"/>
  <c r="E128" i="2" s="1"/>
  <c r="H124" i="2" l="1"/>
  <c r="I124" i="2" s="1"/>
  <c r="J127" i="2"/>
  <c r="K127" i="2" s="1"/>
  <c r="G127" i="2"/>
  <c r="F128" i="2"/>
  <c r="A129" i="2"/>
  <c r="B128" i="2"/>
  <c r="C128" i="2" s="1"/>
  <c r="D128" i="2" s="1"/>
  <c r="E129" i="2" l="1" a="1"/>
  <c r="E129" i="2" s="1"/>
  <c r="H125" i="2"/>
  <c r="F129" i="2"/>
  <c r="A130" i="2"/>
  <c r="B129" i="2"/>
  <c r="C129" i="2" s="1"/>
  <c r="D129" i="2" s="1"/>
  <c r="J128" i="2"/>
  <c r="K128" i="2" s="1"/>
  <c r="G128" i="2"/>
  <c r="F130" i="2" l="1"/>
  <c r="A131" i="2"/>
  <c r="B130" i="2"/>
  <c r="C130" i="2" s="1"/>
  <c r="D130" i="2" s="1"/>
  <c r="J129" i="2"/>
  <c r="K129" i="2" s="1"/>
  <c r="G129" i="2"/>
  <c r="H126" i="2"/>
  <c r="I126" i="2" s="1"/>
  <c r="I125" i="2"/>
  <c r="E130" i="2" a="1"/>
  <c r="E130" i="2" s="1"/>
  <c r="E131" i="2" a="1"/>
  <c r="E131" i="2" s="1"/>
  <c r="F131" i="2" l="1"/>
  <c r="A132" i="2"/>
  <c r="B131" i="2"/>
  <c r="C131" i="2" s="1"/>
  <c r="D131" i="2" s="1"/>
  <c r="H127" i="2"/>
  <c r="I127" i="2" s="1"/>
  <c r="J130" i="2"/>
  <c r="K130" i="2" s="1"/>
  <c r="G130" i="2"/>
  <c r="E132" i="2" l="1" a="1"/>
  <c r="E132" i="2" s="1"/>
  <c r="H128" i="2"/>
  <c r="J131" i="2"/>
  <c r="K131" i="2" s="1"/>
  <c r="G131" i="2"/>
  <c r="F132" i="2"/>
  <c r="A133" i="2"/>
  <c r="B132" i="2"/>
  <c r="C132" i="2" s="1"/>
  <c r="D132" i="2" s="1"/>
  <c r="H129" i="2" l="1"/>
  <c r="F133" i="2"/>
  <c r="A134" i="2"/>
  <c r="B133" i="2"/>
  <c r="C133" i="2" s="1"/>
  <c r="D133" i="2" s="1"/>
  <c r="E133" i="2" a="1"/>
  <c r="E133" i="2" s="1"/>
  <c r="G132" i="2"/>
  <c r="J132" i="2"/>
  <c r="K132" i="2" s="1"/>
  <c r="I128" i="2"/>
  <c r="E134" i="2" l="1" a="1"/>
  <c r="E134" i="2" s="1"/>
  <c r="F134" i="2"/>
  <c r="A135" i="2"/>
  <c r="B134" i="2"/>
  <c r="C134" i="2" s="1"/>
  <c r="D134" i="2" s="1"/>
  <c r="G133" i="2"/>
  <c r="J133" i="2"/>
  <c r="K133" i="2" s="1"/>
  <c r="H130" i="2"/>
  <c r="I130" i="2" s="1"/>
  <c r="I129" i="2"/>
  <c r="E135" i="2" l="1" a="1"/>
  <c r="E135" i="2" s="1"/>
  <c r="F135" i="2"/>
  <c r="A136" i="2"/>
  <c r="B135" i="2"/>
  <c r="C135" i="2" s="1"/>
  <c r="D135" i="2" s="1"/>
  <c r="E136" i="2" s="1" a="1"/>
  <c r="E136" i="2" s="1"/>
  <c r="G134" i="2"/>
  <c r="J134" i="2"/>
  <c r="K134" i="2" s="1"/>
  <c r="H131" i="2"/>
  <c r="I131" i="2" s="1"/>
  <c r="H132" i="2" l="1"/>
  <c r="I132" i="2" s="1"/>
  <c r="A137" i="2"/>
  <c r="B136" i="2"/>
  <c r="C136" i="2" s="1"/>
  <c r="D136" i="2" s="1"/>
  <c r="F136" i="2"/>
  <c r="J135" i="2"/>
  <c r="K135" i="2" s="1"/>
  <c r="G135" i="2"/>
  <c r="J136" i="2" l="1"/>
  <c r="K136" i="2" s="1"/>
  <c r="G136" i="2"/>
  <c r="E137" i="2" a="1"/>
  <c r="E137" i="2" s="1"/>
  <c r="A138" i="2"/>
  <c r="B137" i="2"/>
  <c r="C137" i="2" s="1"/>
  <c r="D137" i="2" s="1"/>
  <c r="F137" i="2"/>
  <c r="H133" i="2"/>
  <c r="I133" i="2" s="1"/>
  <c r="E138" i="2" l="1" a="1"/>
  <c r="E138" i="2" s="1"/>
  <c r="J137" i="2"/>
  <c r="K137" i="2" s="1"/>
  <c r="G137" i="2"/>
  <c r="A139" i="2"/>
  <c r="B138" i="2"/>
  <c r="C138" i="2" s="1"/>
  <c r="D138" i="2" s="1"/>
  <c r="F138" i="2"/>
  <c r="H134" i="2"/>
  <c r="A140" i="2" l="1"/>
  <c r="B139" i="2"/>
  <c r="C139" i="2" s="1"/>
  <c r="D139" i="2" s="1"/>
  <c r="E140" i="2" s="1" a="1"/>
  <c r="E140" i="2" s="1"/>
  <c r="F139" i="2"/>
  <c r="E139" i="2" a="1"/>
  <c r="E139" i="2" s="1"/>
  <c r="J138" i="2"/>
  <c r="K138" i="2" s="1"/>
  <c r="G138" i="2"/>
  <c r="H135" i="2"/>
  <c r="I135" i="2" s="1"/>
  <c r="I134" i="2"/>
  <c r="H136" i="2" l="1"/>
  <c r="I136" i="2" s="1"/>
  <c r="J139" i="2"/>
  <c r="K139" i="2" s="1"/>
  <c r="G139" i="2"/>
  <c r="A141" i="2"/>
  <c r="B140" i="2"/>
  <c r="C140" i="2" s="1"/>
  <c r="D140" i="2" s="1"/>
  <c r="E141" i="2" s="1" a="1"/>
  <c r="E141" i="2" s="1"/>
  <c r="F140" i="2"/>
  <c r="F141" i="2" l="1"/>
  <c r="A142" i="2"/>
  <c r="B141" i="2"/>
  <c r="C141" i="2" s="1"/>
  <c r="D141" i="2" s="1"/>
  <c r="E142" i="2" s="1" a="1"/>
  <c r="E142" i="2" s="1"/>
  <c r="J140" i="2"/>
  <c r="K140" i="2" s="1"/>
  <c r="G140" i="2"/>
  <c r="H137" i="2"/>
  <c r="I137" i="2" s="1"/>
  <c r="F142" i="2" l="1"/>
  <c r="A143" i="2"/>
  <c r="B142" i="2"/>
  <c r="C142" i="2" s="1"/>
  <c r="D142" i="2" s="1"/>
  <c r="J141" i="2"/>
  <c r="K141" i="2" s="1"/>
  <c r="G141" i="2"/>
  <c r="H138" i="2"/>
  <c r="H139" i="2" l="1"/>
  <c r="I138" i="2"/>
  <c r="E143" i="2" a="1"/>
  <c r="E143" i="2" s="1"/>
  <c r="F143" i="2"/>
  <c r="A144" i="2"/>
  <c r="B143" i="2"/>
  <c r="C143" i="2" s="1"/>
  <c r="D143" i="2" s="1"/>
  <c r="J142" i="2"/>
  <c r="K142" i="2" s="1"/>
  <c r="G142" i="2"/>
  <c r="E144" i="2" l="1" a="1"/>
  <c r="E144" i="2" s="1"/>
  <c r="F144" i="2"/>
  <c r="A145" i="2"/>
  <c r="B144" i="2"/>
  <c r="C144" i="2" s="1"/>
  <c r="D144" i="2" s="1"/>
  <c r="E145" i="2" s="1" a="1"/>
  <c r="E145" i="2" s="1"/>
  <c r="J143" i="2"/>
  <c r="K143" i="2" s="1"/>
  <c r="G143" i="2"/>
  <c r="H140" i="2"/>
  <c r="I140" i="2" s="1"/>
  <c r="I139" i="2"/>
  <c r="H141" i="2" l="1"/>
  <c r="F145" i="2"/>
  <c r="A146" i="2"/>
  <c r="B145" i="2"/>
  <c r="C145" i="2" s="1"/>
  <c r="D145" i="2" s="1"/>
  <c r="J144" i="2"/>
  <c r="K144" i="2" s="1"/>
  <c r="G144" i="2"/>
  <c r="H142" i="2" l="1"/>
  <c r="I141" i="2"/>
  <c r="E146" i="2" a="1"/>
  <c r="E146" i="2" s="1"/>
  <c r="F146" i="2"/>
  <c r="A147" i="2"/>
  <c r="B146" i="2"/>
  <c r="C146" i="2" s="1"/>
  <c r="D146" i="2" s="1"/>
  <c r="J145" i="2"/>
  <c r="K145" i="2" s="1"/>
  <c r="G145" i="2"/>
  <c r="H143" i="2" l="1"/>
  <c r="I143" i="2" s="1"/>
  <c r="I142" i="2"/>
  <c r="J146" i="2"/>
  <c r="K146" i="2" s="1"/>
  <c r="G146" i="2"/>
  <c r="E147" i="2" a="1"/>
  <c r="E147" i="2" s="1"/>
  <c r="F147" i="2"/>
  <c r="A148" i="2"/>
  <c r="B147" i="2"/>
  <c r="C147" i="2" s="1"/>
  <c r="D147" i="2" s="1"/>
  <c r="E148" i="2" s="1" a="1"/>
  <c r="E148" i="2" s="1"/>
  <c r="F148" i="2" l="1"/>
  <c r="A149" i="2"/>
  <c r="B148" i="2"/>
  <c r="C148" i="2" s="1"/>
  <c r="D148" i="2" s="1"/>
  <c r="E149" i="2" s="1" a="1"/>
  <c r="E149" i="2" s="1"/>
  <c r="J147" i="2"/>
  <c r="K147" i="2" s="1"/>
  <c r="G147" i="2"/>
  <c r="H144" i="2"/>
  <c r="I144" i="2" s="1"/>
  <c r="H145" i="2" l="1"/>
  <c r="I145" i="2" s="1"/>
  <c r="F149" i="2"/>
  <c r="A150" i="2"/>
  <c r="B149" i="2"/>
  <c r="C149" i="2" s="1"/>
  <c r="D149" i="2" s="1"/>
  <c r="G148" i="2"/>
  <c r="J148" i="2"/>
  <c r="K148" i="2" s="1"/>
  <c r="H146" i="2" l="1"/>
  <c r="E150" i="2" a="1"/>
  <c r="E150" i="2" s="1"/>
  <c r="F150" i="2"/>
  <c r="A151" i="2"/>
  <c r="B150" i="2"/>
  <c r="C150" i="2" s="1"/>
  <c r="D150" i="2" s="1"/>
  <c r="G149" i="2"/>
  <c r="J149" i="2"/>
  <c r="K149" i="2" s="1"/>
  <c r="E151" i="2" l="1" a="1"/>
  <c r="E151" i="2" s="1"/>
  <c r="H147" i="2"/>
  <c r="I146" i="2"/>
  <c r="F151" i="2"/>
  <c r="A152" i="2"/>
  <c r="B151" i="2"/>
  <c r="C151" i="2" s="1"/>
  <c r="D151" i="2" s="1"/>
  <c r="G150" i="2"/>
  <c r="J150" i="2"/>
  <c r="K150" i="2" s="1"/>
  <c r="A153" i="2" l="1"/>
  <c r="B152" i="2"/>
  <c r="C152" i="2" s="1"/>
  <c r="D152" i="2" s="1"/>
  <c r="F152" i="2"/>
  <c r="J151" i="2"/>
  <c r="K151" i="2" s="1"/>
  <c r="G151" i="2"/>
  <c r="E152" i="2" a="1"/>
  <c r="E152" i="2" s="1"/>
  <c r="H148" i="2"/>
  <c r="E153" i="2" a="1"/>
  <c r="E153" i="2" s="1"/>
  <c r="I147" i="2"/>
  <c r="H149" i="2" l="1"/>
  <c r="I149" i="2" s="1"/>
  <c r="I148" i="2"/>
  <c r="J152" i="2"/>
  <c r="K152" i="2" s="1"/>
  <c r="G152" i="2"/>
  <c r="A154" i="2"/>
  <c r="B153" i="2"/>
  <c r="C153" i="2" s="1"/>
  <c r="D153" i="2" s="1"/>
  <c r="F153" i="2"/>
  <c r="J153" i="2" l="1"/>
  <c r="K153" i="2" s="1"/>
  <c r="G153" i="2"/>
  <c r="H150" i="2"/>
  <c r="I150" i="2" s="1"/>
  <c r="A155" i="2"/>
  <c r="B154" i="2"/>
  <c r="C154" i="2" s="1"/>
  <c r="D154" i="2" s="1"/>
  <c r="F154" i="2"/>
  <c r="E154" i="2" a="1"/>
  <c r="E154" i="2" s="1"/>
  <c r="A156" i="2" l="1"/>
  <c r="B155" i="2"/>
  <c r="C155" i="2" s="1"/>
  <c r="D155" i="2" s="1"/>
  <c r="E156" i="2" s="1" a="1"/>
  <c r="E156" i="2" s="1"/>
  <c r="F155" i="2"/>
  <c r="E155" i="2" a="1"/>
  <c r="E155" i="2" s="1"/>
  <c r="H151" i="2"/>
  <c r="I151" i="2" s="1"/>
  <c r="J154" i="2"/>
  <c r="K154" i="2" s="1"/>
  <c r="G154" i="2"/>
  <c r="A157" i="2" l="1"/>
  <c r="B156" i="2"/>
  <c r="C156" i="2" s="1"/>
  <c r="D156" i="2" s="1"/>
  <c r="F156" i="2"/>
  <c r="J155" i="2"/>
  <c r="K155" i="2" s="1"/>
  <c r="G155" i="2"/>
  <c r="H152" i="2"/>
  <c r="I152" i="2" s="1"/>
  <c r="E157" i="2" l="1" a="1"/>
  <c r="E157" i="2" s="1"/>
  <c r="J156" i="2"/>
  <c r="K156" i="2" s="1"/>
  <c r="G156" i="2"/>
  <c r="H153" i="2"/>
  <c r="I153" i="2" s="1"/>
  <c r="F157" i="2"/>
  <c r="A158" i="2"/>
  <c r="B157" i="2"/>
  <c r="C157" i="2" s="1"/>
  <c r="D157" i="2" s="1"/>
  <c r="E158" i="2" l="1" a="1"/>
  <c r="E158" i="2" s="1"/>
  <c r="H154" i="2"/>
  <c r="I154" i="2" s="1"/>
  <c r="F158" i="2"/>
  <c r="A159" i="2"/>
  <c r="B158" i="2"/>
  <c r="C158" i="2" s="1"/>
  <c r="D158" i="2" s="1"/>
  <c r="J157" i="2"/>
  <c r="K157" i="2" s="1"/>
  <c r="G157" i="2"/>
  <c r="F159" i="2" l="1"/>
  <c r="A160" i="2"/>
  <c r="B159" i="2"/>
  <c r="C159" i="2" s="1"/>
  <c r="D159" i="2" s="1"/>
  <c r="J158" i="2"/>
  <c r="K158" i="2" s="1"/>
  <c r="G158" i="2"/>
  <c r="H155" i="2"/>
  <c r="I155" i="2" s="1"/>
  <c r="E159" i="2" a="1"/>
  <c r="E159" i="2" s="1"/>
  <c r="H156" i="2" l="1"/>
  <c r="E160" i="2" a="1"/>
  <c r="E160" i="2" s="1"/>
  <c r="F160" i="2"/>
  <c r="A161" i="2"/>
  <c r="B160" i="2"/>
  <c r="C160" i="2" s="1"/>
  <c r="D160" i="2" s="1"/>
  <c r="J159" i="2"/>
  <c r="K159" i="2" s="1"/>
  <c r="G159" i="2"/>
  <c r="F161" i="2" l="1"/>
  <c r="A162" i="2"/>
  <c r="B161" i="2"/>
  <c r="C161" i="2" s="1"/>
  <c r="D161" i="2" s="1"/>
  <c r="J160" i="2"/>
  <c r="K160" i="2" s="1"/>
  <c r="G160" i="2"/>
  <c r="H157" i="2"/>
  <c r="I157" i="2" s="1"/>
  <c r="E161" i="2" a="1"/>
  <c r="E161" i="2" s="1"/>
  <c r="I156" i="2"/>
  <c r="H158" i="2" l="1"/>
  <c r="I158" i="2" s="1"/>
  <c r="E162" i="2" a="1"/>
  <c r="E162" i="2" s="1"/>
  <c r="F162" i="2"/>
  <c r="A163" i="2"/>
  <c r="B162" i="2"/>
  <c r="C162" i="2" s="1"/>
  <c r="D162" i="2" s="1"/>
  <c r="E163" i="2" s="1" a="1"/>
  <c r="E163" i="2" s="1"/>
  <c r="J161" i="2"/>
  <c r="K161" i="2" s="1"/>
  <c r="G161" i="2"/>
  <c r="F163" i="2" l="1"/>
  <c r="A164" i="2"/>
  <c r="B163" i="2"/>
  <c r="C163" i="2" s="1"/>
  <c r="D163" i="2" s="1"/>
  <c r="J162" i="2"/>
  <c r="K162" i="2" s="1"/>
  <c r="G162" i="2"/>
  <c r="E164" i="2" a="1"/>
  <c r="E164" i="2" s="1"/>
  <c r="H159" i="2"/>
  <c r="I159" i="2" s="1"/>
  <c r="H160" i="2" l="1"/>
  <c r="I160" i="2" s="1"/>
  <c r="F164" i="2"/>
  <c r="A165" i="2"/>
  <c r="B164" i="2"/>
  <c r="C164" i="2" s="1"/>
  <c r="D164" i="2" s="1"/>
  <c r="E165" i="2" s="1" a="1"/>
  <c r="E165" i="2" s="1"/>
  <c r="J163" i="2"/>
  <c r="K163" i="2" s="1"/>
  <c r="G163" i="2"/>
  <c r="F165" i="2" l="1"/>
  <c r="A166" i="2"/>
  <c r="B165" i="2"/>
  <c r="C165" i="2" s="1"/>
  <c r="D165" i="2" s="1"/>
  <c r="G164" i="2"/>
  <c r="J164" i="2"/>
  <c r="K164" i="2" s="1"/>
  <c r="H161" i="2"/>
  <c r="I161" i="2" s="1"/>
  <c r="F166" i="2" l="1"/>
  <c r="A167" i="2"/>
  <c r="B166" i="2"/>
  <c r="C166" i="2" s="1"/>
  <c r="D166" i="2" s="1"/>
  <c r="E167" i="2" s="1" a="1"/>
  <c r="E167" i="2" s="1"/>
  <c r="E166" i="2" a="1"/>
  <c r="E166" i="2" s="1"/>
  <c r="G165" i="2"/>
  <c r="J165" i="2"/>
  <c r="K165" i="2" s="1"/>
  <c r="H162" i="2"/>
  <c r="H163" i="2" l="1"/>
  <c r="I163" i="2" s="1"/>
  <c r="I162" i="2"/>
  <c r="F167" i="2"/>
  <c r="A168" i="2"/>
  <c r="B167" i="2"/>
  <c r="C167" i="2" s="1"/>
  <c r="D167" i="2" s="1"/>
  <c r="G166" i="2"/>
  <c r="J166" i="2"/>
  <c r="K166" i="2" s="1"/>
  <c r="E168" i="2" l="1" a="1"/>
  <c r="E168" i="2" s="1"/>
  <c r="A169" i="2"/>
  <c r="B168" i="2"/>
  <c r="C168" i="2" s="1"/>
  <c r="D168" i="2" s="1"/>
  <c r="F168" i="2"/>
  <c r="J167" i="2"/>
  <c r="K167" i="2" s="1"/>
  <c r="G167" i="2"/>
  <c r="H164" i="2"/>
  <c r="H165" i="2" l="1"/>
  <c r="I165" i="2" s="1"/>
  <c r="A170" i="2"/>
  <c r="B169" i="2"/>
  <c r="C169" i="2" s="1"/>
  <c r="D169" i="2" s="1"/>
  <c r="F169" i="2"/>
  <c r="I164" i="2"/>
  <c r="E169" i="2" a="1"/>
  <c r="E169" i="2" s="1"/>
  <c r="J168" i="2"/>
  <c r="K168" i="2" s="1"/>
  <c r="G168" i="2"/>
  <c r="H166" i="2" l="1"/>
  <c r="E170" i="2" a="1"/>
  <c r="E170" i="2" s="1"/>
  <c r="J169" i="2"/>
  <c r="K169" i="2" s="1"/>
  <c r="G169" i="2"/>
  <c r="A171" i="2"/>
  <c r="B170" i="2"/>
  <c r="C170" i="2" s="1"/>
  <c r="D170" i="2" s="1"/>
  <c r="F170" i="2"/>
  <c r="E171" i="2" l="1" a="1"/>
  <c r="E171" i="2" s="1"/>
  <c r="A172" i="2"/>
  <c r="B171" i="2"/>
  <c r="C171" i="2" s="1"/>
  <c r="D171" i="2" s="1"/>
  <c r="F171" i="2"/>
  <c r="H167" i="2"/>
  <c r="I167" i="2" s="1"/>
  <c r="I166" i="2"/>
  <c r="J170" i="2"/>
  <c r="K170" i="2" s="1"/>
  <c r="G170" i="2"/>
  <c r="J171" i="2" l="1"/>
  <c r="K171" i="2" s="1"/>
  <c r="G171" i="2"/>
  <c r="E172" i="2" a="1"/>
  <c r="E172" i="2" s="1"/>
  <c r="A173" i="2"/>
  <c r="B172" i="2"/>
  <c r="C172" i="2" s="1"/>
  <c r="D172" i="2" s="1"/>
  <c r="E173" i="2" s="1" a="1"/>
  <c r="E173" i="2" s="1"/>
  <c r="F172" i="2"/>
  <c r="H168" i="2"/>
  <c r="F173" i="2" l="1"/>
  <c r="A174" i="2"/>
  <c r="B173" i="2"/>
  <c r="C173" i="2" s="1"/>
  <c r="D173" i="2" s="1"/>
  <c r="H169" i="2"/>
  <c r="I168" i="2"/>
  <c r="J172" i="2"/>
  <c r="K172" i="2" s="1"/>
  <c r="G172" i="2"/>
  <c r="H170" i="2" l="1"/>
  <c r="I170" i="2" s="1"/>
  <c r="I169" i="2"/>
  <c r="E174" i="2" a="1"/>
  <c r="E174" i="2" s="1"/>
  <c r="F174" i="2"/>
  <c r="A175" i="2"/>
  <c r="B174" i="2"/>
  <c r="C174" i="2" s="1"/>
  <c r="D174" i="2" s="1"/>
  <c r="J173" i="2"/>
  <c r="K173" i="2" s="1"/>
  <c r="G173" i="2"/>
  <c r="E175" i="2" l="1" a="1"/>
  <c r="E175" i="2" s="1"/>
  <c r="F175" i="2"/>
  <c r="A176" i="2"/>
  <c r="B175" i="2"/>
  <c r="C175" i="2" s="1"/>
  <c r="D175" i="2" s="1"/>
  <c r="H171" i="2"/>
  <c r="I171" i="2" s="1"/>
  <c r="J174" i="2"/>
  <c r="K174" i="2" s="1"/>
  <c r="G174" i="2"/>
  <c r="F176" i="2" l="1"/>
  <c r="A177" i="2"/>
  <c r="B176" i="2"/>
  <c r="C176" i="2" s="1"/>
  <c r="D176" i="2" s="1"/>
  <c r="E177" i="2" s="1" a="1"/>
  <c r="E177" i="2" s="1"/>
  <c r="J175" i="2"/>
  <c r="K175" i="2" s="1"/>
  <c r="G175" i="2"/>
  <c r="E176" i="2" a="1"/>
  <c r="E176" i="2" s="1"/>
  <c r="H172" i="2"/>
  <c r="I172" i="2" s="1"/>
  <c r="H173" i="2" l="1"/>
  <c r="F177" i="2"/>
  <c r="A178" i="2"/>
  <c r="B177" i="2"/>
  <c r="C177" i="2" s="1"/>
  <c r="D177" i="2" s="1"/>
  <c r="J176" i="2"/>
  <c r="K176" i="2" s="1"/>
  <c r="G176" i="2"/>
  <c r="E178" i="2" l="1" a="1"/>
  <c r="E178" i="2" s="1"/>
  <c r="F178" i="2"/>
  <c r="A179" i="2"/>
  <c r="B178" i="2"/>
  <c r="C178" i="2" s="1"/>
  <c r="D178" i="2" s="1"/>
  <c r="H174" i="2"/>
  <c r="I174" i="2" s="1"/>
  <c r="J177" i="2"/>
  <c r="K177" i="2" s="1"/>
  <c r="G177" i="2"/>
  <c r="I173" i="2"/>
  <c r="F179" i="2" l="1"/>
  <c r="A180" i="2"/>
  <c r="B179" i="2"/>
  <c r="C179" i="2" s="1"/>
  <c r="D179" i="2" s="1"/>
  <c r="H175" i="2"/>
  <c r="J178" i="2"/>
  <c r="K178" i="2" s="1"/>
  <c r="G178" i="2"/>
  <c r="E179" i="2" a="1"/>
  <c r="E179" i="2" s="1"/>
  <c r="F180" i="2" l="1"/>
  <c r="A181" i="2"/>
  <c r="B180" i="2"/>
  <c r="C180" i="2" s="1"/>
  <c r="D180" i="2" s="1"/>
  <c r="E181" i="2" s="1" a="1"/>
  <c r="E181" i="2" s="1"/>
  <c r="H176" i="2"/>
  <c r="J179" i="2"/>
  <c r="K179" i="2" s="1"/>
  <c r="G179" i="2"/>
  <c r="I175" i="2"/>
  <c r="E180" i="2" a="1"/>
  <c r="E180" i="2" s="1"/>
  <c r="H177" i="2" l="1"/>
  <c r="I176" i="2"/>
  <c r="F181" i="2"/>
  <c r="A182" i="2"/>
  <c r="B181" i="2"/>
  <c r="C181" i="2" s="1"/>
  <c r="D181" i="2" s="1"/>
  <c r="G180" i="2"/>
  <c r="J180" i="2"/>
  <c r="K180" i="2" s="1"/>
  <c r="F182" i="2" l="1"/>
  <c r="A183" i="2"/>
  <c r="B182" i="2"/>
  <c r="C182" i="2" s="1"/>
  <c r="D182" i="2" s="1"/>
  <c r="E183" i="2" s="1" a="1"/>
  <c r="E183" i="2" s="1"/>
  <c r="G181" i="2"/>
  <c r="J181" i="2"/>
  <c r="K181" i="2" s="1"/>
  <c r="E182" i="2" a="1"/>
  <c r="E182" i="2" s="1"/>
  <c r="H178" i="2"/>
  <c r="I178" i="2" s="1"/>
  <c r="I177" i="2"/>
  <c r="F183" i="2" l="1"/>
  <c r="A184" i="2"/>
  <c r="B183" i="2"/>
  <c r="C183" i="2" s="1"/>
  <c r="D183" i="2" s="1"/>
  <c r="H179" i="2"/>
  <c r="I179" i="2" s="1"/>
  <c r="G182" i="2"/>
  <c r="J182" i="2"/>
  <c r="K182" i="2" s="1"/>
  <c r="E184" i="2" l="1" a="1"/>
  <c r="E184" i="2" s="1"/>
  <c r="H180" i="2"/>
  <c r="I180" i="2" s="1"/>
  <c r="A185" i="2"/>
  <c r="B184" i="2"/>
  <c r="C184" i="2" s="1"/>
  <c r="D184" i="2" s="1"/>
  <c r="F184" i="2"/>
  <c r="E185" i="2" a="1"/>
  <c r="E185" i="2" s="1"/>
  <c r="J183" i="2"/>
  <c r="K183" i="2" s="1"/>
  <c r="G183" i="2"/>
  <c r="H181" i="2" l="1"/>
  <c r="I181" i="2" s="1"/>
  <c r="J184" i="2"/>
  <c r="K184" i="2" s="1"/>
  <c r="G184" i="2"/>
  <c r="A186" i="2"/>
  <c r="B185" i="2"/>
  <c r="C185" i="2" s="1"/>
  <c r="D185" i="2" s="1"/>
  <c r="F185" i="2"/>
  <c r="J185" i="2" l="1"/>
  <c r="K185" i="2" s="1"/>
  <c r="G185" i="2"/>
  <c r="E186" i="2" a="1"/>
  <c r="E186" i="2" s="1"/>
  <c r="H182" i="2"/>
  <c r="A187" i="2"/>
  <c r="B186" i="2"/>
  <c r="C186" i="2" s="1"/>
  <c r="D186" i="2" s="1"/>
  <c r="F186" i="2"/>
  <c r="E187" i="2" l="1" a="1"/>
  <c r="E187" i="2" s="1"/>
  <c r="H183" i="2"/>
  <c r="I182" i="2"/>
  <c r="J186" i="2"/>
  <c r="K186" i="2" s="1"/>
  <c r="G186" i="2"/>
  <c r="A188" i="2"/>
  <c r="B187" i="2"/>
  <c r="C187" i="2" s="1"/>
  <c r="D187" i="2" s="1"/>
  <c r="E188" i="2" s="1" a="1"/>
  <c r="E188" i="2" s="1"/>
  <c r="F187" i="2"/>
  <c r="H184" i="2" l="1"/>
  <c r="I184" i="2" s="1"/>
  <c r="I183" i="2"/>
  <c r="J187" i="2"/>
  <c r="K187" i="2" s="1"/>
  <c r="G187" i="2"/>
  <c r="A189" i="2"/>
  <c r="B188" i="2"/>
  <c r="C188" i="2" s="1"/>
  <c r="D188" i="2" s="1"/>
  <c r="F188" i="2"/>
  <c r="J188" i="2" l="1"/>
  <c r="K188" i="2" s="1"/>
  <c r="G188" i="2"/>
  <c r="F189" i="2"/>
  <c r="A190" i="2"/>
  <c r="B189" i="2"/>
  <c r="C189" i="2" s="1"/>
  <c r="D189" i="2" s="1"/>
  <c r="E190" i="2" s="1" a="1"/>
  <c r="E190" i="2" s="1"/>
  <c r="E189" i="2" a="1"/>
  <c r="E189" i="2" s="1"/>
  <c r="H185" i="2"/>
  <c r="I185" i="2" s="1"/>
  <c r="F190" i="2" l="1"/>
  <c r="A191" i="2"/>
  <c r="B190" i="2"/>
  <c r="C190" i="2" s="1"/>
  <c r="D190" i="2" s="1"/>
  <c r="J189" i="2"/>
  <c r="K189" i="2" s="1"/>
  <c r="G189" i="2"/>
  <c r="H186" i="2"/>
  <c r="H187" i="2" l="1"/>
  <c r="I186" i="2"/>
  <c r="E191" i="2" a="1"/>
  <c r="E191" i="2" s="1"/>
  <c r="F191" i="2"/>
  <c r="A192" i="2"/>
  <c r="B191" i="2"/>
  <c r="C191" i="2" s="1"/>
  <c r="D191" i="2" s="1"/>
  <c r="J190" i="2"/>
  <c r="K190" i="2" s="1"/>
  <c r="G190" i="2"/>
  <c r="F192" i="2" l="1"/>
  <c r="A193" i="2"/>
  <c r="B192" i="2"/>
  <c r="C192" i="2" s="1"/>
  <c r="D192" i="2" s="1"/>
  <c r="J191" i="2"/>
  <c r="K191" i="2" s="1"/>
  <c r="G191" i="2"/>
  <c r="E192" i="2" a="1"/>
  <c r="E192" i="2" s="1"/>
  <c r="H188" i="2"/>
  <c r="I188" i="2" s="1"/>
  <c r="I187" i="2"/>
  <c r="H189" i="2" l="1"/>
  <c r="E193" i="2" a="1"/>
  <c r="E193" i="2" s="1"/>
  <c r="J192" i="2"/>
  <c r="K192" i="2" s="1"/>
  <c r="G192" i="2"/>
  <c r="F193" i="2"/>
  <c r="A194" i="2"/>
  <c r="B193" i="2"/>
  <c r="C193" i="2" s="1"/>
  <c r="D193" i="2" s="1"/>
  <c r="E194" i="2" s="1" a="1"/>
  <c r="E194" i="2" s="1"/>
  <c r="F194" i="2" l="1"/>
  <c r="A195" i="2"/>
  <c r="B194" i="2"/>
  <c r="C194" i="2" s="1"/>
  <c r="D194" i="2" s="1"/>
  <c r="J193" i="2"/>
  <c r="K193" i="2" s="1"/>
  <c r="G193" i="2"/>
  <c r="H190" i="2"/>
  <c r="I190" i="2" s="1"/>
  <c r="I189" i="2"/>
  <c r="H191" i="2" l="1"/>
  <c r="I191" i="2" s="1"/>
  <c r="E195" i="2" a="1"/>
  <c r="E195" i="2" s="1"/>
  <c r="F195" i="2"/>
  <c r="A196" i="2"/>
  <c r="B195" i="2"/>
  <c r="C195" i="2" s="1"/>
  <c r="D195" i="2" s="1"/>
  <c r="E196" i="2" s="1" a="1"/>
  <c r="E196" i="2" s="1"/>
  <c r="J194" i="2"/>
  <c r="K194" i="2" s="1"/>
  <c r="G194" i="2"/>
  <c r="J195" i="2" l="1"/>
  <c r="K195" i="2" s="1"/>
  <c r="G195" i="2"/>
  <c r="H192" i="2"/>
  <c r="I192" i="2" s="1"/>
  <c r="F196" i="2"/>
  <c r="A197" i="2"/>
  <c r="B196" i="2"/>
  <c r="C196" i="2" s="1"/>
  <c r="D196" i="2" s="1"/>
  <c r="E197" i="2" l="1" a="1"/>
  <c r="E197" i="2" s="1"/>
  <c r="G196" i="2"/>
  <c r="J196" i="2"/>
  <c r="K196" i="2" s="1"/>
  <c r="F197" i="2"/>
  <c r="A198" i="2"/>
  <c r="B197" i="2"/>
  <c r="C197" i="2" s="1"/>
  <c r="D197" i="2" s="1"/>
  <c r="H193" i="2"/>
  <c r="F198" i="2" l="1"/>
  <c r="A199" i="2"/>
  <c r="B198" i="2"/>
  <c r="C198" i="2" s="1"/>
  <c r="D198" i="2" s="1"/>
  <c r="G197" i="2"/>
  <c r="J197" i="2"/>
  <c r="K197" i="2" s="1"/>
  <c r="E199" i="2" a="1"/>
  <c r="E199" i="2" s="1"/>
  <c r="H194" i="2"/>
  <c r="I194" i="2" s="1"/>
  <c r="I193" i="2"/>
  <c r="E198" i="2" a="1"/>
  <c r="E198" i="2" s="1"/>
  <c r="H195" i="2" l="1"/>
  <c r="F199" i="2"/>
  <c r="A200" i="2"/>
  <c r="B199" i="2"/>
  <c r="C199" i="2" s="1"/>
  <c r="D199" i="2" s="1"/>
  <c r="G198" i="2"/>
  <c r="J198" i="2"/>
  <c r="K198" i="2" s="1"/>
  <c r="E200" i="2" l="1" a="1"/>
  <c r="E200" i="2" s="1"/>
  <c r="A201" i="2"/>
  <c r="B200" i="2"/>
  <c r="C200" i="2" s="1"/>
  <c r="D200" i="2" s="1"/>
  <c r="F200" i="2"/>
  <c r="J199" i="2"/>
  <c r="K199" i="2" s="1"/>
  <c r="G199" i="2"/>
  <c r="H196" i="2"/>
  <c r="I195" i="2"/>
  <c r="H197" i="2" l="1"/>
  <c r="I197" i="2" s="1"/>
  <c r="I196" i="2"/>
  <c r="A202" i="2"/>
  <c r="B201" i="2"/>
  <c r="C201" i="2" s="1"/>
  <c r="D201" i="2" s="1"/>
  <c r="F201" i="2"/>
  <c r="E201" i="2" a="1"/>
  <c r="E201" i="2" s="1"/>
  <c r="J200" i="2"/>
  <c r="K200" i="2" s="1"/>
  <c r="G200" i="2"/>
  <c r="J201" i="2" l="1"/>
  <c r="K201" i="2" s="1"/>
  <c r="G201" i="2"/>
  <c r="H198" i="2"/>
  <c r="I198" i="2" s="1"/>
  <c r="E202" i="2" a="1"/>
  <c r="E202" i="2" s="1"/>
  <c r="A203" i="2"/>
  <c r="B202" i="2"/>
  <c r="C202" i="2" s="1"/>
  <c r="D202" i="2" s="1"/>
  <c r="F202" i="2"/>
  <c r="E203" i="2" l="1" a="1"/>
  <c r="E203" i="2" s="1"/>
  <c r="A204" i="2"/>
  <c r="B203" i="2"/>
  <c r="C203" i="2" s="1"/>
  <c r="D203" i="2" s="1"/>
  <c r="F203" i="2"/>
  <c r="J202" i="2"/>
  <c r="K202" i="2" s="1"/>
  <c r="G202" i="2"/>
  <c r="H199" i="2"/>
  <c r="I199" i="2" s="1"/>
  <c r="E204" i="2" l="1" a="1"/>
  <c r="E204" i="2" s="1"/>
  <c r="H200" i="2"/>
  <c r="I200" i="2" s="1"/>
  <c r="J203" i="2"/>
  <c r="K203" i="2" s="1"/>
  <c r="G203" i="2"/>
  <c r="A205" i="2"/>
  <c r="B204" i="2"/>
  <c r="C204" i="2" s="1"/>
  <c r="D204" i="2" s="1"/>
  <c r="F204" i="2"/>
  <c r="H201" i="2" l="1"/>
  <c r="I201" i="2" s="1"/>
  <c r="E205" i="2" a="1"/>
  <c r="E205" i="2" s="1"/>
  <c r="F205" i="2"/>
  <c r="A206" i="2"/>
  <c r="B205" i="2"/>
  <c r="C205" i="2" s="1"/>
  <c r="D205" i="2" s="1"/>
  <c r="E206" i="2" s="1" a="1"/>
  <c r="E206" i="2" s="1"/>
  <c r="J204" i="2"/>
  <c r="K204" i="2" s="1"/>
  <c r="G204" i="2"/>
  <c r="J205" i="2" l="1"/>
  <c r="K205" i="2" s="1"/>
  <c r="G205" i="2"/>
  <c r="H202" i="2"/>
  <c r="F206" i="2"/>
  <c r="A207" i="2"/>
  <c r="B206" i="2"/>
  <c r="C206" i="2" s="1"/>
  <c r="D206" i="2" s="1"/>
  <c r="E207" i="2" s="1" a="1"/>
  <c r="E207" i="2" s="1"/>
  <c r="J206" i="2" l="1"/>
  <c r="K206" i="2" s="1"/>
  <c r="G206" i="2"/>
  <c r="H203" i="2"/>
  <c r="I203" i="2" s="1"/>
  <c r="F207" i="2"/>
  <c r="A208" i="2"/>
  <c r="B207" i="2"/>
  <c r="C207" i="2" s="1"/>
  <c r="D207" i="2" s="1"/>
  <c r="I202" i="2"/>
  <c r="J207" i="2" l="1"/>
  <c r="K207" i="2" s="1"/>
  <c r="G207" i="2"/>
  <c r="F208" i="2"/>
  <c r="A209" i="2"/>
  <c r="B208" i="2"/>
  <c r="C208" i="2" s="1"/>
  <c r="D208" i="2" s="1"/>
  <c r="E209" i="2" s="1" a="1"/>
  <c r="E209" i="2" s="1"/>
  <c r="E208" i="2" a="1"/>
  <c r="E208" i="2" s="1"/>
  <c r="H204" i="2"/>
  <c r="F209" i="2" l="1"/>
  <c r="A210" i="2"/>
  <c r="B209" i="2"/>
  <c r="C209" i="2" s="1"/>
  <c r="D209" i="2" s="1"/>
  <c r="J208" i="2"/>
  <c r="K208" i="2" s="1"/>
  <c r="G208" i="2"/>
  <c r="H205" i="2"/>
  <c r="I204" i="2"/>
  <c r="H206" i="2" l="1"/>
  <c r="J209" i="2"/>
  <c r="K209" i="2" s="1"/>
  <c r="G209" i="2"/>
  <c r="E210" i="2" a="1"/>
  <c r="E210" i="2" s="1"/>
  <c r="F210" i="2"/>
  <c r="A211" i="2"/>
  <c r="B210" i="2"/>
  <c r="C210" i="2" s="1"/>
  <c r="D210" i="2" s="1"/>
  <c r="I205" i="2"/>
  <c r="F211" i="2" l="1"/>
  <c r="A212" i="2"/>
  <c r="B211" i="2"/>
  <c r="C211" i="2" s="1"/>
  <c r="D211" i="2" s="1"/>
  <c r="E212" i="2" s="1" a="1"/>
  <c r="E212" i="2" s="1"/>
  <c r="H207" i="2"/>
  <c r="I207" i="2" s="1"/>
  <c r="J210" i="2"/>
  <c r="K210" i="2" s="1"/>
  <c r="G210" i="2"/>
  <c r="I206" i="2"/>
  <c r="E211" i="2" a="1"/>
  <c r="E211" i="2" s="1"/>
  <c r="F212" i="2" l="1"/>
  <c r="A213" i="2"/>
  <c r="B212" i="2"/>
  <c r="C212" i="2" s="1"/>
  <c r="D212" i="2" s="1"/>
  <c r="J211" i="2"/>
  <c r="K211" i="2" s="1"/>
  <c r="G211" i="2"/>
  <c r="H208" i="2"/>
  <c r="E213" i="2" a="1"/>
  <c r="E213" i="2" s="1"/>
  <c r="F213" i="2" l="1"/>
  <c r="A214" i="2"/>
  <c r="B213" i="2"/>
  <c r="C213" i="2" s="1"/>
  <c r="D213" i="2" s="1"/>
  <c r="G212" i="2"/>
  <c r="J212" i="2"/>
  <c r="K212" i="2" s="1"/>
  <c r="H209" i="2"/>
  <c r="I208" i="2"/>
  <c r="H210" i="2" l="1"/>
  <c r="I209" i="2"/>
  <c r="E214" i="2" a="1"/>
  <c r="E214" i="2" s="1"/>
  <c r="F214" i="2"/>
  <c r="A215" i="2"/>
  <c r="B214" i="2"/>
  <c r="C214" i="2" s="1"/>
  <c r="D214" i="2" s="1"/>
  <c r="G213" i="2"/>
  <c r="J213" i="2"/>
  <c r="K213" i="2" s="1"/>
  <c r="F215" i="2" l="1"/>
  <c r="A216" i="2"/>
  <c r="B215" i="2"/>
  <c r="C215" i="2" s="1"/>
  <c r="D215" i="2" s="1"/>
  <c r="G214" i="2"/>
  <c r="J214" i="2"/>
  <c r="K214" i="2" s="1"/>
  <c r="E215" i="2" a="1"/>
  <c r="E215" i="2" s="1"/>
  <c r="E216" i="2" a="1"/>
  <c r="E216" i="2" s="1"/>
  <c r="H211" i="2"/>
  <c r="I211" i="2" s="1"/>
  <c r="I210" i="2"/>
  <c r="H212" i="2" l="1"/>
  <c r="A217" i="2"/>
  <c r="B216" i="2"/>
  <c r="C216" i="2" s="1"/>
  <c r="D216" i="2" s="1"/>
  <c r="F216" i="2"/>
  <c r="J215" i="2"/>
  <c r="K215" i="2" s="1"/>
  <c r="G215" i="2"/>
  <c r="J216" i="2" l="1"/>
  <c r="K216" i="2" s="1"/>
  <c r="G216" i="2"/>
  <c r="E217" i="2" a="1"/>
  <c r="E217" i="2" s="1"/>
  <c r="A218" i="2"/>
  <c r="B217" i="2"/>
  <c r="C217" i="2" s="1"/>
  <c r="D217" i="2" s="1"/>
  <c r="F217" i="2"/>
  <c r="H213" i="2"/>
  <c r="I213" i="2" s="1"/>
  <c r="I212" i="2"/>
  <c r="J217" i="2" l="1"/>
  <c r="K217" i="2" s="1"/>
  <c r="G217" i="2"/>
  <c r="E218" i="2" a="1"/>
  <c r="E218" i="2" s="1"/>
  <c r="A219" i="2"/>
  <c r="B218" i="2"/>
  <c r="C218" i="2" s="1"/>
  <c r="D218" i="2" s="1"/>
  <c r="F218" i="2"/>
  <c r="H214" i="2"/>
  <c r="A220" i="2" l="1"/>
  <c r="B219" i="2"/>
  <c r="C219" i="2" s="1"/>
  <c r="D219" i="2" s="1"/>
  <c r="F219" i="2"/>
  <c r="H215" i="2"/>
  <c r="I214" i="2"/>
  <c r="E219" i="2" a="1"/>
  <c r="E219" i="2" s="1"/>
  <c r="J218" i="2"/>
  <c r="K218" i="2" s="1"/>
  <c r="G218" i="2"/>
  <c r="J219" i="2" l="1"/>
  <c r="K219" i="2" s="1"/>
  <c r="G219" i="2"/>
  <c r="E220" i="2" a="1"/>
  <c r="E220" i="2" s="1"/>
  <c r="H216" i="2"/>
  <c r="I216" i="2" s="1"/>
  <c r="A221" i="2"/>
  <c r="B220" i="2"/>
  <c r="C220" i="2" s="1"/>
  <c r="D220" i="2" s="1"/>
  <c r="F220" i="2"/>
  <c r="I215" i="2"/>
  <c r="J220" i="2" l="1"/>
  <c r="K220" i="2" s="1"/>
  <c r="G220" i="2"/>
  <c r="E221" i="2" a="1"/>
  <c r="E221" i="2" s="1"/>
  <c r="F221" i="2"/>
  <c r="A222" i="2"/>
  <c r="B221" i="2"/>
  <c r="C221" i="2" s="1"/>
  <c r="D221" i="2" s="1"/>
  <c r="H217" i="2"/>
  <c r="I217" i="2" s="1"/>
  <c r="J221" i="2" l="1"/>
  <c r="K221" i="2" s="1"/>
  <c r="G221" i="2"/>
  <c r="H218" i="2"/>
  <c r="F222" i="2"/>
  <c r="A223" i="2"/>
  <c r="B222" i="2"/>
  <c r="C222" i="2" s="1"/>
  <c r="D222" i="2" s="1"/>
  <c r="E222" i="2" a="1"/>
  <c r="E222" i="2" s="1"/>
  <c r="H219" i="2" l="1"/>
  <c r="I219" i="2" s="1"/>
  <c r="I218" i="2"/>
  <c r="E223" i="2" a="1"/>
  <c r="E223" i="2" s="1"/>
  <c r="F223" i="2"/>
  <c r="A224" i="2"/>
  <c r="B223" i="2"/>
  <c r="C223" i="2" s="1"/>
  <c r="D223" i="2" s="1"/>
  <c r="J222" i="2"/>
  <c r="K222" i="2" s="1"/>
  <c r="G222" i="2"/>
  <c r="F224" i="2" l="1"/>
  <c r="A225" i="2"/>
  <c r="B224" i="2"/>
  <c r="C224" i="2" s="1"/>
  <c r="D224" i="2" s="1"/>
  <c r="J223" i="2"/>
  <c r="K223" i="2" s="1"/>
  <c r="G223" i="2"/>
  <c r="H220" i="2"/>
  <c r="I220" i="2" s="1"/>
  <c r="E224" i="2" a="1"/>
  <c r="E224" i="2" s="1"/>
  <c r="H221" i="2" l="1"/>
  <c r="I221" i="2" s="1"/>
  <c r="E225" i="2" a="1"/>
  <c r="E225" i="2" s="1"/>
  <c r="F225" i="2"/>
  <c r="A226" i="2"/>
  <c r="B225" i="2"/>
  <c r="C225" i="2" s="1"/>
  <c r="D225" i="2" s="1"/>
  <c r="E226" i="2" s="1" a="1"/>
  <c r="E226" i="2" s="1"/>
  <c r="J224" i="2"/>
  <c r="K224" i="2" s="1"/>
  <c r="G224" i="2"/>
  <c r="F226" i="2" l="1"/>
  <c r="A227" i="2"/>
  <c r="B226" i="2"/>
  <c r="C226" i="2" s="1"/>
  <c r="D226" i="2" s="1"/>
  <c r="J225" i="2"/>
  <c r="K225" i="2" s="1"/>
  <c r="G225" i="2"/>
  <c r="E227" i="2" a="1"/>
  <c r="E227" i="2" s="1"/>
  <c r="H222" i="2"/>
  <c r="H223" i="2" l="1"/>
  <c r="I222" i="2"/>
  <c r="F227" i="2"/>
  <c r="A228" i="2"/>
  <c r="B227" i="2"/>
  <c r="C227" i="2" s="1"/>
  <c r="D227" i="2" s="1"/>
  <c r="J226" i="2"/>
  <c r="K226" i="2" s="1"/>
  <c r="G226" i="2"/>
  <c r="E228" i="2" l="1" a="1"/>
  <c r="E228" i="2" s="1"/>
  <c r="F228" i="2"/>
  <c r="A229" i="2"/>
  <c r="B228" i="2"/>
  <c r="C228" i="2" s="1"/>
  <c r="D228" i="2" s="1"/>
  <c r="J227" i="2"/>
  <c r="K227" i="2" s="1"/>
  <c r="G227" i="2"/>
  <c r="H224" i="2"/>
  <c r="I223" i="2"/>
  <c r="E229" i="2" l="1" a="1"/>
  <c r="E229" i="2" s="1"/>
  <c r="H225" i="2"/>
  <c r="I224" i="2"/>
  <c r="G228" i="2"/>
  <c r="J228" i="2"/>
  <c r="K228" i="2" s="1"/>
  <c r="F229" i="2"/>
  <c r="A230" i="2"/>
  <c r="B229" i="2"/>
  <c r="C229" i="2" s="1"/>
  <c r="D229" i="2" s="1"/>
  <c r="H226" i="2" l="1"/>
  <c r="I226" i="2" s="1"/>
  <c r="E230" i="2" a="1"/>
  <c r="E230" i="2" s="1"/>
  <c r="I225" i="2"/>
  <c r="F230" i="2"/>
  <c r="A231" i="2"/>
  <c r="B230" i="2"/>
  <c r="C230" i="2" s="1"/>
  <c r="D230" i="2" s="1"/>
  <c r="E231" i="2" s="1" a="1"/>
  <c r="E231" i="2" s="1"/>
  <c r="G229" i="2"/>
  <c r="J229" i="2"/>
  <c r="K229" i="2" s="1"/>
  <c r="F231" i="2" l="1"/>
  <c r="A232" i="2"/>
  <c r="B231" i="2"/>
  <c r="C231" i="2" s="1"/>
  <c r="D231" i="2" s="1"/>
  <c r="G230" i="2"/>
  <c r="J230" i="2"/>
  <c r="K230" i="2" s="1"/>
  <c r="H227" i="2"/>
  <c r="H228" i="2" l="1"/>
  <c r="I227" i="2"/>
  <c r="E232" i="2" a="1"/>
  <c r="E232" i="2" s="1"/>
  <c r="A233" i="2"/>
  <c r="B232" i="2"/>
  <c r="C232" i="2" s="1"/>
  <c r="D232" i="2" s="1"/>
  <c r="F232" i="2"/>
  <c r="J231" i="2"/>
  <c r="K231" i="2" s="1"/>
  <c r="G231" i="2"/>
  <c r="E233" i="2" l="1" a="1"/>
  <c r="E233" i="2" s="1"/>
  <c r="H229" i="2"/>
  <c r="I229" i="2" s="1"/>
  <c r="I228" i="2"/>
  <c r="J232" i="2"/>
  <c r="K232" i="2" s="1"/>
  <c r="G232" i="2"/>
  <c r="A234" i="2"/>
  <c r="B233" i="2"/>
  <c r="C233" i="2" s="1"/>
  <c r="D233" i="2" s="1"/>
  <c r="F233" i="2"/>
  <c r="A235" i="2" l="1"/>
  <c r="B234" i="2"/>
  <c r="C234" i="2" s="1"/>
  <c r="D234" i="2" s="1"/>
  <c r="E235" i="2" s="1" a="1"/>
  <c r="E235" i="2" s="1"/>
  <c r="F234" i="2"/>
  <c r="E234" i="2" a="1"/>
  <c r="E234" i="2" s="1"/>
  <c r="H230" i="2"/>
  <c r="I230" i="2" s="1"/>
  <c r="J233" i="2"/>
  <c r="K233" i="2" s="1"/>
  <c r="G233" i="2"/>
  <c r="J234" i="2" l="1"/>
  <c r="K234" i="2" s="1"/>
  <c r="G234" i="2"/>
  <c r="A236" i="2"/>
  <c r="B235" i="2"/>
  <c r="C235" i="2" s="1"/>
  <c r="D235" i="2" s="1"/>
  <c r="F235" i="2"/>
  <c r="H231" i="2"/>
  <c r="I231" i="2" s="1"/>
  <c r="E236" i="2" l="1" a="1"/>
  <c r="E236" i="2" s="1"/>
  <c r="J235" i="2"/>
  <c r="K235" i="2" s="1"/>
  <c r="G235" i="2"/>
  <c r="H232" i="2"/>
  <c r="I232" i="2" s="1"/>
  <c r="A237" i="2"/>
  <c r="B236" i="2"/>
  <c r="C236" i="2" s="1"/>
  <c r="D236" i="2" s="1"/>
  <c r="F236" i="2"/>
  <c r="J236" i="2" l="1"/>
  <c r="K236" i="2" s="1"/>
  <c r="G236" i="2"/>
  <c r="E237" i="2" a="1"/>
  <c r="E237" i="2" s="1"/>
  <c r="F237" i="2"/>
  <c r="A238" i="2"/>
  <c r="B237" i="2"/>
  <c r="C237" i="2" s="1"/>
  <c r="D237" i="2" s="1"/>
  <c r="H233" i="2"/>
  <c r="I233" i="2" s="1"/>
  <c r="H234" i="2" l="1"/>
  <c r="I234" i="2" s="1"/>
  <c r="F238" i="2"/>
  <c r="A239" i="2"/>
  <c r="B238" i="2"/>
  <c r="C238" i="2" s="1"/>
  <c r="D238" i="2" s="1"/>
  <c r="E239" i="2" s="1" a="1"/>
  <c r="E239" i="2" s="1"/>
  <c r="J237" i="2"/>
  <c r="K237" i="2" s="1"/>
  <c r="G237" i="2"/>
  <c r="E238" i="2" a="1"/>
  <c r="E238" i="2" s="1"/>
  <c r="F239" i="2" l="1"/>
  <c r="A240" i="2"/>
  <c r="B239" i="2"/>
  <c r="C239" i="2" s="1"/>
  <c r="D239" i="2" s="1"/>
  <c r="J238" i="2"/>
  <c r="K238" i="2" s="1"/>
  <c r="G238" i="2"/>
  <c r="H235" i="2"/>
  <c r="I235" i="2" s="1"/>
  <c r="H236" i="2" l="1"/>
  <c r="F240" i="2"/>
  <c r="A241" i="2"/>
  <c r="B240" i="2"/>
  <c r="C240" i="2" s="1"/>
  <c r="D240" i="2" s="1"/>
  <c r="E240" i="2" a="1"/>
  <c r="E240" i="2" s="1"/>
  <c r="J239" i="2"/>
  <c r="K239" i="2" s="1"/>
  <c r="G239" i="2"/>
  <c r="H237" i="2" l="1"/>
  <c r="I236" i="2"/>
  <c r="E241" i="2" a="1"/>
  <c r="E241" i="2" s="1"/>
  <c r="F241" i="2"/>
  <c r="A242" i="2"/>
  <c r="B241" i="2"/>
  <c r="C241" i="2" s="1"/>
  <c r="D241" i="2" s="1"/>
  <c r="E242" i="2" s="1" a="1"/>
  <c r="E242" i="2" s="1"/>
  <c r="J240" i="2"/>
  <c r="K240" i="2" s="1"/>
  <c r="G240" i="2"/>
  <c r="F242" i="2" l="1"/>
  <c r="A243" i="2"/>
  <c r="B242" i="2"/>
  <c r="C242" i="2" s="1"/>
  <c r="D242" i="2" s="1"/>
  <c r="E243" i="2" s="1" a="1"/>
  <c r="E243" i="2" s="1"/>
  <c r="J241" i="2"/>
  <c r="K241" i="2" s="1"/>
  <c r="G241" i="2"/>
  <c r="H238" i="2"/>
  <c r="I238" i="2" s="1"/>
  <c r="I237" i="2"/>
  <c r="H239" i="2" l="1"/>
  <c r="I239" i="2" s="1"/>
  <c r="F243" i="2"/>
  <c r="A244" i="2"/>
  <c r="B243" i="2"/>
  <c r="C243" i="2" s="1"/>
  <c r="D243" i="2" s="1"/>
  <c r="J242" i="2"/>
  <c r="K242" i="2" s="1"/>
  <c r="G242" i="2"/>
  <c r="J243" i="2" l="1"/>
  <c r="K243" i="2" s="1"/>
  <c r="G243" i="2"/>
  <c r="H240" i="2"/>
  <c r="I240" i="2" s="1"/>
  <c r="E244" i="2" a="1"/>
  <c r="E244" i="2" s="1"/>
  <c r="F244" i="2"/>
  <c r="A245" i="2"/>
  <c r="B244" i="2"/>
  <c r="C244" i="2" s="1"/>
  <c r="D244" i="2" s="1"/>
  <c r="E245" i="2" l="1" a="1"/>
  <c r="E245" i="2" s="1"/>
  <c r="F245" i="2"/>
  <c r="A246" i="2"/>
  <c r="B245" i="2"/>
  <c r="C245" i="2" s="1"/>
  <c r="D245" i="2" s="1"/>
  <c r="G244" i="2"/>
  <c r="J244" i="2"/>
  <c r="K244" i="2" s="1"/>
  <c r="H241" i="2"/>
  <c r="H242" i="2" l="1"/>
  <c r="I241" i="2"/>
  <c r="E246" i="2" a="1"/>
  <c r="E246" i="2" s="1"/>
  <c r="F246" i="2"/>
  <c r="A247" i="2"/>
  <c r="B246" i="2"/>
  <c r="C246" i="2" s="1"/>
  <c r="D246" i="2" s="1"/>
  <c r="G245" i="2"/>
  <c r="J245" i="2"/>
  <c r="K245" i="2" s="1"/>
  <c r="H243" i="2" l="1"/>
  <c r="I242" i="2"/>
  <c r="F247" i="2"/>
  <c r="A248" i="2"/>
  <c r="B247" i="2"/>
  <c r="C247" i="2" s="1"/>
  <c r="D247" i="2" s="1"/>
  <c r="E248" i="2" s="1" a="1"/>
  <c r="E248" i="2" s="1"/>
  <c r="E247" i="2" a="1"/>
  <c r="E247" i="2" s="1"/>
  <c r="G246" i="2"/>
  <c r="J246" i="2"/>
  <c r="K246" i="2" s="1"/>
  <c r="H244" i="2" l="1"/>
  <c r="I243" i="2"/>
  <c r="A249" i="2"/>
  <c r="B248" i="2"/>
  <c r="C248" i="2" s="1"/>
  <c r="D248" i="2" s="1"/>
  <c r="F248" i="2"/>
  <c r="J247" i="2"/>
  <c r="K247" i="2" s="1"/>
  <c r="G247" i="2"/>
  <c r="E249" i="2" a="1"/>
  <c r="E249" i="2" s="1"/>
  <c r="H245" i="2" l="1"/>
  <c r="I245" i="2" s="1"/>
  <c r="I244" i="2"/>
  <c r="J248" i="2"/>
  <c r="K248" i="2" s="1"/>
  <c r="G248" i="2"/>
  <c r="A250" i="2"/>
  <c r="B249" i="2"/>
  <c r="C249" i="2" s="1"/>
  <c r="D249" i="2" s="1"/>
  <c r="F249" i="2"/>
  <c r="E250" i="2" l="1" a="1"/>
  <c r="E250" i="2" s="1"/>
  <c r="A251" i="2"/>
  <c r="B250" i="2"/>
  <c r="C250" i="2" s="1"/>
  <c r="D250" i="2" s="1"/>
  <c r="E251" i="2" s="1" a="1"/>
  <c r="E251" i="2" s="1"/>
  <c r="F250" i="2"/>
  <c r="J249" i="2"/>
  <c r="K249" i="2" s="1"/>
  <c r="G249" i="2"/>
  <c r="H246" i="2"/>
  <c r="I246" i="2" s="1"/>
  <c r="J250" i="2" l="1"/>
  <c r="K250" i="2" s="1"/>
  <c r="G250" i="2"/>
  <c r="H247" i="2"/>
  <c r="I247" i="2" s="1"/>
  <c r="A252" i="2"/>
  <c r="B251" i="2"/>
  <c r="C251" i="2" s="1"/>
  <c r="D251" i="2" s="1"/>
  <c r="F251" i="2"/>
  <c r="J251" i="2" l="1"/>
  <c r="K251" i="2" s="1"/>
  <c r="G251" i="2"/>
  <c r="E252" i="2" a="1"/>
  <c r="E252" i="2" s="1"/>
  <c r="A253" i="2"/>
  <c r="B252" i="2"/>
  <c r="C252" i="2" s="1"/>
  <c r="D252" i="2" s="1"/>
  <c r="F252" i="2"/>
  <c r="H248" i="2"/>
  <c r="H249" i="2" l="1"/>
  <c r="I248" i="2"/>
  <c r="J252" i="2"/>
  <c r="K252" i="2" s="1"/>
  <c r="G252" i="2"/>
  <c r="E253" i="2" a="1"/>
  <c r="E253" i="2" s="1"/>
  <c r="A254" i="2"/>
  <c r="F253" i="2"/>
  <c r="B253" i="2"/>
  <c r="C253" i="2" s="1"/>
  <c r="D253" i="2" s="1"/>
  <c r="H250" i="2" l="1"/>
  <c r="I249" i="2"/>
  <c r="J253" i="2"/>
  <c r="K253" i="2" s="1"/>
  <c r="G253" i="2"/>
  <c r="E254" i="2" a="1"/>
  <c r="E254" i="2" s="1"/>
  <c r="A255" i="2"/>
  <c r="F254" i="2"/>
  <c r="B254" i="2"/>
  <c r="C254" i="2" s="1"/>
  <c r="D254" i="2" s="1"/>
  <c r="E255" i="2" l="1" a="1"/>
  <c r="E255" i="2" s="1"/>
  <c r="J254" i="2"/>
  <c r="K254" i="2" s="1"/>
  <c r="G254" i="2"/>
  <c r="H251" i="2"/>
  <c r="I251" i="2" s="1"/>
  <c r="A256" i="2"/>
  <c r="F255" i="2"/>
  <c r="B255" i="2"/>
  <c r="C255" i="2" s="1"/>
  <c r="D255" i="2" s="1"/>
  <c r="I250" i="2"/>
  <c r="E256" i="2" a="1"/>
  <c r="E256" i="2" s="1"/>
  <c r="A257" i="2" l="1"/>
  <c r="B256" i="2"/>
  <c r="C256" i="2" s="1"/>
  <c r="D256" i="2" s="1"/>
  <c r="F256" i="2"/>
  <c r="J255" i="2"/>
  <c r="K255" i="2" s="1"/>
  <c r="G255" i="2"/>
  <c r="H252" i="2"/>
  <c r="H253" i="2" l="1"/>
  <c r="I252" i="2"/>
  <c r="E257" i="2" a="1"/>
  <c r="E257" i="2" s="1"/>
  <c r="B257" i="2"/>
  <c r="C257" i="2" s="1"/>
  <c r="D257" i="2" s="1"/>
  <c r="A258" i="2"/>
  <c r="F257" i="2"/>
  <c r="J256" i="2"/>
  <c r="K256" i="2" s="1"/>
  <c r="G256" i="2"/>
  <c r="B258" i="2" l="1"/>
  <c r="C258" i="2" s="1"/>
  <c r="D258" i="2" s="1"/>
  <c r="E259" i="2" s="1" a="1"/>
  <c r="E259" i="2" s="1"/>
  <c r="A259" i="2"/>
  <c r="F258" i="2"/>
  <c r="E258" i="2" a="1"/>
  <c r="E258" i="2" s="1"/>
  <c r="J257" i="2"/>
  <c r="K257" i="2" s="1"/>
  <c r="G257" i="2"/>
  <c r="H254" i="2"/>
  <c r="I254" i="2" s="1"/>
  <c r="I253" i="2"/>
  <c r="J258" i="2" l="1"/>
  <c r="K258" i="2" s="1"/>
  <c r="G258" i="2"/>
  <c r="B259" i="2"/>
  <c r="C259" i="2" s="1"/>
  <c r="D259" i="2" s="1"/>
  <c r="A260" i="2"/>
  <c r="F259" i="2"/>
  <c r="H255" i="2"/>
  <c r="J259" i="2" l="1"/>
  <c r="K259" i="2" s="1"/>
  <c r="G259" i="2"/>
  <c r="B260" i="2"/>
  <c r="C260" i="2" s="1"/>
  <c r="D260" i="2" s="1"/>
  <c r="E261" i="2" s="1" a="1"/>
  <c r="E261" i="2" s="1"/>
  <c r="A261" i="2"/>
  <c r="F260" i="2"/>
  <c r="E260" i="2" a="1"/>
  <c r="E260" i="2" s="1"/>
  <c r="H256" i="2"/>
  <c r="I255" i="2"/>
  <c r="J260" i="2" l="1"/>
  <c r="K260" i="2" s="1"/>
  <c r="G260" i="2"/>
  <c r="B261" i="2"/>
  <c r="C261" i="2" s="1"/>
  <c r="D261" i="2" s="1"/>
  <c r="A262" i="2"/>
  <c r="F261" i="2"/>
  <c r="H257" i="2"/>
  <c r="I257" i="2" s="1"/>
  <c r="I256" i="2"/>
  <c r="H258" i="2" l="1"/>
  <c r="J261" i="2"/>
  <c r="K261" i="2" s="1"/>
  <c r="G261" i="2"/>
  <c r="B262" i="2"/>
  <c r="C262" i="2" s="1"/>
  <c r="D262" i="2" s="1"/>
  <c r="A263" i="2"/>
  <c r="F262" i="2"/>
  <c r="E262" i="2" a="1"/>
  <c r="E262" i="2" s="1"/>
  <c r="E263" i="2" a="1"/>
  <c r="E263" i="2" s="1"/>
  <c r="J262" i="2" l="1"/>
  <c r="K262" i="2" s="1"/>
  <c r="G262" i="2"/>
  <c r="F263" i="2"/>
  <c r="B263" i="2"/>
  <c r="C263" i="2" s="1"/>
  <c r="D263" i="2" s="1"/>
  <c r="A264" i="2"/>
  <c r="E264" i="2" a="1"/>
  <c r="E264" i="2" s="1"/>
  <c r="H259" i="2"/>
  <c r="I258" i="2"/>
  <c r="H260" i="2" l="1"/>
  <c r="I260" i="2" s="1"/>
  <c r="I259" i="2"/>
  <c r="A265" i="2"/>
  <c r="B264" i="2"/>
  <c r="C264" i="2" s="1"/>
  <c r="D264" i="2" s="1"/>
  <c r="E265" i="2" s="1" a="1"/>
  <c r="E265" i="2" s="1"/>
  <c r="F264" i="2"/>
  <c r="J263" i="2"/>
  <c r="K263" i="2" s="1"/>
  <c r="G263" i="2"/>
  <c r="F265" i="2" l="1"/>
  <c r="B265" i="2"/>
  <c r="C265" i="2" s="1"/>
  <c r="D265" i="2" s="1"/>
  <c r="A266" i="2"/>
  <c r="G264" i="2"/>
  <c r="J264" i="2"/>
  <c r="K264" i="2" s="1"/>
  <c r="H261" i="2"/>
  <c r="I261" i="2" s="1"/>
  <c r="H262" i="2" l="1"/>
  <c r="I262" i="2" s="1"/>
  <c r="F266" i="2"/>
  <c r="B266" i="2"/>
  <c r="C266" i="2" s="1"/>
  <c r="D266" i="2" s="1"/>
  <c r="A267" i="2"/>
  <c r="E267" i="2" a="1"/>
  <c r="E267" i="2" s="1"/>
  <c r="E266" i="2" a="1"/>
  <c r="E266" i="2" s="1"/>
  <c r="J265" i="2"/>
  <c r="K265" i="2" s="1"/>
  <c r="G265" i="2"/>
  <c r="F267" i="2" l="1"/>
  <c r="A268" i="2"/>
  <c r="B267" i="2"/>
  <c r="C267" i="2" s="1"/>
  <c r="D267" i="2" s="1"/>
  <c r="H263" i="2"/>
  <c r="I263" i="2" s="1"/>
  <c r="G266" i="2"/>
  <c r="J266" i="2"/>
  <c r="K266" i="2" s="1"/>
  <c r="H264" i="2" l="1"/>
  <c r="I264" i="2" s="1"/>
  <c r="E268" i="2" a="1"/>
  <c r="E268" i="2" s="1"/>
  <c r="B268" i="2"/>
  <c r="C268" i="2" s="1"/>
  <c r="D268" i="2" s="1"/>
  <c r="A269" i="2"/>
  <c r="F268" i="2"/>
  <c r="J267" i="2"/>
  <c r="K267" i="2" s="1"/>
  <c r="G267" i="2"/>
  <c r="J268" i="2" l="1"/>
  <c r="K268" i="2" s="1"/>
  <c r="G268" i="2"/>
  <c r="F269" i="2"/>
  <c r="B269" i="2"/>
  <c r="C269" i="2" s="1"/>
  <c r="D269" i="2" s="1"/>
  <c r="A270" i="2"/>
  <c r="E269" i="2" a="1"/>
  <c r="E269" i="2" s="1"/>
  <c r="H265" i="2"/>
  <c r="I265" i="2" s="1"/>
  <c r="E270" i="2" l="1" a="1"/>
  <c r="E270" i="2" s="1"/>
  <c r="H266" i="2"/>
  <c r="A271" i="2"/>
  <c r="F270" i="2"/>
  <c r="B270" i="2"/>
  <c r="C270" i="2" s="1"/>
  <c r="D270" i="2" s="1"/>
  <c r="J269" i="2"/>
  <c r="K269" i="2" s="1"/>
  <c r="G269" i="2"/>
  <c r="F271" i="2" l="1"/>
  <c r="A272" i="2"/>
  <c r="B271" i="2"/>
  <c r="C271" i="2" s="1"/>
  <c r="D271" i="2" s="1"/>
  <c r="H267" i="2"/>
  <c r="I266" i="2"/>
  <c r="E271" i="2" a="1"/>
  <c r="E271" i="2" s="1"/>
  <c r="G270" i="2"/>
  <c r="J270" i="2"/>
  <c r="K270" i="2" s="1"/>
  <c r="E272" i="2" l="1" a="1"/>
  <c r="E272" i="2" s="1"/>
  <c r="A273" i="2"/>
  <c r="B272" i="2"/>
  <c r="C272" i="2" s="1"/>
  <c r="D272" i="2" s="1"/>
  <c r="F272" i="2"/>
  <c r="J271" i="2"/>
  <c r="K271" i="2" s="1"/>
  <c r="G271" i="2"/>
  <c r="H268" i="2"/>
  <c r="I267" i="2"/>
  <c r="J272" i="2" l="1"/>
  <c r="K272" i="2" s="1"/>
  <c r="G272" i="2"/>
  <c r="H269" i="2"/>
  <c r="I269" i="2" s="1"/>
  <c r="E273" i="2" a="1"/>
  <c r="E273" i="2" s="1"/>
  <c r="I268" i="2"/>
  <c r="A274" i="2"/>
  <c r="B273" i="2"/>
  <c r="C273" i="2" s="1"/>
  <c r="D273" i="2" s="1"/>
  <c r="F273" i="2"/>
  <c r="E274" i="2" l="1" a="1"/>
  <c r="E274" i="2" s="1"/>
  <c r="F274" i="2"/>
  <c r="B274" i="2"/>
  <c r="C274" i="2" s="1"/>
  <c r="D274" i="2" s="1"/>
  <c r="A275" i="2"/>
  <c r="H270" i="2"/>
  <c r="J273" i="2"/>
  <c r="K273" i="2" s="1"/>
  <c r="G273" i="2"/>
  <c r="E275" i="2" a="1"/>
  <c r="E275" i="2" s="1"/>
  <c r="H271" i="2" l="1"/>
  <c r="I271" i="2" s="1"/>
  <c r="I270" i="2"/>
  <c r="A276" i="2"/>
  <c r="B275" i="2"/>
  <c r="C275" i="2" s="1"/>
  <c r="D275" i="2" s="1"/>
  <c r="F275" i="2"/>
  <c r="J274" i="2"/>
  <c r="K274" i="2" s="1"/>
  <c r="G274" i="2"/>
  <c r="J275" i="2" l="1"/>
  <c r="K275" i="2" s="1"/>
  <c r="G275" i="2"/>
  <c r="E276" i="2" a="1"/>
  <c r="E276" i="2" s="1"/>
  <c r="A277" i="2"/>
  <c r="B276" i="2"/>
  <c r="C276" i="2" s="1"/>
  <c r="D276" i="2" s="1"/>
  <c r="F276" i="2"/>
  <c r="H272" i="2"/>
  <c r="I272" i="2" s="1"/>
  <c r="J276" i="2" l="1"/>
  <c r="K276" i="2" s="1"/>
  <c r="G276" i="2"/>
  <c r="E277" i="2" a="1"/>
  <c r="E277" i="2" s="1"/>
  <c r="H273" i="2"/>
  <c r="I273" i="2" s="1"/>
  <c r="A278" i="2"/>
  <c r="F277" i="2"/>
  <c r="B277" i="2"/>
  <c r="C277" i="2" s="1"/>
  <c r="D277" i="2" s="1"/>
  <c r="E278" i="2" a="1"/>
  <c r="E278" i="2" s="1"/>
  <c r="H274" i="2" l="1"/>
  <c r="I274" i="2" s="1"/>
  <c r="G277" i="2"/>
  <c r="J277" i="2"/>
  <c r="K277" i="2" s="1"/>
  <c r="F278" i="2"/>
  <c r="A279" i="2"/>
  <c r="B278" i="2"/>
  <c r="C278" i="2" s="1"/>
  <c r="D278" i="2" s="1"/>
  <c r="H275" i="2" l="1"/>
  <c r="E279" i="2" a="1"/>
  <c r="E279" i="2" s="1"/>
  <c r="F279" i="2"/>
  <c r="B279" i="2"/>
  <c r="C279" i="2" s="1"/>
  <c r="D279" i="2" s="1"/>
  <c r="A280" i="2"/>
  <c r="J278" i="2"/>
  <c r="K278" i="2" s="1"/>
  <c r="G278" i="2"/>
  <c r="E280" i="2" l="1" a="1"/>
  <c r="E280" i="2" s="1"/>
  <c r="H276" i="2"/>
  <c r="I276" i="2" s="1"/>
  <c r="I275" i="2"/>
  <c r="A281" i="2"/>
  <c r="B280" i="2"/>
  <c r="C280" i="2" s="1"/>
  <c r="D280" i="2" s="1"/>
  <c r="E281" i="2" s="1" a="1"/>
  <c r="E281" i="2" s="1"/>
  <c r="F280" i="2"/>
  <c r="J279" i="2"/>
  <c r="K279" i="2" s="1"/>
  <c r="G279" i="2"/>
  <c r="H277" i="2" l="1"/>
  <c r="J280" i="2"/>
  <c r="K280" i="2" s="1"/>
  <c r="G280" i="2"/>
  <c r="A282" i="2"/>
  <c r="F281" i="2"/>
  <c r="B281" i="2"/>
  <c r="C281" i="2" s="1"/>
  <c r="D281" i="2" s="1"/>
  <c r="G281" i="2" l="1"/>
  <c r="J281" i="2"/>
  <c r="K281" i="2" s="1"/>
  <c r="F282" i="2"/>
  <c r="A283" i="2"/>
  <c r="B282" i="2"/>
  <c r="C282" i="2" s="1"/>
  <c r="D282" i="2" s="1"/>
  <c r="E282" i="2" a="1"/>
  <c r="E282" i="2" s="1"/>
  <c r="H278" i="2"/>
  <c r="I278" i="2" s="1"/>
  <c r="I277" i="2"/>
  <c r="H279" i="2" l="1"/>
  <c r="I279" i="2" s="1"/>
  <c r="E283" i="2" a="1"/>
  <c r="E283" i="2" s="1"/>
  <c r="F283" i="2"/>
  <c r="A284" i="2"/>
  <c r="B283" i="2"/>
  <c r="C283" i="2" s="1"/>
  <c r="D283" i="2" s="1"/>
  <c r="J282" i="2"/>
  <c r="K282" i="2" s="1"/>
  <c r="G282" i="2"/>
  <c r="E284" i="2" a="1"/>
  <c r="E284" i="2" s="1"/>
  <c r="F284" i="2" l="1"/>
  <c r="A285" i="2"/>
  <c r="B284" i="2"/>
  <c r="C284" i="2" s="1"/>
  <c r="D284" i="2" s="1"/>
  <c r="J283" i="2"/>
  <c r="K283" i="2" s="1"/>
  <c r="G283" i="2"/>
  <c r="H280" i="2"/>
  <c r="I280" i="2" s="1"/>
  <c r="E285" i="2" l="1" a="1"/>
  <c r="E285" i="2" s="1"/>
  <c r="A286" i="2"/>
  <c r="B285" i="2"/>
  <c r="C285" i="2" s="1"/>
  <c r="D285" i="2" s="1"/>
  <c r="F285" i="2"/>
  <c r="J284" i="2"/>
  <c r="K284" i="2" s="1"/>
  <c r="G284" i="2"/>
  <c r="H281" i="2"/>
  <c r="I281" i="2" s="1"/>
  <c r="H282" i="2" l="1"/>
  <c r="I282" i="2" s="1"/>
  <c r="G285" i="2"/>
  <c r="J285" i="2"/>
  <c r="K285" i="2" s="1"/>
  <c r="E286" i="2" a="1"/>
  <c r="E286" i="2" s="1"/>
  <c r="F286" i="2"/>
  <c r="A287" i="2"/>
  <c r="B286" i="2"/>
  <c r="C286" i="2" s="1"/>
  <c r="D286" i="2" s="1"/>
  <c r="G286" i="2" l="1"/>
  <c r="J286" i="2"/>
  <c r="K286" i="2" s="1"/>
  <c r="H283" i="2"/>
  <c r="I283" i="2" s="1"/>
  <c r="E287" i="2" a="1"/>
  <c r="E287" i="2" s="1"/>
  <c r="F287" i="2"/>
  <c r="A288" i="2"/>
  <c r="B287" i="2"/>
  <c r="C287" i="2" s="1"/>
  <c r="D287" i="2" s="1"/>
  <c r="E288" i="2" l="1" a="1"/>
  <c r="E288" i="2" s="1"/>
  <c r="A289" i="2"/>
  <c r="B288" i="2"/>
  <c r="C288" i="2" s="1"/>
  <c r="D288" i="2" s="1"/>
  <c r="F288" i="2"/>
  <c r="J287" i="2"/>
  <c r="K287" i="2" s="1"/>
  <c r="G287" i="2"/>
  <c r="E289" i="2" a="1"/>
  <c r="E289" i="2" s="1"/>
  <c r="H284" i="2"/>
  <c r="J288" i="2" l="1"/>
  <c r="K288" i="2" s="1"/>
  <c r="G288" i="2"/>
  <c r="A290" i="2"/>
  <c r="B289" i="2"/>
  <c r="C289" i="2" s="1"/>
  <c r="D289" i="2" s="1"/>
  <c r="F289" i="2"/>
  <c r="H285" i="2"/>
  <c r="I285" i="2" s="1"/>
  <c r="I284" i="2"/>
  <c r="H286" i="2" l="1"/>
  <c r="J289" i="2"/>
  <c r="K289" i="2" s="1"/>
  <c r="G289" i="2"/>
  <c r="E290" i="2" a="1"/>
  <c r="E290" i="2" s="1"/>
  <c r="A291" i="2"/>
  <c r="F290" i="2"/>
  <c r="B290" i="2"/>
  <c r="C290" i="2" s="1"/>
  <c r="D290" i="2" s="1"/>
  <c r="E291" i="2" l="1" a="1"/>
  <c r="E291" i="2" s="1"/>
  <c r="A292" i="2"/>
  <c r="B291" i="2"/>
  <c r="C291" i="2" s="1"/>
  <c r="D291" i="2" s="1"/>
  <c r="F291" i="2"/>
  <c r="J290" i="2"/>
  <c r="K290" i="2" s="1"/>
  <c r="G290" i="2"/>
  <c r="E292" i="2" a="1"/>
  <c r="E292" i="2" s="1"/>
  <c r="H287" i="2"/>
  <c r="I287" i="2" s="1"/>
  <c r="I286" i="2"/>
  <c r="J291" i="2" l="1"/>
  <c r="K291" i="2" s="1"/>
  <c r="G291" i="2"/>
  <c r="H288" i="2"/>
  <c r="I288" i="2" s="1"/>
  <c r="A293" i="2"/>
  <c r="B292" i="2"/>
  <c r="C292" i="2" s="1"/>
  <c r="D292" i="2" s="1"/>
  <c r="F292" i="2"/>
  <c r="J292" i="2" l="1"/>
  <c r="K292" i="2" s="1"/>
  <c r="G292" i="2"/>
  <c r="E293" i="2" a="1"/>
  <c r="E293" i="2" s="1"/>
  <c r="F293" i="2"/>
  <c r="A294" i="2"/>
  <c r="B293" i="2"/>
  <c r="C293" i="2" s="1"/>
  <c r="D293" i="2" s="1"/>
  <c r="E294" i="2" s="1" a="1"/>
  <c r="E294" i="2" s="1"/>
  <c r="H289" i="2"/>
  <c r="I289" i="2" s="1"/>
  <c r="H290" i="2" l="1"/>
  <c r="F294" i="2"/>
  <c r="A295" i="2"/>
  <c r="B294" i="2"/>
  <c r="C294" i="2" s="1"/>
  <c r="D294" i="2" s="1"/>
  <c r="J293" i="2"/>
  <c r="K293" i="2" s="1"/>
  <c r="G293" i="2"/>
  <c r="E295" i="2" a="1"/>
  <c r="E295" i="2" s="1"/>
  <c r="F295" i="2" l="1"/>
  <c r="A296" i="2"/>
  <c r="B295" i="2"/>
  <c r="C295" i="2" s="1"/>
  <c r="D295" i="2" s="1"/>
  <c r="J294" i="2"/>
  <c r="K294" i="2" s="1"/>
  <c r="G294" i="2"/>
  <c r="E296" i="2" a="1"/>
  <c r="E296" i="2" s="1"/>
  <c r="H291" i="2"/>
  <c r="I291" i="2" s="1"/>
  <c r="I290" i="2"/>
  <c r="F296" i="2" l="1"/>
  <c r="A297" i="2"/>
  <c r="B296" i="2"/>
  <c r="C296" i="2" s="1"/>
  <c r="D296" i="2" s="1"/>
  <c r="E297" i="2" s="1" a="1"/>
  <c r="E297" i="2" s="1"/>
  <c r="J295" i="2"/>
  <c r="K295" i="2" s="1"/>
  <c r="G295" i="2"/>
  <c r="H292" i="2"/>
  <c r="F297" i="2" l="1"/>
  <c r="A298" i="2"/>
  <c r="B297" i="2"/>
  <c r="C297" i="2" s="1"/>
  <c r="D297" i="2" s="1"/>
  <c r="J296" i="2"/>
  <c r="K296" i="2" s="1"/>
  <c r="G296" i="2"/>
  <c r="H293" i="2"/>
  <c r="I293" i="2" s="1"/>
  <c r="I292" i="2"/>
  <c r="E298" i="2" l="1" a="1"/>
  <c r="E298" i="2" s="1"/>
  <c r="F298" i="2"/>
  <c r="A299" i="2"/>
  <c r="B298" i="2"/>
  <c r="C298" i="2" s="1"/>
  <c r="D298" i="2" s="1"/>
  <c r="E299" i="2" s="1" a="1"/>
  <c r="E299" i="2" s="1"/>
  <c r="G297" i="2"/>
  <c r="J297" i="2"/>
  <c r="K297" i="2" s="1"/>
  <c r="H294" i="2"/>
  <c r="I294" i="2" s="1"/>
  <c r="F299" i="2" l="1"/>
  <c r="A300" i="2"/>
  <c r="B299" i="2"/>
  <c r="C299" i="2" s="1"/>
  <c r="D299" i="2" s="1"/>
  <c r="H295" i="2"/>
  <c r="J298" i="2"/>
  <c r="K298" i="2" s="1"/>
  <c r="G298" i="2"/>
  <c r="H296" i="2" l="1"/>
  <c r="I295" i="2"/>
  <c r="E300" i="2" a="1"/>
  <c r="E300" i="2" s="1"/>
  <c r="F300" i="2"/>
  <c r="A301" i="2"/>
  <c r="B300" i="2"/>
  <c r="C300" i="2" s="1"/>
  <c r="D300" i="2" s="1"/>
  <c r="E301" i="2" s="1" a="1"/>
  <c r="E301" i="2" s="1"/>
  <c r="J299" i="2"/>
  <c r="K299" i="2" s="1"/>
  <c r="G299" i="2"/>
  <c r="A302" i="2" l="1"/>
  <c r="B301" i="2"/>
  <c r="C301" i="2" s="1"/>
  <c r="D301" i="2" s="1"/>
  <c r="F301" i="2"/>
  <c r="J300" i="2"/>
  <c r="K300" i="2" s="1"/>
  <c r="G300" i="2"/>
  <c r="E302" i="2" a="1"/>
  <c r="E302" i="2" s="1"/>
  <c r="H297" i="2"/>
  <c r="I297" i="2" s="1"/>
  <c r="I296" i="2"/>
  <c r="H298" i="2" l="1"/>
  <c r="I298" i="2" s="1"/>
  <c r="G301" i="2"/>
  <c r="J301" i="2"/>
  <c r="K301" i="2" s="1"/>
  <c r="F302" i="2"/>
  <c r="A303" i="2"/>
  <c r="B302" i="2"/>
  <c r="C302" i="2" s="1"/>
  <c r="D302" i="2" s="1"/>
  <c r="E303" i="2" l="1" a="1"/>
  <c r="E303" i="2" s="1"/>
  <c r="F303" i="2"/>
  <c r="A304" i="2"/>
  <c r="B303" i="2"/>
  <c r="C303" i="2" s="1"/>
  <c r="D303" i="2" s="1"/>
  <c r="G302" i="2"/>
  <c r="J302" i="2"/>
  <c r="K302" i="2" s="1"/>
  <c r="E304" i="2" a="1"/>
  <c r="E304" i="2" s="1"/>
  <c r="H299" i="2"/>
  <c r="H300" i="2" l="1"/>
  <c r="I300" i="2" s="1"/>
  <c r="J303" i="2"/>
  <c r="K303" i="2" s="1"/>
  <c r="G303" i="2"/>
  <c r="I299" i="2"/>
  <c r="A305" i="2"/>
  <c r="B304" i="2"/>
  <c r="C304" i="2" s="1"/>
  <c r="D304" i="2" s="1"/>
  <c r="F304" i="2"/>
  <c r="H301" i="2" l="1"/>
  <c r="I301" i="2" s="1"/>
  <c r="E305" i="2" a="1"/>
  <c r="E305" i="2" s="1"/>
  <c r="J304" i="2"/>
  <c r="K304" i="2" s="1"/>
  <c r="G304" i="2"/>
  <c r="A306" i="2"/>
  <c r="B305" i="2"/>
  <c r="C305" i="2" s="1"/>
  <c r="D305" i="2" s="1"/>
  <c r="F305" i="2"/>
  <c r="F306" i="2" l="1"/>
  <c r="B306" i="2"/>
  <c r="C306" i="2" s="1"/>
  <c r="D306" i="2" s="1"/>
  <c r="E307" i="2" s="1" a="1"/>
  <c r="E307" i="2" s="1"/>
  <c r="A307" i="2"/>
  <c r="E306" i="2" a="1"/>
  <c r="E306" i="2" s="1"/>
  <c r="H302" i="2"/>
  <c r="I302" i="2" s="1"/>
  <c r="J305" i="2"/>
  <c r="K305" i="2" s="1"/>
  <c r="G305" i="2"/>
  <c r="H303" i="2" l="1"/>
  <c r="A308" i="2"/>
  <c r="B307" i="2"/>
  <c r="C307" i="2" s="1"/>
  <c r="D307" i="2" s="1"/>
  <c r="F307" i="2"/>
  <c r="J306" i="2"/>
  <c r="K306" i="2" s="1"/>
  <c r="G306" i="2"/>
  <c r="H304" i="2" l="1"/>
  <c r="J307" i="2"/>
  <c r="K307" i="2" s="1"/>
  <c r="G307" i="2"/>
  <c r="I303" i="2"/>
  <c r="E308" i="2" a="1"/>
  <c r="E308" i="2" s="1"/>
  <c r="A309" i="2"/>
  <c r="B308" i="2"/>
  <c r="C308" i="2" s="1"/>
  <c r="D308" i="2" s="1"/>
  <c r="F308" i="2"/>
  <c r="H305" i="2" l="1"/>
  <c r="I305" i="2" s="1"/>
  <c r="I304" i="2"/>
  <c r="J308" i="2"/>
  <c r="K308" i="2" s="1"/>
  <c r="G308" i="2"/>
  <c r="F309" i="2"/>
  <c r="A310" i="2"/>
  <c r="B309" i="2"/>
  <c r="C309" i="2" s="1"/>
  <c r="D309" i="2" s="1"/>
  <c r="E310" i="2" a="1"/>
  <c r="E310" i="2" s="1"/>
  <c r="E309" i="2" a="1"/>
  <c r="E309" i="2" s="1"/>
  <c r="H306" i="2" l="1"/>
  <c r="I306" i="2" s="1"/>
  <c r="F310" i="2"/>
  <c r="A311" i="2"/>
  <c r="B310" i="2"/>
  <c r="C310" i="2" s="1"/>
  <c r="D310" i="2" s="1"/>
  <c r="J309" i="2"/>
  <c r="K309" i="2" s="1"/>
  <c r="G309" i="2"/>
  <c r="H307" i="2" l="1"/>
  <c r="I307" i="2" s="1"/>
  <c r="E311" i="2" a="1"/>
  <c r="E311" i="2" s="1"/>
  <c r="F311" i="2"/>
  <c r="A312" i="2"/>
  <c r="B311" i="2"/>
  <c r="C311" i="2" s="1"/>
  <c r="D311" i="2" s="1"/>
  <c r="J310" i="2"/>
  <c r="K310" i="2" s="1"/>
  <c r="G310" i="2"/>
  <c r="F312" i="2" l="1"/>
  <c r="A313" i="2"/>
  <c r="B312" i="2"/>
  <c r="C312" i="2" s="1"/>
  <c r="D312" i="2" s="1"/>
  <c r="J311" i="2"/>
  <c r="K311" i="2" s="1"/>
  <c r="G311" i="2"/>
  <c r="H308" i="2"/>
  <c r="I308" i="2" s="1"/>
  <c r="E312" i="2" a="1"/>
  <c r="E312" i="2" s="1"/>
  <c r="E313" i="2" l="1" a="1"/>
  <c r="E313" i="2" s="1"/>
  <c r="H309" i="2"/>
  <c r="I309" i="2" s="1"/>
  <c r="F313" i="2"/>
  <c r="A314" i="2"/>
  <c r="B313" i="2"/>
  <c r="C313" i="2" s="1"/>
  <c r="D313" i="2" s="1"/>
  <c r="J312" i="2"/>
  <c r="K312" i="2" s="1"/>
  <c r="G312" i="2"/>
  <c r="E314" i="2" l="1" a="1"/>
  <c r="E314" i="2" s="1"/>
  <c r="F314" i="2"/>
  <c r="A315" i="2"/>
  <c r="B314" i="2"/>
  <c r="C314" i="2" s="1"/>
  <c r="D314" i="2" s="1"/>
  <c r="G313" i="2"/>
  <c r="J313" i="2"/>
  <c r="K313" i="2" s="1"/>
  <c r="H310" i="2"/>
  <c r="E315" i="2" l="1" a="1"/>
  <c r="E315" i="2" s="1"/>
  <c r="F315" i="2"/>
  <c r="A316" i="2"/>
  <c r="B315" i="2"/>
  <c r="C315" i="2" s="1"/>
  <c r="D315" i="2" s="1"/>
  <c r="E316" i="2" s="1" a="1"/>
  <c r="E316" i="2" s="1"/>
  <c r="J314" i="2"/>
  <c r="K314" i="2" s="1"/>
  <c r="G314" i="2"/>
  <c r="H311" i="2"/>
  <c r="I311" i="2" s="1"/>
  <c r="I310" i="2"/>
  <c r="H312" i="2" l="1"/>
  <c r="F316" i="2"/>
  <c r="A317" i="2"/>
  <c r="B316" i="2"/>
  <c r="C316" i="2" s="1"/>
  <c r="D316" i="2" s="1"/>
  <c r="J315" i="2"/>
  <c r="K315" i="2" s="1"/>
  <c r="G315" i="2"/>
  <c r="H313" i="2" l="1"/>
  <c r="I313" i="2" s="1"/>
  <c r="I312" i="2"/>
  <c r="E317" i="2" a="1"/>
  <c r="E317" i="2" s="1"/>
  <c r="A318" i="2"/>
  <c r="B317" i="2"/>
  <c r="C317" i="2" s="1"/>
  <c r="D317" i="2" s="1"/>
  <c r="F317" i="2"/>
  <c r="J316" i="2"/>
  <c r="K316" i="2" s="1"/>
  <c r="G316" i="2"/>
  <c r="E318" i="2" l="1" a="1"/>
  <c r="E318" i="2" s="1"/>
  <c r="F318" i="2"/>
  <c r="A319" i="2"/>
  <c r="B318" i="2"/>
  <c r="C318" i="2" s="1"/>
  <c r="D318" i="2" s="1"/>
  <c r="H314" i="2"/>
  <c r="I314" i="2" s="1"/>
  <c r="G317" i="2"/>
  <c r="J317" i="2"/>
  <c r="K317" i="2" s="1"/>
  <c r="H315" i="2" l="1"/>
  <c r="I315" i="2" s="1"/>
  <c r="E319" i="2" a="1"/>
  <c r="E319" i="2" s="1"/>
  <c r="F319" i="2"/>
  <c r="A320" i="2"/>
  <c r="B319" i="2"/>
  <c r="C319" i="2" s="1"/>
  <c r="D319" i="2" s="1"/>
  <c r="G318" i="2"/>
  <c r="J318" i="2"/>
  <c r="K318" i="2" s="1"/>
  <c r="E320" i="2" a="1"/>
  <c r="E320" i="2" s="1"/>
  <c r="A321" i="2" l="1"/>
  <c r="B320" i="2"/>
  <c r="C320" i="2" s="1"/>
  <c r="D320" i="2" s="1"/>
  <c r="F320" i="2"/>
  <c r="H316" i="2"/>
  <c r="I316" i="2" s="1"/>
  <c r="J319" i="2"/>
  <c r="K319" i="2" s="1"/>
  <c r="G319" i="2"/>
  <c r="A322" i="2" l="1"/>
  <c r="B321" i="2"/>
  <c r="C321" i="2" s="1"/>
  <c r="D321" i="2" s="1"/>
  <c r="F321" i="2"/>
  <c r="H317" i="2"/>
  <c r="I317" i="2" s="1"/>
  <c r="E321" i="2" a="1"/>
  <c r="E321" i="2" s="1"/>
  <c r="G320" i="2"/>
  <c r="J320" i="2"/>
  <c r="K320" i="2" s="1"/>
  <c r="F322" i="2" l="1"/>
  <c r="A323" i="2"/>
  <c r="B322" i="2"/>
  <c r="C322" i="2" s="1"/>
  <c r="D322" i="2" s="1"/>
  <c r="H318" i="2"/>
  <c r="I318" i="2" s="1"/>
  <c r="J321" i="2"/>
  <c r="K321" i="2" s="1"/>
  <c r="G321" i="2"/>
  <c r="E322" i="2" a="1"/>
  <c r="E322" i="2" s="1"/>
  <c r="H319" i="2" l="1"/>
  <c r="I319" i="2" s="1"/>
  <c r="E323" i="2" a="1"/>
  <c r="E323" i="2" s="1"/>
  <c r="A324" i="2"/>
  <c r="B323" i="2"/>
  <c r="C323" i="2" s="1"/>
  <c r="D323" i="2" s="1"/>
  <c r="F323" i="2"/>
  <c r="J322" i="2"/>
  <c r="K322" i="2" s="1"/>
  <c r="G322" i="2"/>
  <c r="H320" i="2" l="1"/>
  <c r="I320" i="2" s="1"/>
  <c r="J323" i="2"/>
  <c r="K323" i="2" s="1"/>
  <c r="G323" i="2"/>
  <c r="A325" i="2"/>
  <c r="B324" i="2"/>
  <c r="C324" i="2" s="1"/>
  <c r="D324" i="2" s="1"/>
  <c r="F324" i="2"/>
  <c r="E324" i="2" a="1"/>
  <c r="E324" i="2" s="1"/>
  <c r="E325" i="2" l="1" a="1"/>
  <c r="E325" i="2" s="1"/>
  <c r="J324" i="2"/>
  <c r="K324" i="2" s="1"/>
  <c r="G324" i="2"/>
  <c r="F325" i="2"/>
  <c r="A326" i="2"/>
  <c r="B325" i="2"/>
  <c r="C325" i="2" s="1"/>
  <c r="D325" i="2" s="1"/>
  <c r="H321" i="2"/>
  <c r="I321" i="2" s="1"/>
  <c r="E326" i="2" a="1"/>
  <c r="E326" i="2" s="1"/>
  <c r="F326" i="2" l="1"/>
  <c r="A327" i="2"/>
  <c r="B326" i="2"/>
  <c r="C326" i="2" s="1"/>
  <c r="D326" i="2" s="1"/>
  <c r="J325" i="2"/>
  <c r="K325" i="2" s="1"/>
  <c r="G325" i="2"/>
  <c r="H322" i="2"/>
  <c r="H323" i="2" l="1"/>
  <c r="I322" i="2"/>
  <c r="E327" i="2" a="1"/>
  <c r="E327" i="2" s="1"/>
  <c r="F327" i="2"/>
  <c r="A328" i="2"/>
  <c r="B327" i="2"/>
  <c r="C327" i="2" s="1"/>
  <c r="D327" i="2" s="1"/>
  <c r="J326" i="2"/>
  <c r="K326" i="2" s="1"/>
  <c r="G326" i="2"/>
  <c r="E328" i="2" a="1"/>
  <c r="E328" i="2" s="1"/>
  <c r="H324" i="2" l="1"/>
  <c r="I323" i="2"/>
  <c r="F328" i="2"/>
  <c r="A329" i="2"/>
  <c r="B328" i="2"/>
  <c r="C328" i="2" s="1"/>
  <c r="D328" i="2" s="1"/>
  <c r="J327" i="2"/>
  <c r="K327" i="2" s="1"/>
  <c r="G327" i="2"/>
  <c r="E329" i="2" l="1" a="1"/>
  <c r="E329" i="2" s="1"/>
  <c r="F329" i="2"/>
  <c r="A330" i="2"/>
  <c r="B329" i="2"/>
  <c r="C329" i="2" s="1"/>
  <c r="D329" i="2" s="1"/>
  <c r="H325" i="2"/>
  <c r="I325" i="2" s="1"/>
  <c r="J328" i="2"/>
  <c r="K328" i="2" s="1"/>
  <c r="G328" i="2"/>
  <c r="I324" i="2"/>
  <c r="H326" i="2" l="1"/>
  <c r="E330" i="2" a="1"/>
  <c r="E330" i="2" s="1"/>
  <c r="F330" i="2"/>
  <c r="A331" i="2"/>
  <c r="B330" i="2"/>
  <c r="C330" i="2" s="1"/>
  <c r="D330" i="2" s="1"/>
  <c r="E331" i="2" s="1" a="1"/>
  <c r="E331" i="2" s="1"/>
  <c r="G329" i="2"/>
  <c r="J329" i="2"/>
  <c r="K329" i="2" s="1"/>
  <c r="H327" i="2" l="1"/>
  <c r="I327" i="2" s="1"/>
  <c r="I326" i="2"/>
  <c r="F331" i="2"/>
  <c r="A332" i="2"/>
  <c r="B331" i="2"/>
  <c r="C331" i="2" s="1"/>
  <c r="D331" i="2" s="1"/>
  <c r="J330" i="2"/>
  <c r="K330" i="2" s="1"/>
  <c r="G330" i="2"/>
  <c r="E332" i="2" l="1" a="1"/>
  <c r="E332" i="2" s="1"/>
  <c r="F332" i="2"/>
  <c r="A333" i="2"/>
  <c r="B332" i="2"/>
  <c r="C332" i="2" s="1"/>
  <c r="D332" i="2" s="1"/>
  <c r="J331" i="2"/>
  <c r="K331" i="2" s="1"/>
  <c r="G331" i="2"/>
  <c r="H328" i="2"/>
  <c r="I328" i="2" s="1"/>
  <c r="J332" i="2" l="1"/>
  <c r="K332" i="2" s="1"/>
  <c r="G332" i="2"/>
  <c r="E333" i="2" a="1"/>
  <c r="E333" i="2" s="1"/>
  <c r="H329" i="2"/>
  <c r="A334" i="2"/>
  <c r="B333" i="2"/>
  <c r="C333" i="2" s="1"/>
  <c r="D333" i="2" s="1"/>
  <c r="F333" i="2"/>
  <c r="E334" i="2" l="1" a="1"/>
  <c r="E334" i="2" s="1"/>
  <c r="G333" i="2"/>
  <c r="J333" i="2"/>
  <c r="K333" i="2" s="1"/>
  <c r="F334" i="2"/>
  <c r="A335" i="2"/>
  <c r="B334" i="2"/>
  <c r="C334" i="2" s="1"/>
  <c r="D334" i="2" s="1"/>
  <c r="E335" i="2" s="1" a="1"/>
  <c r="E335" i="2" s="1"/>
  <c r="H330" i="2"/>
  <c r="I330" i="2" s="1"/>
  <c r="I329" i="2"/>
  <c r="F335" i="2" l="1"/>
  <c r="A336" i="2"/>
  <c r="B335" i="2"/>
  <c r="C335" i="2" s="1"/>
  <c r="D335" i="2" s="1"/>
  <c r="G334" i="2"/>
  <c r="J334" i="2"/>
  <c r="K334" i="2" s="1"/>
  <c r="H331" i="2"/>
  <c r="H332" i="2" l="1"/>
  <c r="J335" i="2"/>
  <c r="K335" i="2" s="1"/>
  <c r="G335" i="2"/>
  <c r="I331" i="2"/>
  <c r="E336" i="2" a="1"/>
  <c r="E336" i="2" s="1"/>
  <c r="A337" i="2"/>
  <c r="B336" i="2"/>
  <c r="C336" i="2" s="1"/>
  <c r="D336" i="2" s="1"/>
  <c r="F336" i="2"/>
  <c r="A338" i="2" l="1"/>
  <c r="B337" i="2"/>
  <c r="C337" i="2" s="1"/>
  <c r="D337" i="2" s="1"/>
  <c r="E338" i="2" s="1" a="1"/>
  <c r="E338" i="2" s="1"/>
  <c r="F337" i="2"/>
  <c r="E337" i="2" a="1"/>
  <c r="E337" i="2" s="1"/>
  <c r="H333" i="2"/>
  <c r="I333" i="2" s="1"/>
  <c r="J336" i="2"/>
  <c r="K336" i="2" s="1"/>
  <c r="G336" i="2"/>
  <c r="I332" i="2"/>
  <c r="A339" i="2" l="1"/>
  <c r="B338" i="2"/>
  <c r="C338" i="2" s="1"/>
  <c r="D338" i="2" s="1"/>
  <c r="F338" i="2"/>
  <c r="H334" i="2"/>
  <c r="J337" i="2"/>
  <c r="K337" i="2" s="1"/>
  <c r="G337" i="2"/>
  <c r="J338" i="2" l="1"/>
  <c r="K338" i="2" s="1"/>
  <c r="G338" i="2"/>
  <c r="E339" i="2" a="1"/>
  <c r="E339" i="2" s="1"/>
  <c r="A340" i="2"/>
  <c r="B339" i="2"/>
  <c r="C339" i="2" s="1"/>
  <c r="D339" i="2" s="1"/>
  <c r="F339" i="2"/>
  <c r="H335" i="2"/>
  <c r="I334" i="2"/>
  <c r="A341" i="2" l="1"/>
  <c r="B340" i="2"/>
  <c r="C340" i="2" s="1"/>
  <c r="D340" i="2" s="1"/>
  <c r="F340" i="2"/>
  <c r="H336" i="2"/>
  <c r="I335" i="2"/>
  <c r="J339" i="2"/>
  <c r="K339" i="2" s="1"/>
  <c r="G339" i="2"/>
  <c r="E340" i="2" a="1"/>
  <c r="E340" i="2" s="1"/>
  <c r="F341" i="2" l="1"/>
  <c r="A342" i="2"/>
  <c r="B341" i="2"/>
  <c r="C341" i="2" s="1"/>
  <c r="D341" i="2" s="1"/>
  <c r="H337" i="2"/>
  <c r="I337" i="2" s="1"/>
  <c r="I336" i="2"/>
  <c r="J340" i="2"/>
  <c r="K340" i="2" s="1"/>
  <c r="G340" i="2"/>
  <c r="E341" i="2" a="1"/>
  <c r="E341" i="2" s="1"/>
  <c r="E342" i="2" l="1" a="1"/>
  <c r="E342" i="2" s="1"/>
  <c r="F342" i="2"/>
  <c r="A343" i="2"/>
  <c r="B342" i="2"/>
  <c r="C342" i="2" s="1"/>
  <c r="D342" i="2" s="1"/>
  <c r="J341" i="2"/>
  <c r="K341" i="2" s="1"/>
  <c r="G341" i="2"/>
  <c r="H338" i="2"/>
  <c r="H339" i="2" l="1"/>
  <c r="E343" i="2" a="1"/>
  <c r="E343" i="2" s="1"/>
  <c r="I338" i="2"/>
  <c r="F343" i="2"/>
  <c r="A344" i="2"/>
  <c r="B343" i="2"/>
  <c r="C343" i="2" s="1"/>
  <c r="D343" i="2" s="1"/>
  <c r="J342" i="2"/>
  <c r="K342" i="2" s="1"/>
  <c r="G342" i="2"/>
  <c r="F344" i="2" l="1"/>
  <c r="A345" i="2"/>
  <c r="B344" i="2"/>
  <c r="C344" i="2" s="1"/>
  <c r="D344" i="2" s="1"/>
  <c r="E344" i="2" a="1"/>
  <c r="E344" i="2" s="1"/>
  <c r="J343" i="2"/>
  <c r="K343" i="2" s="1"/>
  <c r="G343" i="2"/>
  <c r="H340" i="2"/>
  <c r="I339" i="2"/>
  <c r="E345" i="2" l="1" a="1"/>
  <c r="E345" i="2" s="1"/>
  <c r="F345" i="2"/>
  <c r="A346" i="2"/>
  <c r="B345" i="2"/>
  <c r="C345" i="2" s="1"/>
  <c r="D345" i="2" s="1"/>
  <c r="J344" i="2"/>
  <c r="K344" i="2" s="1"/>
  <c r="G344" i="2"/>
  <c r="H341" i="2"/>
  <c r="I340" i="2"/>
  <c r="E346" i="2" l="1" a="1"/>
  <c r="E346" i="2" s="1"/>
  <c r="H342" i="2"/>
  <c r="I342" i="2" s="1"/>
  <c r="I341" i="2"/>
  <c r="F346" i="2"/>
  <c r="A347" i="2"/>
  <c r="B346" i="2"/>
  <c r="C346" i="2" s="1"/>
  <c r="D346" i="2" s="1"/>
  <c r="E347" i="2" s="1" a="1"/>
  <c r="E347" i="2" s="1"/>
  <c r="J345" i="2"/>
  <c r="K345" i="2" s="1"/>
  <c r="G345" i="2"/>
  <c r="F347" i="2" l="1"/>
  <c r="A348" i="2"/>
  <c r="B347" i="2"/>
  <c r="C347" i="2" s="1"/>
  <c r="D347" i="2" s="1"/>
  <c r="J346" i="2"/>
  <c r="K346" i="2" s="1"/>
  <c r="G346" i="2"/>
  <c r="H343" i="2"/>
  <c r="I343" i="2" s="1"/>
  <c r="E348" i="2" l="1" a="1"/>
  <c r="E348" i="2" s="1"/>
  <c r="H344" i="2"/>
  <c r="F348" i="2"/>
  <c r="A349" i="2"/>
  <c r="B348" i="2"/>
  <c r="C348" i="2" s="1"/>
  <c r="D348" i="2" s="1"/>
  <c r="J347" i="2"/>
  <c r="K347" i="2" s="1"/>
  <c r="G347" i="2"/>
  <c r="H345" i="2" l="1"/>
  <c r="I345" i="2" s="1"/>
  <c r="G348" i="2"/>
  <c r="J348" i="2"/>
  <c r="K348" i="2" s="1"/>
  <c r="I344" i="2"/>
  <c r="F349" i="2"/>
  <c r="A350" i="2"/>
  <c r="B349" i="2"/>
  <c r="C349" i="2" s="1"/>
  <c r="D349" i="2" s="1"/>
  <c r="E350" i="2" s="1" a="1"/>
  <c r="E350" i="2" s="1"/>
  <c r="E349" i="2" a="1"/>
  <c r="E349" i="2" s="1"/>
  <c r="F350" i="2" l="1"/>
  <c r="A351" i="2"/>
  <c r="B350" i="2"/>
  <c r="C350" i="2" s="1"/>
  <c r="D350" i="2" s="1"/>
  <c r="G349" i="2"/>
  <c r="J349" i="2"/>
  <c r="K349" i="2" s="1"/>
  <c r="H346" i="2"/>
  <c r="H347" i="2" l="1"/>
  <c r="I347" i="2" s="1"/>
  <c r="I346" i="2"/>
  <c r="E351" i="2" a="1"/>
  <c r="E351" i="2" s="1"/>
  <c r="F351" i="2"/>
  <c r="A352" i="2"/>
  <c r="B351" i="2"/>
  <c r="C351" i="2" s="1"/>
  <c r="D351" i="2" s="1"/>
  <c r="G350" i="2"/>
  <c r="J350" i="2"/>
  <c r="K350" i="2" s="1"/>
  <c r="A353" i="2" l="1"/>
  <c r="B352" i="2"/>
  <c r="C352" i="2" s="1"/>
  <c r="D352" i="2" s="1"/>
  <c r="F352" i="2"/>
  <c r="E353" i="2" a="1"/>
  <c r="E353" i="2" s="1"/>
  <c r="J351" i="2"/>
  <c r="K351" i="2" s="1"/>
  <c r="G351" i="2"/>
  <c r="H348" i="2"/>
  <c r="I348" i="2" s="1"/>
  <c r="E352" i="2" a="1"/>
  <c r="E352" i="2" s="1"/>
  <c r="A354" i="2" l="1"/>
  <c r="B353" i="2"/>
  <c r="C353" i="2" s="1"/>
  <c r="D353" i="2" s="1"/>
  <c r="F353" i="2"/>
  <c r="H349" i="2"/>
  <c r="I349" i="2" s="1"/>
  <c r="J352" i="2"/>
  <c r="K352" i="2" s="1"/>
  <c r="G352" i="2"/>
  <c r="A355" i="2" l="1"/>
  <c r="B354" i="2"/>
  <c r="C354" i="2" s="1"/>
  <c r="D354" i="2" s="1"/>
  <c r="F354" i="2"/>
  <c r="E354" i="2" a="1"/>
  <c r="E354" i="2" s="1"/>
  <c r="J353" i="2"/>
  <c r="K353" i="2" s="1"/>
  <c r="G353" i="2"/>
  <c r="H350" i="2"/>
  <c r="I350" i="2" s="1"/>
  <c r="E355" i="2" l="1" a="1"/>
  <c r="E355" i="2" s="1"/>
  <c r="J354" i="2"/>
  <c r="K354" i="2" s="1"/>
  <c r="G354" i="2"/>
  <c r="A356" i="2"/>
  <c r="B355" i="2"/>
  <c r="C355" i="2" s="1"/>
  <c r="D355" i="2" s="1"/>
  <c r="E356" i="2" s="1" a="1"/>
  <c r="E356" i="2" s="1"/>
  <c r="F355" i="2"/>
  <c r="H351" i="2"/>
  <c r="I351" i="2" s="1"/>
  <c r="J355" i="2" l="1"/>
  <c r="K355" i="2" s="1"/>
  <c r="G355" i="2"/>
  <c r="A357" i="2"/>
  <c r="B356" i="2"/>
  <c r="C356" i="2" s="1"/>
  <c r="D356" i="2" s="1"/>
  <c r="F356" i="2"/>
  <c r="H352" i="2"/>
  <c r="I352" i="2" s="1"/>
  <c r="H353" i="2" l="1"/>
  <c r="I353" i="2" s="1"/>
  <c r="F357" i="2"/>
  <c r="A358" i="2"/>
  <c r="B357" i="2"/>
  <c r="C357" i="2" s="1"/>
  <c r="D357" i="2" s="1"/>
  <c r="E357" i="2" a="1"/>
  <c r="E357" i="2" s="1"/>
  <c r="J356" i="2"/>
  <c r="K356" i="2" s="1"/>
  <c r="G356" i="2"/>
  <c r="E358" i="2" l="1" a="1"/>
  <c r="E358" i="2" s="1"/>
  <c r="F358" i="2"/>
  <c r="A359" i="2"/>
  <c r="B358" i="2"/>
  <c r="C358" i="2" s="1"/>
  <c r="D358" i="2" s="1"/>
  <c r="J357" i="2"/>
  <c r="K357" i="2" s="1"/>
  <c r="G357" i="2"/>
  <c r="H354" i="2"/>
  <c r="I354" i="2" s="1"/>
  <c r="E359" i="2" l="1" a="1"/>
  <c r="E359" i="2" s="1"/>
  <c r="F359" i="2"/>
  <c r="A360" i="2"/>
  <c r="B359" i="2"/>
  <c r="C359" i="2" s="1"/>
  <c r="D359" i="2" s="1"/>
  <c r="J358" i="2"/>
  <c r="K358" i="2" s="1"/>
  <c r="G358" i="2"/>
  <c r="H355" i="2"/>
  <c r="I355" i="2" s="1"/>
  <c r="E360" i="2" l="1" a="1"/>
  <c r="E360" i="2" s="1"/>
  <c r="H356" i="2"/>
  <c r="F360" i="2"/>
  <c r="A361" i="2"/>
  <c r="B360" i="2"/>
  <c r="C360" i="2" s="1"/>
  <c r="D360" i="2" s="1"/>
  <c r="J359" i="2"/>
  <c r="K359" i="2" s="1"/>
  <c r="G359" i="2"/>
  <c r="E361" i="2" l="1" a="1"/>
  <c r="E361" i="2" s="1"/>
  <c r="F361" i="2"/>
  <c r="A362" i="2"/>
  <c r="B361" i="2"/>
  <c r="C361" i="2" s="1"/>
  <c r="D361" i="2" s="1"/>
  <c r="E362" i="2" s="1" a="1"/>
  <c r="E362" i="2" s="1"/>
  <c r="J360" i="2"/>
  <c r="K360" i="2" s="1"/>
  <c r="G360" i="2"/>
  <c r="H357" i="2"/>
  <c r="I357" i="2" s="1"/>
  <c r="I356" i="2"/>
  <c r="F362" i="2" l="1"/>
  <c r="A363" i="2"/>
  <c r="B362" i="2"/>
  <c r="C362" i="2" s="1"/>
  <c r="D362" i="2" s="1"/>
  <c r="J361" i="2"/>
  <c r="K361" i="2" s="1"/>
  <c r="G361" i="2"/>
  <c r="H358" i="2"/>
  <c r="I358" i="2" s="1"/>
  <c r="F363" i="2" l="1"/>
  <c r="A364" i="2"/>
  <c r="B363" i="2"/>
  <c r="C363" i="2" s="1"/>
  <c r="D363" i="2" s="1"/>
  <c r="J362" i="2"/>
  <c r="K362" i="2" s="1"/>
  <c r="G362" i="2"/>
  <c r="H359" i="2"/>
  <c r="I359" i="2" s="1"/>
  <c r="E363" i="2" a="1"/>
  <c r="E363" i="2" s="1"/>
  <c r="H360" i="2" l="1"/>
  <c r="E364" i="2" a="1"/>
  <c r="E364" i="2" s="1"/>
  <c r="F364" i="2"/>
  <c r="A365" i="2"/>
  <c r="B364" i="2"/>
  <c r="C364" i="2" s="1"/>
  <c r="D364" i="2" s="1"/>
  <c r="J363" i="2"/>
  <c r="K363" i="2" s="1"/>
  <c r="G363" i="2"/>
  <c r="H361" i="2" l="1"/>
  <c r="I361" i="2" s="1"/>
  <c r="I360" i="2"/>
  <c r="E365" i="2" a="1"/>
  <c r="E365" i="2" s="1"/>
  <c r="F365" i="2"/>
  <c r="A366" i="2"/>
  <c r="B365" i="2"/>
  <c r="C365" i="2" s="1"/>
  <c r="D365" i="2" s="1"/>
  <c r="G364" i="2"/>
  <c r="J364" i="2"/>
  <c r="K364" i="2" s="1"/>
  <c r="E366" i="2" l="1" a="1"/>
  <c r="E366" i="2" s="1"/>
  <c r="F366" i="2"/>
  <c r="A367" i="2"/>
  <c r="B366" i="2"/>
  <c r="C366" i="2" s="1"/>
  <c r="D366" i="2" s="1"/>
  <c r="G365" i="2"/>
  <c r="J365" i="2"/>
  <c r="K365" i="2" s="1"/>
  <c r="H362" i="2"/>
  <c r="G366" i="2" l="1"/>
  <c r="J366" i="2"/>
  <c r="K366" i="2" s="1"/>
  <c r="F367" i="2"/>
  <c r="A368" i="2"/>
  <c r="B367" i="2"/>
  <c r="C367" i="2" s="1"/>
  <c r="D367" i="2" s="1"/>
  <c r="H363" i="2"/>
  <c r="I363" i="2" s="1"/>
  <c r="I362" i="2"/>
  <c r="E367" i="2" a="1"/>
  <c r="E367" i="2" s="1"/>
  <c r="E368" i="2" l="1" a="1"/>
  <c r="E368" i="2" s="1"/>
  <c r="A369" i="2"/>
  <c r="B368" i="2"/>
  <c r="C368" i="2" s="1"/>
  <c r="D368" i="2" s="1"/>
  <c r="F368" i="2"/>
  <c r="J367" i="2"/>
  <c r="K367" i="2" s="1"/>
  <c r="G367" i="2"/>
  <c r="H364" i="2"/>
  <c r="I364" i="2" s="1"/>
  <c r="E369" i="2" a="1"/>
  <c r="E369" i="2" s="1"/>
  <c r="J368" i="2" l="1"/>
  <c r="K368" i="2" s="1"/>
  <c r="G368" i="2"/>
  <c r="A370" i="2"/>
  <c r="B369" i="2"/>
  <c r="C369" i="2" s="1"/>
  <c r="D369" i="2" s="1"/>
  <c r="F369" i="2"/>
  <c r="H365" i="2"/>
  <c r="I365" i="2" s="1"/>
  <c r="H366" i="2" l="1"/>
  <c r="I366" i="2" s="1"/>
  <c r="J369" i="2"/>
  <c r="K369" i="2" s="1"/>
  <c r="G369" i="2"/>
  <c r="E370" i="2" a="1"/>
  <c r="E370" i="2" s="1"/>
  <c r="A371" i="2"/>
  <c r="B370" i="2"/>
  <c r="C370" i="2" s="1"/>
  <c r="D370" i="2" s="1"/>
  <c r="F370" i="2"/>
  <c r="A372" i="2" l="1"/>
  <c r="B371" i="2"/>
  <c r="C371" i="2" s="1"/>
  <c r="D371" i="2" s="1"/>
  <c r="E372" i="2" s="1" a="1"/>
  <c r="E372" i="2" s="1"/>
  <c r="F371" i="2"/>
  <c r="E371" i="2" a="1"/>
  <c r="E371" i="2" s="1"/>
  <c r="J370" i="2"/>
  <c r="K370" i="2" s="1"/>
  <c r="G370" i="2"/>
  <c r="H367" i="2"/>
  <c r="J371" i="2" l="1"/>
  <c r="K371" i="2" s="1"/>
  <c r="G371" i="2"/>
  <c r="H368" i="2"/>
  <c r="A373" i="2"/>
  <c r="B372" i="2"/>
  <c r="C372" i="2" s="1"/>
  <c r="D372" i="2" s="1"/>
  <c r="F372" i="2"/>
  <c r="I367" i="2"/>
  <c r="J372" i="2" l="1"/>
  <c r="K372" i="2" s="1"/>
  <c r="G372" i="2"/>
  <c r="E373" i="2" a="1"/>
  <c r="E373" i="2" s="1"/>
  <c r="F373" i="2"/>
  <c r="A374" i="2"/>
  <c r="B373" i="2"/>
  <c r="C373" i="2" s="1"/>
  <c r="D373" i="2" s="1"/>
  <c r="H369" i="2"/>
  <c r="I369" i="2" s="1"/>
  <c r="I368" i="2"/>
  <c r="H370" i="2" l="1"/>
  <c r="J373" i="2"/>
  <c r="K373" i="2" s="1"/>
  <c r="G373" i="2"/>
  <c r="F374" i="2"/>
  <c r="A375" i="2"/>
  <c r="B374" i="2"/>
  <c r="C374" i="2" s="1"/>
  <c r="D374" i="2" s="1"/>
  <c r="E375" i="2" s="1" a="1"/>
  <c r="E375" i="2" s="1"/>
  <c r="E374" i="2" a="1"/>
  <c r="E374" i="2" s="1"/>
  <c r="F375" i="2" l="1"/>
  <c r="A376" i="2"/>
  <c r="B375" i="2"/>
  <c r="C375" i="2" s="1"/>
  <c r="D375" i="2" s="1"/>
  <c r="J374" i="2"/>
  <c r="K374" i="2" s="1"/>
  <c r="G374" i="2"/>
  <c r="E376" i="2" a="1"/>
  <c r="E376" i="2" s="1"/>
  <c r="H371" i="2"/>
  <c r="I371" i="2" s="1"/>
  <c r="I370" i="2"/>
  <c r="H372" i="2" l="1"/>
  <c r="F376" i="2"/>
  <c r="A377" i="2"/>
  <c r="B376" i="2"/>
  <c r="C376" i="2" s="1"/>
  <c r="D376" i="2" s="1"/>
  <c r="E377" i="2" s="1" a="1"/>
  <c r="E377" i="2" s="1"/>
  <c r="J375" i="2"/>
  <c r="K375" i="2" s="1"/>
  <c r="G375" i="2"/>
  <c r="H373" i="2" l="1"/>
  <c r="I372" i="2"/>
  <c r="F377" i="2"/>
  <c r="A378" i="2"/>
  <c r="B377" i="2"/>
  <c r="C377" i="2" s="1"/>
  <c r="D377" i="2" s="1"/>
  <c r="J376" i="2"/>
  <c r="K376" i="2" s="1"/>
  <c r="G376" i="2"/>
  <c r="F378" i="2" l="1"/>
  <c r="A379" i="2"/>
  <c r="B378" i="2"/>
  <c r="C378" i="2" s="1"/>
  <c r="D378" i="2" s="1"/>
  <c r="E378" i="2" a="1"/>
  <c r="E378" i="2" s="1"/>
  <c r="H374" i="2"/>
  <c r="I373" i="2"/>
  <c r="J377" i="2"/>
  <c r="K377" i="2" s="1"/>
  <c r="G377" i="2"/>
  <c r="F379" i="2" l="1"/>
  <c r="A380" i="2"/>
  <c r="B379" i="2"/>
  <c r="C379" i="2" s="1"/>
  <c r="D379" i="2" s="1"/>
  <c r="J378" i="2"/>
  <c r="K378" i="2" s="1"/>
  <c r="G378" i="2"/>
  <c r="H375" i="2"/>
  <c r="I374" i="2"/>
  <c r="E379" i="2" a="1"/>
  <c r="E379" i="2" s="1"/>
  <c r="E380" i="2" l="1" a="1"/>
  <c r="E380" i="2" s="1"/>
  <c r="F380" i="2"/>
  <c r="A381" i="2"/>
  <c r="B380" i="2"/>
  <c r="C380" i="2" s="1"/>
  <c r="D380" i="2" s="1"/>
  <c r="J379" i="2"/>
  <c r="K379" i="2" s="1"/>
  <c r="G379" i="2"/>
  <c r="H376" i="2"/>
  <c r="I376" i="2" s="1"/>
  <c r="I375" i="2"/>
  <c r="H377" i="2" l="1"/>
  <c r="I377" i="2" s="1"/>
  <c r="F381" i="2"/>
  <c r="A382" i="2"/>
  <c r="B381" i="2"/>
  <c r="C381" i="2" s="1"/>
  <c r="D381" i="2" s="1"/>
  <c r="G380" i="2"/>
  <c r="J380" i="2"/>
  <c r="K380" i="2" s="1"/>
  <c r="E381" i="2" a="1"/>
  <c r="E381" i="2" s="1"/>
  <c r="F382" i="2" l="1"/>
  <c r="A383" i="2"/>
  <c r="B382" i="2"/>
  <c r="C382" i="2" s="1"/>
  <c r="D382" i="2" s="1"/>
  <c r="G381" i="2"/>
  <c r="J381" i="2"/>
  <c r="K381" i="2" s="1"/>
  <c r="E382" i="2" a="1"/>
  <c r="E382" i="2" s="1"/>
  <c r="H378" i="2"/>
  <c r="I378" i="2" s="1"/>
  <c r="H379" i="2" l="1"/>
  <c r="I379" i="2" s="1"/>
  <c r="E383" i="2" a="1"/>
  <c r="E383" i="2" s="1"/>
  <c r="F383" i="2"/>
  <c r="A384" i="2"/>
  <c r="B383" i="2"/>
  <c r="C383" i="2" s="1"/>
  <c r="D383" i="2" s="1"/>
  <c r="G382" i="2"/>
  <c r="J382" i="2"/>
  <c r="K382" i="2" s="1"/>
  <c r="H380" i="2" l="1"/>
  <c r="A385" i="2"/>
  <c r="B384" i="2"/>
  <c r="C384" i="2" s="1"/>
  <c r="D384" i="2" s="1"/>
  <c r="F384" i="2"/>
  <c r="J383" i="2"/>
  <c r="K383" i="2" s="1"/>
  <c r="G383" i="2"/>
  <c r="E384" i="2" a="1"/>
  <c r="E384" i="2" s="1"/>
  <c r="A386" i="2" l="1"/>
  <c r="B385" i="2"/>
  <c r="C385" i="2" s="1"/>
  <c r="D385" i="2" s="1"/>
  <c r="E386" i="2" s="1" a="1"/>
  <c r="E386" i="2" s="1"/>
  <c r="F385" i="2"/>
  <c r="H381" i="2"/>
  <c r="I381" i="2" s="1"/>
  <c r="I380" i="2"/>
  <c r="E385" i="2" a="1"/>
  <c r="E385" i="2" s="1"/>
  <c r="J384" i="2"/>
  <c r="K384" i="2" s="1"/>
  <c r="G384" i="2"/>
  <c r="H382" i="2" l="1"/>
  <c r="J385" i="2"/>
  <c r="K385" i="2" s="1"/>
  <c r="G385" i="2"/>
  <c r="A387" i="2"/>
  <c r="B386" i="2"/>
  <c r="C386" i="2" s="1"/>
  <c r="D386" i="2" s="1"/>
  <c r="F386" i="2"/>
  <c r="E387" i="2" l="1" a="1"/>
  <c r="E387" i="2" s="1"/>
  <c r="A388" i="2"/>
  <c r="B387" i="2"/>
  <c r="C387" i="2" s="1"/>
  <c r="D387" i="2" s="1"/>
  <c r="F387" i="2"/>
  <c r="J386" i="2"/>
  <c r="K386" i="2" s="1"/>
  <c r="G386" i="2"/>
  <c r="H383" i="2"/>
  <c r="I382" i="2"/>
  <c r="J387" i="2" l="1"/>
  <c r="K387" i="2" s="1"/>
  <c r="G387" i="2"/>
  <c r="H384" i="2"/>
  <c r="I383" i="2"/>
  <c r="E388" i="2" a="1"/>
  <c r="E388" i="2" s="1"/>
  <c r="A389" i="2"/>
  <c r="B388" i="2"/>
  <c r="C388" i="2" s="1"/>
  <c r="D388" i="2" s="1"/>
  <c r="F388" i="2"/>
  <c r="H385" i="2" l="1"/>
  <c r="J388" i="2"/>
  <c r="K388" i="2" s="1"/>
  <c r="G388" i="2"/>
  <c r="I384" i="2"/>
  <c r="F389" i="2"/>
  <c r="A390" i="2"/>
  <c r="B389" i="2"/>
  <c r="C389" i="2" s="1"/>
  <c r="D389" i="2" s="1"/>
  <c r="E389" i="2" a="1"/>
  <c r="E389" i="2" s="1"/>
  <c r="E390" i="2" l="1" a="1"/>
  <c r="E390" i="2" s="1"/>
  <c r="F390" i="2"/>
  <c r="A391" i="2"/>
  <c r="B390" i="2"/>
  <c r="C390" i="2" s="1"/>
  <c r="D390" i="2" s="1"/>
  <c r="J389" i="2"/>
  <c r="K389" i="2" s="1"/>
  <c r="G389" i="2"/>
  <c r="H386" i="2"/>
  <c r="I386" i="2" s="1"/>
  <c r="I385" i="2"/>
  <c r="F391" i="2" l="1"/>
  <c r="A392" i="2"/>
  <c r="B391" i="2"/>
  <c r="C391" i="2" s="1"/>
  <c r="D391" i="2" s="1"/>
  <c r="H387" i="2"/>
  <c r="I387" i="2" s="1"/>
  <c r="J390" i="2"/>
  <c r="K390" i="2" s="1"/>
  <c r="G390" i="2"/>
  <c r="E392" i="2" a="1"/>
  <c r="E392" i="2" s="1"/>
  <c r="E391" i="2" a="1"/>
  <c r="E391" i="2" s="1"/>
  <c r="H388" i="2" l="1"/>
  <c r="F392" i="2"/>
  <c r="A393" i="2"/>
  <c r="B392" i="2"/>
  <c r="C392" i="2" s="1"/>
  <c r="D392" i="2" s="1"/>
  <c r="J391" i="2"/>
  <c r="K391" i="2" s="1"/>
  <c r="G391" i="2"/>
  <c r="E393" i="2" l="1" a="1"/>
  <c r="E393" i="2" s="1"/>
  <c r="F393" i="2"/>
  <c r="A394" i="2"/>
  <c r="B393" i="2"/>
  <c r="C393" i="2" s="1"/>
  <c r="D393" i="2" s="1"/>
  <c r="J392" i="2"/>
  <c r="K392" i="2" s="1"/>
  <c r="G392" i="2"/>
  <c r="H389" i="2"/>
  <c r="I389" i="2" s="1"/>
  <c r="I388" i="2"/>
  <c r="E394" i="2" a="1"/>
  <c r="E394" i="2" s="1"/>
  <c r="F394" i="2" l="1"/>
  <c r="A395" i="2"/>
  <c r="B394" i="2"/>
  <c r="C394" i="2" s="1"/>
  <c r="D394" i="2" s="1"/>
  <c r="J393" i="2"/>
  <c r="K393" i="2" s="1"/>
  <c r="G393" i="2"/>
  <c r="H390" i="2"/>
  <c r="I390" i="2" s="1"/>
  <c r="H391" i="2" l="1"/>
  <c r="E395" i="2" a="1"/>
  <c r="E395" i="2" s="1"/>
  <c r="F395" i="2"/>
  <c r="A396" i="2"/>
  <c r="B395" i="2"/>
  <c r="C395" i="2" s="1"/>
  <c r="D395" i="2" s="1"/>
  <c r="J394" i="2"/>
  <c r="K394" i="2" s="1"/>
  <c r="G394" i="2"/>
  <c r="H392" i="2" l="1"/>
  <c r="I391" i="2"/>
  <c r="F396" i="2"/>
  <c r="A397" i="2"/>
  <c r="B396" i="2"/>
  <c r="C396" i="2" s="1"/>
  <c r="D396" i="2" s="1"/>
  <c r="J395" i="2"/>
  <c r="K395" i="2" s="1"/>
  <c r="G395" i="2"/>
  <c r="E396" i="2" a="1"/>
  <c r="E396" i="2" s="1"/>
  <c r="E397" i="2" l="1" a="1"/>
  <c r="E397" i="2" s="1"/>
  <c r="H393" i="2"/>
  <c r="I392" i="2"/>
  <c r="F397" i="2"/>
  <c r="A398" i="2"/>
  <c r="B397" i="2"/>
  <c r="C397" i="2" s="1"/>
  <c r="D397" i="2" s="1"/>
  <c r="G396" i="2"/>
  <c r="J396" i="2"/>
  <c r="K396" i="2" s="1"/>
  <c r="G397" i="2" l="1"/>
  <c r="J397" i="2"/>
  <c r="K397" i="2" s="1"/>
  <c r="F398" i="2"/>
  <c r="A399" i="2"/>
  <c r="B398" i="2"/>
  <c r="C398" i="2" s="1"/>
  <c r="D398" i="2" s="1"/>
  <c r="E399" i="2" s="1" a="1"/>
  <c r="E399" i="2" s="1"/>
  <c r="H394" i="2"/>
  <c r="I394" i="2" s="1"/>
  <c r="I393" i="2"/>
  <c r="E398" i="2" a="1"/>
  <c r="E398" i="2" s="1"/>
  <c r="H395" i="2" l="1"/>
  <c r="I395" i="2" s="1"/>
  <c r="F399" i="2"/>
  <c r="A400" i="2"/>
  <c r="B399" i="2"/>
  <c r="C399" i="2" s="1"/>
  <c r="D399" i="2" s="1"/>
  <c r="E400" i="2" s="1" a="1"/>
  <c r="E400" i="2" s="1"/>
  <c r="G398" i="2"/>
  <c r="J398" i="2"/>
  <c r="K398" i="2" s="1"/>
  <c r="H396" i="2" l="1"/>
  <c r="I396" i="2" s="1"/>
  <c r="J399" i="2"/>
  <c r="K399" i="2" s="1"/>
  <c r="G399" i="2"/>
  <c r="A401" i="2"/>
  <c r="B400" i="2"/>
  <c r="C400" i="2" s="1"/>
  <c r="D400" i="2" s="1"/>
  <c r="F400" i="2"/>
  <c r="A402" i="2" l="1"/>
  <c r="B401" i="2"/>
  <c r="C401" i="2" s="1"/>
  <c r="D401" i="2" s="1"/>
  <c r="F401" i="2"/>
  <c r="H397" i="2"/>
  <c r="I397" i="2" s="1"/>
  <c r="J400" i="2"/>
  <c r="K400" i="2" s="1"/>
  <c r="G400" i="2"/>
  <c r="E401" i="2" a="1"/>
  <c r="E401" i="2" s="1"/>
  <c r="H398" i="2" l="1"/>
  <c r="J401" i="2"/>
  <c r="K401" i="2" s="1"/>
  <c r="G401" i="2"/>
  <c r="E402" i="2" a="1"/>
  <c r="E402" i="2" s="1"/>
  <c r="A403" i="2"/>
  <c r="B402" i="2"/>
  <c r="C402" i="2" s="1"/>
  <c r="D402" i="2" s="1"/>
  <c r="F402" i="2"/>
  <c r="J402" i="2" l="1"/>
  <c r="K402" i="2" s="1"/>
  <c r="G402" i="2"/>
  <c r="E403" i="2" a="1"/>
  <c r="E403" i="2" s="1"/>
  <c r="A404" i="2"/>
  <c r="B403" i="2"/>
  <c r="C403" i="2" s="1"/>
  <c r="D403" i="2" s="1"/>
  <c r="F403" i="2"/>
  <c r="H399" i="2"/>
  <c r="I399" i="2" s="1"/>
  <c r="I398" i="2"/>
  <c r="E404" i="2" a="1"/>
  <c r="E404" i="2" s="1"/>
  <c r="J403" i="2" l="1"/>
  <c r="K403" i="2" s="1"/>
  <c r="G403" i="2"/>
  <c r="H400" i="2"/>
  <c r="I400" i="2" s="1"/>
  <c r="A405" i="2"/>
  <c r="B404" i="2"/>
  <c r="C404" i="2" s="1"/>
  <c r="D404" i="2" s="1"/>
  <c r="F404" i="2"/>
  <c r="H401" i="2" l="1"/>
  <c r="J404" i="2"/>
  <c r="K404" i="2" s="1"/>
  <c r="G404" i="2"/>
  <c r="E405" i="2" a="1"/>
  <c r="E405" i="2" s="1"/>
  <c r="F405" i="2"/>
  <c r="A406" i="2"/>
  <c r="B405" i="2"/>
  <c r="C405" i="2" s="1"/>
  <c r="D405" i="2" s="1"/>
  <c r="F406" i="2" l="1"/>
  <c r="A407" i="2"/>
  <c r="B406" i="2"/>
  <c r="C406" i="2" s="1"/>
  <c r="D406" i="2" s="1"/>
  <c r="E407" i="2" s="1" a="1"/>
  <c r="E407" i="2" s="1"/>
  <c r="J405" i="2"/>
  <c r="K405" i="2" s="1"/>
  <c r="G405" i="2"/>
  <c r="H402" i="2"/>
  <c r="I401" i="2"/>
  <c r="E406" i="2" a="1"/>
  <c r="E406" i="2" s="1"/>
  <c r="F407" i="2" l="1"/>
  <c r="A408" i="2"/>
  <c r="B407" i="2"/>
  <c r="C407" i="2" s="1"/>
  <c r="D407" i="2" s="1"/>
  <c r="J406" i="2"/>
  <c r="K406" i="2" s="1"/>
  <c r="G406" i="2"/>
  <c r="H403" i="2"/>
  <c r="I402" i="2"/>
  <c r="H404" i="2" l="1"/>
  <c r="I404" i="2" s="1"/>
  <c r="I403" i="2"/>
  <c r="E408" i="2" a="1"/>
  <c r="E408" i="2" s="1"/>
  <c r="F408" i="2"/>
  <c r="A409" i="2"/>
  <c r="B408" i="2"/>
  <c r="C408" i="2" s="1"/>
  <c r="D408" i="2" s="1"/>
  <c r="J407" i="2"/>
  <c r="K407" i="2" s="1"/>
  <c r="G407" i="2"/>
  <c r="F409" i="2" l="1"/>
  <c r="A410" i="2"/>
  <c r="B409" i="2"/>
  <c r="C409" i="2" s="1"/>
  <c r="D409" i="2" s="1"/>
  <c r="E409" i="2" a="1"/>
  <c r="E409" i="2" s="1"/>
  <c r="E410" i="2" a="1"/>
  <c r="E410" i="2" s="1"/>
  <c r="J408" i="2"/>
  <c r="K408" i="2" s="1"/>
  <c r="G408" i="2"/>
  <c r="H405" i="2"/>
  <c r="H406" i="2" l="1"/>
  <c r="F410" i="2"/>
  <c r="A411" i="2"/>
  <c r="B410" i="2"/>
  <c r="C410" i="2" s="1"/>
  <c r="D410" i="2" s="1"/>
  <c r="J409" i="2"/>
  <c r="K409" i="2" s="1"/>
  <c r="G409" i="2"/>
  <c r="I405" i="2"/>
  <c r="E411" i="2" l="1" a="1"/>
  <c r="E411" i="2" s="1"/>
  <c r="F411" i="2"/>
  <c r="A412" i="2"/>
  <c r="B411" i="2"/>
  <c r="C411" i="2" s="1"/>
  <c r="D411" i="2" s="1"/>
  <c r="J410" i="2"/>
  <c r="K410" i="2" s="1"/>
  <c r="G410" i="2"/>
  <c r="H407" i="2"/>
  <c r="I407" i="2" s="1"/>
  <c r="I406" i="2"/>
  <c r="E412" i="2" l="1" a="1"/>
  <c r="E412" i="2" s="1"/>
  <c r="F412" i="2"/>
  <c r="A413" i="2"/>
  <c r="B412" i="2"/>
  <c r="C412" i="2" s="1"/>
  <c r="D412" i="2" s="1"/>
  <c r="J411" i="2"/>
  <c r="K411" i="2" s="1"/>
  <c r="G411" i="2"/>
  <c r="H408" i="2"/>
  <c r="I408" i="2" s="1"/>
  <c r="E413" i="2" l="1" a="1"/>
  <c r="E413" i="2" s="1"/>
  <c r="H409" i="2"/>
  <c r="F413" i="2"/>
  <c r="A414" i="2"/>
  <c r="B413" i="2"/>
  <c r="C413" i="2" s="1"/>
  <c r="D413" i="2" s="1"/>
  <c r="G412" i="2"/>
  <c r="J412" i="2"/>
  <c r="K412" i="2" s="1"/>
  <c r="H410" i="2" l="1"/>
  <c r="I410" i="2" s="1"/>
  <c r="E414" i="2" a="1"/>
  <c r="E414" i="2" s="1"/>
  <c r="F414" i="2"/>
  <c r="A415" i="2"/>
  <c r="B414" i="2"/>
  <c r="C414" i="2" s="1"/>
  <c r="D414" i="2" s="1"/>
  <c r="I409" i="2"/>
  <c r="G413" i="2"/>
  <c r="J413" i="2"/>
  <c r="K413" i="2" s="1"/>
  <c r="G414" i="2" l="1"/>
  <c r="J414" i="2"/>
  <c r="K414" i="2" s="1"/>
  <c r="H411" i="2"/>
  <c r="I411" i="2" s="1"/>
  <c r="E415" i="2" a="1"/>
  <c r="E415" i="2" s="1"/>
  <c r="F415" i="2"/>
  <c r="A416" i="2"/>
  <c r="B415" i="2"/>
  <c r="C415" i="2" s="1"/>
  <c r="D415" i="2" s="1"/>
  <c r="E416" i="2" s="1" a="1"/>
  <c r="E416" i="2" s="1"/>
  <c r="J415" i="2" l="1"/>
  <c r="K415" i="2" s="1"/>
  <c r="G415" i="2"/>
  <c r="H412" i="2"/>
  <c r="A417" i="2"/>
  <c r="B416" i="2"/>
  <c r="C416" i="2" s="1"/>
  <c r="D416" i="2" s="1"/>
  <c r="E417" i="2" s="1" a="1"/>
  <c r="E417" i="2" s="1"/>
  <c r="F416" i="2"/>
  <c r="J416" i="2" l="1"/>
  <c r="K416" i="2" s="1"/>
  <c r="G416" i="2"/>
  <c r="A418" i="2"/>
  <c r="B417" i="2"/>
  <c r="C417" i="2" s="1"/>
  <c r="D417" i="2" s="1"/>
  <c r="F417" i="2"/>
  <c r="H413" i="2"/>
  <c r="I413" i="2" s="1"/>
  <c r="I412" i="2"/>
  <c r="A419" i="2" l="1"/>
  <c r="B418" i="2"/>
  <c r="C418" i="2" s="1"/>
  <c r="D418" i="2" s="1"/>
  <c r="E419" i="2" s="1" a="1"/>
  <c r="E419" i="2" s="1"/>
  <c r="F418" i="2"/>
  <c r="E418" i="2" a="1"/>
  <c r="E418" i="2" s="1"/>
  <c r="J417" i="2"/>
  <c r="K417" i="2" s="1"/>
  <c r="G417" i="2"/>
  <c r="H414" i="2"/>
  <c r="J418" i="2" l="1"/>
  <c r="K418" i="2" s="1"/>
  <c r="G418" i="2"/>
  <c r="H415" i="2"/>
  <c r="I414" i="2"/>
  <c r="A420" i="2"/>
  <c r="B419" i="2"/>
  <c r="C419" i="2" s="1"/>
  <c r="D419" i="2" s="1"/>
  <c r="F419" i="2"/>
  <c r="E420" i="2" l="1" a="1"/>
  <c r="E420" i="2" s="1"/>
  <c r="A421" i="2"/>
  <c r="B420" i="2"/>
  <c r="C420" i="2" s="1"/>
  <c r="D420" i="2" s="1"/>
  <c r="F420" i="2"/>
  <c r="H416" i="2"/>
  <c r="I416" i="2" s="1"/>
  <c r="J419" i="2"/>
  <c r="K419" i="2" s="1"/>
  <c r="G419" i="2"/>
  <c r="I415" i="2"/>
  <c r="J420" i="2" l="1"/>
  <c r="K420" i="2" s="1"/>
  <c r="G420" i="2"/>
  <c r="E421" i="2" a="1"/>
  <c r="E421" i="2" s="1"/>
  <c r="F421" i="2"/>
  <c r="A422" i="2"/>
  <c r="B421" i="2"/>
  <c r="C421" i="2" s="1"/>
  <c r="D421" i="2" s="1"/>
  <c r="H417" i="2"/>
  <c r="I417" i="2" s="1"/>
  <c r="F422" i="2" l="1"/>
  <c r="A423" i="2"/>
  <c r="B422" i="2"/>
  <c r="C422" i="2" s="1"/>
  <c r="D422" i="2" s="1"/>
  <c r="J421" i="2"/>
  <c r="K421" i="2" s="1"/>
  <c r="G421" i="2"/>
  <c r="E422" i="2" a="1"/>
  <c r="E422" i="2" s="1"/>
  <c r="H418" i="2"/>
  <c r="I418" i="2" s="1"/>
  <c r="E423" i="2" l="1" a="1"/>
  <c r="E423" i="2" s="1"/>
  <c r="F423" i="2"/>
  <c r="A424" i="2"/>
  <c r="B423" i="2"/>
  <c r="C423" i="2" s="1"/>
  <c r="D423" i="2" s="1"/>
  <c r="J422" i="2"/>
  <c r="K422" i="2" s="1"/>
  <c r="G422" i="2"/>
  <c r="H419" i="2"/>
  <c r="E424" i="2" l="1" a="1"/>
  <c r="E424" i="2" s="1"/>
  <c r="F424" i="2"/>
  <c r="A425" i="2"/>
  <c r="B424" i="2"/>
  <c r="C424" i="2" s="1"/>
  <c r="D424" i="2" s="1"/>
  <c r="J423" i="2"/>
  <c r="K423" i="2" s="1"/>
  <c r="G423" i="2"/>
  <c r="H420" i="2"/>
  <c r="I420" i="2" s="1"/>
  <c r="I419" i="2"/>
  <c r="F425" i="2" l="1"/>
  <c r="A426" i="2"/>
  <c r="B425" i="2"/>
  <c r="C425" i="2" s="1"/>
  <c r="D425" i="2" s="1"/>
  <c r="J424" i="2"/>
  <c r="K424" i="2" s="1"/>
  <c r="G424" i="2"/>
  <c r="E425" i="2" a="1"/>
  <c r="E425" i="2" s="1"/>
  <c r="H421" i="2"/>
  <c r="I421" i="2" s="1"/>
  <c r="H422" i="2" l="1"/>
  <c r="F426" i="2"/>
  <c r="A427" i="2"/>
  <c r="B426" i="2"/>
  <c r="C426" i="2" s="1"/>
  <c r="D426" i="2" s="1"/>
  <c r="J425" i="2"/>
  <c r="K425" i="2" s="1"/>
  <c r="G425" i="2"/>
  <c r="E426" i="2" a="1"/>
  <c r="E426" i="2" s="1"/>
  <c r="H423" i="2" l="1"/>
  <c r="I423" i="2" s="1"/>
  <c r="F427" i="2"/>
  <c r="A428" i="2"/>
  <c r="B427" i="2"/>
  <c r="C427" i="2" s="1"/>
  <c r="D427" i="2" s="1"/>
  <c r="I422" i="2"/>
  <c r="J426" i="2"/>
  <c r="K426" i="2" s="1"/>
  <c r="G426" i="2"/>
  <c r="E427" i="2" a="1"/>
  <c r="E427" i="2" s="1"/>
  <c r="F428" i="2" l="1"/>
  <c r="A429" i="2"/>
  <c r="B428" i="2"/>
  <c r="C428" i="2" s="1"/>
  <c r="D428" i="2" s="1"/>
  <c r="J427" i="2"/>
  <c r="K427" i="2" s="1"/>
  <c r="G427" i="2"/>
  <c r="E428" i="2" a="1"/>
  <c r="E428" i="2" s="1"/>
  <c r="H424" i="2"/>
  <c r="I424" i="2" s="1"/>
  <c r="H425" i="2" l="1"/>
  <c r="I425" i="2" s="1"/>
  <c r="G428" i="2"/>
  <c r="J428" i="2"/>
  <c r="K428" i="2" s="1"/>
  <c r="E429" i="2" a="1"/>
  <c r="E429" i="2" s="1"/>
  <c r="F429" i="2"/>
  <c r="A430" i="2"/>
  <c r="B429" i="2"/>
  <c r="C429" i="2" s="1"/>
  <c r="D429" i="2" s="1"/>
  <c r="E430" i="2" l="1" a="1"/>
  <c r="E430" i="2" s="1"/>
  <c r="H426" i="2"/>
  <c r="I426" i="2" s="1"/>
  <c r="F430" i="2"/>
  <c r="A431" i="2"/>
  <c r="B430" i="2"/>
  <c r="C430" i="2" s="1"/>
  <c r="D430" i="2" s="1"/>
  <c r="G429" i="2"/>
  <c r="J429" i="2"/>
  <c r="K429" i="2" s="1"/>
  <c r="F431" i="2" l="1"/>
  <c r="A432" i="2"/>
  <c r="B431" i="2"/>
  <c r="C431" i="2" s="1"/>
  <c r="D431" i="2" s="1"/>
  <c r="G430" i="2"/>
  <c r="J430" i="2"/>
  <c r="K430" i="2" s="1"/>
  <c r="H427" i="2"/>
  <c r="I427" i="2" s="1"/>
  <c r="E431" i="2" a="1"/>
  <c r="E431" i="2" s="1"/>
  <c r="H428" i="2" l="1"/>
  <c r="J431" i="2"/>
  <c r="K431" i="2" s="1"/>
  <c r="G431" i="2"/>
  <c r="A433" i="2"/>
  <c r="B432" i="2"/>
  <c r="C432" i="2" s="1"/>
  <c r="D432" i="2" s="1"/>
  <c r="F432" i="2"/>
  <c r="E432" i="2" a="1"/>
  <c r="E432" i="2" s="1"/>
  <c r="E433" i="2" a="1"/>
  <c r="E433" i="2" s="1"/>
  <c r="A434" i="2" l="1"/>
  <c r="B433" i="2"/>
  <c r="C433" i="2" s="1"/>
  <c r="D433" i="2" s="1"/>
  <c r="F433" i="2"/>
  <c r="H429" i="2"/>
  <c r="I429" i="2" s="1"/>
  <c r="I428" i="2"/>
  <c r="J432" i="2"/>
  <c r="K432" i="2" s="1"/>
  <c r="G432" i="2"/>
  <c r="E434" i="2" a="1"/>
  <c r="E434" i="2" s="1"/>
  <c r="J433" i="2" l="1"/>
  <c r="K433" i="2" s="1"/>
  <c r="G433" i="2"/>
  <c r="H430" i="2"/>
  <c r="I430" i="2" s="1"/>
  <c r="A435" i="2"/>
  <c r="B434" i="2"/>
  <c r="C434" i="2" s="1"/>
  <c r="D434" i="2" s="1"/>
  <c r="F434" i="2"/>
  <c r="E435" i="2" l="1" a="1"/>
  <c r="E435" i="2" s="1"/>
  <c r="A436" i="2"/>
  <c r="B435" i="2"/>
  <c r="C435" i="2" s="1"/>
  <c r="D435" i="2" s="1"/>
  <c r="F435" i="2"/>
  <c r="E436" i="2" a="1"/>
  <c r="E436" i="2" s="1"/>
  <c r="H431" i="2"/>
  <c r="J434" i="2"/>
  <c r="K434" i="2" s="1"/>
  <c r="G434" i="2"/>
  <c r="J435" i="2" l="1"/>
  <c r="K435" i="2" s="1"/>
  <c r="G435" i="2"/>
  <c r="H432" i="2"/>
  <c r="A437" i="2"/>
  <c r="B436" i="2"/>
  <c r="C436" i="2" s="1"/>
  <c r="D436" i="2" s="1"/>
  <c r="E437" i="2" s="1" a="1"/>
  <c r="E437" i="2" s="1"/>
  <c r="F436" i="2"/>
  <c r="I431" i="2"/>
  <c r="J436" i="2" l="1"/>
  <c r="K436" i="2" s="1"/>
  <c r="G436" i="2"/>
  <c r="F437" i="2"/>
  <c r="A438" i="2"/>
  <c r="B437" i="2"/>
  <c r="C437" i="2" s="1"/>
  <c r="D437" i="2" s="1"/>
  <c r="H433" i="2"/>
  <c r="I432" i="2"/>
  <c r="H434" i="2" l="1"/>
  <c r="I434" i="2" s="1"/>
  <c r="E438" i="2" a="1"/>
  <c r="E438" i="2" s="1"/>
  <c r="I433" i="2"/>
  <c r="F438" i="2"/>
  <c r="A439" i="2"/>
  <c r="B438" i="2"/>
  <c r="C438" i="2" s="1"/>
  <c r="D438" i="2" s="1"/>
  <c r="J437" i="2"/>
  <c r="K437" i="2" s="1"/>
  <c r="G437" i="2"/>
  <c r="F439" i="2" l="1"/>
  <c r="A440" i="2"/>
  <c r="B439" i="2"/>
  <c r="C439" i="2" s="1"/>
  <c r="D439" i="2" s="1"/>
  <c r="E439" i="2" a="1"/>
  <c r="E439" i="2" s="1"/>
  <c r="J438" i="2"/>
  <c r="K438" i="2" s="1"/>
  <c r="G438" i="2"/>
  <c r="H435" i="2"/>
  <c r="H436" i="2" l="1"/>
  <c r="I435" i="2"/>
  <c r="E440" i="2" a="1"/>
  <c r="E440" i="2" s="1"/>
  <c r="F440" i="2"/>
  <c r="A441" i="2"/>
  <c r="B440" i="2"/>
  <c r="C440" i="2" s="1"/>
  <c r="D440" i="2" s="1"/>
  <c r="J439" i="2"/>
  <c r="K439" i="2" s="1"/>
  <c r="G439" i="2"/>
  <c r="J440" i="2" l="1"/>
  <c r="K440" i="2" s="1"/>
  <c r="G440" i="2"/>
  <c r="E441" i="2" a="1"/>
  <c r="E441" i="2" s="1"/>
  <c r="F441" i="2"/>
  <c r="A442" i="2"/>
  <c r="B441" i="2"/>
  <c r="C441" i="2" s="1"/>
  <c r="D441" i="2" s="1"/>
  <c r="H437" i="2"/>
  <c r="I437" i="2" s="1"/>
  <c r="I436" i="2"/>
  <c r="E442" i="2" l="1" a="1"/>
  <c r="E442" i="2" s="1"/>
  <c r="H438" i="2"/>
  <c r="I438" i="2" s="1"/>
  <c r="J441" i="2"/>
  <c r="K441" i="2" s="1"/>
  <c r="G441" i="2"/>
  <c r="F442" i="2"/>
  <c r="A443" i="2"/>
  <c r="B442" i="2"/>
  <c r="C442" i="2" s="1"/>
  <c r="D442" i="2" s="1"/>
  <c r="E443" i="2" l="1" a="1"/>
  <c r="E443" i="2" s="1"/>
  <c r="F443" i="2"/>
  <c r="A444" i="2"/>
  <c r="B443" i="2"/>
  <c r="C443" i="2" s="1"/>
  <c r="D443" i="2" s="1"/>
  <c r="J442" i="2"/>
  <c r="K442" i="2" s="1"/>
  <c r="G442" i="2"/>
  <c r="H439" i="2"/>
  <c r="H440" i="2" l="1"/>
  <c r="I440" i="2" s="1"/>
  <c r="I439" i="2"/>
  <c r="E444" i="2" a="1"/>
  <c r="E444" i="2" s="1"/>
  <c r="F444" i="2"/>
  <c r="A445" i="2"/>
  <c r="B444" i="2"/>
  <c r="C444" i="2" s="1"/>
  <c r="D444" i="2" s="1"/>
  <c r="J443" i="2"/>
  <c r="K443" i="2" s="1"/>
  <c r="G443" i="2"/>
  <c r="E445" i="2" l="1" a="1"/>
  <c r="E445" i="2" s="1"/>
  <c r="F445" i="2"/>
  <c r="A446" i="2"/>
  <c r="B445" i="2"/>
  <c r="C445" i="2" s="1"/>
  <c r="D445" i="2" s="1"/>
  <c r="G444" i="2"/>
  <c r="J444" i="2"/>
  <c r="K444" i="2" s="1"/>
  <c r="H441" i="2"/>
  <c r="I441" i="2" s="1"/>
  <c r="H442" i="2" l="1"/>
  <c r="G445" i="2"/>
  <c r="J445" i="2"/>
  <c r="K445" i="2" s="1"/>
  <c r="E446" i="2" a="1"/>
  <c r="E446" i="2" s="1"/>
  <c r="F446" i="2"/>
  <c r="A447" i="2"/>
  <c r="B446" i="2"/>
  <c r="C446" i="2" s="1"/>
  <c r="D446" i="2" s="1"/>
  <c r="F447" i="2" l="1"/>
  <c r="A448" i="2"/>
  <c r="B447" i="2"/>
  <c r="C447" i="2" s="1"/>
  <c r="D447" i="2" s="1"/>
  <c r="G446" i="2"/>
  <c r="J446" i="2"/>
  <c r="K446" i="2" s="1"/>
  <c r="E448" i="2" a="1"/>
  <c r="E448" i="2" s="1"/>
  <c r="E447" i="2" a="1"/>
  <c r="E447" i="2" s="1"/>
  <c r="H443" i="2"/>
  <c r="I443" i="2" s="1"/>
  <c r="I442" i="2"/>
  <c r="A449" i="2" l="1"/>
  <c r="B448" i="2"/>
  <c r="C448" i="2" s="1"/>
  <c r="D448" i="2" s="1"/>
  <c r="F448" i="2"/>
  <c r="J447" i="2"/>
  <c r="K447" i="2" s="1"/>
  <c r="G447" i="2"/>
  <c r="H444" i="2"/>
  <c r="I444" i="2" s="1"/>
  <c r="A450" i="2" l="1"/>
  <c r="B449" i="2"/>
  <c r="C449" i="2" s="1"/>
  <c r="D449" i="2" s="1"/>
  <c r="E450" i="2" s="1" a="1"/>
  <c r="E450" i="2" s="1"/>
  <c r="F449" i="2"/>
  <c r="J448" i="2"/>
  <c r="K448" i="2" s="1"/>
  <c r="G448" i="2"/>
  <c r="H445" i="2"/>
  <c r="I445" i="2" s="1"/>
  <c r="E449" i="2" a="1"/>
  <c r="E449" i="2" s="1"/>
  <c r="H446" i="2" l="1"/>
  <c r="I446" i="2" s="1"/>
  <c r="A451" i="2"/>
  <c r="B450" i="2"/>
  <c r="C450" i="2" s="1"/>
  <c r="D450" i="2" s="1"/>
  <c r="F450" i="2"/>
  <c r="J449" i="2"/>
  <c r="K449" i="2" s="1"/>
  <c r="G449" i="2"/>
  <c r="H447" i="2" l="1"/>
  <c r="I447" i="2" s="1"/>
  <c r="J450" i="2"/>
  <c r="K450" i="2" s="1"/>
  <c r="G450" i="2"/>
  <c r="E451" i="2" a="1"/>
  <c r="E451" i="2" s="1"/>
  <c r="A452" i="2"/>
  <c r="B451" i="2"/>
  <c r="C451" i="2" s="1"/>
  <c r="D451" i="2" s="1"/>
  <c r="F451" i="2"/>
  <c r="A453" i="2" l="1"/>
  <c r="B452" i="2"/>
  <c r="C452" i="2" s="1"/>
  <c r="D452" i="2" s="1"/>
  <c r="F452" i="2"/>
  <c r="E452" i="2" a="1"/>
  <c r="E452" i="2" s="1"/>
  <c r="H448" i="2"/>
  <c r="I448" i="2" s="1"/>
  <c r="J451" i="2"/>
  <c r="K451" i="2" s="1"/>
  <c r="G451" i="2"/>
  <c r="H449" i="2" l="1"/>
  <c r="I449" i="2" s="1"/>
  <c r="J452" i="2"/>
  <c r="K452" i="2" s="1"/>
  <c r="G452" i="2"/>
  <c r="E453" i="2" a="1"/>
  <c r="E453" i="2" s="1"/>
  <c r="F453" i="2"/>
  <c r="A454" i="2"/>
  <c r="B453" i="2"/>
  <c r="C453" i="2" s="1"/>
  <c r="D453" i="2" s="1"/>
  <c r="H450" i="2" l="1"/>
  <c r="I450" i="2" s="1"/>
  <c r="F454" i="2"/>
  <c r="A455" i="2"/>
  <c r="B454" i="2"/>
  <c r="C454" i="2" s="1"/>
  <c r="D454" i="2" s="1"/>
  <c r="E455" i="2" s="1" a="1"/>
  <c r="E455" i="2" s="1"/>
  <c r="J453" i="2"/>
  <c r="K453" i="2" s="1"/>
  <c r="G453" i="2"/>
  <c r="E454" i="2" a="1"/>
  <c r="E454" i="2" s="1"/>
  <c r="F455" i="2" l="1"/>
  <c r="A456" i="2"/>
  <c r="B455" i="2"/>
  <c r="C455" i="2" s="1"/>
  <c r="D455" i="2" s="1"/>
  <c r="J454" i="2"/>
  <c r="K454" i="2" s="1"/>
  <c r="G454" i="2"/>
  <c r="H451" i="2"/>
  <c r="I451" i="2" s="1"/>
  <c r="E456" i="2" l="1" a="1"/>
  <c r="E456" i="2" s="1"/>
  <c r="F456" i="2"/>
  <c r="A457" i="2"/>
  <c r="B456" i="2"/>
  <c r="C456" i="2" s="1"/>
  <c r="D456" i="2" s="1"/>
  <c r="J455" i="2"/>
  <c r="K455" i="2" s="1"/>
  <c r="G455" i="2"/>
  <c r="H452" i="2"/>
  <c r="I452" i="2" s="1"/>
  <c r="F457" i="2" l="1"/>
  <c r="A458" i="2"/>
  <c r="B457" i="2"/>
  <c r="C457" i="2" s="1"/>
  <c r="D457" i="2" s="1"/>
  <c r="J456" i="2"/>
  <c r="K456" i="2" s="1"/>
  <c r="G456" i="2"/>
  <c r="E458" i="2" a="1"/>
  <c r="E458" i="2" s="1"/>
  <c r="E457" i="2" a="1"/>
  <c r="E457" i="2" s="1"/>
  <c r="H453" i="2"/>
  <c r="I453" i="2" s="1"/>
  <c r="H454" i="2" l="1"/>
  <c r="I454" i="2" s="1"/>
  <c r="F458" i="2"/>
  <c r="A459" i="2"/>
  <c r="B458" i="2"/>
  <c r="C458" i="2" s="1"/>
  <c r="D458" i="2" s="1"/>
  <c r="J457" i="2"/>
  <c r="K457" i="2" s="1"/>
  <c r="G457" i="2"/>
  <c r="E459" i="2" l="1" a="1"/>
  <c r="E459" i="2" s="1"/>
  <c r="J458" i="2"/>
  <c r="K458" i="2" s="1"/>
  <c r="G458" i="2"/>
  <c r="F459" i="2"/>
  <c r="A460" i="2"/>
  <c r="B459" i="2"/>
  <c r="C459" i="2" s="1"/>
  <c r="D459" i="2" s="1"/>
  <c r="E460" i="2" s="1" a="1"/>
  <c r="E460" i="2" s="1"/>
  <c r="H455" i="2"/>
  <c r="I455" i="2" s="1"/>
  <c r="F460" i="2" l="1"/>
  <c r="A461" i="2"/>
  <c r="B460" i="2"/>
  <c r="C460" i="2" s="1"/>
  <c r="D460" i="2" s="1"/>
  <c r="E461" i="2" s="1" a="1"/>
  <c r="E461" i="2" s="1"/>
  <c r="J459" i="2"/>
  <c r="K459" i="2" s="1"/>
  <c r="G459" i="2"/>
  <c r="H456" i="2"/>
  <c r="I456" i="2" s="1"/>
  <c r="H457" i="2" l="1"/>
  <c r="F461" i="2"/>
  <c r="A462" i="2"/>
  <c r="B461" i="2"/>
  <c r="C461" i="2" s="1"/>
  <c r="D461" i="2" s="1"/>
  <c r="G460" i="2"/>
  <c r="J460" i="2"/>
  <c r="K460" i="2" s="1"/>
  <c r="E462" i="2" l="1" a="1"/>
  <c r="E462" i="2" s="1"/>
  <c r="F462" i="2"/>
  <c r="A463" i="2"/>
  <c r="B462" i="2"/>
  <c r="C462" i="2" s="1"/>
  <c r="D462" i="2" s="1"/>
  <c r="E463" i="2" s="1" a="1"/>
  <c r="E463" i="2" s="1"/>
  <c r="G461" i="2"/>
  <c r="J461" i="2"/>
  <c r="K461" i="2" s="1"/>
  <c r="H458" i="2"/>
  <c r="I457" i="2"/>
  <c r="H459" i="2" l="1"/>
  <c r="F463" i="2"/>
  <c r="A464" i="2"/>
  <c r="B463" i="2"/>
  <c r="C463" i="2" s="1"/>
  <c r="D463" i="2" s="1"/>
  <c r="G462" i="2"/>
  <c r="J462" i="2"/>
  <c r="K462" i="2" s="1"/>
  <c r="I458" i="2"/>
  <c r="E464" i="2" a="1"/>
  <c r="E464" i="2" s="1"/>
  <c r="H460" i="2" l="1"/>
  <c r="I459" i="2"/>
  <c r="A465" i="2"/>
  <c r="B464" i="2"/>
  <c r="C464" i="2" s="1"/>
  <c r="D464" i="2" s="1"/>
  <c r="F464" i="2"/>
  <c r="J463" i="2"/>
  <c r="K463" i="2" s="1"/>
  <c r="G463" i="2"/>
  <c r="E465" i="2" l="1" a="1"/>
  <c r="E465" i="2" s="1"/>
  <c r="A466" i="2"/>
  <c r="B465" i="2"/>
  <c r="C465" i="2" s="1"/>
  <c r="D465" i="2" s="1"/>
  <c r="F465" i="2"/>
  <c r="J464" i="2"/>
  <c r="K464" i="2" s="1"/>
  <c r="G464" i="2"/>
  <c r="H461" i="2"/>
  <c r="I461" i="2" s="1"/>
  <c r="I460" i="2"/>
  <c r="A467" i="2" l="1"/>
  <c r="B466" i="2"/>
  <c r="C466" i="2" s="1"/>
  <c r="D466" i="2" s="1"/>
  <c r="E467" i="2" s="1" a="1"/>
  <c r="E467" i="2" s="1"/>
  <c r="F466" i="2"/>
  <c r="E466" i="2" a="1"/>
  <c r="E466" i="2" s="1"/>
  <c r="H462" i="2"/>
  <c r="I462" i="2" s="1"/>
  <c r="J465" i="2"/>
  <c r="K465" i="2" s="1"/>
  <c r="G465" i="2"/>
  <c r="J466" i="2" l="1"/>
  <c r="K466" i="2" s="1"/>
  <c r="G466" i="2"/>
  <c r="A468" i="2"/>
  <c r="B467" i="2"/>
  <c r="C467" i="2" s="1"/>
  <c r="D467" i="2" s="1"/>
  <c r="F467" i="2"/>
  <c r="H463" i="2"/>
  <c r="I463" i="2" s="1"/>
  <c r="E468" i="2" l="1" a="1"/>
  <c r="E468" i="2" s="1"/>
  <c r="A469" i="2"/>
  <c r="B468" i="2"/>
  <c r="C468" i="2" s="1"/>
  <c r="D468" i="2" s="1"/>
  <c r="F468" i="2"/>
  <c r="H464" i="2"/>
  <c r="I464" i="2" s="1"/>
  <c r="J467" i="2"/>
  <c r="K467" i="2" s="1"/>
  <c r="G467" i="2"/>
  <c r="H465" i="2" l="1"/>
  <c r="J468" i="2"/>
  <c r="K468" i="2" s="1"/>
  <c r="G468" i="2"/>
  <c r="F469" i="2"/>
  <c r="B469" i="2"/>
  <c r="C469" i="2" s="1"/>
  <c r="D469" i="2" s="1"/>
  <c r="A470" i="2"/>
  <c r="E469" i="2" a="1"/>
  <c r="E469" i="2" s="1"/>
  <c r="H466" i="2" l="1"/>
  <c r="I466" i="2" s="1"/>
  <c r="F470" i="2"/>
  <c r="A471" i="2"/>
  <c r="B470" i="2"/>
  <c r="C470" i="2" s="1"/>
  <c r="D470" i="2" s="1"/>
  <c r="I465" i="2"/>
  <c r="J469" i="2"/>
  <c r="K469" i="2" s="1"/>
  <c r="G469" i="2"/>
  <c r="E470" i="2" a="1"/>
  <c r="E470" i="2" s="1"/>
  <c r="H467" i="2" l="1"/>
  <c r="I467" i="2" s="1"/>
  <c r="F471" i="2"/>
  <c r="A472" i="2"/>
  <c r="B471" i="2"/>
  <c r="C471" i="2" s="1"/>
  <c r="D471" i="2" s="1"/>
  <c r="J470" i="2"/>
  <c r="K470" i="2" s="1"/>
  <c r="G470" i="2"/>
  <c r="E472" i="2" a="1"/>
  <c r="E472" i="2" s="1"/>
  <c r="E471" i="2" a="1"/>
  <c r="E471" i="2" s="1"/>
  <c r="F472" i="2" l="1"/>
  <c r="A473" i="2"/>
  <c r="B472" i="2"/>
  <c r="C472" i="2" s="1"/>
  <c r="D472" i="2" s="1"/>
  <c r="J471" i="2"/>
  <c r="K471" i="2" s="1"/>
  <c r="G471" i="2"/>
  <c r="H468" i="2"/>
  <c r="E473" i="2" l="1" a="1"/>
  <c r="E473" i="2" s="1"/>
  <c r="J472" i="2"/>
  <c r="K472" i="2" s="1"/>
  <c r="G472" i="2"/>
  <c r="F473" i="2"/>
  <c r="A474" i="2"/>
  <c r="B473" i="2"/>
  <c r="C473" i="2" s="1"/>
  <c r="D473" i="2" s="1"/>
  <c r="H469" i="2"/>
  <c r="I468" i="2"/>
  <c r="E474" i="2" l="1" a="1"/>
  <c r="E474" i="2" s="1"/>
  <c r="H470" i="2"/>
  <c r="I470" i="2" s="1"/>
  <c r="I469" i="2"/>
  <c r="F474" i="2"/>
  <c r="A475" i="2"/>
  <c r="B474" i="2"/>
  <c r="C474" i="2" s="1"/>
  <c r="D474" i="2" s="1"/>
  <c r="J473" i="2"/>
  <c r="K473" i="2" s="1"/>
  <c r="G473" i="2"/>
  <c r="F475" i="2" l="1"/>
  <c r="A476" i="2"/>
  <c r="B475" i="2"/>
  <c r="C475" i="2" s="1"/>
  <c r="D475" i="2" s="1"/>
  <c r="E476" i="2" s="1" a="1"/>
  <c r="E476" i="2" s="1"/>
  <c r="E475" i="2" a="1"/>
  <c r="E475" i="2" s="1"/>
  <c r="J474" i="2"/>
  <c r="K474" i="2" s="1"/>
  <c r="G474" i="2"/>
  <c r="H471" i="2"/>
  <c r="I471" i="2" s="1"/>
  <c r="H472" i="2" l="1"/>
  <c r="F476" i="2"/>
  <c r="A477" i="2"/>
  <c r="B476" i="2"/>
  <c r="C476" i="2" s="1"/>
  <c r="D476" i="2" s="1"/>
  <c r="J475" i="2"/>
  <c r="K475" i="2" s="1"/>
  <c r="G475" i="2"/>
  <c r="E477" i="2" l="1" a="1"/>
  <c r="E477" i="2" s="1"/>
  <c r="F477" i="2"/>
  <c r="A478" i="2"/>
  <c r="B477" i="2"/>
  <c r="C477" i="2" s="1"/>
  <c r="D477" i="2" s="1"/>
  <c r="E478" i="2" s="1" a="1"/>
  <c r="E478" i="2" s="1"/>
  <c r="H473" i="2"/>
  <c r="I473" i="2" s="1"/>
  <c r="G476" i="2"/>
  <c r="J476" i="2"/>
  <c r="K476" i="2" s="1"/>
  <c r="I472" i="2"/>
  <c r="H474" i="2" l="1"/>
  <c r="I474" i="2" s="1"/>
  <c r="F478" i="2"/>
  <c r="A479" i="2"/>
  <c r="B478" i="2"/>
  <c r="C478" i="2" s="1"/>
  <c r="D478" i="2" s="1"/>
  <c r="G477" i="2"/>
  <c r="J477" i="2"/>
  <c r="K477" i="2" s="1"/>
  <c r="E479" i="2" l="1" a="1"/>
  <c r="E479" i="2" s="1"/>
  <c r="F479" i="2"/>
  <c r="A480" i="2"/>
  <c r="B479" i="2"/>
  <c r="C479" i="2" s="1"/>
  <c r="D479" i="2" s="1"/>
  <c r="G478" i="2"/>
  <c r="J478" i="2"/>
  <c r="K478" i="2" s="1"/>
  <c r="E480" i="2" a="1"/>
  <c r="E480" i="2" s="1"/>
  <c r="H475" i="2"/>
  <c r="H476" i="2" l="1"/>
  <c r="I475" i="2"/>
  <c r="A481" i="2"/>
  <c r="B480" i="2"/>
  <c r="C480" i="2" s="1"/>
  <c r="D480" i="2" s="1"/>
  <c r="F480" i="2"/>
  <c r="J479" i="2"/>
  <c r="K479" i="2" s="1"/>
  <c r="G479" i="2"/>
  <c r="J480" i="2" l="1"/>
  <c r="K480" i="2" s="1"/>
  <c r="G480" i="2"/>
  <c r="H477" i="2"/>
  <c r="I477" i="2" s="1"/>
  <c r="I476" i="2"/>
  <c r="E481" i="2" a="1"/>
  <c r="E481" i="2" s="1"/>
  <c r="A482" i="2"/>
  <c r="B481" i="2"/>
  <c r="C481" i="2" s="1"/>
  <c r="D481" i="2" s="1"/>
  <c r="F481" i="2"/>
  <c r="E482" i="2" l="1" a="1"/>
  <c r="E482" i="2" s="1"/>
  <c r="J481" i="2"/>
  <c r="K481" i="2" s="1"/>
  <c r="G481" i="2"/>
  <c r="H478" i="2"/>
  <c r="I478" i="2" s="1"/>
  <c r="A483" i="2"/>
  <c r="B482" i="2"/>
  <c r="C482" i="2" s="1"/>
  <c r="D482" i="2" s="1"/>
  <c r="F482" i="2"/>
  <c r="A484" i="2" l="1"/>
  <c r="B483" i="2"/>
  <c r="C483" i="2" s="1"/>
  <c r="D483" i="2" s="1"/>
  <c r="F483" i="2"/>
  <c r="E484" i="2" a="1"/>
  <c r="E484" i="2" s="1"/>
  <c r="E483" i="2" a="1"/>
  <c r="E483" i="2" s="1"/>
  <c r="J482" i="2"/>
  <c r="K482" i="2" s="1"/>
  <c r="G482" i="2"/>
  <c r="H479" i="2"/>
  <c r="I479" i="2" s="1"/>
  <c r="H480" i="2" l="1"/>
  <c r="I480" i="2" s="1"/>
  <c r="J483" i="2"/>
  <c r="K483" i="2" s="1"/>
  <c r="G483" i="2"/>
  <c r="A485" i="2"/>
  <c r="B484" i="2"/>
  <c r="C484" i="2" s="1"/>
  <c r="D484" i="2" s="1"/>
  <c r="F484" i="2"/>
  <c r="E485" i="2" l="1" a="1"/>
  <c r="E485" i="2" s="1"/>
  <c r="F485" i="2"/>
  <c r="A486" i="2"/>
  <c r="B485" i="2"/>
  <c r="C485" i="2" s="1"/>
  <c r="D485" i="2" s="1"/>
  <c r="J484" i="2"/>
  <c r="K484" i="2" s="1"/>
  <c r="G484" i="2"/>
  <c r="H481" i="2"/>
  <c r="I481" i="2" s="1"/>
  <c r="E486" i="2" a="1"/>
  <c r="E486" i="2" s="1"/>
  <c r="F486" i="2" l="1"/>
  <c r="A487" i="2"/>
  <c r="B486" i="2"/>
  <c r="C486" i="2" s="1"/>
  <c r="D486" i="2" s="1"/>
  <c r="J485" i="2"/>
  <c r="K485" i="2" s="1"/>
  <c r="G485" i="2"/>
  <c r="H482" i="2"/>
  <c r="E487" i="2" l="1" a="1"/>
  <c r="E487" i="2" s="1"/>
  <c r="F487" i="2"/>
  <c r="A488" i="2"/>
  <c r="B487" i="2"/>
  <c r="C487" i="2" s="1"/>
  <c r="D487" i="2" s="1"/>
  <c r="J486" i="2"/>
  <c r="K486" i="2" s="1"/>
  <c r="G486" i="2"/>
  <c r="H483" i="2"/>
  <c r="I482" i="2"/>
  <c r="E488" i="2" l="1" a="1"/>
  <c r="E488" i="2" s="1"/>
  <c r="F488" i="2"/>
  <c r="A489" i="2"/>
  <c r="B488" i="2"/>
  <c r="C488" i="2" s="1"/>
  <c r="D488" i="2" s="1"/>
  <c r="J487" i="2"/>
  <c r="K487" i="2" s="1"/>
  <c r="G487" i="2"/>
  <c r="H484" i="2"/>
  <c r="I483" i="2"/>
  <c r="H485" i="2" l="1"/>
  <c r="I485" i="2" s="1"/>
  <c r="I484" i="2"/>
  <c r="E489" i="2" a="1"/>
  <c r="E489" i="2" s="1"/>
  <c r="F489" i="2"/>
  <c r="A490" i="2"/>
  <c r="B489" i="2"/>
  <c r="C489" i="2" s="1"/>
  <c r="D489" i="2" s="1"/>
  <c r="E490" i="2" s="1" a="1"/>
  <c r="E490" i="2" s="1"/>
  <c r="J488" i="2"/>
  <c r="K488" i="2" s="1"/>
  <c r="G488" i="2"/>
  <c r="F490" i="2" l="1"/>
  <c r="A491" i="2"/>
  <c r="B490" i="2"/>
  <c r="C490" i="2" s="1"/>
  <c r="D490" i="2" s="1"/>
  <c r="J489" i="2"/>
  <c r="K489" i="2" s="1"/>
  <c r="G489" i="2"/>
  <c r="H486" i="2"/>
  <c r="I486" i="2" s="1"/>
  <c r="H487" i="2" l="1"/>
  <c r="F491" i="2"/>
  <c r="A492" i="2"/>
  <c r="B491" i="2"/>
  <c r="C491" i="2" s="1"/>
  <c r="D491" i="2" s="1"/>
  <c r="E491" i="2" a="1"/>
  <c r="E491" i="2" s="1"/>
  <c r="J490" i="2"/>
  <c r="K490" i="2" s="1"/>
  <c r="G490" i="2"/>
  <c r="F492" i="2" l="1"/>
  <c r="A493" i="2"/>
  <c r="B492" i="2"/>
  <c r="C492" i="2" s="1"/>
  <c r="D492" i="2" s="1"/>
  <c r="J491" i="2"/>
  <c r="K491" i="2" s="1"/>
  <c r="G491" i="2"/>
  <c r="E492" i="2" a="1"/>
  <c r="E492" i="2" s="1"/>
  <c r="H488" i="2"/>
  <c r="I488" i="2" s="1"/>
  <c r="I487" i="2"/>
  <c r="E493" i="2" a="1"/>
  <c r="E493" i="2" s="1"/>
  <c r="F493" i="2" l="1"/>
  <c r="A494" i="2"/>
  <c r="B493" i="2"/>
  <c r="C493" i="2" s="1"/>
  <c r="D493" i="2" s="1"/>
  <c r="E494" i="2" s="1" a="1"/>
  <c r="E494" i="2" s="1"/>
  <c r="G492" i="2"/>
  <c r="J492" i="2"/>
  <c r="K492" i="2" s="1"/>
  <c r="H489" i="2"/>
  <c r="H490" i="2" l="1"/>
  <c r="I489" i="2"/>
  <c r="F494" i="2"/>
  <c r="A495" i="2"/>
  <c r="B494" i="2"/>
  <c r="C494" i="2" s="1"/>
  <c r="D494" i="2" s="1"/>
  <c r="G493" i="2"/>
  <c r="J493" i="2"/>
  <c r="K493" i="2" s="1"/>
  <c r="E495" i="2" l="1" a="1"/>
  <c r="E495" i="2" s="1"/>
  <c r="F495" i="2"/>
  <c r="A496" i="2"/>
  <c r="B495" i="2"/>
  <c r="C495" i="2" s="1"/>
  <c r="D495" i="2" s="1"/>
  <c r="H491" i="2"/>
  <c r="I491" i="2" s="1"/>
  <c r="G494" i="2"/>
  <c r="J494" i="2"/>
  <c r="K494" i="2" s="1"/>
  <c r="I490" i="2"/>
  <c r="A497" i="2" l="1"/>
  <c r="B496" i="2"/>
  <c r="C496" i="2" s="1"/>
  <c r="D496" i="2" s="1"/>
  <c r="E497" i="2" s="1" a="1"/>
  <c r="E497" i="2" s="1"/>
  <c r="F496" i="2"/>
  <c r="J495" i="2"/>
  <c r="K495" i="2" s="1"/>
  <c r="G495" i="2"/>
  <c r="E496" i="2" a="1"/>
  <c r="E496" i="2" s="1"/>
  <c r="H492" i="2"/>
  <c r="I492" i="2" s="1"/>
  <c r="J496" i="2" l="1"/>
  <c r="K496" i="2" s="1"/>
  <c r="G496" i="2"/>
  <c r="H493" i="2"/>
  <c r="I493" i="2" s="1"/>
  <c r="A498" i="2"/>
  <c r="B497" i="2"/>
  <c r="C497" i="2" s="1"/>
  <c r="D497" i="2" s="1"/>
  <c r="F497" i="2"/>
  <c r="E498" i="2" l="1" a="1"/>
  <c r="E498" i="2" s="1"/>
  <c r="A499" i="2"/>
  <c r="B498" i="2"/>
  <c r="C498" i="2" s="1"/>
  <c r="D498" i="2" s="1"/>
  <c r="F498" i="2"/>
  <c r="E499" i="2" a="1"/>
  <c r="E499" i="2" s="1"/>
  <c r="H494" i="2"/>
  <c r="J497" i="2"/>
  <c r="K497" i="2" s="1"/>
  <c r="G497" i="2"/>
  <c r="A500" i="2" l="1"/>
  <c r="B499" i="2"/>
  <c r="C499" i="2" s="1"/>
  <c r="D499" i="2" s="1"/>
  <c r="F499" i="2"/>
  <c r="H495" i="2"/>
  <c r="I494" i="2"/>
  <c r="J498" i="2"/>
  <c r="K498" i="2" s="1"/>
  <c r="G498" i="2"/>
  <c r="A501" i="2" l="1"/>
  <c r="B500" i="2"/>
  <c r="C500" i="2" s="1"/>
  <c r="D500" i="2" s="1"/>
  <c r="F500" i="2"/>
  <c r="E500" i="2" a="1"/>
  <c r="E500" i="2" s="1"/>
  <c r="H496" i="2"/>
  <c r="I495" i="2"/>
  <c r="J499" i="2"/>
  <c r="K499" i="2" s="1"/>
  <c r="G499" i="2"/>
  <c r="E501" i="2" a="1"/>
  <c r="E501" i="2" s="1"/>
  <c r="J500" i="2" l="1"/>
  <c r="K500" i="2" s="1"/>
  <c r="G500" i="2"/>
  <c r="H497" i="2"/>
  <c r="I496" i="2"/>
  <c r="F501" i="2"/>
  <c r="A502" i="2"/>
  <c r="B501" i="2"/>
  <c r="C501" i="2" s="1"/>
  <c r="D501" i="2" s="1"/>
  <c r="H498" i="2" l="1"/>
  <c r="I497" i="2"/>
  <c r="F502" i="2"/>
  <c r="A503" i="2"/>
  <c r="B502" i="2"/>
  <c r="C502" i="2" s="1"/>
  <c r="D502" i="2" s="1"/>
  <c r="J501" i="2"/>
  <c r="K501" i="2" s="1"/>
  <c r="G501" i="2"/>
  <c r="E502" i="2" a="1"/>
  <c r="E502" i="2" s="1"/>
  <c r="J502" i="2" l="1"/>
  <c r="K502" i="2" s="1"/>
  <c r="G502" i="2"/>
  <c r="F503" i="2"/>
  <c r="A504" i="2"/>
  <c r="B503" i="2"/>
  <c r="C503" i="2" s="1"/>
  <c r="D503" i="2" s="1"/>
  <c r="E503" i="2" a="1"/>
  <c r="E503" i="2" s="1"/>
  <c r="E504" i="2" a="1"/>
  <c r="E504" i="2" s="1"/>
  <c r="H499" i="2"/>
  <c r="I498" i="2"/>
  <c r="F504" i="2" l="1"/>
  <c r="A505" i="2"/>
  <c r="B504" i="2"/>
  <c r="C504" i="2" s="1"/>
  <c r="D504" i="2" s="1"/>
  <c r="J503" i="2"/>
  <c r="K503" i="2" s="1"/>
  <c r="G503" i="2"/>
  <c r="H500" i="2"/>
  <c r="I500" i="2" s="1"/>
  <c r="I499" i="2"/>
  <c r="H501" i="2" l="1"/>
  <c r="E505" i="2" a="1"/>
  <c r="E505" i="2" s="1"/>
  <c r="F505" i="2"/>
  <c r="A506" i="2"/>
  <c r="B505" i="2"/>
  <c r="C505" i="2" s="1"/>
  <c r="D505" i="2" s="1"/>
  <c r="J504" i="2"/>
  <c r="K504" i="2" s="1"/>
  <c r="G504" i="2"/>
  <c r="F506" i="2" l="1"/>
  <c r="A507" i="2"/>
  <c r="B506" i="2"/>
  <c r="C506" i="2" s="1"/>
  <c r="D506" i="2" s="1"/>
  <c r="E506" i="2" a="1"/>
  <c r="E506" i="2" s="1"/>
  <c r="J505" i="2"/>
  <c r="K505" i="2" s="1"/>
  <c r="G505" i="2"/>
  <c r="H502" i="2"/>
  <c r="I502" i="2" s="1"/>
  <c r="I501" i="2"/>
  <c r="E507" i="2" l="1" a="1"/>
  <c r="E507" i="2" s="1"/>
  <c r="H503" i="2"/>
  <c r="F507" i="2"/>
  <c r="A508" i="2"/>
  <c r="B507" i="2"/>
  <c r="C507" i="2" s="1"/>
  <c r="D507" i="2" s="1"/>
  <c r="J506" i="2"/>
  <c r="K506" i="2" s="1"/>
  <c r="G506" i="2"/>
  <c r="J507" i="2" l="1"/>
  <c r="K507" i="2" s="1"/>
  <c r="G507" i="2"/>
  <c r="H504" i="2"/>
  <c r="I504" i="2" s="1"/>
  <c r="I503" i="2"/>
  <c r="E508" i="2" a="1"/>
  <c r="E508" i="2" s="1"/>
  <c r="F508" i="2"/>
  <c r="A509" i="2"/>
  <c r="B508" i="2"/>
  <c r="C508" i="2" s="1"/>
  <c r="D508" i="2" s="1"/>
  <c r="G508" i="2" l="1"/>
  <c r="J508" i="2"/>
  <c r="K508" i="2" s="1"/>
  <c r="E509" i="2" a="1"/>
  <c r="E509" i="2" s="1"/>
  <c r="F509" i="2"/>
  <c r="A510" i="2"/>
  <c r="B509" i="2"/>
  <c r="C509" i="2" s="1"/>
  <c r="D509" i="2" s="1"/>
  <c r="H505" i="2"/>
  <c r="I505" i="2" s="1"/>
  <c r="E510" i="2" l="1" a="1"/>
  <c r="E510" i="2" s="1"/>
  <c r="G509" i="2"/>
  <c r="J509" i="2"/>
  <c r="K509" i="2" s="1"/>
  <c r="F510" i="2"/>
  <c r="A511" i="2"/>
  <c r="B510" i="2"/>
  <c r="C510" i="2" s="1"/>
  <c r="D510" i="2" s="1"/>
  <c r="H506" i="2"/>
  <c r="I506" i="2" s="1"/>
  <c r="F511" i="2" l="1"/>
  <c r="A512" i="2"/>
  <c r="B511" i="2"/>
  <c r="C511" i="2" s="1"/>
  <c r="D511" i="2" s="1"/>
  <c r="E512" i="2" s="1" a="1"/>
  <c r="E512" i="2" s="1"/>
  <c r="G510" i="2"/>
  <c r="J510" i="2"/>
  <c r="K510" i="2" s="1"/>
  <c r="E511" i="2" a="1"/>
  <c r="E511" i="2" s="1"/>
  <c r="H507" i="2"/>
  <c r="I507" i="2" s="1"/>
  <c r="H508" i="2" l="1"/>
  <c r="A513" i="2"/>
  <c r="B512" i="2"/>
  <c r="C512" i="2" s="1"/>
  <c r="D512" i="2" s="1"/>
  <c r="F512" i="2"/>
  <c r="J511" i="2"/>
  <c r="K511" i="2" s="1"/>
  <c r="G511" i="2"/>
  <c r="H509" i="2" l="1"/>
  <c r="I509" i="2" s="1"/>
  <c r="I508" i="2"/>
  <c r="J512" i="2"/>
  <c r="K512" i="2" s="1"/>
  <c r="G512" i="2"/>
  <c r="E513" i="2" a="1"/>
  <c r="E513" i="2" s="1"/>
  <c r="B513" i="2"/>
  <c r="C513" i="2" s="1"/>
  <c r="D513" i="2" s="1"/>
  <c r="A514" i="2"/>
  <c r="F513" i="2"/>
  <c r="J513" i="2" l="1"/>
  <c r="K513" i="2" s="1"/>
  <c r="G513" i="2"/>
  <c r="A515" i="2"/>
  <c r="B514" i="2"/>
  <c r="C514" i="2" s="1"/>
  <c r="D514" i="2" s="1"/>
  <c r="F514" i="2"/>
  <c r="E514" i="2" a="1"/>
  <c r="E514" i="2" s="1"/>
  <c r="H510" i="2"/>
  <c r="J514" i="2" l="1"/>
  <c r="K514" i="2" s="1"/>
  <c r="G514" i="2"/>
  <c r="F515" i="2"/>
  <c r="B515" i="2"/>
  <c r="C515" i="2" s="1"/>
  <c r="D515" i="2" s="1"/>
  <c r="A516" i="2"/>
  <c r="E515" i="2" a="1"/>
  <c r="E515" i="2" s="1"/>
  <c r="H511" i="2"/>
  <c r="I511" i="2" s="1"/>
  <c r="I510" i="2"/>
  <c r="H512" i="2" l="1"/>
  <c r="I512" i="2" s="1"/>
  <c r="A517" i="2"/>
  <c r="F516" i="2"/>
  <c r="B516" i="2"/>
  <c r="C516" i="2" s="1"/>
  <c r="D516" i="2" s="1"/>
  <c r="E516" i="2" a="1"/>
  <c r="E516" i="2" s="1"/>
  <c r="J515" i="2"/>
  <c r="K515" i="2" s="1"/>
  <c r="G515" i="2"/>
  <c r="E517" i="2" l="1" a="1"/>
  <c r="E517" i="2" s="1"/>
  <c r="J516" i="2"/>
  <c r="K516" i="2" s="1"/>
  <c r="G516" i="2"/>
  <c r="A518" i="2"/>
  <c r="F517" i="2"/>
  <c r="B517" i="2"/>
  <c r="C517" i="2" s="1"/>
  <c r="D517" i="2" s="1"/>
  <c r="H513" i="2"/>
  <c r="H514" i="2" l="1"/>
  <c r="I514" i="2" s="1"/>
  <c r="E518" i="2" a="1"/>
  <c r="E518" i="2" s="1"/>
  <c r="J517" i="2"/>
  <c r="K517" i="2" s="1"/>
  <c r="G517" i="2"/>
  <c r="A519" i="2"/>
  <c r="B518" i="2"/>
  <c r="C518" i="2" s="1"/>
  <c r="D518" i="2" s="1"/>
  <c r="F518" i="2"/>
  <c r="I513" i="2"/>
  <c r="F519" i="2" l="1"/>
  <c r="A520" i="2"/>
  <c r="B519" i="2"/>
  <c r="C519" i="2" s="1"/>
  <c r="D519" i="2" s="1"/>
  <c r="E519" i="2" a="1"/>
  <c r="E519" i="2" s="1"/>
  <c r="H515" i="2"/>
  <c r="G518" i="2"/>
  <c r="J518" i="2"/>
  <c r="K518" i="2" s="1"/>
  <c r="E520" i="2" a="1"/>
  <c r="E520" i="2" s="1"/>
  <c r="G519" i="2" l="1"/>
  <c r="J519" i="2"/>
  <c r="K519" i="2" s="1"/>
  <c r="H516" i="2"/>
  <c r="I516" i="2" s="1"/>
  <c r="I515" i="2"/>
  <c r="F520" i="2"/>
  <c r="A521" i="2"/>
  <c r="B520" i="2"/>
  <c r="C520" i="2" s="1"/>
  <c r="D520" i="2" s="1"/>
  <c r="E521" i="2" l="1" a="1"/>
  <c r="E521" i="2" s="1"/>
  <c r="H517" i="2"/>
  <c r="J520" i="2"/>
  <c r="K520" i="2" s="1"/>
  <c r="G520" i="2"/>
  <c r="A522" i="2"/>
  <c r="B521" i="2"/>
  <c r="C521" i="2" s="1"/>
  <c r="D521" i="2" s="1"/>
  <c r="F521" i="2"/>
  <c r="E522" i="2" l="1" a="1"/>
  <c r="E522" i="2" s="1"/>
  <c r="A523" i="2"/>
  <c r="B522" i="2"/>
  <c r="C522" i="2" s="1"/>
  <c r="D522" i="2" s="1"/>
  <c r="F522" i="2"/>
  <c r="H518" i="2"/>
  <c r="I518" i="2" s="1"/>
  <c r="I517" i="2"/>
  <c r="J521" i="2"/>
  <c r="K521" i="2" s="1"/>
  <c r="G521" i="2"/>
  <c r="A524" i="2" l="1"/>
  <c r="F523" i="2"/>
  <c r="B523" i="2"/>
  <c r="C523" i="2" s="1"/>
  <c r="D523" i="2" s="1"/>
  <c r="E524" i="2" s="1" a="1"/>
  <c r="E524" i="2" s="1"/>
  <c r="H519" i="2"/>
  <c r="J522" i="2"/>
  <c r="K522" i="2" s="1"/>
  <c r="G522" i="2"/>
  <c r="E523" i="2" a="1"/>
  <c r="E523" i="2" s="1"/>
  <c r="J523" i="2" l="1"/>
  <c r="K523" i="2" s="1"/>
  <c r="G523" i="2"/>
  <c r="A525" i="2"/>
  <c r="B524" i="2"/>
  <c r="C524" i="2" s="1"/>
  <c r="D524" i="2" s="1"/>
  <c r="F524" i="2"/>
  <c r="H520" i="2"/>
  <c r="I520" i="2" s="1"/>
  <c r="I519" i="2"/>
  <c r="H521" i="2" l="1"/>
  <c r="G524" i="2"/>
  <c r="J524" i="2"/>
  <c r="K524" i="2" s="1"/>
  <c r="E525" i="2" a="1"/>
  <c r="E525" i="2" s="1"/>
  <c r="A526" i="2"/>
  <c r="B525" i="2"/>
  <c r="C525" i="2" s="1"/>
  <c r="D525" i="2" s="1"/>
  <c r="F525" i="2"/>
  <c r="J525" i="2" l="1"/>
  <c r="K525" i="2" s="1"/>
  <c r="G525" i="2"/>
  <c r="F526" i="2"/>
  <c r="B526" i="2"/>
  <c r="C526" i="2" s="1"/>
  <c r="D526" i="2" s="1"/>
  <c r="A527" i="2"/>
  <c r="E526" i="2" a="1"/>
  <c r="E526" i="2" s="1"/>
  <c r="H522" i="2"/>
  <c r="I521" i="2"/>
  <c r="E527" i="2" l="1" a="1"/>
  <c r="E527" i="2" s="1"/>
  <c r="H523" i="2"/>
  <c r="I523" i="2" s="1"/>
  <c r="I522" i="2"/>
  <c r="A528" i="2"/>
  <c r="F527" i="2"/>
  <c r="B527" i="2"/>
  <c r="C527" i="2" s="1"/>
  <c r="D527" i="2" s="1"/>
  <c r="E528" i="2" a="1"/>
  <c r="E528" i="2" s="1"/>
  <c r="J526" i="2"/>
  <c r="K526" i="2" s="1"/>
  <c r="G526" i="2"/>
  <c r="J527" i="2" l="1"/>
  <c r="K527" i="2" s="1"/>
  <c r="G527" i="2"/>
  <c r="F528" i="2"/>
  <c r="B528" i="2"/>
  <c r="C528" i="2" s="1"/>
  <c r="D528" i="2" s="1"/>
  <c r="A529" i="2"/>
  <c r="H524" i="2"/>
  <c r="I524" i="2" s="1"/>
  <c r="F529" i="2" l="1"/>
  <c r="A530" i="2"/>
  <c r="B529" i="2"/>
  <c r="C529" i="2" s="1"/>
  <c r="D529" i="2" s="1"/>
  <c r="E529" i="2" a="1"/>
  <c r="E529" i="2" s="1"/>
  <c r="J528" i="2"/>
  <c r="K528" i="2" s="1"/>
  <c r="G528" i="2"/>
  <c r="H525" i="2"/>
  <c r="I525" i="2" s="1"/>
  <c r="E530" i="2" l="1" a="1"/>
  <c r="E530" i="2" s="1"/>
  <c r="F530" i="2"/>
  <c r="A531" i="2"/>
  <c r="B530" i="2"/>
  <c r="C530" i="2" s="1"/>
  <c r="D530" i="2" s="1"/>
  <c r="J529" i="2"/>
  <c r="K529" i="2" s="1"/>
  <c r="G529" i="2"/>
  <c r="H526" i="2"/>
  <c r="I526" i="2" s="1"/>
  <c r="E531" i="2" l="1" a="1"/>
  <c r="E531" i="2" s="1"/>
  <c r="F531" i="2"/>
  <c r="A532" i="2"/>
  <c r="B531" i="2"/>
  <c r="C531" i="2" s="1"/>
  <c r="D531" i="2" s="1"/>
  <c r="G530" i="2"/>
  <c r="J530" i="2"/>
  <c r="K530" i="2" s="1"/>
  <c r="H527" i="2"/>
  <c r="I527" i="2" s="1"/>
  <c r="E532" i="2" l="1" a="1"/>
  <c r="E532" i="2" s="1"/>
  <c r="H528" i="2"/>
  <c r="I528" i="2" s="1"/>
  <c r="F532" i="2"/>
  <c r="A533" i="2"/>
  <c r="B532" i="2"/>
  <c r="C532" i="2" s="1"/>
  <c r="D532" i="2" s="1"/>
  <c r="J531" i="2"/>
  <c r="K531" i="2" s="1"/>
  <c r="G531" i="2"/>
  <c r="F533" i="2" l="1"/>
  <c r="B533" i="2"/>
  <c r="C533" i="2" s="1"/>
  <c r="D533" i="2" s="1"/>
  <c r="A534" i="2"/>
  <c r="J532" i="2"/>
  <c r="K532" i="2" s="1"/>
  <c r="G532" i="2"/>
  <c r="E533" i="2" a="1"/>
  <c r="E533" i="2" s="1"/>
  <c r="H529" i="2"/>
  <c r="I529" i="2" s="1"/>
  <c r="H530" i="2" l="1"/>
  <c r="A535" i="2"/>
  <c r="B534" i="2"/>
  <c r="C534" i="2" s="1"/>
  <c r="D534" i="2" s="1"/>
  <c r="F534" i="2"/>
  <c r="E534" i="2" a="1"/>
  <c r="E534" i="2" s="1"/>
  <c r="J533" i="2"/>
  <c r="K533" i="2" s="1"/>
  <c r="G533" i="2"/>
  <c r="G534" i="2" l="1"/>
  <c r="J534" i="2"/>
  <c r="K534" i="2" s="1"/>
  <c r="E535" i="2" a="1"/>
  <c r="E535" i="2" s="1"/>
  <c r="F535" i="2"/>
  <c r="A536" i="2"/>
  <c r="B535" i="2"/>
  <c r="C535" i="2" s="1"/>
  <c r="D535" i="2" s="1"/>
  <c r="H531" i="2"/>
  <c r="I531" i="2" s="1"/>
  <c r="I530" i="2"/>
  <c r="H532" i="2" l="1"/>
  <c r="I532" i="2" s="1"/>
  <c r="E536" i="2" a="1"/>
  <c r="E536" i="2" s="1"/>
  <c r="F536" i="2"/>
  <c r="A537" i="2"/>
  <c r="B536" i="2"/>
  <c r="C536" i="2" s="1"/>
  <c r="D536" i="2" s="1"/>
  <c r="E537" i="2" s="1" a="1"/>
  <c r="E537" i="2" s="1"/>
  <c r="G535" i="2"/>
  <c r="J535" i="2"/>
  <c r="K535" i="2" s="1"/>
  <c r="A538" i="2" l="1"/>
  <c r="B537" i="2"/>
  <c r="C537" i="2" s="1"/>
  <c r="D537" i="2" s="1"/>
  <c r="E538" i="2" s="1" a="1"/>
  <c r="E538" i="2" s="1"/>
  <c r="F537" i="2"/>
  <c r="J536" i="2"/>
  <c r="K536" i="2" s="1"/>
  <c r="G536" i="2"/>
  <c r="H533" i="2"/>
  <c r="A539" i="2" l="1"/>
  <c r="B538" i="2"/>
  <c r="C538" i="2" s="1"/>
  <c r="D538" i="2" s="1"/>
  <c r="F538" i="2"/>
  <c r="H534" i="2"/>
  <c r="I534" i="2" s="1"/>
  <c r="I533" i="2"/>
  <c r="J537" i="2"/>
  <c r="K537" i="2" s="1"/>
  <c r="G537" i="2"/>
  <c r="E539" i="2" l="1" a="1"/>
  <c r="E539" i="2" s="1"/>
  <c r="J538" i="2"/>
  <c r="K538" i="2" s="1"/>
  <c r="G538" i="2"/>
  <c r="H535" i="2"/>
  <c r="A540" i="2"/>
  <c r="F539" i="2"/>
  <c r="B539" i="2"/>
  <c r="C539" i="2" s="1"/>
  <c r="D539" i="2" s="1"/>
  <c r="H536" i="2" l="1"/>
  <c r="I535" i="2"/>
  <c r="J539" i="2"/>
  <c r="K539" i="2" s="1"/>
  <c r="G539" i="2"/>
  <c r="A541" i="2"/>
  <c r="B540" i="2"/>
  <c r="C540" i="2" s="1"/>
  <c r="D540" i="2" s="1"/>
  <c r="F540" i="2"/>
  <c r="E540" i="2" a="1"/>
  <c r="E540" i="2" s="1"/>
  <c r="G540" i="2" l="1"/>
  <c r="J540" i="2"/>
  <c r="K540" i="2" s="1"/>
  <c r="A542" i="2"/>
  <c r="B541" i="2"/>
  <c r="C541" i="2" s="1"/>
  <c r="D541" i="2" s="1"/>
  <c r="F541" i="2"/>
  <c r="E542" i="2" a="1"/>
  <c r="E542" i="2" s="1"/>
  <c r="E541" i="2" a="1"/>
  <c r="E541" i="2" s="1"/>
  <c r="H537" i="2"/>
  <c r="I537" i="2" s="1"/>
  <c r="I536" i="2"/>
  <c r="J541" i="2" l="1"/>
  <c r="K541" i="2" s="1"/>
  <c r="G541" i="2"/>
  <c r="H538" i="2"/>
  <c r="F542" i="2"/>
  <c r="A543" i="2"/>
  <c r="B542" i="2"/>
  <c r="C542" i="2" s="1"/>
  <c r="D542" i="2" s="1"/>
  <c r="E543" i="2" l="1" a="1"/>
  <c r="E543" i="2" s="1"/>
  <c r="F543" i="2"/>
  <c r="B543" i="2"/>
  <c r="C543" i="2" s="1"/>
  <c r="D543" i="2" s="1"/>
  <c r="A544" i="2"/>
  <c r="J542" i="2"/>
  <c r="K542" i="2" s="1"/>
  <c r="G542" i="2"/>
  <c r="H539" i="2"/>
  <c r="I539" i="2" s="1"/>
  <c r="I538" i="2"/>
  <c r="H540" i="2" l="1"/>
  <c r="I540" i="2" s="1"/>
  <c r="J543" i="2"/>
  <c r="K543" i="2" s="1"/>
  <c r="G543" i="2"/>
  <c r="E544" i="2" a="1"/>
  <c r="E544" i="2" s="1"/>
  <c r="A545" i="2"/>
  <c r="F544" i="2"/>
  <c r="B544" i="2"/>
  <c r="C544" i="2" s="1"/>
  <c r="D544" i="2" s="1"/>
  <c r="H541" i="2" l="1"/>
  <c r="I541" i="2" s="1"/>
  <c r="J544" i="2"/>
  <c r="K544" i="2" s="1"/>
  <c r="G544" i="2"/>
  <c r="E545" i="2" a="1"/>
  <c r="E545" i="2" s="1"/>
  <c r="F545" i="2"/>
  <c r="A546" i="2"/>
  <c r="B545" i="2"/>
  <c r="C545" i="2" s="1"/>
  <c r="D545" i="2" s="1"/>
  <c r="E546" i="2" s="1" a="1"/>
  <c r="E546" i="2" s="1"/>
  <c r="F546" i="2" l="1"/>
  <c r="A547" i="2"/>
  <c r="B546" i="2"/>
  <c r="C546" i="2" s="1"/>
  <c r="D546" i="2" s="1"/>
  <c r="E547" i="2" s="1" a="1"/>
  <c r="E547" i="2" s="1"/>
  <c r="J545" i="2"/>
  <c r="K545" i="2" s="1"/>
  <c r="G545" i="2"/>
  <c r="H542" i="2"/>
  <c r="H543" i="2" l="1"/>
  <c r="I543" i="2" s="1"/>
  <c r="F547" i="2"/>
  <c r="A548" i="2"/>
  <c r="B547" i="2"/>
  <c r="C547" i="2" s="1"/>
  <c r="D547" i="2" s="1"/>
  <c r="I542" i="2"/>
  <c r="G546" i="2"/>
  <c r="J546" i="2"/>
  <c r="K546" i="2" s="1"/>
  <c r="E548" i="2" l="1" a="1"/>
  <c r="E548" i="2" s="1"/>
  <c r="F548" i="2"/>
  <c r="A549" i="2"/>
  <c r="B548" i="2"/>
  <c r="C548" i="2" s="1"/>
  <c r="D548" i="2" s="1"/>
  <c r="J547" i="2"/>
  <c r="K547" i="2" s="1"/>
  <c r="G547" i="2"/>
  <c r="H544" i="2"/>
  <c r="I544" i="2" s="1"/>
  <c r="E549" i="2" l="1" a="1"/>
  <c r="E549" i="2" s="1"/>
  <c r="F549" i="2"/>
  <c r="A550" i="2"/>
  <c r="B549" i="2"/>
  <c r="C549" i="2" s="1"/>
  <c r="D549" i="2" s="1"/>
  <c r="J548" i="2"/>
  <c r="K548" i="2" s="1"/>
  <c r="G548" i="2"/>
  <c r="H545" i="2"/>
  <c r="I545" i="2" s="1"/>
  <c r="A551" i="2" l="1"/>
  <c r="B550" i="2"/>
  <c r="C550" i="2" s="1"/>
  <c r="D550" i="2" s="1"/>
  <c r="F550" i="2"/>
  <c r="J549" i="2"/>
  <c r="K549" i="2" s="1"/>
  <c r="G549" i="2"/>
  <c r="E550" i="2" a="1"/>
  <c r="E550" i="2" s="1"/>
  <c r="H546" i="2"/>
  <c r="I546" i="2" s="1"/>
  <c r="E551" i="2" l="1" a="1"/>
  <c r="E551" i="2" s="1"/>
  <c r="F551" i="2"/>
  <c r="A552" i="2"/>
  <c r="B551" i="2"/>
  <c r="C551" i="2" s="1"/>
  <c r="D551" i="2" s="1"/>
  <c r="E552" i="2" s="1" a="1"/>
  <c r="E552" i="2" s="1"/>
  <c r="H547" i="2"/>
  <c r="I547" i="2" s="1"/>
  <c r="G550" i="2"/>
  <c r="J550" i="2"/>
  <c r="K550" i="2" s="1"/>
  <c r="F552" i="2" l="1"/>
  <c r="A553" i="2"/>
  <c r="B552" i="2"/>
  <c r="C552" i="2" s="1"/>
  <c r="D552" i="2" s="1"/>
  <c r="E553" i="2" s="1" a="1"/>
  <c r="E553" i="2" s="1"/>
  <c r="G551" i="2"/>
  <c r="J551" i="2"/>
  <c r="K551" i="2" s="1"/>
  <c r="H548" i="2"/>
  <c r="I548" i="2" s="1"/>
  <c r="H549" i="2" l="1"/>
  <c r="I549" i="2" s="1"/>
  <c r="A554" i="2"/>
  <c r="B553" i="2"/>
  <c r="C553" i="2" s="1"/>
  <c r="D553" i="2" s="1"/>
  <c r="F553" i="2"/>
  <c r="G552" i="2"/>
  <c r="J552" i="2"/>
  <c r="K552" i="2" s="1"/>
  <c r="H550" i="2" l="1"/>
  <c r="I550" i="2" s="1"/>
  <c r="E554" i="2" a="1"/>
  <c r="E554" i="2" s="1"/>
  <c r="J553" i="2"/>
  <c r="K553" i="2" s="1"/>
  <c r="G553" i="2"/>
  <c r="A555" i="2"/>
  <c r="B554" i="2"/>
  <c r="C554" i="2" s="1"/>
  <c r="D554" i="2" s="1"/>
  <c r="F554" i="2"/>
  <c r="F555" i="2" l="1"/>
  <c r="B555" i="2"/>
  <c r="C555" i="2" s="1"/>
  <c r="D555" i="2" s="1"/>
  <c r="A556" i="2"/>
  <c r="E555" i="2" a="1"/>
  <c r="E555" i="2" s="1"/>
  <c r="H551" i="2"/>
  <c r="I551" i="2" s="1"/>
  <c r="J554" i="2"/>
  <c r="K554" i="2" s="1"/>
  <c r="G554" i="2"/>
  <c r="A557" i="2" l="1"/>
  <c r="B556" i="2"/>
  <c r="C556" i="2" s="1"/>
  <c r="D556" i="2" s="1"/>
  <c r="F556" i="2"/>
  <c r="J555" i="2"/>
  <c r="K555" i="2" s="1"/>
  <c r="G555" i="2"/>
  <c r="E557" i="2" a="1"/>
  <c r="E557" i="2" s="1"/>
  <c r="H552" i="2"/>
  <c r="I552" i="2" s="1"/>
  <c r="E556" i="2" a="1"/>
  <c r="E556" i="2" s="1"/>
  <c r="J556" i="2" l="1"/>
  <c r="K556" i="2" s="1"/>
  <c r="G556" i="2"/>
  <c r="A558" i="2"/>
  <c r="B557" i="2"/>
  <c r="C557" i="2" s="1"/>
  <c r="D557" i="2" s="1"/>
  <c r="F557" i="2"/>
  <c r="H553" i="2"/>
  <c r="I553" i="2" s="1"/>
  <c r="E558" i="2" l="1" a="1"/>
  <c r="E558" i="2" s="1"/>
  <c r="J557" i="2"/>
  <c r="K557" i="2" s="1"/>
  <c r="G557" i="2"/>
  <c r="F558" i="2"/>
  <c r="B558" i="2"/>
  <c r="C558" i="2" s="1"/>
  <c r="D558" i="2" s="1"/>
  <c r="A559" i="2"/>
  <c r="H554" i="2"/>
  <c r="H555" i="2" l="1"/>
  <c r="I554" i="2"/>
  <c r="F559" i="2"/>
  <c r="A560" i="2"/>
  <c r="B559" i="2"/>
  <c r="C559" i="2" s="1"/>
  <c r="D559" i="2" s="1"/>
  <c r="E559" i="2" a="1"/>
  <c r="E559" i="2" s="1"/>
  <c r="J558" i="2"/>
  <c r="K558" i="2" s="1"/>
  <c r="G558" i="2"/>
  <c r="E560" i="2" l="1" a="1"/>
  <c r="E560" i="2" s="1"/>
  <c r="H556" i="2"/>
  <c r="I556" i="2" s="1"/>
  <c r="I555" i="2"/>
  <c r="F560" i="2"/>
  <c r="A561" i="2"/>
  <c r="B560" i="2"/>
  <c r="C560" i="2" s="1"/>
  <c r="D560" i="2" s="1"/>
  <c r="J559" i="2"/>
  <c r="K559" i="2" s="1"/>
  <c r="G559" i="2"/>
  <c r="E561" i="2" l="1" a="1"/>
  <c r="E561" i="2" s="1"/>
  <c r="F561" i="2"/>
  <c r="B561" i="2"/>
  <c r="C561" i="2" s="1"/>
  <c r="D561" i="2" s="1"/>
  <c r="A562" i="2"/>
  <c r="J560" i="2"/>
  <c r="K560" i="2" s="1"/>
  <c r="G560" i="2"/>
  <c r="H557" i="2"/>
  <c r="I557" i="2" s="1"/>
  <c r="H558" i="2" l="1"/>
  <c r="I558" i="2" s="1"/>
  <c r="F562" i="2"/>
  <c r="A563" i="2"/>
  <c r="B562" i="2"/>
  <c r="C562" i="2" s="1"/>
  <c r="D562" i="2" s="1"/>
  <c r="E563" i="2" s="1" a="1"/>
  <c r="E563" i="2" s="1"/>
  <c r="E562" i="2" a="1"/>
  <c r="E562" i="2" s="1"/>
  <c r="J561" i="2"/>
  <c r="K561" i="2" s="1"/>
  <c r="G561" i="2"/>
  <c r="F563" i="2" l="1"/>
  <c r="A564" i="2"/>
  <c r="B563" i="2"/>
  <c r="C563" i="2" s="1"/>
  <c r="D563" i="2" s="1"/>
  <c r="G562" i="2"/>
  <c r="J562" i="2"/>
  <c r="K562" i="2" s="1"/>
  <c r="H559" i="2"/>
  <c r="I559" i="2" s="1"/>
  <c r="E564" i="2" a="1"/>
  <c r="E564" i="2" s="1"/>
  <c r="H560" i="2" l="1"/>
  <c r="F564" i="2"/>
  <c r="A565" i="2"/>
  <c r="B564" i="2"/>
  <c r="C564" i="2" s="1"/>
  <c r="D564" i="2" s="1"/>
  <c r="J563" i="2"/>
  <c r="K563" i="2" s="1"/>
  <c r="G563" i="2"/>
  <c r="F565" i="2" l="1"/>
  <c r="A566" i="2"/>
  <c r="B565" i="2"/>
  <c r="C565" i="2" s="1"/>
  <c r="D565" i="2" s="1"/>
  <c r="J564" i="2"/>
  <c r="K564" i="2" s="1"/>
  <c r="G564" i="2"/>
  <c r="H561" i="2"/>
  <c r="I560" i="2"/>
  <c r="E565" i="2" a="1"/>
  <c r="E565" i="2" s="1"/>
  <c r="A567" i="2" l="1"/>
  <c r="B566" i="2"/>
  <c r="C566" i="2" s="1"/>
  <c r="D566" i="2" s="1"/>
  <c r="F566" i="2"/>
  <c r="J565" i="2"/>
  <c r="K565" i="2" s="1"/>
  <c r="G565" i="2"/>
  <c r="H562" i="2"/>
  <c r="I561" i="2"/>
  <c r="E566" i="2" a="1"/>
  <c r="E566" i="2" s="1"/>
  <c r="E567" i="2" l="1" a="1"/>
  <c r="E567" i="2" s="1"/>
  <c r="H563" i="2"/>
  <c r="I563" i="2" s="1"/>
  <c r="F567" i="2"/>
  <c r="A568" i="2"/>
  <c r="B567" i="2"/>
  <c r="C567" i="2" s="1"/>
  <c r="D567" i="2" s="1"/>
  <c r="I562" i="2"/>
  <c r="G566" i="2"/>
  <c r="J566" i="2"/>
  <c r="K566" i="2" s="1"/>
  <c r="E568" i="2" l="1" a="1"/>
  <c r="E568" i="2" s="1"/>
  <c r="F568" i="2"/>
  <c r="A569" i="2"/>
  <c r="B568" i="2"/>
  <c r="C568" i="2" s="1"/>
  <c r="D568" i="2" s="1"/>
  <c r="E569" i="2" s="1" a="1"/>
  <c r="E569" i="2" s="1"/>
  <c r="G567" i="2"/>
  <c r="J567" i="2"/>
  <c r="K567" i="2" s="1"/>
  <c r="H564" i="2"/>
  <c r="I564" i="2" s="1"/>
  <c r="H565" i="2" l="1"/>
  <c r="I565" i="2" s="1"/>
  <c r="A570" i="2"/>
  <c r="B569" i="2"/>
  <c r="C569" i="2" s="1"/>
  <c r="D569" i="2" s="1"/>
  <c r="F569" i="2"/>
  <c r="J568" i="2"/>
  <c r="K568" i="2" s="1"/>
  <c r="G568" i="2"/>
  <c r="E570" i="2" l="1" a="1"/>
  <c r="E570" i="2" s="1"/>
  <c r="J569" i="2"/>
  <c r="K569" i="2" s="1"/>
  <c r="G569" i="2"/>
  <c r="A571" i="2"/>
  <c r="B570" i="2"/>
  <c r="C570" i="2" s="1"/>
  <c r="D570" i="2" s="1"/>
  <c r="F570" i="2"/>
  <c r="H566" i="2"/>
  <c r="I566" i="2" s="1"/>
  <c r="E571" i="2" l="1" a="1"/>
  <c r="E571" i="2" s="1"/>
  <c r="H567" i="2"/>
  <c r="I567" i="2" s="1"/>
  <c r="J570" i="2"/>
  <c r="K570" i="2" s="1"/>
  <c r="G570" i="2"/>
  <c r="A572" i="2"/>
  <c r="F571" i="2"/>
  <c r="B571" i="2"/>
  <c r="C571" i="2" s="1"/>
  <c r="D571" i="2" s="1"/>
  <c r="E572" i="2" s="1" a="1"/>
  <c r="E572" i="2" s="1"/>
  <c r="J571" i="2" l="1"/>
  <c r="K571" i="2" s="1"/>
  <c r="G571" i="2"/>
  <c r="A573" i="2"/>
  <c r="B572" i="2"/>
  <c r="C572" i="2" s="1"/>
  <c r="D572" i="2" s="1"/>
  <c r="F572" i="2"/>
  <c r="H568" i="2"/>
  <c r="I568" i="2" s="1"/>
  <c r="E573" i="2" l="1" a="1"/>
  <c r="E573" i="2" s="1"/>
  <c r="H569" i="2"/>
  <c r="I569" i="2" s="1"/>
  <c r="J572" i="2"/>
  <c r="K572" i="2" s="1"/>
  <c r="G572" i="2"/>
  <c r="A574" i="2"/>
  <c r="B573" i="2"/>
  <c r="C573" i="2" s="1"/>
  <c r="D573" i="2" s="1"/>
  <c r="F573" i="2"/>
  <c r="E574" i="2" l="1" a="1"/>
  <c r="E574" i="2" s="1"/>
  <c r="J573" i="2"/>
  <c r="K573" i="2" s="1"/>
  <c r="G573" i="2"/>
  <c r="F574" i="2"/>
  <c r="A575" i="2"/>
  <c r="B574" i="2"/>
  <c r="C574" i="2" s="1"/>
  <c r="D574" i="2" s="1"/>
  <c r="H570" i="2"/>
  <c r="I570" i="2" s="1"/>
  <c r="E575" i="2" l="1" a="1"/>
  <c r="E575" i="2" s="1"/>
  <c r="H571" i="2"/>
  <c r="I571" i="2" s="1"/>
  <c r="F575" i="2"/>
  <c r="A576" i="2"/>
  <c r="B575" i="2"/>
  <c r="C575" i="2" s="1"/>
  <c r="D575" i="2" s="1"/>
  <c r="J574" i="2"/>
  <c r="K574" i="2" s="1"/>
  <c r="G574" i="2"/>
  <c r="E576" i="2" l="1" a="1"/>
  <c r="E576" i="2" s="1"/>
  <c r="F576" i="2"/>
  <c r="B576" i="2"/>
  <c r="C576" i="2" s="1"/>
  <c r="D576" i="2" s="1"/>
  <c r="A577" i="2"/>
  <c r="J575" i="2"/>
  <c r="K575" i="2" s="1"/>
  <c r="G575" i="2"/>
  <c r="H572" i="2"/>
  <c r="I572" i="2" s="1"/>
  <c r="E577" i="2" l="1" a="1"/>
  <c r="E577" i="2" s="1"/>
  <c r="H573" i="2"/>
  <c r="I573" i="2" s="1"/>
  <c r="F577" i="2"/>
  <c r="A578" i="2"/>
  <c r="B577" i="2"/>
  <c r="C577" i="2" s="1"/>
  <c r="D577" i="2" s="1"/>
  <c r="J576" i="2"/>
  <c r="K576" i="2" s="1"/>
  <c r="G576" i="2"/>
  <c r="E578" i="2" l="1" a="1"/>
  <c r="E578" i="2" s="1"/>
  <c r="F578" i="2"/>
  <c r="A579" i="2"/>
  <c r="B578" i="2"/>
  <c r="C578" i="2" s="1"/>
  <c r="D578" i="2" s="1"/>
  <c r="J577" i="2"/>
  <c r="K577" i="2" s="1"/>
  <c r="G577" i="2"/>
  <c r="H574" i="2"/>
  <c r="I574" i="2" s="1"/>
  <c r="E579" i="2" l="1" a="1"/>
  <c r="E579" i="2" s="1"/>
  <c r="H575" i="2"/>
  <c r="I575" i="2" s="1"/>
  <c r="F579" i="2"/>
  <c r="A580" i="2"/>
  <c r="B579" i="2"/>
  <c r="C579" i="2" s="1"/>
  <c r="D579" i="2" s="1"/>
  <c r="G578" i="2"/>
  <c r="J578" i="2"/>
  <c r="K578" i="2" s="1"/>
  <c r="E580" i="2" l="1" a="1"/>
  <c r="E580" i="2" s="1"/>
  <c r="F580" i="2"/>
  <c r="A581" i="2"/>
  <c r="B580" i="2"/>
  <c r="C580" i="2" s="1"/>
  <c r="D580" i="2" s="1"/>
  <c r="J579" i="2"/>
  <c r="K579" i="2" s="1"/>
  <c r="G579" i="2"/>
  <c r="H576" i="2"/>
  <c r="I576" i="2" s="1"/>
  <c r="E581" i="2" l="1" a="1"/>
  <c r="E581" i="2" s="1"/>
  <c r="H577" i="2"/>
  <c r="I577" i="2" s="1"/>
  <c r="F581" i="2"/>
  <c r="A582" i="2"/>
  <c r="B581" i="2"/>
  <c r="C581" i="2" s="1"/>
  <c r="D581" i="2" s="1"/>
  <c r="J580" i="2"/>
  <c r="K580" i="2" s="1"/>
  <c r="G580" i="2"/>
  <c r="E582" i="2" l="1" a="1"/>
  <c r="E582" i="2" s="1"/>
  <c r="A583" i="2"/>
  <c r="B582" i="2"/>
  <c r="C582" i="2" s="1"/>
  <c r="D582" i="2" s="1"/>
  <c r="F582" i="2"/>
  <c r="J581" i="2"/>
  <c r="K581" i="2" s="1"/>
  <c r="G581" i="2"/>
  <c r="H578" i="2"/>
  <c r="I578" i="2" s="1"/>
  <c r="E583" i="2" l="1" a="1"/>
  <c r="E583" i="2" s="1"/>
  <c r="H579" i="2"/>
  <c r="I579" i="2" s="1"/>
  <c r="G582" i="2"/>
  <c r="J582" i="2"/>
  <c r="K582" i="2" s="1"/>
  <c r="F583" i="2"/>
  <c r="A584" i="2"/>
  <c r="B583" i="2"/>
  <c r="C583" i="2" s="1"/>
  <c r="D583" i="2" s="1"/>
  <c r="E584" i="2" l="1" a="1"/>
  <c r="E584" i="2" s="1"/>
  <c r="F584" i="2"/>
  <c r="A585" i="2"/>
  <c r="B584" i="2"/>
  <c r="C584" i="2" s="1"/>
  <c r="D584" i="2" s="1"/>
  <c r="G583" i="2"/>
  <c r="J583" i="2"/>
  <c r="K583" i="2" s="1"/>
  <c r="H580" i="2"/>
  <c r="I580" i="2" s="1"/>
  <c r="E585" i="2" l="1" a="1"/>
  <c r="E585" i="2" s="1"/>
  <c r="H581" i="2"/>
  <c r="I581" i="2" s="1"/>
  <c r="A586" i="2"/>
  <c r="B585" i="2"/>
  <c r="C585" i="2" s="1"/>
  <c r="D585" i="2" s="1"/>
  <c r="F585" i="2"/>
  <c r="J584" i="2"/>
  <c r="K584" i="2" s="1"/>
  <c r="G584" i="2"/>
  <c r="E586" i="2" l="1" a="1"/>
  <c r="E586" i="2" s="1"/>
  <c r="J585" i="2"/>
  <c r="K585" i="2" s="1"/>
  <c r="G585" i="2"/>
  <c r="A587" i="2"/>
  <c r="B586" i="2"/>
  <c r="C586" i="2" s="1"/>
  <c r="D586" i="2" s="1"/>
  <c r="F586" i="2"/>
  <c r="H582" i="2"/>
  <c r="I582" i="2" s="1"/>
  <c r="E587" i="2" l="1" a="1"/>
  <c r="E587" i="2" s="1"/>
  <c r="H583" i="2"/>
  <c r="I583" i="2" s="1"/>
  <c r="J586" i="2"/>
  <c r="K586" i="2" s="1"/>
  <c r="G586" i="2"/>
  <c r="A588" i="2"/>
  <c r="F587" i="2"/>
  <c r="B587" i="2"/>
  <c r="C587" i="2" s="1"/>
  <c r="D587" i="2" s="1"/>
  <c r="E588" i="2" l="1" a="1"/>
  <c r="E588" i="2" s="1"/>
  <c r="J587" i="2"/>
  <c r="K587" i="2" s="1"/>
  <c r="G587" i="2"/>
  <c r="A589" i="2"/>
  <c r="B588" i="2"/>
  <c r="C588" i="2" s="1"/>
  <c r="D588" i="2" s="1"/>
  <c r="F588" i="2"/>
  <c r="H584" i="2"/>
  <c r="I584" i="2" s="1"/>
  <c r="E589" i="2" l="1" a="1"/>
  <c r="E589" i="2" s="1"/>
  <c r="H585" i="2"/>
  <c r="I585" i="2" s="1"/>
  <c r="J588" i="2"/>
  <c r="K588" i="2" s="1"/>
  <c r="G588" i="2"/>
  <c r="A590" i="2"/>
  <c r="B589" i="2"/>
  <c r="C589" i="2" s="1"/>
  <c r="D589" i="2" s="1"/>
  <c r="F589" i="2"/>
  <c r="E590" i="2" l="1" a="1"/>
  <c r="E590" i="2" s="1"/>
  <c r="J589" i="2"/>
  <c r="K589" i="2" s="1"/>
  <c r="G589" i="2"/>
  <c r="F590" i="2"/>
  <c r="A591" i="2"/>
  <c r="B590" i="2"/>
  <c r="C590" i="2" s="1"/>
  <c r="D590" i="2" s="1"/>
  <c r="H586" i="2"/>
  <c r="I586" i="2" s="1"/>
  <c r="E591" i="2" l="1" a="1"/>
  <c r="E591" i="2" s="1"/>
  <c r="H587" i="2"/>
  <c r="I587" i="2" s="1"/>
  <c r="F591" i="2"/>
  <c r="B591" i="2"/>
  <c r="C591" i="2" s="1"/>
  <c r="D591" i="2" s="1"/>
  <c r="A592" i="2"/>
  <c r="J590" i="2"/>
  <c r="K590" i="2" s="1"/>
  <c r="G590" i="2"/>
  <c r="E592" i="2" l="1" a="1"/>
  <c r="E592" i="2" s="1"/>
  <c r="F592" i="2"/>
  <c r="A593" i="2"/>
  <c r="B592" i="2"/>
  <c r="C592" i="2" s="1"/>
  <c r="D592" i="2" s="1"/>
  <c r="J591" i="2"/>
  <c r="K591" i="2" s="1"/>
  <c r="G591" i="2"/>
  <c r="H588" i="2"/>
  <c r="I588" i="2" s="1"/>
  <c r="E593" i="2" l="1" a="1"/>
  <c r="E593" i="2" s="1"/>
  <c r="H589" i="2"/>
  <c r="I589" i="2" s="1"/>
  <c r="F593" i="2"/>
  <c r="A594" i="2"/>
  <c r="B593" i="2"/>
  <c r="C593" i="2" s="1"/>
  <c r="D593" i="2" s="1"/>
  <c r="J592" i="2"/>
  <c r="K592" i="2" s="1"/>
  <c r="G592" i="2"/>
  <c r="E594" i="2" l="1" a="1"/>
  <c r="E594" i="2" s="1"/>
  <c r="F594" i="2"/>
  <c r="A595" i="2"/>
  <c r="B594" i="2"/>
  <c r="C594" i="2" s="1"/>
  <c r="D594" i="2" s="1"/>
  <c r="J593" i="2"/>
  <c r="K593" i="2" s="1"/>
  <c r="G593" i="2"/>
  <c r="H590" i="2"/>
  <c r="I590" i="2" s="1"/>
  <c r="E595" i="2" l="1" a="1"/>
  <c r="E595" i="2" s="1"/>
  <c r="H591" i="2"/>
  <c r="I591" i="2" s="1"/>
  <c r="F595" i="2"/>
  <c r="A596" i="2"/>
  <c r="B595" i="2"/>
  <c r="C595" i="2" s="1"/>
  <c r="D595" i="2" s="1"/>
  <c r="G594" i="2"/>
  <c r="J594" i="2"/>
  <c r="K594" i="2" s="1"/>
  <c r="E596" i="2" l="1" a="1"/>
  <c r="E596" i="2" s="1"/>
  <c r="F596" i="2"/>
  <c r="A597" i="2"/>
  <c r="B596" i="2"/>
  <c r="C596" i="2" s="1"/>
  <c r="D596" i="2" s="1"/>
  <c r="J595" i="2"/>
  <c r="K595" i="2" s="1"/>
  <c r="G595" i="2"/>
  <c r="H592" i="2"/>
  <c r="I592" i="2" s="1"/>
  <c r="E597" i="2" l="1" a="1"/>
  <c r="E597" i="2" s="1"/>
  <c r="H593" i="2"/>
  <c r="I593" i="2" s="1"/>
  <c r="F597" i="2"/>
  <c r="A598" i="2"/>
  <c r="B597" i="2"/>
  <c r="C597" i="2" s="1"/>
  <c r="D597" i="2" s="1"/>
  <c r="J596" i="2"/>
  <c r="K596" i="2" s="1"/>
  <c r="G596" i="2"/>
  <c r="E598" i="2" l="1" a="1"/>
  <c r="E598" i="2" s="1"/>
  <c r="A599" i="2"/>
  <c r="B598" i="2"/>
  <c r="C598" i="2" s="1"/>
  <c r="D598" i="2" s="1"/>
  <c r="F598" i="2"/>
  <c r="J597" i="2"/>
  <c r="K597" i="2" s="1"/>
  <c r="G597" i="2"/>
  <c r="H594" i="2"/>
  <c r="I594" i="2" s="1"/>
  <c r="E599" i="2" l="1" a="1"/>
  <c r="E599" i="2" s="1"/>
  <c r="H595" i="2"/>
  <c r="I595" i="2" s="1"/>
  <c r="G598" i="2"/>
  <c r="J598" i="2"/>
  <c r="K598" i="2" s="1"/>
  <c r="F599" i="2"/>
  <c r="A600" i="2"/>
  <c r="B599" i="2"/>
  <c r="C599" i="2" s="1"/>
  <c r="D599" i="2" s="1"/>
  <c r="E600" i="2" l="1" a="1"/>
  <c r="E600" i="2" s="1"/>
  <c r="F600" i="2"/>
  <c r="A601" i="2"/>
  <c r="B600" i="2"/>
  <c r="C600" i="2" s="1"/>
  <c r="D600" i="2" s="1"/>
  <c r="G599" i="2"/>
  <c r="J599" i="2"/>
  <c r="K599" i="2" s="1"/>
  <c r="H596" i="2"/>
  <c r="I596" i="2" s="1"/>
  <c r="E601" i="2" l="1" a="1"/>
  <c r="E601" i="2" s="1"/>
  <c r="H597" i="2"/>
  <c r="I597" i="2" s="1"/>
  <c r="A602" i="2"/>
  <c r="B601" i="2"/>
  <c r="C601" i="2" s="1"/>
  <c r="D601" i="2" s="1"/>
  <c r="F601" i="2"/>
  <c r="G600" i="2"/>
  <c r="J600" i="2"/>
  <c r="K600" i="2" s="1"/>
  <c r="E602" i="2" l="1" a="1"/>
  <c r="E602" i="2" s="1"/>
  <c r="J601" i="2"/>
  <c r="K601" i="2" s="1"/>
  <c r="G601" i="2"/>
  <c r="A603" i="2"/>
  <c r="B602" i="2"/>
  <c r="C602" i="2" s="1"/>
  <c r="D602" i="2" s="1"/>
  <c r="F602" i="2"/>
  <c r="H598" i="2"/>
  <c r="I598" i="2" s="1"/>
  <c r="E603" i="2" l="1" a="1"/>
  <c r="E603" i="2" s="1"/>
  <c r="H599" i="2"/>
  <c r="I599" i="2" s="1"/>
  <c r="J602" i="2"/>
  <c r="K602" i="2" s="1"/>
  <c r="G602" i="2"/>
  <c r="F603" i="2"/>
  <c r="B603" i="2"/>
  <c r="C603" i="2" s="1"/>
  <c r="D603" i="2" s="1"/>
  <c r="A604" i="2"/>
  <c r="E604" i="2" l="1" a="1"/>
  <c r="E604" i="2" s="1"/>
  <c r="A605" i="2"/>
  <c r="B604" i="2"/>
  <c r="C604" i="2" s="1"/>
  <c r="D604" i="2" s="1"/>
  <c r="F604" i="2"/>
  <c r="J603" i="2"/>
  <c r="K603" i="2" s="1"/>
  <c r="G603" i="2"/>
  <c r="H600" i="2"/>
  <c r="I600" i="2" s="1"/>
  <c r="E605" i="2" l="1" a="1"/>
  <c r="E605" i="2" s="1"/>
  <c r="H601" i="2"/>
  <c r="I601" i="2" s="1"/>
  <c r="J604" i="2"/>
  <c r="K604" i="2" s="1"/>
  <c r="G604" i="2"/>
  <c r="A606" i="2"/>
  <c r="B605" i="2"/>
  <c r="C605" i="2" s="1"/>
  <c r="D605" i="2" s="1"/>
  <c r="F605" i="2"/>
  <c r="E606" i="2" l="1" a="1"/>
  <c r="E606" i="2" s="1"/>
  <c r="J605" i="2"/>
  <c r="K605" i="2" s="1"/>
  <c r="G605" i="2"/>
  <c r="F606" i="2"/>
  <c r="A607" i="2"/>
  <c r="B606" i="2"/>
  <c r="C606" i="2" s="1"/>
  <c r="D606" i="2" s="1"/>
  <c r="H602" i="2"/>
  <c r="I602" i="2" s="1"/>
  <c r="E607" i="2" l="1" a="1"/>
  <c r="E607" i="2" s="1"/>
  <c r="H603" i="2"/>
  <c r="I603" i="2" s="1"/>
  <c r="F607" i="2"/>
  <c r="B607" i="2"/>
  <c r="C607" i="2" s="1"/>
  <c r="D607" i="2" s="1"/>
  <c r="A608" i="2"/>
  <c r="J606" i="2"/>
  <c r="K606" i="2" s="1"/>
  <c r="G606" i="2"/>
  <c r="E608" i="2" l="1" a="1"/>
  <c r="E608" i="2" s="1"/>
  <c r="F608" i="2"/>
  <c r="A609" i="2"/>
  <c r="B608" i="2"/>
  <c r="C608" i="2" s="1"/>
  <c r="D608" i="2" s="1"/>
  <c r="J607" i="2"/>
  <c r="K607" i="2" s="1"/>
  <c r="G607" i="2"/>
  <c r="H604" i="2"/>
  <c r="I604" i="2" s="1"/>
  <c r="E609" i="2" l="1" a="1"/>
  <c r="E609" i="2" s="1"/>
  <c r="H605" i="2"/>
  <c r="I605" i="2" s="1"/>
  <c r="F609" i="2"/>
  <c r="A610" i="2"/>
  <c r="B609" i="2"/>
  <c r="C609" i="2" s="1"/>
  <c r="D609" i="2" s="1"/>
  <c r="J608" i="2"/>
  <c r="K608" i="2" s="1"/>
  <c r="G608" i="2"/>
  <c r="E610" i="2" l="1" a="1"/>
  <c r="E610" i="2" s="1"/>
  <c r="F610" i="2"/>
  <c r="A611" i="2"/>
  <c r="B610" i="2"/>
  <c r="C610" i="2" s="1"/>
  <c r="D610" i="2" s="1"/>
  <c r="J609" i="2"/>
  <c r="K609" i="2" s="1"/>
  <c r="G609" i="2"/>
  <c r="H606" i="2"/>
  <c r="I606" i="2" s="1"/>
  <c r="E611" i="2" l="1" a="1"/>
  <c r="E611" i="2" s="1"/>
  <c r="H607" i="2"/>
  <c r="I607" i="2" s="1"/>
  <c r="F611" i="2"/>
  <c r="A612" i="2"/>
  <c r="B611" i="2"/>
  <c r="C611" i="2" s="1"/>
  <c r="D611" i="2" s="1"/>
  <c r="G610" i="2"/>
  <c r="J610" i="2"/>
  <c r="K610" i="2" s="1"/>
  <c r="E612" i="2" l="1" a="1"/>
  <c r="E612" i="2" s="1"/>
  <c r="F612" i="2"/>
  <c r="A613" i="2"/>
  <c r="B612" i="2"/>
  <c r="C612" i="2" s="1"/>
  <c r="D612" i="2" s="1"/>
  <c r="J611" i="2"/>
  <c r="K611" i="2" s="1"/>
  <c r="G611" i="2"/>
  <c r="H608" i="2"/>
  <c r="I608" i="2" s="1"/>
  <c r="E613" i="2" l="1" a="1"/>
  <c r="E613" i="2" s="1"/>
  <c r="H609" i="2"/>
  <c r="I609" i="2" s="1"/>
  <c r="F613" i="2"/>
  <c r="A614" i="2"/>
  <c r="B613" i="2"/>
  <c r="C613" i="2" s="1"/>
  <c r="D613" i="2" s="1"/>
  <c r="J612" i="2"/>
  <c r="K612" i="2" s="1"/>
  <c r="G612" i="2"/>
  <c r="E614" i="2" l="1" a="1"/>
  <c r="E614" i="2" s="1"/>
  <c r="A615" i="2"/>
  <c r="B614" i="2"/>
  <c r="C614" i="2" s="1"/>
  <c r="D614" i="2" s="1"/>
  <c r="E615" i="2" s="1" a="1"/>
  <c r="E615" i="2" s="1"/>
  <c r="F614" i="2"/>
  <c r="J613" i="2"/>
  <c r="K613" i="2" s="1"/>
  <c r="G613" i="2"/>
  <c r="H610" i="2"/>
  <c r="I610" i="2" s="1"/>
  <c r="H611" i="2" l="1"/>
  <c r="I611" i="2" s="1"/>
  <c r="G614" i="2"/>
  <c r="J614" i="2"/>
  <c r="K614" i="2" s="1"/>
  <c r="F615" i="2"/>
  <c r="A616" i="2"/>
  <c r="B615" i="2"/>
  <c r="C615" i="2" s="1"/>
  <c r="D615" i="2" s="1"/>
  <c r="E616" i="2" l="1" a="1"/>
  <c r="E616" i="2" s="1"/>
  <c r="F616" i="2"/>
  <c r="A617" i="2"/>
  <c r="B616" i="2"/>
  <c r="C616" i="2" s="1"/>
  <c r="D616" i="2" s="1"/>
  <c r="G615" i="2"/>
  <c r="J615" i="2"/>
  <c r="K615" i="2" s="1"/>
  <c r="H612" i="2"/>
  <c r="I612" i="2" s="1"/>
  <c r="E617" i="2" l="1" a="1"/>
  <c r="E617" i="2" s="1"/>
  <c r="H613" i="2"/>
  <c r="I613" i="2" s="1"/>
  <c r="A618" i="2"/>
  <c r="B617" i="2"/>
  <c r="C617" i="2" s="1"/>
  <c r="D617" i="2" s="1"/>
  <c r="F617" i="2"/>
  <c r="J616" i="2"/>
  <c r="K616" i="2" s="1"/>
  <c r="G616" i="2"/>
  <c r="E618" i="2" l="1" a="1"/>
  <c r="E618" i="2" s="1"/>
  <c r="J617" i="2"/>
  <c r="K617" i="2" s="1"/>
  <c r="G617" i="2"/>
  <c r="A619" i="2"/>
  <c r="B618" i="2"/>
  <c r="C618" i="2" s="1"/>
  <c r="D618" i="2" s="1"/>
  <c r="F618" i="2"/>
  <c r="H614" i="2"/>
  <c r="I614" i="2" s="1"/>
  <c r="E619" i="2" l="1" a="1"/>
  <c r="E619" i="2" s="1"/>
  <c r="H615" i="2"/>
  <c r="I615" i="2" s="1"/>
  <c r="J618" i="2"/>
  <c r="K618" i="2" s="1"/>
  <c r="G618" i="2"/>
  <c r="A620" i="2"/>
  <c r="B619" i="2"/>
  <c r="C619" i="2" s="1"/>
  <c r="D619" i="2" s="1"/>
  <c r="F619" i="2"/>
  <c r="E620" i="2" l="1" a="1"/>
  <c r="E620" i="2" s="1"/>
  <c r="J619" i="2"/>
  <c r="K619" i="2" s="1"/>
  <c r="G619" i="2"/>
  <c r="A621" i="2"/>
  <c r="B620" i="2"/>
  <c r="C620" i="2" s="1"/>
  <c r="D620" i="2" s="1"/>
  <c r="F620" i="2"/>
  <c r="H616" i="2"/>
  <c r="I616" i="2" s="1"/>
  <c r="E621" i="2" l="1" a="1"/>
  <c r="E621" i="2" s="1"/>
  <c r="H617" i="2"/>
  <c r="I617" i="2" s="1"/>
  <c r="J620" i="2"/>
  <c r="K620" i="2" s="1"/>
  <c r="G620" i="2"/>
  <c r="A622" i="2"/>
  <c r="B621" i="2"/>
  <c r="C621" i="2" s="1"/>
  <c r="D621" i="2" s="1"/>
  <c r="F621" i="2"/>
  <c r="E622" i="2" l="1" a="1"/>
  <c r="E622" i="2" s="1"/>
  <c r="J621" i="2"/>
  <c r="K621" i="2" s="1"/>
  <c r="G621" i="2"/>
  <c r="F622" i="2"/>
  <c r="A623" i="2"/>
  <c r="B622" i="2"/>
  <c r="C622" i="2" s="1"/>
  <c r="D622" i="2" s="1"/>
  <c r="H618" i="2"/>
  <c r="I618" i="2" s="1"/>
  <c r="E623" i="2" l="1" a="1"/>
  <c r="E623" i="2" s="1"/>
  <c r="H619" i="2"/>
  <c r="I619" i="2" s="1"/>
  <c r="F623" i="2"/>
  <c r="A624" i="2"/>
  <c r="B623" i="2"/>
  <c r="C623" i="2" s="1"/>
  <c r="D623" i="2" s="1"/>
  <c r="J622" i="2"/>
  <c r="K622" i="2" s="1"/>
  <c r="G622" i="2"/>
  <c r="E624" i="2" l="1" a="1"/>
  <c r="E624" i="2" s="1"/>
  <c r="F624" i="2"/>
  <c r="A625" i="2"/>
  <c r="B624" i="2"/>
  <c r="C624" i="2" s="1"/>
  <c r="D624" i="2" s="1"/>
  <c r="J623" i="2"/>
  <c r="K623" i="2" s="1"/>
  <c r="G623" i="2"/>
  <c r="H620" i="2"/>
  <c r="I620" i="2" s="1"/>
  <c r="E625" i="2" l="1" a="1"/>
  <c r="E625" i="2" s="1"/>
  <c r="H621" i="2"/>
  <c r="I621" i="2" s="1"/>
  <c r="F625" i="2"/>
  <c r="A626" i="2"/>
  <c r="B625" i="2"/>
  <c r="C625" i="2" s="1"/>
  <c r="D625" i="2" s="1"/>
  <c r="J624" i="2"/>
  <c r="K624" i="2" s="1"/>
  <c r="G624" i="2"/>
  <c r="E626" i="2" l="1" a="1"/>
  <c r="E626" i="2" s="1"/>
  <c r="F626" i="2"/>
  <c r="A627" i="2"/>
  <c r="B626" i="2"/>
  <c r="C626" i="2" s="1"/>
  <c r="D626" i="2" s="1"/>
  <c r="J625" i="2"/>
  <c r="K625" i="2" s="1"/>
  <c r="G625" i="2"/>
  <c r="H622" i="2"/>
  <c r="I622" i="2" s="1"/>
  <c r="E627" i="2" l="1" a="1"/>
  <c r="E627" i="2" s="1"/>
  <c r="H623" i="2"/>
  <c r="I623" i="2" s="1"/>
  <c r="F627" i="2"/>
  <c r="A628" i="2"/>
  <c r="B627" i="2"/>
  <c r="C627" i="2" s="1"/>
  <c r="D627" i="2" s="1"/>
  <c r="J626" i="2"/>
  <c r="K626" i="2" s="1"/>
  <c r="G626" i="2"/>
  <c r="E628" i="2" l="1" a="1"/>
  <c r="E628" i="2" s="1"/>
  <c r="F628" i="2"/>
  <c r="A629" i="2"/>
  <c r="B628" i="2"/>
  <c r="C628" i="2" s="1"/>
  <c r="D628" i="2" s="1"/>
  <c r="J627" i="2"/>
  <c r="K627" i="2" s="1"/>
  <c r="G627" i="2"/>
  <c r="H624" i="2"/>
  <c r="I624" i="2" s="1"/>
  <c r="E629" i="2" l="1" a="1"/>
  <c r="E629" i="2" s="1"/>
  <c r="H625" i="2"/>
  <c r="I625" i="2" s="1"/>
  <c r="F629" i="2"/>
  <c r="A630" i="2"/>
  <c r="B629" i="2"/>
  <c r="C629" i="2" s="1"/>
  <c r="D629" i="2" s="1"/>
  <c r="E630" i="2" s="1" a="1"/>
  <c r="E630" i="2" s="1"/>
  <c r="J628" i="2"/>
  <c r="K628" i="2" s="1"/>
  <c r="G628" i="2"/>
  <c r="F630" i="2" l="1"/>
  <c r="A631" i="2"/>
  <c r="B630" i="2"/>
  <c r="C630" i="2" s="1"/>
  <c r="D630" i="2" s="1"/>
  <c r="G629" i="2"/>
  <c r="J629" i="2"/>
  <c r="K629" i="2" s="1"/>
  <c r="H626" i="2"/>
  <c r="I626" i="2" s="1"/>
  <c r="E631" i="2" l="1" a="1"/>
  <c r="E631" i="2" s="1"/>
  <c r="H627" i="2"/>
  <c r="I627" i="2" s="1"/>
  <c r="F631" i="2"/>
  <c r="A632" i="2"/>
  <c r="B631" i="2"/>
  <c r="C631" i="2" s="1"/>
  <c r="D631" i="2" s="1"/>
  <c r="G630" i="2"/>
  <c r="J630" i="2"/>
  <c r="K630" i="2" s="1"/>
  <c r="E632" i="2" l="1" a="1"/>
  <c r="E632" i="2" s="1"/>
  <c r="F632" i="2"/>
  <c r="A633" i="2"/>
  <c r="B632" i="2"/>
  <c r="C632" i="2" s="1"/>
  <c r="D632" i="2" s="1"/>
  <c r="G631" i="2"/>
  <c r="J631" i="2"/>
  <c r="K631" i="2" s="1"/>
  <c r="H628" i="2"/>
  <c r="I628" i="2" s="1"/>
  <c r="E633" i="2" l="1" a="1"/>
  <c r="E633" i="2" s="1"/>
  <c r="H629" i="2"/>
  <c r="I629" i="2" s="1"/>
  <c r="A634" i="2"/>
  <c r="B633" i="2"/>
  <c r="C633" i="2" s="1"/>
  <c r="D633" i="2" s="1"/>
  <c r="F633" i="2"/>
  <c r="J632" i="2"/>
  <c r="K632" i="2" s="1"/>
  <c r="G632" i="2"/>
  <c r="E634" i="2" l="1" a="1"/>
  <c r="E634" i="2" s="1"/>
  <c r="J633" i="2"/>
  <c r="K633" i="2" s="1"/>
  <c r="G633" i="2"/>
  <c r="A635" i="2"/>
  <c r="B634" i="2"/>
  <c r="C634" i="2" s="1"/>
  <c r="D634" i="2" s="1"/>
  <c r="F634" i="2"/>
  <c r="H630" i="2"/>
  <c r="I630" i="2" s="1"/>
  <c r="E635" i="2" l="1" a="1"/>
  <c r="E635" i="2" s="1"/>
  <c r="H631" i="2"/>
  <c r="I631" i="2" s="1"/>
  <c r="J634" i="2"/>
  <c r="K634" i="2" s="1"/>
  <c r="G634" i="2"/>
  <c r="A636" i="2"/>
  <c r="B635" i="2"/>
  <c r="C635" i="2" s="1"/>
  <c r="D635" i="2" s="1"/>
  <c r="F635" i="2"/>
  <c r="E636" i="2" l="1" a="1"/>
  <c r="E636" i="2" s="1"/>
  <c r="J635" i="2"/>
  <c r="K635" i="2" s="1"/>
  <c r="G635" i="2"/>
  <c r="A637" i="2"/>
  <c r="B636" i="2"/>
  <c r="C636" i="2" s="1"/>
  <c r="D636" i="2" s="1"/>
  <c r="F636" i="2"/>
  <c r="H632" i="2"/>
  <c r="I632" i="2" s="1"/>
  <c r="E637" i="2" l="1" a="1"/>
  <c r="E637" i="2" s="1"/>
  <c r="H633" i="2"/>
  <c r="I633" i="2" s="1"/>
  <c r="J636" i="2"/>
  <c r="K636" i="2" s="1"/>
  <c r="G636" i="2"/>
  <c r="A638" i="2"/>
  <c r="B637" i="2"/>
  <c r="C637" i="2" s="1"/>
  <c r="D637" i="2" s="1"/>
  <c r="F637" i="2"/>
  <c r="E638" i="2" l="1" a="1"/>
  <c r="E638" i="2" s="1"/>
  <c r="J637" i="2"/>
  <c r="K637" i="2" s="1"/>
  <c r="G637" i="2"/>
  <c r="F638" i="2"/>
  <c r="A639" i="2"/>
  <c r="B638" i="2"/>
  <c r="C638" i="2" s="1"/>
  <c r="D638" i="2" s="1"/>
  <c r="H634" i="2"/>
  <c r="I634" i="2" s="1"/>
  <c r="E639" i="2" l="1" a="1"/>
  <c r="E639" i="2" s="1"/>
  <c r="H635" i="2"/>
  <c r="I635" i="2" s="1"/>
  <c r="F639" i="2"/>
  <c r="A640" i="2"/>
  <c r="B639" i="2"/>
  <c r="C639" i="2" s="1"/>
  <c r="D639" i="2" s="1"/>
  <c r="J638" i="2"/>
  <c r="K638" i="2" s="1"/>
  <c r="G638" i="2"/>
  <c r="E640" i="2" l="1" a="1"/>
  <c r="E640" i="2" s="1"/>
  <c r="F640" i="2"/>
  <c r="A641" i="2"/>
  <c r="B640" i="2"/>
  <c r="C640" i="2" s="1"/>
  <c r="D640" i="2" s="1"/>
  <c r="J639" i="2"/>
  <c r="K639" i="2" s="1"/>
  <c r="G639" i="2"/>
  <c r="H636" i="2"/>
  <c r="I636" i="2" s="1"/>
  <c r="E641" i="2" l="1" a="1"/>
  <c r="E641" i="2" s="1"/>
  <c r="H637" i="2"/>
  <c r="I637" i="2" s="1"/>
  <c r="F641" i="2"/>
  <c r="A642" i="2"/>
  <c r="B641" i="2"/>
  <c r="C641" i="2" s="1"/>
  <c r="D641" i="2" s="1"/>
  <c r="J640" i="2"/>
  <c r="K640" i="2" s="1"/>
  <c r="G640" i="2"/>
  <c r="E642" i="2" l="1" a="1"/>
  <c r="E642" i="2" s="1"/>
  <c r="F642" i="2"/>
  <c r="A643" i="2"/>
  <c r="B642" i="2"/>
  <c r="C642" i="2" s="1"/>
  <c r="D642" i="2" s="1"/>
  <c r="J641" i="2"/>
  <c r="K641" i="2" s="1"/>
  <c r="G641" i="2"/>
  <c r="H638" i="2"/>
  <c r="I638" i="2" s="1"/>
  <c r="E643" i="2" l="1" a="1"/>
  <c r="E643" i="2" s="1"/>
  <c r="H639" i="2"/>
  <c r="I639" i="2" s="1"/>
  <c r="F643" i="2"/>
  <c r="A644" i="2"/>
  <c r="B643" i="2"/>
  <c r="C643" i="2" s="1"/>
  <c r="D643" i="2" s="1"/>
  <c r="J642" i="2"/>
  <c r="K642" i="2" s="1"/>
  <c r="G642" i="2"/>
  <c r="E644" i="2" l="1" a="1"/>
  <c r="E644" i="2" s="1"/>
  <c r="F644" i="2"/>
  <c r="A645" i="2"/>
  <c r="B644" i="2"/>
  <c r="C644" i="2" s="1"/>
  <c r="D644" i="2" s="1"/>
  <c r="J643" i="2"/>
  <c r="K643" i="2" s="1"/>
  <c r="G643" i="2"/>
  <c r="H640" i="2"/>
  <c r="I640" i="2" s="1"/>
  <c r="E645" i="2" l="1" a="1"/>
  <c r="E645" i="2" s="1"/>
  <c r="H641" i="2"/>
  <c r="I641" i="2" s="1"/>
  <c r="F645" i="2"/>
  <c r="A646" i="2"/>
  <c r="B645" i="2"/>
  <c r="C645" i="2" s="1"/>
  <c r="D645" i="2" s="1"/>
  <c r="J644" i="2"/>
  <c r="K644" i="2" s="1"/>
  <c r="G644" i="2"/>
  <c r="E646" i="2" l="1" a="1"/>
  <c r="E646" i="2" s="1"/>
  <c r="F646" i="2"/>
  <c r="A647" i="2"/>
  <c r="B646" i="2"/>
  <c r="C646" i="2" s="1"/>
  <c r="D646" i="2" s="1"/>
  <c r="G645" i="2"/>
  <c r="J645" i="2"/>
  <c r="K645" i="2" s="1"/>
  <c r="H642" i="2"/>
  <c r="I642" i="2" s="1"/>
  <c r="E647" i="2" l="1" a="1"/>
  <c r="E647" i="2" s="1"/>
  <c r="H643" i="2"/>
  <c r="I643" i="2" s="1"/>
  <c r="F647" i="2"/>
  <c r="A648" i="2"/>
  <c r="B647" i="2"/>
  <c r="C647" i="2" s="1"/>
  <c r="D647" i="2" s="1"/>
  <c r="G646" i="2"/>
  <c r="J646" i="2"/>
  <c r="K646" i="2" s="1"/>
  <c r="E648" i="2" l="1" a="1"/>
  <c r="E648" i="2" s="1"/>
  <c r="F648" i="2"/>
  <c r="A649" i="2"/>
  <c r="B648" i="2"/>
  <c r="C648" i="2" s="1"/>
  <c r="D648" i="2" s="1"/>
  <c r="G647" i="2"/>
  <c r="J647" i="2"/>
  <c r="K647" i="2" s="1"/>
  <c r="H644" i="2"/>
  <c r="I644" i="2" s="1"/>
  <c r="E649" i="2" l="1" a="1"/>
  <c r="E649" i="2" s="1"/>
  <c r="H645" i="2"/>
  <c r="I645" i="2" s="1"/>
  <c r="A650" i="2"/>
  <c r="B649" i="2"/>
  <c r="C649" i="2" s="1"/>
  <c r="D649" i="2" s="1"/>
  <c r="F649" i="2"/>
  <c r="J648" i="2"/>
  <c r="K648" i="2" s="1"/>
  <c r="G648" i="2"/>
  <c r="E650" i="2" l="1" a="1"/>
  <c r="E650" i="2" s="1"/>
  <c r="J649" i="2"/>
  <c r="K649" i="2" s="1"/>
  <c r="G649" i="2"/>
  <c r="A651" i="2"/>
  <c r="B650" i="2"/>
  <c r="C650" i="2" s="1"/>
  <c r="D650" i="2" s="1"/>
  <c r="E651" i="2" s="1" a="1"/>
  <c r="E651" i="2" s="1"/>
  <c r="F650" i="2"/>
  <c r="H646" i="2"/>
  <c r="I646" i="2" s="1"/>
  <c r="H647" i="2" l="1"/>
  <c r="I647" i="2" s="1"/>
  <c r="J650" i="2"/>
  <c r="K650" i="2" s="1"/>
  <c r="G650" i="2"/>
  <c r="A652" i="2"/>
  <c r="B651" i="2"/>
  <c r="C651" i="2" s="1"/>
  <c r="D651" i="2" s="1"/>
  <c r="F651" i="2"/>
  <c r="E652" i="2" l="1" a="1"/>
  <c r="E652" i="2" s="1"/>
  <c r="J651" i="2"/>
  <c r="K651" i="2" s="1"/>
  <c r="G651" i="2"/>
  <c r="A653" i="2"/>
  <c r="B652" i="2"/>
  <c r="C652" i="2" s="1"/>
  <c r="D652" i="2" s="1"/>
  <c r="F652" i="2"/>
  <c r="H648" i="2"/>
  <c r="I648" i="2" s="1"/>
  <c r="E653" i="2" l="1" a="1"/>
  <c r="E653" i="2" s="1"/>
  <c r="H649" i="2"/>
  <c r="I649" i="2" s="1"/>
  <c r="J652" i="2"/>
  <c r="K652" i="2" s="1"/>
  <c r="G652" i="2"/>
  <c r="A654" i="2"/>
  <c r="B653" i="2"/>
  <c r="C653" i="2" s="1"/>
  <c r="D653" i="2" s="1"/>
  <c r="F653" i="2"/>
  <c r="E654" i="2" l="1" a="1"/>
  <c r="E654" i="2" s="1"/>
  <c r="J653" i="2"/>
  <c r="K653" i="2" s="1"/>
  <c r="G653" i="2"/>
  <c r="F654" i="2"/>
  <c r="A655" i="2"/>
  <c r="B654" i="2"/>
  <c r="C654" i="2" s="1"/>
  <c r="D654" i="2" s="1"/>
  <c r="H650" i="2"/>
  <c r="I650" i="2" s="1"/>
  <c r="E655" i="2" l="1" a="1"/>
  <c r="E655" i="2" s="1"/>
  <c r="H651" i="2"/>
  <c r="I651" i="2" s="1"/>
  <c r="F655" i="2"/>
  <c r="A656" i="2"/>
  <c r="B655" i="2"/>
  <c r="C655" i="2" s="1"/>
  <c r="D655" i="2" s="1"/>
  <c r="J654" i="2"/>
  <c r="K654" i="2" s="1"/>
  <c r="G654" i="2"/>
  <c r="E656" i="2" l="1" a="1"/>
  <c r="E656" i="2" s="1"/>
  <c r="F656" i="2"/>
  <c r="A657" i="2"/>
  <c r="B656" i="2"/>
  <c r="C656" i="2" s="1"/>
  <c r="D656" i="2" s="1"/>
  <c r="J655" i="2"/>
  <c r="K655" i="2" s="1"/>
  <c r="G655" i="2"/>
  <c r="H652" i="2"/>
  <c r="I652" i="2" s="1"/>
  <c r="E657" i="2" l="1" a="1"/>
  <c r="E657" i="2" s="1"/>
  <c r="H653" i="2"/>
  <c r="I653" i="2" s="1"/>
  <c r="F657" i="2"/>
  <c r="A658" i="2"/>
  <c r="B657" i="2"/>
  <c r="C657" i="2" s="1"/>
  <c r="D657" i="2" s="1"/>
  <c r="J656" i="2"/>
  <c r="K656" i="2" s="1"/>
  <c r="G656" i="2"/>
  <c r="E658" i="2" l="1" a="1"/>
  <c r="E658" i="2" s="1"/>
  <c r="F658" i="2"/>
  <c r="A659" i="2"/>
  <c r="B658" i="2"/>
  <c r="C658" i="2" s="1"/>
  <c r="D658" i="2" s="1"/>
  <c r="J657" i="2"/>
  <c r="K657" i="2" s="1"/>
  <c r="G657" i="2"/>
  <c r="H654" i="2"/>
  <c r="I654" i="2" s="1"/>
  <c r="E659" i="2" l="1" a="1"/>
  <c r="E659" i="2" s="1"/>
  <c r="H655" i="2"/>
  <c r="I655" i="2" s="1"/>
  <c r="F659" i="2"/>
  <c r="A660" i="2"/>
  <c r="B659" i="2"/>
  <c r="C659" i="2" s="1"/>
  <c r="D659" i="2" s="1"/>
  <c r="J658" i="2"/>
  <c r="K658" i="2" s="1"/>
  <c r="G658" i="2"/>
  <c r="E660" i="2" l="1" a="1"/>
  <c r="E660" i="2" s="1"/>
  <c r="F660" i="2"/>
  <c r="A661" i="2"/>
  <c r="B660" i="2"/>
  <c r="C660" i="2" s="1"/>
  <c r="D660" i="2" s="1"/>
  <c r="J659" i="2"/>
  <c r="K659" i="2" s="1"/>
  <c r="G659" i="2"/>
  <c r="H656" i="2"/>
  <c r="I656" i="2" s="1"/>
  <c r="E661" i="2" l="1" a="1"/>
  <c r="E661" i="2" s="1"/>
  <c r="H657" i="2"/>
  <c r="I657" i="2" s="1"/>
  <c r="F661" i="2"/>
  <c r="A662" i="2"/>
  <c r="B661" i="2"/>
  <c r="C661" i="2" s="1"/>
  <c r="D661" i="2" s="1"/>
  <c r="J660" i="2"/>
  <c r="K660" i="2" s="1"/>
  <c r="G660" i="2"/>
  <c r="E662" i="2" l="1" a="1"/>
  <c r="E662" i="2" s="1"/>
  <c r="F662" i="2"/>
  <c r="A663" i="2"/>
  <c r="B662" i="2"/>
  <c r="C662" i="2" s="1"/>
  <c r="D662" i="2" s="1"/>
  <c r="G661" i="2"/>
  <c r="J661" i="2"/>
  <c r="K661" i="2" s="1"/>
  <c r="H658" i="2"/>
  <c r="I658" i="2" s="1"/>
  <c r="E663" i="2" l="1" a="1"/>
  <c r="E663" i="2" s="1"/>
  <c r="H659" i="2"/>
  <c r="I659" i="2" s="1"/>
  <c r="F663" i="2"/>
  <c r="A664" i="2"/>
  <c r="B663" i="2"/>
  <c r="C663" i="2" s="1"/>
  <c r="D663" i="2" s="1"/>
  <c r="G662" i="2"/>
  <c r="J662" i="2"/>
  <c r="K662" i="2" s="1"/>
  <c r="E664" i="2" l="1" a="1"/>
  <c r="E664" i="2" s="1"/>
  <c r="F664" i="2"/>
  <c r="A665" i="2"/>
  <c r="B664" i="2"/>
  <c r="C664" i="2" s="1"/>
  <c r="D664" i="2" s="1"/>
  <c r="G663" i="2"/>
  <c r="J663" i="2"/>
  <c r="K663" i="2" s="1"/>
  <c r="H660" i="2"/>
  <c r="I660" i="2" s="1"/>
  <c r="E665" i="2" l="1" a="1"/>
  <c r="E665" i="2" s="1"/>
  <c r="H661" i="2"/>
  <c r="I661" i="2" s="1"/>
  <c r="A666" i="2"/>
  <c r="B665" i="2"/>
  <c r="C665" i="2" s="1"/>
  <c r="D665" i="2" s="1"/>
  <c r="F665" i="2"/>
  <c r="J664" i="2"/>
  <c r="K664" i="2" s="1"/>
  <c r="G664" i="2"/>
  <c r="E666" i="2" l="1" a="1"/>
  <c r="E666" i="2" s="1"/>
  <c r="J665" i="2"/>
  <c r="K665" i="2" s="1"/>
  <c r="G665" i="2"/>
  <c r="A667" i="2"/>
  <c r="B666" i="2"/>
  <c r="C666" i="2" s="1"/>
  <c r="D666" i="2" s="1"/>
  <c r="F666" i="2"/>
  <c r="H662" i="2"/>
  <c r="I662" i="2" s="1"/>
  <c r="E667" i="2" l="1" a="1"/>
  <c r="E667" i="2" s="1"/>
  <c r="H663" i="2"/>
  <c r="I663" i="2" s="1"/>
  <c r="J666" i="2"/>
  <c r="K666" i="2" s="1"/>
  <c r="G666" i="2"/>
  <c r="A668" i="2"/>
  <c r="B667" i="2"/>
  <c r="C667" i="2" s="1"/>
  <c r="D667" i="2" s="1"/>
  <c r="F667" i="2"/>
  <c r="E668" i="2" l="1" a="1"/>
  <c r="E668" i="2" s="1"/>
  <c r="J667" i="2"/>
  <c r="K667" i="2" s="1"/>
  <c r="G667" i="2"/>
  <c r="A669" i="2"/>
  <c r="B668" i="2"/>
  <c r="C668" i="2" s="1"/>
  <c r="D668" i="2" s="1"/>
  <c r="F668" i="2"/>
  <c r="H664" i="2"/>
  <c r="I664" i="2" s="1"/>
  <c r="E669" i="2" l="1" a="1"/>
  <c r="E669" i="2" s="1"/>
  <c r="H665" i="2"/>
  <c r="I665" i="2" s="1"/>
  <c r="J668" i="2"/>
  <c r="K668" i="2" s="1"/>
  <c r="G668" i="2"/>
  <c r="A670" i="2"/>
  <c r="B669" i="2"/>
  <c r="C669" i="2" s="1"/>
  <c r="D669" i="2" s="1"/>
  <c r="F669" i="2"/>
  <c r="E670" i="2" l="1" a="1"/>
  <c r="E670" i="2" s="1"/>
  <c r="J669" i="2"/>
  <c r="K669" i="2" s="1"/>
  <c r="G669" i="2"/>
  <c r="F670" i="2"/>
  <c r="A671" i="2"/>
  <c r="B670" i="2"/>
  <c r="C670" i="2" s="1"/>
  <c r="D670" i="2" s="1"/>
  <c r="H666" i="2"/>
  <c r="I666" i="2" s="1"/>
  <c r="E671" i="2" l="1" a="1"/>
  <c r="E671" i="2" s="1"/>
  <c r="H667" i="2"/>
  <c r="I667" i="2" s="1"/>
  <c r="F671" i="2"/>
  <c r="B671" i="2"/>
  <c r="C671" i="2" s="1"/>
  <c r="D671" i="2" s="1"/>
  <c r="A672" i="2"/>
  <c r="J670" i="2"/>
  <c r="K670" i="2" s="1"/>
  <c r="G670" i="2"/>
  <c r="E672" i="2" l="1" a="1"/>
  <c r="E672" i="2" s="1"/>
  <c r="F672" i="2"/>
  <c r="A673" i="2"/>
  <c r="B672" i="2"/>
  <c r="C672" i="2" s="1"/>
  <c r="D672" i="2" s="1"/>
  <c r="J671" i="2"/>
  <c r="K671" i="2" s="1"/>
  <c r="G671" i="2"/>
  <c r="H668" i="2"/>
  <c r="I668" i="2" s="1"/>
  <c r="E673" i="2" l="1" a="1"/>
  <c r="E673" i="2" s="1"/>
  <c r="H669" i="2"/>
  <c r="I669" i="2" s="1"/>
  <c r="F673" i="2"/>
  <c r="A674" i="2"/>
  <c r="B673" i="2"/>
  <c r="C673" i="2" s="1"/>
  <c r="D673" i="2" s="1"/>
  <c r="J672" i="2"/>
  <c r="K672" i="2" s="1"/>
  <c r="G672" i="2"/>
  <c r="E674" i="2" l="1" a="1"/>
  <c r="E674" i="2" s="1"/>
  <c r="F674" i="2"/>
  <c r="A675" i="2"/>
  <c r="B674" i="2"/>
  <c r="C674" i="2" s="1"/>
  <c r="D674" i="2" s="1"/>
  <c r="J673" i="2"/>
  <c r="K673" i="2" s="1"/>
  <c r="G673" i="2"/>
  <c r="H670" i="2"/>
  <c r="I670" i="2" s="1"/>
  <c r="E675" i="2" l="1" a="1"/>
  <c r="E675" i="2" s="1"/>
  <c r="H671" i="2"/>
  <c r="I671" i="2" s="1"/>
  <c r="F675" i="2"/>
  <c r="A676" i="2"/>
  <c r="B675" i="2"/>
  <c r="C675" i="2" s="1"/>
  <c r="D675" i="2" s="1"/>
  <c r="J674" i="2"/>
  <c r="K674" i="2" s="1"/>
  <c r="G674" i="2"/>
  <c r="E676" i="2" l="1" a="1"/>
  <c r="E676" i="2" s="1"/>
  <c r="F676" i="2"/>
  <c r="A677" i="2"/>
  <c r="B676" i="2"/>
  <c r="C676" i="2" s="1"/>
  <c r="D676" i="2" s="1"/>
  <c r="J675" i="2"/>
  <c r="K675" i="2" s="1"/>
  <c r="G675" i="2"/>
  <c r="H672" i="2"/>
  <c r="I672" i="2" s="1"/>
  <c r="E677" i="2" l="1" a="1"/>
  <c r="E677" i="2" s="1"/>
  <c r="H673" i="2"/>
  <c r="I673" i="2" s="1"/>
  <c r="F677" i="2"/>
  <c r="A678" i="2"/>
  <c r="B677" i="2"/>
  <c r="C677" i="2" s="1"/>
  <c r="D677" i="2" s="1"/>
  <c r="J676" i="2"/>
  <c r="K676" i="2" s="1"/>
  <c r="G676" i="2"/>
  <c r="E678" i="2" l="1" a="1"/>
  <c r="E678" i="2" s="1"/>
  <c r="F678" i="2"/>
  <c r="A679" i="2"/>
  <c r="B678" i="2"/>
  <c r="C678" i="2" s="1"/>
  <c r="D678" i="2" s="1"/>
  <c r="G677" i="2"/>
  <c r="J677" i="2"/>
  <c r="K677" i="2" s="1"/>
  <c r="H674" i="2"/>
  <c r="I674" i="2" s="1"/>
  <c r="E679" i="2" l="1" a="1"/>
  <c r="E679" i="2" s="1"/>
  <c r="H675" i="2"/>
  <c r="I675" i="2" s="1"/>
  <c r="F679" i="2"/>
  <c r="A680" i="2"/>
  <c r="B679" i="2"/>
  <c r="C679" i="2" s="1"/>
  <c r="D679" i="2" s="1"/>
  <c r="G678" i="2"/>
  <c r="J678" i="2"/>
  <c r="K678" i="2" s="1"/>
  <c r="E680" i="2" l="1" a="1"/>
  <c r="E680" i="2" s="1"/>
  <c r="F680" i="2"/>
  <c r="A681" i="2"/>
  <c r="B680" i="2"/>
  <c r="C680" i="2" s="1"/>
  <c r="D680" i="2" s="1"/>
  <c r="G679" i="2"/>
  <c r="J679" i="2"/>
  <c r="K679" i="2" s="1"/>
  <c r="H676" i="2"/>
  <c r="I676" i="2" s="1"/>
  <c r="E681" i="2" l="1" a="1"/>
  <c r="E681" i="2" s="1"/>
  <c r="H677" i="2"/>
  <c r="I677" i="2" s="1"/>
  <c r="A682" i="2"/>
  <c r="B681" i="2"/>
  <c r="C681" i="2" s="1"/>
  <c r="D681" i="2" s="1"/>
  <c r="F681" i="2"/>
  <c r="J680" i="2"/>
  <c r="K680" i="2" s="1"/>
  <c r="G680" i="2"/>
  <c r="E682" i="2" l="1" a="1"/>
  <c r="E682" i="2" s="1"/>
  <c r="J681" i="2"/>
  <c r="K681" i="2" s="1"/>
  <c r="G681" i="2"/>
  <c r="A683" i="2"/>
  <c r="B682" i="2"/>
  <c r="C682" i="2" s="1"/>
  <c r="D682" i="2" s="1"/>
  <c r="F682" i="2"/>
  <c r="H678" i="2"/>
  <c r="I678" i="2" s="1"/>
  <c r="E683" i="2" l="1" a="1"/>
  <c r="E683" i="2" s="1"/>
  <c r="H679" i="2"/>
  <c r="I679" i="2" s="1"/>
  <c r="J682" i="2"/>
  <c r="K682" i="2" s="1"/>
  <c r="G682" i="2"/>
  <c r="A684" i="2"/>
  <c r="B683" i="2"/>
  <c r="C683" i="2" s="1"/>
  <c r="D683" i="2" s="1"/>
  <c r="F683" i="2"/>
  <c r="E684" i="2" l="1" a="1"/>
  <c r="E684" i="2" s="1"/>
  <c r="J683" i="2"/>
  <c r="K683" i="2" s="1"/>
  <c r="G683" i="2"/>
  <c r="A685" i="2"/>
  <c r="B684" i="2"/>
  <c r="C684" i="2" s="1"/>
  <c r="D684" i="2" s="1"/>
  <c r="F684" i="2"/>
  <c r="H680" i="2"/>
  <c r="I680" i="2" s="1"/>
  <c r="E685" i="2" l="1" a="1"/>
  <c r="E685" i="2" s="1"/>
  <c r="H681" i="2"/>
  <c r="I681" i="2" s="1"/>
  <c r="J684" i="2"/>
  <c r="K684" i="2" s="1"/>
  <c r="G684" i="2"/>
  <c r="A686" i="2"/>
  <c r="B685" i="2"/>
  <c r="C685" i="2" s="1"/>
  <c r="D685" i="2" s="1"/>
  <c r="F685" i="2"/>
  <c r="E686" i="2" l="1" a="1"/>
  <c r="E686" i="2" s="1"/>
  <c r="J685" i="2"/>
  <c r="K685" i="2" s="1"/>
  <c r="G685" i="2"/>
  <c r="F686" i="2"/>
  <c r="A687" i="2"/>
  <c r="B686" i="2"/>
  <c r="C686" i="2" s="1"/>
  <c r="D686" i="2" s="1"/>
  <c r="H682" i="2"/>
  <c r="I682" i="2" s="1"/>
  <c r="E687" i="2" l="1" a="1"/>
  <c r="E687" i="2" s="1"/>
  <c r="H683" i="2"/>
  <c r="I683" i="2" s="1"/>
  <c r="F687" i="2"/>
  <c r="A688" i="2"/>
  <c r="B687" i="2"/>
  <c r="C687" i="2" s="1"/>
  <c r="D687" i="2" s="1"/>
  <c r="J686" i="2"/>
  <c r="K686" i="2" s="1"/>
  <c r="G686" i="2"/>
  <c r="E688" i="2" l="1" a="1"/>
  <c r="E688" i="2" s="1"/>
  <c r="F688" i="2"/>
  <c r="A689" i="2"/>
  <c r="B688" i="2"/>
  <c r="C688" i="2" s="1"/>
  <c r="D688" i="2" s="1"/>
  <c r="J687" i="2"/>
  <c r="K687" i="2" s="1"/>
  <c r="G687" i="2"/>
  <c r="H684" i="2"/>
  <c r="I684" i="2" s="1"/>
  <c r="E689" i="2" l="1" a="1"/>
  <c r="E689" i="2" s="1"/>
  <c r="E690" i="2" a="1"/>
  <c r="E690" i="2" s="1"/>
  <c r="H685" i="2"/>
  <c r="I685" i="2" s="1"/>
  <c r="F689" i="2"/>
  <c r="A690" i="2"/>
  <c r="B689" i="2"/>
  <c r="C689" i="2" s="1"/>
  <c r="D689" i="2" s="1"/>
  <c r="J688" i="2"/>
  <c r="K688" i="2" s="1"/>
  <c r="G688" i="2"/>
  <c r="F690" i="2" l="1"/>
  <c r="A691" i="2"/>
  <c r="B690" i="2"/>
  <c r="C690" i="2" s="1"/>
  <c r="D690" i="2" s="1"/>
  <c r="J689" i="2"/>
  <c r="K689" i="2" s="1"/>
  <c r="G689" i="2"/>
  <c r="H686" i="2"/>
  <c r="I686" i="2" s="1"/>
  <c r="E691" i="2" l="1" a="1"/>
  <c r="E691" i="2" s="1"/>
  <c r="H687" i="2"/>
  <c r="I687" i="2" s="1"/>
  <c r="F691" i="2"/>
  <c r="A692" i="2"/>
  <c r="B691" i="2"/>
  <c r="C691" i="2" s="1"/>
  <c r="D691" i="2" s="1"/>
  <c r="J690" i="2"/>
  <c r="K690" i="2" s="1"/>
  <c r="G690" i="2"/>
  <c r="E692" i="2" l="1" a="1"/>
  <c r="E692" i="2" s="1"/>
  <c r="F692" i="2"/>
  <c r="A693" i="2"/>
  <c r="B692" i="2"/>
  <c r="C692" i="2" s="1"/>
  <c r="D692" i="2" s="1"/>
  <c r="J691" i="2"/>
  <c r="K691" i="2" s="1"/>
  <c r="G691" i="2"/>
  <c r="H688" i="2"/>
  <c r="I688" i="2" s="1"/>
  <c r="E693" i="2" l="1" a="1"/>
  <c r="E693" i="2" s="1"/>
  <c r="H689" i="2"/>
  <c r="I689" i="2" s="1"/>
  <c r="F693" i="2"/>
  <c r="A694" i="2"/>
  <c r="B693" i="2"/>
  <c r="C693" i="2" s="1"/>
  <c r="D693" i="2" s="1"/>
  <c r="J692" i="2"/>
  <c r="K692" i="2" s="1"/>
  <c r="G692" i="2"/>
  <c r="E694" i="2" l="1" a="1"/>
  <c r="E694" i="2" s="1"/>
  <c r="F694" i="2"/>
  <c r="A695" i="2"/>
  <c r="B694" i="2"/>
  <c r="C694" i="2" s="1"/>
  <c r="D694" i="2" s="1"/>
  <c r="G693" i="2"/>
  <c r="J693" i="2"/>
  <c r="K693" i="2" s="1"/>
  <c r="H690" i="2"/>
  <c r="I690" i="2" s="1"/>
  <c r="E695" i="2" l="1" a="1"/>
  <c r="E695" i="2" s="1"/>
  <c r="H691" i="2"/>
  <c r="I691" i="2" s="1"/>
  <c r="F695" i="2"/>
  <c r="A696" i="2"/>
  <c r="B695" i="2"/>
  <c r="C695" i="2" s="1"/>
  <c r="D695" i="2" s="1"/>
  <c r="G694" i="2"/>
  <c r="J694" i="2"/>
  <c r="K694" i="2" s="1"/>
  <c r="E696" i="2" l="1" a="1"/>
  <c r="E696" i="2" s="1"/>
  <c r="F696" i="2"/>
  <c r="A697" i="2"/>
  <c r="B696" i="2"/>
  <c r="C696" i="2" s="1"/>
  <c r="D696" i="2" s="1"/>
  <c r="G695" i="2"/>
  <c r="J695" i="2"/>
  <c r="K695" i="2" s="1"/>
  <c r="H692" i="2"/>
  <c r="I692" i="2" s="1"/>
  <c r="E697" i="2" l="1" a="1"/>
  <c r="E697" i="2" s="1"/>
  <c r="H693" i="2"/>
  <c r="I693" i="2" s="1"/>
  <c r="A698" i="2"/>
  <c r="B697" i="2"/>
  <c r="C697" i="2" s="1"/>
  <c r="D697" i="2" s="1"/>
  <c r="F697" i="2"/>
  <c r="J696" i="2"/>
  <c r="K696" i="2" s="1"/>
  <c r="G696" i="2"/>
  <c r="E698" i="2" l="1" a="1"/>
  <c r="E698" i="2" s="1"/>
  <c r="J697" i="2"/>
  <c r="K697" i="2" s="1"/>
  <c r="G697" i="2"/>
  <c r="A699" i="2"/>
  <c r="B698" i="2"/>
  <c r="C698" i="2" s="1"/>
  <c r="D698" i="2" s="1"/>
  <c r="F698" i="2"/>
  <c r="H694" i="2"/>
  <c r="I694" i="2" s="1"/>
  <c r="E699" i="2" l="1" a="1"/>
  <c r="E699" i="2" s="1"/>
  <c r="H695" i="2"/>
  <c r="I695" i="2" s="1"/>
  <c r="J698" i="2"/>
  <c r="K698" i="2" s="1"/>
  <c r="G698" i="2"/>
  <c r="A700" i="2"/>
  <c r="B699" i="2"/>
  <c r="C699" i="2" s="1"/>
  <c r="D699" i="2" s="1"/>
  <c r="F699" i="2"/>
  <c r="E700" i="2" l="1" a="1"/>
  <c r="E700" i="2" s="1"/>
  <c r="J699" i="2"/>
  <c r="K699" i="2" s="1"/>
  <c r="G699" i="2"/>
  <c r="A701" i="2"/>
  <c r="B700" i="2"/>
  <c r="C700" i="2" s="1"/>
  <c r="D700" i="2" s="1"/>
  <c r="F700" i="2"/>
  <c r="H696" i="2"/>
  <c r="I696" i="2" s="1"/>
  <c r="E701" i="2" l="1" a="1"/>
  <c r="E701" i="2" s="1"/>
  <c r="H697" i="2"/>
  <c r="I697" i="2" s="1"/>
  <c r="J700" i="2"/>
  <c r="K700" i="2" s="1"/>
  <c r="G700" i="2"/>
  <c r="A702" i="2"/>
  <c r="B701" i="2"/>
  <c r="C701" i="2" s="1"/>
  <c r="D701" i="2" s="1"/>
  <c r="F701" i="2"/>
  <c r="E702" i="2" l="1" a="1"/>
  <c r="E702" i="2" s="1"/>
  <c r="J701" i="2"/>
  <c r="K701" i="2" s="1"/>
  <c r="G701" i="2"/>
  <c r="F702" i="2"/>
  <c r="B702" i="2"/>
  <c r="C702" i="2" s="1"/>
  <c r="D702" i="2" s="1"/>
  <c r="A703" i="2"/>
  <c r="H698" i="2"/>
  <c r="I698" i="2" s="1"/>
  <c r="E703" i="2" l="1" a="1"/>
  <c r="E703" i="2" s="1"/>
  <c r="H699" i="2"/>
  <c r="I699" i="2" s="1"/>
  <c r="F703" i="2"/>
  <c r="A704" i="2"/>
  <c r="B703" i="2"/>
  <c r="C703" i="2" s="1"/>
  <c r="D703" i="2" s="1"/>
  <c r="J702" i="2"/>
  <c r="K702" i="2" s="1"/>
  <c r="G702" i="2"/>
  <c r="E704" i="2" l="1" a="1"/>
  <c r="E704" i="2" s="1"/>
  <c r="F704" i="2"/>
  <c r="A705" i="2"/>
  <c r="B704" i="2"/>
  <c r="C704" i="2" s="1"/>
  <c r="D704" i="2" s="1"/>
  <c r="J703" i="2"/>
  <c r="K703" i="2" s="1"/>
  <c r="G703" i="2"/>
  <c r="H700" i="2"/>
  <c r="I700" i="2" s="1"/>
  <c r="E705" i="2" l="1" a="1"/>
  <c r="E705" i="2" s="1"/>
  <c r="H701" i="2"/>
  <c r="I701" i="2" s="1"/>
  <c r="F705" i="2"/>
  <c r="A706" i="2"/>
  <c r="B705" i="2"/>
  <c r="C705" i="2" s="1"/>
  <c r="D705" i="2" s="1"/>
  <c r="J704" i="2"/>
  <c r="K704" i="2" s="1"/>
  <c r="G704" i="2"/>
  <c r="E706" i="2" l="1" a="1"/>
  <c r="E706" i="2" s="1"/>
  <c r="F706" i="2"/>
  <c r="A707" i="2"/>
  <c r="B706" i="2"/>
  <c r="C706" i="2" s="1"/>
  <c r="D706" i="2" s="1"/>
  <c r="J705" i="2"/>
  <c r="K705" i="2" s="1"/>
  <c r="G705" i="2"/>
  <c r="H702" i="2"/>
  <c r="I702" i="2" s="1"/>
  <c r="E707" i="2" l="1" a="1"/>
  <c r="E707" i="2" s="1"/>
  <c r="H703" i="2"/>
  <c r="I703" i="2" s="1"/>
  <c r="F707" i="2"/>
  <c r="A708" i="2"/>
  <c r="B707" i="2"/>
  <c r="C707" i="2" s="1"/>
  <c r="D707" i="2" s="1"/>
  <c r="J706" i="2"/>
  <c r="K706" i="2" s="1"/>
  <c r="G706" i="2"/>
  <c r="E708" i="2" l="1" a="1"/>
  <c r="E708" i="2" s="1"/>
  <c r="F708" i="2"/>
  <c r="A709" i="2"/>
  <c r="B708" i="2"/>
  <c r="C708" i="2" s="1"/>
  <c r="D708" i="2" s="1"/>
  <c r="J707" i="2"/>
  <c r="K707" i="2" s="1"/>
  <c r="G707" i="2"/>
  <c r="H704" i="2"/>
  <c r="I704" i="2" s="1"/>
  <c r="E709" i="2" l="1" a="1"/>
  <c r="E709" i="2" s="1"/>
  <c r="H705" i="2"/>
  <c r="I705" i="2" s="1"/>
  <c r="F709" i="2"/>
  <c r="A710" i="2"/>
  <c r="B709" i="2"/>
  <c r="C709" i="2" s="1"/>
  <c r="D709" i="2" s="1"/>
  <c r="J708" i="2"/>
  <c r="K708" i="2" s="1"/>
  <c r="G708" i="2"/>
  <c r="E710" i="2" l="1" a="1"/>
  <c r="E710" i="2" s="1"/>
  <c r="F710" i="2"/>
  <c r="A711" i="2"/>
  <c r="B710" i="2"/>
  <c r="C710" i="2" s="1"/>
  <c r="D710" i="2" s="1"/>
  <c r="G709" i="2"/>
  <c r="J709" i="2"/>
  <c r="K709" i="2" s="1"/>
  <c r="H706" i="2"/>
  <c r="I706" i="2" s="1"/>
  <c r="E711" i="2" l="1" a="1"/>
  <c r="E711" i="2" s="1"/>
  <c r="H707" i="2"/>
  <c r="I707" i="2" s="1"/>
  <c r="F711" i="2"/>
  <c r="A712" i="2"/>
  <c r="B711" i="2"/>
  <c r="C711" i="2" s="1"/>
  <c r="D711" i="2" s="1"/>
  <c r="G710" i="2"/>
  <c r="J710" i="2"/>
  <c r="K710" i="2" s="1"/>
  <c r="E712" i="2" l="1" a="1"/>
  <c r="E712" i="2" s="1"/>
  <c r="F712" i="2"/>
  <c r="A713" i="2"/>
  <c r="B712" i="2"/>
  <c r="C712" i="2" s="1"/>
  <c r="D712" i="2" s="1"/>
  <c r="G711" i="2"/>
  <c r="J711" i="2"/>
  <c r="K711" i="2" s="1"/>
  <c r="H708" i="2"/>
  <c r="I708" i="2" s="1"/>
  <c r="E713" i="2" l="1" a="1"/>
  <c r="E713" i="2" s="1"/>
  <c r="H709" i="2"/>
  <c r="I709" i="2" s="1"/>
  <c r="A714" i="2"/>
  <c r="B713" i="2"/>
  <c r="C713" i="2" s="1"/>
  <c r="D713" i="2" s="1"/>
  <c r="F713" i="2"/>
  <c r="J712" i="2"/>
  <c r="K712" i="2" s="1"/>
  <c r="G712" i="2"/>
  <c r="E714" i="2" l="1" a="1"/>
  <c r="E714" i="2" s="1"/>
  <c r="J713" i="2"/>
  <c r="K713" i="2" s="1"/>
  <c r="G713" i="2"/>
  <c r="A715" i="2"/>
  <c r="B714" i="2"/>
  <c r="C714" i="2" s="1"/>
  <c r="D714" i="2" s="1"/>
  <c r="F714" i="2"/>
  <c r="H710" i="2"/>
  <c r="I710" i="2" s="1"/>
  <c r="E715" i="2" l="1" a="1"/>
  <c r="E715" i="2" s="1"/>
  <c r="H711" i="2"/>
  <c r="I711" i="2" s="1"/>
  <c r="J714" i="2"/>
  <c r="K714" i="2" s="1"/>
  <c r="G714" i="2"/>
  <c r="A716" i="2"/>
  <c r="B715" i="2"/>
  <c r="C715" i="2" s="1"/>
  <c r="D715" i="2" s="1"/>
  <c r="F715" i="2"/>
  <c r="E716" i="2" l="1" a="1"/>
  <c r="E716" i="2" s="1"/>
  <c r="J715" i="2"/>
  <c r="K715" i="2" s="1"/>
  <c r="G715" i="2"/>
  <c r="A717" i="2"/>
  <c r="B716" i="2"/>
  <c r="C716" i="2" s="1"/>
  <c r="D716" i="2" s="1"/>
  <c r="F716" i="2"/>
  <c r="H712" i="2"/>
  <c r="I712" i="2" s="1"/>
  <c r="E717" i="2" l="1" a="1"/>
  <c r="E717" i="2" s="1"/>
  <c r="H713" i="2"/>
  <c r="I713" i="2" s="1"/>
  <c r="J716" i="2"/>
  <c r="K716" i="2" s="1"/>
  <c r="G716" i="2"/>
  <c r="A718" i="2"/>
  <c r="B717" i="2"/>
  <c r="C717" i="2" s="1"/>
  <c r="D717" i="2" s="1"/>
  <c r="F717" i="2"/>
  <c r="E718" i="2" l="1" a="1"/>
  <c r="E718" i="2" s="1"/>
  <c r="J717" i="2"/>
  <c r="K717" i="2" s="1"/>
  <c r="G717" i="2"/>
  <c r="F718" i="2"/>
  <c r="A719" i="2"/>
  <c r="B718" i="2"/>
  <c r="C718" i="2" s="1"/>
  <c r="D718" i="2" s="1"/>
  <c r="E719" i="2" s="1" a="1"/>
  <c r="E719" i="2" s="1"/>
  <c r="H714" i="2"/>
  <c r="I714" i="2" s="1"/>
  <c r="H715" i="2" l="1"/>
  <c r="I715" i="2" s="1"/>
  <c r="F719" i="2"/>
  <c r="A720" i="2"/>
  <c r="B719" i="2"/>
  <c r="C719" i="2" s="1"/>
  <c r="D719" i="2" s="1"/>
  <c r="J718" i="2"/>
  <c r="K718" i="2" s="1"/>
  <c r="G718" i="2"/>
  <c r="E720" i="2" l="1" a="1"/>
  <c r="E720" i="2" s="1"/>
  <c r="F720" i="2"/>
  <c r="A721" i="2"/>
  <c r="B720" i="2"/>
  <c r="C720" i="2" s="1"/>
  <c r="D720" i="2" s="1"/>
  <c r="J719" i="2"/>
  <c r="K719" i="2" s="1"/>
  <c r="G719" i="2"/>
  <c r="H716" i="2"/>
  <c r="I716" i="2" s="1"/>
  <c r="E721" i="2" l="1" a="1"/>
  <c r="E721" i="2" s="1"/>
  <c r="H717" i="2"/>
  <c r="I717" i="2" s="1"/>
  <c r="F721" i="2"/>
  <c r="A722" i="2"/>
  <c r="B721" i="2"/>
  <c r="C721" i="2" s="1"/>
  <c r="D721" i="2" s="1"/>
  <c r="J720" i="2"/>
  <c r="K720" i="2" s="1"/>
  <c r="G720" i="2"/>
  <c r="E722" i="2" l="1" a="1"/>
  <c r="E722" i="2" s="1"/>
  <c r="F722" i="2"/>
  <c r="A723" i="2"/>
  <c r="B722" i="2"/>
  <c r="C722" i="2" s="1"/>
  <c r="D722" i="2" s="1"/>
  <c r="J721" i="2"/>
  <c r="K721" i="2" s="1"/>
  <c r="G721" i="2"/>
  <c r="H718" i="2"/>
  <c r="I718" i="2" s="1"/>
  <c r="E723" i="2" l="1" a="1"/>
  <c r="E723" i="2" s="1"/>
  <c r="H719" i="2"/>
  <c r="I719" i="2" s="1"/>
  <c r="F723" i="2"/>
  <c r="A724" i="2"/>
  <c r="B723" i="2"/>
  <c r="C723" i="2" s="1"/>
  <c r="D723" i="2" s="1"/>
  <c r="J722" i="2"/>
  <c r="K722" i="2" s="1"/>
  <c r="G722" i="2"/>
  <c r="E724" i="2" l="1" a="1"/>
  <c r="E724" i="2" s="1"/>
  <c r="F724" i="2"/>
  <c r="A725" i="2"/>
  <c r="B724" i="2"/>
  <c r="C724" i="2" s="1"/>
  <c r="D724" i="2" s="1"/>
  <c r="J723" i="2"/>
  <c r="K723" i="2" s="1"/>
  <c r="G723" i="2"/>
  <c r="H720" i="2"/>
  <c r="I720" i="2" s="1"/>
  <c r="E725" i="2" l="1" a="1"/>
  <c r="E725" i="2" s="1"/>
  <c r="H721" i="2"/>
  <c r="I721" i="2" s="1"/>
  <c r="F725" i="2"/>
  <c r="A726" i="2"/>
  <c r="B725" i="2"/>
  <c r="C725" i="2" s="1"/>
  <c r="D725" i="2" s="1"/>
  <c r="J724" i="2"/>
  <c r="K724" i="2" s="1"/>
  <c r="G724" i="2"/>
  <c r="E726" i="2" l="1" a="1"/>
  <c r="E726" i="2" s="1"/>
  <c r="F726" i="2"/>
  <c r="A727" i="2"/>
  <c r="B726" i="2"/>
  <c r="C726" i="2" s="1"/>
  <c r="D726" i="2" s="1"/>
  <c r="G725" i="2"/>
  <c r="J725" i="2"/>
  <c r="K725" i="2" s="1"/>
  <c r="H722" i="2"/>
  <c r="I722" i="2" s="1"/>
  <c r="E727" i="2" l="1" a="1"/>
  <c r="E727" i="2" s="1"/>
  <c r="H723" i="2"/>
  <c r="I723" i="2" s="1"/>
  <c r="F727" i="2"/>
  <c r="A728" i="2"/>
  <c r="B727" i="2"/>
  <c r="C727" i="2" s="1"/>
  <c r="D727" i="2" s="1"/>
  <c r="G726" i="2"/>
  <c r="J726" i="2"/>
  <c r="K726" i="2" s="1"/>
  <c r="E728" i="2" l="1" a="1"/>
  <c r="E728" i="2" s="1"/>
  <c r="F728" i="2"/>
  <c r="A729" i="2"/>
  <c r="B728" i="2"/>
  <c r="C728" i="2" s="1"/>
  <c r="D728" i="2" s="1"/>
  <c r="G727" i="2"/>
  <c r="J727" i="2"/>
  <c r="K727" i="2" s="1"/>
  <c r="H724" i="2"/>
  <c r="I724" i="2" s="1"/>
  <c r="E729" i="2" l="1" a="1"/>
  <c r="E729" i="2" s="1"/>
  <c r="H725" i="2"/>
  <c r="I725" i="2" s="1"/>
  <c r="A730" i="2"/>
  <c r="B729" i="2"/>
  <c r="C729" i="2" s="1"/>
  <c r="D729" i="2" s="1"/>
  <c r="F729" i="2"/>
  <c r="J728" i="2"/>
  <c r="K728" i="2" s="1"/>
  <c r="G728" i="2"/>
  <c r="E730" i="2" l="1" a="1"/>
  <c r="E730" i="2" s="1"/>
  <c r="J729" i="2"/>
  <c r="K729" i="2" s="1"/>
  <c r="G729" i="2"/>
  <c r="A731" i="2"/>
  <c r="B730" i="2"/>
  <c r="C730" i="2" s="1"/>
  <c r="D730" i="2" s="1"/>
  <c r="F730" i="2"/>
  <c r="H726" i="2"/>
  <c r="I726" i="2" s="1"/>
  <c r="E731" i="2" l="1" a="1"/>
  <c r="E731" i="2" s="1"/>
  <c r="H727" i="2"/>
  <c r="I727" i="2" s="1"/>
  <c r="J730" i="2"/>
  <c r="K730" i="2" s="1"/>
  <c r="G730" i="2"/>
  <c r="A732" i="2"/>
  <c r="B731" i="2"/>
  <c r="C731" i="2" s="1"/>
  <c r="D731" i="2" s="1"/>
  <c r="F731" i="2"/>
  <c r="E732" i="2" l="1" a="1"/>
  <c r="E732" i="2" s="1"/>
  <c r="J731" i="2"/>
  <c r="K731" i="2" s="1"/>
  <c r="G731" i="2"/>
  <c r="A733" i="2"/>
  <c r="B732" i="2"/>
  <c r="C732" i="2" s="1"/>
  <c r="D732" i="2" s="1"/>
  <c r="F732" i="2"/>
  <c r="H728" i="2"/>
  <c r="I728" i="2" s="1"/>
  <c r="E733" i="2" l="1" a="1"/>
  <c r="E733" i="2" s="1"/>
  <c r="H729" i="2"/>
  <c r="I729" i="2" s="1"/>
  <c r="J732" i="2"/>
  <c r="K732" i="2" s="1"/>
  <c r="G732" i="2"/>
  <c r="A734" i="2"/>
  <c r="B733" i="2"/>
  <c r="C733" i="2" s="1"/>
  <c r="D733" i="2" s="1"/>
  <c r="F733" i="2"/>
  <c r="E734" i="2" l="1" a="1"/>
  <c r="E734" i="2" s="1"/>
  <c r="J733" i="2"/>
  <c r="K733" i="2" s="1"/>
  <c r="G733" i="2"/>
  <c r="F734" i="2"/>
  <c r="A735" i="2"/>
  <c r="B734" i="2"/>
  <c r="C734" i="2" s="1"/>
  <c r="D734" i="2" s="1"/>
  <c r="H730" i="2"/>
  <c r="I730" i="2" s="1"/>
  <c r="E735" i="2" l="1" a="1"/>
  <c r="E735" i="2" s="1"/>
  <c r="H731" i="2"/>
  <c r="I731" i="2" s="1"/>
  <c r="F735" i="2"/>
  <c r="A736" i="2"/>
  <c r="B735" i="2"/>
  <c r="C735" i="2" s="1"/>
  <c r="D735" i="2" s="1"/>
  <c r="J734" i="2"/>
  <c r="K734" i="2" s="1"/>
  <c r="G734" i="2"/>
  <c r="E736" i="2" l="1" a="1"/>
  <c r="E736" i="2" s="1"/>
  <c r="F736" i="2"/>
  <c r="A737" i="2"/>
  <c r="B736" i="2"/>
  <c r="C736" i="2" s="1"/>
  <c r="D736" i="2" s="1"/>
  <c r="J735" i="2"/>
  <c r="K735" i="2" s="1"/>
  <c r="G735" i="2"/>
  <c r="H732" i="2"/>
  <c r="I732" i="2" s="1"/>
  <c r="E737" i="2" l="1" a="1"/>
  <c r="E737" i="2" s="1"/>
  <c r="H733" i="2"/>
  <c r="I733" i="2" s="1"/>
  <c r="F737" i="2"/>
  <c r="A738" i="2"/>
  <c r="B737" i="2"/>
  <c r="C737" i="2" s="1"/>
  <c r="D737" i="2" s="1"/>
  <c r="J736" i="2"/>
  <c r="K736" i="2" s="1"/>
  <c r="G736" i="2"/>
  <c r="E738" i="2" l="1" a="1"/>
  <c r="E738" i="2" s="1"/>
  <c r="F738" i="2"/>
  <c r="A739" i="2"/>
  <c r="B738" i="2"/>
  <c r="C738" i="2" s="1"/>
  <c r="D738" i="2" s="1"/>
  <c r="J737" i="2"/>
  <c r="K737" i="2" s="1"/>
  <c r="G737" i="2"/>
  <c r="H734" i="2"/>
  <c r="I734" i="2" s="1"/>
  <c r="E739" i="2" l="1" a="1"/>
  <c r="E739" i="2" s="1"/>
  <c r="H735" i="2"/>
  <c r="I735" i="2" s="1"/>
  <c r="F739" i="2"/>
  <c r="A740" i="2"/>
  <c r="B739" i="2"/>
  <c r="C739" i="2" s="1"/>
  <c r="D739" i="2" s="1"/>
  <c r="J738" i="2"/>
  <c r="K738" i="2" s="1"/>
  <c r="G738" i="2"/>
  <c r="E740" i="2" l="1" a="1"/>
  <c r="E740" i="2" s="1"/>
  <c r="F740" i="2"/>
  <c r="A741" i="2"/>
  <c r="B740" i="2"/>
  <c r="C740" i="2" s="1"/>
  <c r="D740" i="2" s="1"/>
  <c r="J739" i="2"/>
  <c r="K739" i="2" s="1"/>
  <c r="G739" i="2"/>
  <c r="H736" i="2"/>
  <c r="I736" i="2" s="1"/>
  <c r="E741" i="2" l="1" a="1"/>
  <c r="E741" i="2" s="1"/>
  <c r="H737" i="2"/>
  <c r="I737" i="2" s="1"/>
  <c r="F741" i="2"/>
  <c r="A742" i="2"/>
  <c r="B741" i="2"/>
  <c r="C741" i="2" s="1"/>
  <c r="D741" i="2" s="1"/>
  <c r="J740" i="2"/>
  <c r="K740" i="2" s="1"/>
  <c r="G740" i="2"/>
  <c r="E742" i="2" l="1" a="1"/>
  <c r="E742" i="2" s="1"/>
  <c r="F742" i="2"/>
  <c r="A743" i="2"/>
  <c r="B742" i="2"/>
  <c r="C742" i="2" s="1"/>
  <c r="D742" i="2" s="1"/>
  <c r="G741" i="2"/>
  <c r="J741" i="2"/>
  <c r="K741" i="2" s="1"/>
  <c r="H738" i="2"/>
  <c r="I738" i="2" s="1"/>
  <c r="E743" i="2" l="1" a="1"/>
  <c r="E743" i="2" s="1"/>
  <c r="H739" i="2"/>
  <c r="I739" i="2" s="1"/>
  <c r="F743" i="2"/>
  <c r="A744" i="2"/>
  <c r="B743" i="2"/>
  <c r="C743" i="2" s="1"/>
  <c r="D743" i="2" s="1"/>
  <c r="G742" i="2"/>
  <c r="J742" i="2"/>
  <c r="K742" i="2" s="1"/>
  <c r="E744" i="2" l="1" a="1"/>
  <c r="E744" i="2" s="1"/>
  <c r="F744" i="2"/>
  <c r="A745" i="2"/>
  <c r="B744" i="2"/>
  <c r="C744" i="2" s="1"/>
  <c r="D744" i="2" s="1"/>
  <c r="G743" i="2"/>
  <c r="J743" i="2"/>
  <c r="K743" i="2" s="1"/>
  <c r="H740" i="2"/>
  <c r="I740" i="2" s="1"/>
  <c r="E745" i="2" l="1" a="1"/>
  <c r="E745" i="2" s="1"/>
  <c r="H741" i="2"/>
  <c r="I741" i="2" s="1"/>
  <c r="A746" i="2"/>
  <c r="B745" i="2"/>
  <c r="C745" i="2" s="1"/>
  <c r="D745" i="2" s="1"/>
  <c r="F745" i="2"/>
  <c r="J744" i="2"/>
  <c r="K744" i="2" s="1"/>
  <c r="G744" i="2"/>
  <c r="E746" i="2" l="1" a="1"/>
  <c r="E746" i="2" s="1"/>
  <c r="J745" i="2"/>
  <c r="K745" i="2" s="1"/>
  <c r="G745" i="2"/>
  <c r="A747" i="2"/>
  <c r="B746" i="2"/>
  <c r="C746" i="2" s="1"/>
  <c r="D746" i="2" s="1"/>
  <c r="F746" i="2"/>
  <c r="H742" i="2"/>
  <c r="I742" i="2" s="1"/>
  <c r="E747" i="2" l="1" a="1"/>
  <c r="E747" i="2" s="1"/>
  <c r="H743" i="2"/>
  <c r="I743" i="2" s="1"/>
  <c r="J746" i="2"/>
  <c r="K746" i="2" s="1"/>
  <c r="G746" i="2"/>
  <c r="A748" i="2"/>
  <c r="B747" i="2"/>
  <c r="C747" i="2" s="1"/>
  <c r="D747" i="2" s="1"/>
  <c r="F747" i="2"/>
  <c r="E748" i="2" l="1" a="1"/>
  <c r="E748" i="2" s="1"/>
  <c r="J747" i="2"/>
  <c r="K747" i="2" s="1"/>
  <c r="G747" i="2"/>
  <c r="A749" i="2"/>
  <c r="B748" i="2"/>
  <c r="C748" i="2" s="1"/>
  <c r="D748" i="2" s="1"/>
  <c r="F748" i="2"/>
  <c r="H744" i="2"/>
  <c r="I744" i="2" s="1"/>
  <c r="E749" i="2" l="1" a="1"/>
  <c r="E749" i="2" s="1"/>
  <c r="H745" i="2"/>
  <c r="I745" i="2" s="1"/>
  <c r="J748" i="2"/>
  <c r="K748" i="2" s="1"/>
  <c r="G748" i="2"/>
  <c r="A750" i="2"/>
  <c r="B749" i="2"/>
  <c r="C749" i="2" s="1"/>
  <c r="D749" i="2" s="1"/>
  <c r="F749" i="2"/>
  <c r="E750" i="2" l="1" a="1"/>
  <c r="E750" i="2" s="1"/>
  <c r="J749" i="2"/>
  <c r="K749" i="2" s="1"/>
  <c r="G749" i="2"/>
  <c r="F750" i="2"/>
  <c r="A751" i="2"/>
  <c r="B750" i="2"/>
  <c r="C750" i="2" s="1"/>
  <c r="D750" i="2" s="1"/>
  <c r="H746" i="2"/>
  <c r="I746" i="2" s="1"/>
  <c r="E751" i="2" l="1" a="1"/>
  <c r="E751" i="2" s="1"/>
  <c r="H747" i="2"/>
  <c r="I747" i="2" s="1"/>
  <c r="F751" i="2"/>
  <c r="A752" i="2"/>
  <c r="B751" i="2"/>
  <c r="C751" i="2" s="1"/>
  <c r="D751" i="2" s="1"/>
  <c r="J750" i="2"/>
  <c r="K750" i="2" s="1"/>
  <c r="G750" i="2"/>
  <c r="E752" i="2" l="1" a="1"/>
  <c r="E752" i="2" s="1"/>
  <c r="F752" i="2"/>
  <c r="A753" i="2"/>
  <c r="B752" i="2"/>
  <c r="C752" i="2" s="1"/>
  <c r="D752" i="2" s="1"/>
  <c r="J751" i="2"/>
  <c r="K751" i="2" s="1"/>
  <c r="G751" i="2"/>
  <c r="H748" i="2"/>
  <c r="I748" i="2" s="1"/>
  <c r="E753" i="2" l="1" a="1"/>
  <c r="E753" i="2" s="1"/>
  <c r="H749" i="2"/>
  <c r="I749" i="2" s="1"/>
  <c r="F753" i="2"/>
  <c r="A754" i="2"/>
  <c r="B753" i="2"/>
  <c r="C753" i="2" s="1"/>
  <c r="D753" i="2" s="1"/>
  <c r="J752" i="2"/>
  <c r="K752" i="2" s="1"/>
  <c r="G752" i="2"/>
  <c r="E754" i="2" l="1" a="1"/>
  <c r="E754" i="2" s="1"/>
  <c r="F754" i="2"/>
  <c r="A755" i="2"/>
  <c r="B754" i="2"/>
  <c r="C754" i="2" s="1"/>
  <c r="D754" i="2" s="1"/>
  <c r="J753" i="2"/>
  <c r="K753" i="2" s="1"/>
  <c r="G753" i="2"/>
  <c r="H750" i="2"/>
  <c r="I750" i="2" s="1"/>
  <c r="E755" i="2" l="1" a="1"/>
  <c r="E755" i="2" s="1"/>
  <c r="H751" i="2"/>
  <c r="I751" i="2" s="1"/>
  <c r="F755" i="2"/>
  <c r="A756" i="2"/>
  <c r="B755" i="2"/>
  <c r="C755" i="2" s="1"/>
  <c r="D755" i="2" s="1"/>
  <c r="J754" i="2"/>
  <c r="K754" i="2" s="1"/>
  <c r="G754" i="2"/>
  <c r="E756" i="2" l="1" a="1"/>
  <c r="E756" i="2" s="1"/>
  <c r="F756" i="2"/>
  <c r="A757" i="2"/>
  <c r="B756" i="2"/>
  <c r="C756" i="2" s="1"/>
  <c r="D756" i="2" s="1"/>
  <c r="J755" i="2"/>
  <c r="K755" i="2" s="1"/>
  <c r="G755" i="2"/>
  <c r="H752" i="2"/>
  <c r="I752" i="2" s="1"/>
  <c r="E757" i="2" l="1" a="1"/>
  <c r="E757" i="2" s="1"/>
  <c r="H753" i="2"/>
  <c r="I753" i="2" s="1"/>
  <c r="F757" i="2"/>
  <c r="A758" i="2"/>
  <c r="B757" i="2"/>
  <c r="C757" i="2" s="1"/>
  <c r="D757" i="2" s="1"/>
  <c r="J756" i="2"/>
  <c r="K756" i="2" s="1"/>
  <c r="G756" i="2"/>
  <c r="E758" i="2" l="1" a="1"/>
  <c r="E758" i="2" s="1"/>
  <c r="F758" i="2"/>
  <c r="A759" i="2"/>
  <c r="B758" i="2"/>
  <c r="C758" i="2" s="1"/>
  <c r="D758" i="2" s="1"/>
  <c r="G757" i="2"/>
  <c r="J757" i="2"/>
  <c r="K757" i="2" s="1"/>
  <c r="H754" i="2"/>
  <c r="I754" i="2" s="1"/>
  <c r="E759" i="2" l="1" a="1"/>
  <c r="E759" i="2" s="1"/>
  <c r="H755" i="2"/>
  <c r="I755" i="2" s="1"/>
  <c r="F759" i="2"/>
  <c r="A760" i="2"/>
  <c r="B759" i="2"/>
  <c r="C759" i="2" s="1"/>
  <c r="D759" i="2" s="1"/>
  <c r="G758" i="2"/>
  <c r="J758" i="2"/>
  <c r="K758" i="2" s="1"/>
  <c r="E760" i="2" l="1" a="1"/>
  <c r="E760" i="2" s="1"/>
  <c r="F760" i="2"/>
  <c r="A761" i="2"/>
  <c r="B760" i="2"/>
  <c r="C760" i="2" s="1"/>
  <c r="D760" i="2" s="1"/>
  <c r="G759" i="2"/>
  <c r="J759" i="2"/>
  <c r="K759" i="2" s="1"/>
  <c r="H756" i="2"/>
  <c r="I756" i="2" s="1"/>
  <c r="E761" i="2" l="1" a="1"/>
  <c r="E761" i="2" s="1"/>
  <c r="H757" i="2"/>
  <c r="I757" i="2" s="1"/>
  <c r="A762" i="2"/>
  <c r="B761" i="2"/>
  <c r="C761" i="2" s="1"/>
  <c r="D761" i="2" s="1"/>
  <c r="F761" i="2"/>
  <c r="J760" i="2"/>
  <c r="K760" i="2" s="1"/>
  <c r="G760" i="2"/>
  <c r="E762" i="2" l="1" a="1"/>
  <c r="E762" i="2" s="1"/>
  <c r="J761" i="2"/>
  <c r="K761" i="2" s="1"/>
  <c r="G761" i="2"/>
  <c r="A763" i="2"/>
  <c r="B762" i="2"/>
  <c r="C762" i="2" s="1"/>
  <c r="D762" i="2" s="1"/>
  <c r="F762" i="2"/>
  <c r="H758" i="2"/>
  <c r="I758" i="2" s="1"/>
  <c r="E763" i="2" l="1" a="1"/>
  <c r="E763" i="2" s="1"/>
  <c r="H759" i="2"/>
  <c r="I759" i="2" s="1"/>
  <c r="J762" i="2"/>
  <c r="K762" i="2" s="1"/>
  <c r="G762" i="2"/>
  <c r="A764" i="2"/>
  <c r="B763" i="2"/>
  <c r="C763" i="2" s="1"/>
  <c r="D763" i="2" s="1"/>
  <c r="E764" i="2" s="1" a="1"/>
  <c r="E764" i="2" s="1"/>
  <c r="F763" i="2"/>
  <c r="J763" i="2" l="1"/>
  <c r="K763" i="2" s="1"/>
  <c r="G763" i="2"/>
  <c r="B764" i="2"/>
  <c r="C764" i="2" s="1"/>
  <c r="D764" i="2" s="1"/>
  <c r="A765" i="2"/>
  <c r="F764" i="2"/>
  <c r="H760" i="2"/>
  <c r="I760" i="2" s="1"/>
  <c r="E765" i="2" l="1" a="1"/>
  <c r="E765" i="2" s="1"/>
  <c r="H761" i="2"/>
  <c r="I761" i="2" s="1"/>
  <c r="J764" i="2"/>
  <c r="K764" i="2" s="1"/>
  <c r="G764" i="2"/>
  <c r="B765" i="2"/>
  <c r="C765" i="2" s="1"/>
  <c r="D765" i="2" s="1"/>
  <c r="A766" i="2"/>
  <c r="F765" i="2"/>
  <c r="E766" i="2" l="1" a="1"/>
  <c r="E766" i="2" s="1"/>
  <c r="J765" i="2"/>
  <c r="K765" i="2" s="1"/>
  <c r="G765" i="2"/>
  <c r="B766" i="2"/>
  <c r="C766" i="2" s="1"/>
  <c r="D766" i="2" s="1"/>
  <c r="A767" i="2"/>
  <c r="F766" i="2"/>
  <c r="H762" i="2"/>
  <c r="I762" i="2" s="1"/>
  <c r="E767" i="2" l="1" a="1"/>
  <c r="E767" i="2" s="1"/>
  <c r="H763" i="2"/>
  <c r="I763" i="2" s="1"/>
  <c r="J766" i="2"/>
  <c r="K766" i="2" s="1"/>
  <c r="G766" i="2"/>
  <c r="B767" i="2"/>
  <c r="C767" i="2" s="1"/>
  <c r="D767" i="2" s="1"/>
  <c r="A768" i="2"/>
  <c r="F767" i="2"/>
  <c r="E768" i="2" l="1" a="1"/>
  <c r="E768" i="2" s="1"/>
  <c r="J767" i="2"/>
  <c r="K767" i="2" s="1"/>
  <c r="G767" i="2"/>
  <c r="A769" i="2"/>
  <c r="B768" i="2"/>
  <c r="C768" i="2" s="1"/>
  <c r="D768" i="2" s="1"/>
  <c r="F768" i="2"/>
  <c r="H764" i="2"/>
  <c r="I764" i="2" s="1"/>
  <c r="E769" i="2" l="1" a="1"/>
  <c r="E769" i="2" s="1"/>
  <c r="H765" i="2"/>
  <c r="I765" i="2" s="1"/>
  <c r="J768" i="2"/>
  <c r="K768" i="2" s="1"/>
  <c r="G768" i="2"/>
  <c r="B769" i="2"/>
  <c r="C769" i="2" s="1"/>
  <c r="D769" i="2" s="1"/>
  <c r="A770" i="2"/>
  <c r="F769" i="2"/>
  <c r="E770" i="2" l="1" a="1"/>
  <c r="E770" i="2" s="1"/>
  <c r="J769" i="2"/>
  <c r="K769" i="2" s="1"/>
  <c r="G769" i="2"/>
  <c r="B770" i="2"/>
  <c r="C770" i="2" s="1"/>
  <c r="D770" i="2" s="1"/>
  <c r="A771" i="2"/>
  <c r="F770" i="2"/>
  <c r="H766" i="2"/>
  <c r="I766" i="2" s="1"/>
  <c r="E771" i="2" l="1" a="1"/>
  <c r="E771" i="2" s="1"/>
  <c r="H767" i="2"/>
  <c r="I767" i="2" s="1"/>
  <c r="J770" i="2"/>
  <c r="K770" i="2" s="1"/>
  <c r="G770" i="2"/>
  <c r="B771" i="2"/>
  <c r="C771" i="2" s="1"/>
  <c r="D771" i="2" s="1"/>
  <c r="A772" i="2"/>
  <c r="F771" i="2"/>
  <c r="E772" i="2" l="1" a="1"/>
  <c r="E772" i="2" s="1"/>
  <c r="J771" i="2"/>
  <c r="K771" i="2" s="1"/>
  <c r="G771" i="2"/>
  <c r="B772" i="2"/>
  <c r="C772" i="2" s="1"/>
  <c r="D772" i="2" s="1"/>
  <c r="A773" i="2"/>
  <c r="F772" i="2"/>
  <c r="H768" i="2"/>
  <c r="I768" i="2" s="1"/>
  <c r="E773" i="2" l="1" a="1"/>
  <c r="E773" i="2" s="1"/>
  <c r="H769" i="2"/>
  <c r="I769" i="2" s="1"/>
  <c r="J772" i="2"/>
  <c r="K772" i="2" s="1"/>
  <c r="G772" i="2"/>
  <c r="B773" i="2"/>
  <c r="C773" i="2" s="1"/>
  <c r="D773" i="2" s="1"/>
  <c r="A774" i="2"/>
  <c r="F773" i="2"/>
  <c r="E774" i="2" l="1" a="1"/>
  <c r="E774" i="2" s="1"/>
  <c r="J773" i="2"/>
  <c r="K773" i="2" s="1"/>
  <c r="G773" i="2"/>
  <c r="B774" i="2"/>
  <c r="C774" i="2" s="1"/>
  <c r="D774" i="2" s="1"/>
  <c r="A775" i="2"/>
  <c r="F774" i="2"/>
  <c r="H770" i="2"/>
  <c r="I770" i="2" s="1"/>
  <c r="E775" i="2" l="1" a="1"/>
  <c r="E775" i="2" s="1"/>
  <c r="H771" i="2"/>
  <c r="I771" i="2" s="1"/>
  <c r="J774" i="2"/>
  <c r="K774" i="2" s="1"/>
  <c r="G774" i="2"/>
  <c r="B775" i="2"/>
  <c r="C775" i="2" s="1"/>
  <c r="D775" i="2" s="1"/>
  <c r="A776" i="2"/>
  <c r="F775" i="2"/>
  <c r="E776" i="2" l="1" a="1"/>
  <c r="E776" i="2" s="1"/>
  <c r="J775" i="2"/>
  <c r="K775" i="2" s="1"/>
  <c r="G775" i="2"/>
  <c r="F776" i="2"/>
  <c r="B776" i="2"/>
  <c r="C776" i="2" s="1"/>
  <c r="D776" i="2" s="1"/>
  <c r="A777" i="2"/>
  <c r="H772" i="2"/>
  <c r="I772" i="2" s="1"/>
  <c r="E777" i="2" l="1" a="1"/>
  <c r="E777" i="2" s="1"/>
  <c r="H773" i="2"/>
  <c r="I773" i="2" s="1"/>
  <c r="F777" i="2"/>
  <c r="B777" i="2"/>
  <c r="C777" i="2" s="1"/>
  <c r="D777" i="2" s="1"/>
  <c r="A778" i="2"/>
  <c r="J776" i="2"/>
  <c r="K776" i="2" s="1"/>
  <c r="G776" i="2"/>
  <c r="E778" i="2" l="1" a="1"/>
  <c r="E778" i="2" s="1"/>
  <c r="A779" i="2"/>
  <c r="B778" i="2"/>
  <c r="C778" i="2" s="1"/>
  <c r="D778" i="2" s="1"/>
  <c r="F778" i="2"/>
  <c r="G777" i="2"/>
  <c r="J777" i="2"/>
  <c r="K777" i="2" s="1"/>
  <c r="H774" i="2"/>
  <c r="I774" i="2" s="1"/>
  <c r="E779" i="2" l="1" a="1"/>
  <c r="E779" i="2" s="1"/>
  <c r="H775" i="2"/>
  <c r="I775" i="2" s="1"/>
  <c r="G778" i="2"/>
  <c r="J778" i="2"/>
  <c r="K778" i="2" s="1"/>
  <c r="F779" i="2"/>
  <c r="B779" i="2"/>
  <c r="C779" i="2" s="1"/>
  <c r="D779" i="2" s="1"/>
  <c r="A780" i="2"/>
  <c r="E780" i="2" l="1" a="1"/>
  <c r="E780" i="2" s="1"/>
  <c r="F780" i="2"/>
  <c r="B780" i="2"/>
  <c r="C780" i="2" s="1"/>
  <c r="D780" i="2" s="1"/>
  <c r="A781" i="2"/>
  <c r="J779" i="2"/>
  <c r="K779" i="2" s="1"/>
  <c r="G779" i="2"/>
  <c r="H776" i="2"/>
  <c r="I776" i="2" s="1"/>
  <c r="E781" i="2" l="1" a="1"/>
  <c r="E781" i="2" s="1"/>
  <c r="H777" i="2"/>
  <c r="I777" i="2" s="1"/>
  <c r="F781" i="2"/>
  <c r="B781" i="2"/>
  <c r="C781" i="2" s="1"/>
  <c r="D781" i="2" s="1"/>
  <c r="A782" i="2"/>
  <c r="J780" i="2"/>
  <c r="K780" i="2" s="1"/>
  <c r="G780" i="2"/>
  <c r="E782" i="2" l="1" a="1"/>
  <c r="E782" i="2" s="1"/>
  <c r="F782" i="2"/>
  <c r="B782" i="2"/>
  <c r="C782" i="2" s="1"/>
  <c r="D782" i="2" s="1"/>
  <c r="A783" i="2"/>
  <c r="J781" i="2"/>
  <c r="K781" i="2" s="1"/>
  <c r="G781" i="2"/>
  <c r="H778" i="2"/>
  <c r="I778" i="2" s="1"/>
  <c r="E783" i="2" l="1" a="1"/>
  <c r="E783" i="2" s="1"/>
  <c r="H779" i="2"/>
  <c r="I779" i="2" s="1"/>
  <c r="A784" i="2"/>
  <c r="F783" i="2"/>
  <c r="B783" i="2"/>
  <c r="C783" i="2" s="1"/>
  <c r="D783" i="2" s="1"/>
  <c r="J782" i="2"/>
  <c r="K782" i="2" s="1"/>
  <c r="G782" i="2"/>
  <c r="E784" i="2" l="1" a="1"/>
  <c r="E784" i="2" s="1"/>
  <c r="J783" i="2"/>
  <c r="K783" i="2" s="1"/>
  <c r="G783" i="2"/>
  <c r="A785" i="2"/>
  <c r="B784" i="2"/>
  <c r="C784" i="2" s="1"/>
  <c r="D784" i="2" s="1"/>
  <c r="F784" i="2"/>
  <c r="H780" i="2"/>
  <c r="I780" i="2" s="1"/>
  <c r="E785" i="2" l="1" a="1"/>
  <c r="E785" i="2" s="1"/>
  <c r="H781" i="2"/>
  <c r="I781" i="2" s="1"/>
  <c r="J784" i="2"/>
  <c r="K784" i="2" s="1"/>
  <c r="G784" i="2"/>
  <c r="A786" i="2"/>
  <c r="B785" i="2"/>
  <c r="C785" i="2" s="1"/>
  <c r="D785" i="2" s="1"/>
  <c r="F785" i="2"/>
  <c r="E786" i="2" l="1" a="1"/>
  <c r="E786" i="2" s="1"/>
  <c r="J785" i="2"/>
  <c r="K785" i="2" s="1"/>
  <c r="G785" i="2"/>
  <c r="F786" i="2"/>
  <c r="B786" i="2"/>
  <c r="C786" i="2" s="1"/>
  <c r="D786" i="2" s="1"/>
  <c r="A787" i="2"/>
  <c r="H782" i="2"/>
  <c r="I782" i="2" s="1"/>
  <c r="E787" i="2" l="1" a="1"/>
  <c r="E787" i="2" s="1"/>
  <c r="H783" i="2"/>
  <c r="I783" i="2" s="1"/>
  <c r="F787" i="2"/>
  <c r="B787" i="2"/>
  <c r="C787" i="2" s="1"/>
  <c r="D787" i="2" s="1"/>
  <c r="A788" i="2"/>
  <c r="G786" i="2"/>
  <c r="J786" i="2"/>
  <c r="K786" i="2" s="1"/>
  <c r="E788" i="2" l="1" a="1"/>
  <c r="E788" i="2" s="1"/>
  <c r="A789" i="2"/>
  <c r="F788" i="2"/>
  <c r="B788" i="2"/>
  <c r="C788" i="2" s="1"/>
  <c r="D788" i="2" s="1"/>
  <c r="J787" i="2"/>
  <c r="K787" i="2" s="1"/>
  <c r="G787" i="2"/>
  <c r="H784" i="2"/>
  <c r="I784" i="2" s="1"/>
  <c r="E789" i="2" l="1" a="1"/>
  <c r="E789" i="2" s="1"/>
  <c r="H785" i="2"/>
  <c r="I785" i="2" s="1"/>
  <c r="G788" i="2"/>
  <c r="J788" i="2"/>
  <c r="K788" i="2" s="1"/>
  <c r="F789" i="2"/>
  <c r="A790" i="2"/>
  <c r="B789" i="2"/>
  <c r="C789" i="2" s="1"/>
  <c r="D789" i="2" s="1"/>
  <c r="E790" i="2" l="1" a="1"/>
  <c r="E790" i="2" s="1"/>
  <c r="A791" i="2"/>
  <c r="B790" i="2"/>
  <c r="C790" i="2" s="1"/>
  <c r="D790" i="2" s="1"/>
  <c r="F790" i="2"/>
  <c r="J789" i="2"/>
  <c r="K789" i="2" s="1"/>
  <c r="G789" i="2"/>
  <c r="H786" i="2"/>
  <c r="I786" i="2" s="1"/>
  <c r="E791" i="2" l="1" a="1"/>
  <c r="E791" i="2" s="1"/>
  <c r="H787" i="2"/>
  <c r="I787" i="2" s="1"/>
  <c r="J790" i="2"/>
  <c r="K790" i="2" s="1"/>
  <c r="G790" i="2"/>
  <c r="F791" i="2"/>
  <c r="B791" i="2"/>
  <c r="C791" i="2" s="1"/>
  <c r="D791" i="2" s="1"/>
  <c r="A792" i="2"/>
  <c r="E792" i="2" l="1" a="1"/>
  <c r="E792" i="2" s="1"/>
  <c r="F792" i="2"/>
  <c r="B792" i="2"/>
  <c r="C792" i="2" s="1"/>
  <c r="D792" i="2" s="1"/>
  <c r="A793" i="2"/>
  <c r="J791" i="2"/>
  <c r="K791" i="2" s="1"/>
  <c r="G791" i="2"/>
  <c r="H788" i="2"/>
  <c r="I788" i="2" s="1"/>
  <c r="E793" i="2" l="1" a="1"/>
  <c r="E793" i="2" s="1"/>
  <c r="H789" i="2"/>
  <c r="I789" i="2" s="1"/>
  <c r="A794" i="2"/>
  <c r="F793" i="2"/>
  <c r="B793" i="2"/>
  <c r="C793" i="2" s="1"/>
  <c r="D793" i="2" s="1"/>
  <c r="J792" i="2"/>
  <c r="K792" i="2" s="1"/>
  <c r="G792" i="2"/>
  <c r="E794" i="2" l="1" a="1"/>
  <c r="E794" i="2" s="1"/>
  <c r="J793" i="2"/>
  <c r="K793" i="2" s="1"/>
  <c r="G793" i="2"/>
  <c r="A795" i="2"/>
  <c r="B794" i="2"/>
  <c r="C794" i="2" s="1"/>
  <c r="D794" i="2" s="1"/>
  <c r="F794" i="2"/>
  <c r="H790" i="2"/>
  <c r="I790" i="2" s="1"/>
  <c r="E795" i="2" l="1" a="1"/>
  <c r="E795" i="2" s="1"/>
  <c r="H791" i="2"/>
  <c r="I791" i="2" s="1"/>
  <c r="G794" i="2"/>
  <c r="J794" i="2"/>
  <c r="K794" i="2" s="1"/>
  <c r="F795" i="2"/>
  <c r="B795" i="2"/>
  <c r="C795" i="2" s="1"/>
  <c r="D795" i="2" s="1"/>
  <c r="A796" i="2"/>
  <c r="E796" i="2" l="1" a="1"/>
  <c r="E796" i="2" s="1"/>
  <c r="F796" i="2"/>
  <c r="B796" i="2"/>
  <c r="C796" i="2" s="1"/>
  <c r="D796" i="2" s="1"/>
  <c r="A797" i="2"/>
  <c r="G795" i="2"/>
  <c r="J795" i="2"/>
  <c r="K795" i="2" s="1"/>
  <c r="H792" i="2"/>
  <c r="I792" i="2" s="1"/>
  <c r="E797" i="2" l="1" a="1"/>
  <c r="E797" i="2" s="1"/>
  <c r="E798" i="2" a="1"/>
  <c r="E798" i="2" s="1"/>
  <c r="H793" i="2"/>
  <c r="I793" i="2" s="1"/>
  <c r="F797" i="2"/>
  <c r="B797" i="2"/>
  <c r="C797" i="2" s="1"/>
  <c r="D797" i="2" s="1"/>
  <c r="A798" i="2"/>
  <c r="G796" i="2"/>
  <c r="J796" i="2"/>
  <c r="K796" i="2" s="1"/>
  <c r="A799" i="2" l="1"/>
  <c r="F798" i="2"/>
  <c r="B798" i="2"/>
  <c r="C798" i="2" s="1"/>
  <c r="D798" i="2" s="1"/>
  <c r="J797" i="2"/>
  <c r="K797" i="2" s="1"/>
  <c r="G797" i="2"/>
  <c r="H794" i="2"/>
  <c r="I794" i="2" s="1"/>
  <c r="E799" i="2" l="1" a="1"/>
  <c r="E799" i="2" s="1"/>
  <c r="H795" i="2"/>
  <c r="I795" i="2" s="1"/>
  <c r="J798" i="2"/>
  <c r="K798" i="2" s="1"/>
  <c r="G798" i="2"/>
  <c r="A800" i="2"/>
  <c r="F799" i="2"/>
  <c r="B799" i="2"/>
  <c r="C799" i="2" s="1"/>
  <c r="D799" i="2" s="1"/>
  <c r="E800" i="2" l="1" a="1"/>
  <c r="E800" i="2" s="1"/>
  <c r="J799" i="2"/>
  <c r="K799" i="2" s="1"/>
  <c r="G799" i="2"/>
  <c r="A801" i="2"/>
  <c r="B800" i="2"/>
  <c r="C800" i="2" s="1"/>
  <c r="D800" i="2" s="1"/>
  <c r="F800" i="2"/>
  <c r="H796" i="2"/>
  <c r="I796" i="2" s="1"/>
  <c r="E801" i="2" l="1" a="1"/>
  <c r="E801" i="2" s="1"/>
  <c r="H797" i="2"/>
  <c r="I797" i="2" s="1"/>
  <c r="G800" i="2"/>
  <c r="J800" i="2"/>
  <c r="K800" i="2" s="1"/>
  <c r="F801" i="2"/>
  <c r="A802" i="2"/>
  <c r="B801" i="2"/>
  <c r="C801" i="2" s="1"/>
  <c r="D801" i="2" s="1"/>
  <c r="E802" i="2" l="1" a="1"/>
  <c r="E802" i="2" s="1"/>
  <c r="A803" i="2"/>
  <c r="F802" i="2"/>
  <c r="B802" i="2"/>
  <c r="C802" i="2" s="1"/>
  <c r="D802" i="2" s="1"/>
  <c r="J801" i="2"/>
  <c r="K801" i="2" s="1"/>
  <c r="G801" i="2"/>
  <c r="H798" i="2"/>
  <c r="I798" i="2" s="1"/>
  <c r="E803" i="2" l="1" a="1"/>
  <c r="E803" i="2" s="1"/>
  <c r="H799" i="2"/>
  <c r="I799" i="2" s="1"/>
  <c r="J802" i="2"/>
  <c r="K802" i="2" s="1"/>
  <c r="G802" i="2"/>
  <c r="B803" i="2"/>
  <c r="C803" i="2" s="1"/>
  <c r="D803" i="2" s="1"/>
  <c r="A804" i="2"/>
  <c r="F803" i="2"/>
  <c r="E804" i="2" l="1" a="1"/>
  <c r="E804" i="2" s="1"/>
  <c r="J803" i="2"/>
  <c r="K803" i="2" s="1"/>
  <c r="G803" i="2"/>
  <c r="A805" i="2"/>
  <c r="B804" i="2"/>
  <c r="C804" i="2" s="1"/>
  <c r="D804" i="2" s="1"/>
  <c r="F804" i="2"/>
  <c r="H800" i="2"/>
  <c r="I800" i="2" s="1"/>
  <c r="E805" i="2" l="1" a="1"/>
  <c r="E805" i="2" s="1"/>
  <c r="H801" i="2"/>
  <c r="I801" i="2" s="1"/>
  <c r="G804" i="2"/>
  <c r="J804" i="2"/>
  <c r="K804" i="2" s="1"/>
  <c r="F805" i="2"/>
  <c r="B805" i="2"/>
  <c r="C805" i="2" s="1"/>
  <c r="D805" i="2" s="1"/>
  <c r="A806" i="2"/>
  <c r="E806" i="2" l="1" a="1"/>
  <c r="E806" i="2" s="1"/>
  <c r="A807" i="2"/>
  <c r="B806" i="2"/>
  <c r="C806" i="2" s="1"/>
  <c r="D806" i="2" s="1"/>
  <c r="F806" i="2"/>
  <c r="J805" i="2"/>
  <c r="K805" i="2" s="1"/>
  <c r="G805" i="2"/>
  <c r="H802" i="2"/>
  <c r="I802" i="2" s="1"/>
  <c r="E807" i="2" l="1" a="1"/>
  <c r="E807" i="2" s="1"/>
  <c r="H803" i="2"/>
  <c r="I803" i="2" s="1"/>
  <c r="J806" i="2"/>
  <c r="K806" i="2" s="1"/>
  <c r="G806" i="2"/>
  <c r="B807" i="2"/>
  <c r="C807" i="2" s="1"/>
  <c r="D807" i="2" s="1"/>
  <c r="A808" i="2"/>
  <c r="F807" i="2"/>
  <c r="E808" i="2" l="1" a="1"/>
  <c r="E808" i="2" s="1"/>
  <c r="J807" i="2"/>
  <c r="K807" i="2" s="1"/>
  <c r="G807" i="2"/>
  <c r="F808" i="2"/>
  <c r="B808" i="2"/>
  <c r="C808" i="2" s="1"/>
  <c r="D808" i="2" s="1"/>
  <c r="A809" i="2"/>
  <c r="H804" i="2"/>
  <c r="I804" i="2" s="1"/>
  <c r="E809" i="2" l="1" a="1"/>
  <c r="E809" i="2" s="1"/>
  <c r="H805" i="2"/>
  <c r="I805" i="2" s="1"/>
  <c r="A810" i="2"/>
  <c r="F809" i="2"/>
  <c r="B809" i="2"/>
  <c r="C809" i="2" s="1"/>
  <c r="D809" i="2" s="1"/>
  <c r="J808" i="2"/>
  <c r="K808" i="2" s="1"/>
  <c r="G808" i="2"/>
  <c r="E810" i="2" l="1" a="1"/>
  <c r="E810" i="2" s="1"/>
  <c r="J809" i="2"/>
  <c r="K809" i="2" s="1"/>
  <c r="G809" i="2"/>
  <c r="A811" i="2"/>
  <c r="B810" i="2"/>
  <c r="C810" i="2" s="1"/>
  <c r="D810" i="2" s="1"/>
  <c r="F810" i="2"/>
  <c r="H806" i="2"/>
  <c r="I806" i="2" s="1"/>
  <c r="E811" i="2" l="1" a="1"/>
  <c r="E811" i="2" s="1"/>
  <c r="H807" i="2"/>
  <c r="I807" i="2" s="1"/>
  <c r="G810" i="2"/>
  <c r="J810" i="2"/>
  <c r="K810" i="2" s="1"/>
  <c r="A812" i="2"/>
  <c r="B811" i="2"/>
  <c r="C811" i="2" s="1"/>
  <c r="D811" i="2" s="1"/>
  <c r="F811" i="2"/>
  <c r="E812" i="2" l="1" a="1"/>
  <c r="E812" i="2" s="1"/>
  <c r="J811" i="2"/>
  <c r="K811" i="2" s="1"/>
  <c r="G811" i="2"/>
  <c r="A813" i="2"/>
  <c r="B812" i="2"/>
  <c r="C812" i="2" s="1"/>
  <c r="D812" i="2" s="1"/>
  <c r="F812" i="2"/>
  <c r="H808" i="2"/>
  <c r="I808" i="2" s="1"/>
  <c r="E813" i="2" l="1" a="1"/>
  <c r="E813" i="2" s="1"/>
  <c r="H809" i="2"/>
  <c r="I809" i="2" s="1"/>
  <c r="J812" i="2"/>
  <c r="K812" i="2" s="1"/>
  <c r="G812" i="2"/>
  <c r="F813" i="2"/>
  <c r="B813" i="2"/>
  <c r="C813" i="2" s="1"/>
  <c r="D813" i="2" s="1"/>
  <c r="A814" i="2"/>
  <c r="E814" i="2" l="1" a="1"/>
  <c r="E814" i="2" s="1"/>
  <c r="A815" i="2"/>
  <c r="F814" i="2"/>
  <c r="B814" i="2"/>
  <c r="C814" i="2" s="1"/>
  <c r="D814" i="2" s="1"/>
  <c r="J813" i="2"/>
  <c r="K813" i="2" s="1"/>
  <c r="G813" i="2"/>
  <c r="H810" i="2"/>
  <c r="I810" i="2" s="1"/>
  <c r="E815" i="2" l="1" a="1"/>
  <c r="E815" i="2" s="1"/>
  <c r="H811" i="2"/>
  <c r="I811" i="2" s="1"/>
  <c r="G814" i="2"/>
  <c r="J814" i="2"/>
  <c r="K814" i="2" s="1"/>
  <c r="F815" i="2"/>
  <c r="B815" i="2"/>
  <c r="C815" i="2" s="1"/>
  <c r="D815" i="2" s="1"/>
  <c r="A816" i="2"/>
  <c r="E816" i="2" l="1" a="1"/>
  <c r="E816" i="2" s="1"/>
  <c r="A817" i="2"/>
  <c r="B816" i="2"/>
  <c r="C816" i="2" s="1"/>
  <c r="D816" i="2" s="1"/>
  <c r="F816" i="2"/>
  <c r="J815" i="2"/>
  <c r="K815" i="2" s="1"/>
  <c r="G815" i="2"/>
  <c r="H812" i="2"/>
  <c r="I812" i="2" s="1"/>
  <c r="E817" i="2" l="1" a="1"/>
  <c r="E817" i="2" s="1"/>
  <c r="H813" i="2"/>
  <c r="I813" i="2" s="1"/>
  <c r="G816" i="2"/>
  <c r="J816" i="2"/>
  <c r="K816" i="2" s="1"/>
  <c r="F817" i="2"/>
  <c r="A818" i="2"/>
  <c r="B817" i="2"/>
  <c r="C817" i="2" s="1"/>
  <c r="D817" i="2" s="1"/>
  <c r="E818" i="2" l="1" a="1"/>
  <c r="E818" i="2" s="1"/>
  <c r="A819" i="2"/>
  <c r="F818" i="2"/>
  <c r="B818" i="2"/>
  <c r="C818" i="2" s="1"/>
  <c r="D818" i="2" s="1"/>
  <c r="J817" i="2"/>
  <c r="K817" i="2" s="1"/>
  <c r="G817" i="2"/>
  <c r="H814" i="2"/>
  <c r="I814" i="2" s="1"/>
  <c r="E819" i="2" l="1" a="1"/>
  <c r="E819" i="2" s="1"/>
  <c r="H815" i="2"/>
  <c r="I815" i="2" s="1"/>
  <c r="J818" i="2"/>
  <c r="K818" i="2" s="1"/>
  <c r="G818" i="2"/>
  <c r="A820" i="2"/>
  <c r="B819" i="2"/>
  <c r="C819" i="2" s="1"/>
  <c r="D819" i="2" s="1"/>
  <c r="F819" i="2"/>
  <c r="E820" i="2" l="1" a="1"/>
  <c r="E820" i="2" s="1"/>
  <c r="J819" i="2"/>
  <c r="K819" i="2" s="1"/>
  <c r="G819" i="2"/>
  <c r="A821" i="2"/>
  <c r="B820" i="2"/>
  <c r="C820" i="2" s="1"/>
  <c r="D820" i="2" s="1"/>
  <c r="F820" i="2"/>
  <c r="H816" i="2"/>
  <c r="I816" i="2" s="1"/>
  <c r="E821" i="2" l="1" a="1"/>
  <c r="E821" i="2" s="1"/>
  <c r="H817" i="2"/>
  <c r="I817" i="2" s="1"/>
  <c r="G820" i="2"/>
  <c r="J820" i="2"/>
  <c r="K820" i="2" s="1"/>
  <c r="F821" i="2"/>
  <c r="B821" i="2"/>
  <c r="C821" i="2" s="1"/>
  <c r="D821" i="2" s="1"/>
  <c r="A822" i="2"/>
  <c r="E822" i="2" l="1" a="1"/>
  <c r="E822" i="2" s="1"/>
  <c r="F822" i="2"/>
  <c r="A823" i="2"/>
  <c r="B822" i="2"/>
  <c r="C822" i="2" s="1"/>
  <c r="D822" i="2" s="1"/>
  <c r="G821" i="2"/>
  <c r="J821" i="2"/>
  <c r="K821" i="2" s="1"/>
  <c r="H818" i="2"/>
  <c r="I818" i="2" s="1"/>
  <c r="E823" i="2" l="1" a="1"/>
  <c r="E823" i="2" s="1"/>
  <c r="H819" i="2"/>
  <c r="I819" i="2" s="1"/>
  <c r="F823" i="2"/>
  <c r="B823" i="2"/>
  <c r="C823" i="2" s="1"/>
  <c r="D823" i="2" s="1"/>
  <c r="A824" i="2"/>
  <c r="G822" i="2"/>
  <c r="J822" i="2"/>
  <c r="K822" i="2" s="1"/>
  <c r="E824" i="2" l="1" a="1"/>
  <c r="E824" i="2" s="1"/>
  <c r="A825" i="2"/>
  <c r="F824" i="2"/>
  <c r="B824" i="2"/>
  <c r="C824" i="2" s="1"/>
  <c r="D824" i="2" s="1"/>
  <c r="J823" i="2"/>
  <c r="K823" i="2" s="1"/>
  <c r="G823" i="2"/>
  <c r="H820" i="2"/>
  <c r="I820" i="2" s="1"/>
  <c r="E825" i="2" l="1" a="1"/>
  <c r="E825" i="2" s="1"/>
  <c r="H821" i="2"/>
  <c r="I821" i="2" s="1"/>
  <c r="J824" i="2"/>
  <c r="K824" i="2" s="1"/>
  <c r="G824" i="2"/>
  <c r="A826" i="2"/>
  <c r="F825" i="2"/>
  <c r="B825" i="2"/>
  <c r="C825" i="2" s="1"/>
  <c r="D825" i="2" s="1"/>
  <c r="E826" i="2" l="1" a="1"/>
  <c r="E826" i="2" s="1"/>
  <c r="J825" i="2"/>
  <c r="K825" i="2" s="1"/>
  <c r="G825" i="2"/>
  <c r="A827" i="2"/>
  <c r="B826" i="2"/>
  <c r="C826" i="2" s="1"/>
  <c r="D826" i="2" s="1"/>
  <c r="F826" i="2"/>
  <c r="H822" i="2"/>
  <c r="I822" i="2" s="1"/>
  <c r="E827" i="2" l="1" a="1"/>
  <c r="E827" i="2" s="1"/>
  <c r="H823" i="2"/>
  <c r="I823" i="2" s="1"/>
  <c r="J826" i="2"/>
  <c r="K826" i="2" s="1"/>
  <c r="G826" i="2"/>
  <c r="A828" i="2"/>
  <c r="B827" i="2"/>
  <c r="C827" i="2" s="1"/>
  <c r="D827" i="2" s="1"/>
  <c r="E828" i="2" s="1" a="1"/>
  <c r="E828" i="2" s="1"/>
  <c r="F827" i="2"/>
  <c r="J827" i="2" l="1"/>
  <c r="K827" i="2" s="1"/>
  <c r="G827" i="2"/>
  <c r="A829" i="2"/>
  <c r="B828" i="2"/>
  <c r="C828" i="2" s="1"/>
  <c r="D828" i="2" s="1"/>
  <c r="F828" i="2"/>
  <c r="H824" i="2"/>
  <c r="I824" i="2" s="1"/>
  <c r="E829" i="2" l="1" a="1"/>
  <c r="E829" i="2" s="1"/>
  <c r="H825" i="2"/>
  <c r="I825" i="2" s="1"/>
  <c r="J828" i="2"/>
  <c r="K828" i="2" s="1"/>
  <c r="G828" i="2"/>
  <c r="A830" i="2"/>
  <c r="F829" i="2"/>
  <c r="B829" i="2"/>
  <c r="C829" i="2" s="1"/>
  <c r="D829" i="2" s="1"/>
  <c r="E830" i="2" l="1" a="1"/>
  <c r="E830" i="2" s="1"/>
  <c r="J829" i="2"/>
  <c r="K829" i="2" s="1"/>
  <c r="G829" i="2"/>
  <c r="F830" i="2"/>
  <c r="B830" i="2"/>
  <c r="C830" i="2" s="1"/>
  <c r="D830" i="2" s="1"/>
  <c r="A831" i="2"/>
  <c r="H826" i="2"/>
  <c r="I826" i="2" s="1"/>
  <c r="E831" i="2" l="1" a="1"/>
  <c r="E831" i="2" s="1"/>
  <c r="H827" i="2"/>
  <c r="I827" i="2" s="1"/>
  <c r="F831" i="2"/>
  <c r="A832" i="2"/>
  <c r="B831" i="2"/>
  <c r="C831" i="2" s="1"/>
  <c r="D831" i="2" s="1"/>
  <c r="G830" i="2"/>
  <c r="J830" i="2"/>
  <c r="K830" i="2" s="1"/>
  <c r="E832" i="2" l="1" a="1"/>
  <c r="E832" i="2" s="1"/>
  <c r="A833" i="2"/>
  <c r="B832" i="2"/>
  <c r="C832" i="2" s="1"/>
  <c r="D832" i="2" s="1"/>
  <c r="F832" i="2"/>
  <c r="J831" i="2"/>
  <c r="K831" i="2" s="1"/>
  <c r="G831" i="2"/>
  <c r="H828" i="2"/>
  <c r="I828" i="2" s="1"/>
  <c r="E833" i="2" l="1" a="1"/>
  <c r="E833" i="2" s="1"/>
  <c r="H829" i="2"/>
  <c r="I829" i="2" s="1"/>
  <c r="G832" i="2"/>
  <c r="J832" i="2"/>
  <c r="K832" i="2" s="1"/>
  <c r="F833" i="2"/>
  <c r="A834" i="2"/>
  <c r="B833" i="2"/>
  <c r="C833" i="2" s="1"/>
  <c r="D833" i="2" s="1"/>
  <c r="E834" i="2" l="1" a="1"/>
  <c r="E834" i="2" s="1"/>
  <c r="A835" i="2"/>
  <c r="B834" i="2"/>
  <c r="C834" i="2" s="1"/>
  <c r="D834" i="2" s="1"/>
  <c r="F834" i="2"/>
  <c r="J833" i="2"/>
  <c r="K833" i="2" s="1"/>
  <c r="G833" i="2"/>
  <c r="H830" i="2"/>
  <c r="I830" i="2" s="1"/>
  <c r="E835" i="2" l="1" a="1"/>
  <c r="E835" i="2" s="1"/>
  <c r="H831" i="2"/>
  <c r="I831" i="2" s="1"/>
  <c r="J834" i="2"/>
  <c r="K834" i="2" s="1"/>
  <c r="G834" i="2"/>
  <c r="A836" i="2"/>
  <c r="B835" i="2"/>
  <c r="C835" i="2" s="1"/>
  <c r="D835" i="2" s="1"/>
  <c r="F835" i="2"/>
  <c r="E836" i="2" l="1" a="1"/>
  <c r="E836" i="2" s="1"/>
  <c r="J835" i="2"/>
  <c r="K835" i="2" s="1"/>
  <c r="G835" i="2"/>
  <c r="A837" i="2"/>
  <c r="B836" i="2"/>
  <c r="C836" i="2" s="1"/>
  <c r="D836" i="2" s="1"/>
  <c r="F836" i="2"/>
  <c r="H832" i="2"/>
  <c r="I832" i="2" s="1"/>
  <c r="E837" i="2" l="1" a="1"/>
  <c r="E837" i="2" s="1"/>
  <c r="H833" i="2"/>
  <c r="I833" i="2" s="1"/>
  <c r="G836" i="2"/>
  <c r="J836" i="2"/>
  <c r="K836" i="2" s="1"/>
  <c r="F837" i="2"/>
  <c r="B837" i="2"/>
  <c r="C837" i="2" s="1"/>
  <c r="D837" i="2" s="1"/>
  <c r="A838" i="2"/>
  <c r="E838" i="2" l="1" a="1"/>
  <c r="E838" i="2" s="1"/>
  <c r="F838" i="2"/>
  <c r="A839" i="2"/>
  <c r="B838" i="2"/>
  <c r="C838" i="2" s="1"/>
  <c r="D838" i="2" s="1"/>
  <c r="G837" i="2"/>
  <c r="J837" i="2"/>
  <c r="K837" i="2" s="1"/>
  <c r="H834" i="2"/>
  <c r="I834" i="2" s="1"/>
  <c r="E839" i="2" l="1" a="1"/>
  <c r="E839" i="2" s="1"/>
  <c r="H835" i="2"/>
  <c r="I835" i="2" s="1"/>
  <c r="F839" i="2"/>
  <c r="A840" i="2"/>
  <c r="B839" i="2"/>
  <c r="C839" i="2" s="1"/>
  <c r="D839" i="2" s="1"/>
  <c r="G838" i="2"/>
  <c r="J838" i="2"/>
  <c r="K838" i="2" s="1"/>
  <c r="E840" i="2" l="1" a="1"/>
  <c r="E840" i="2" s="1"/>
  <c r="F840" i="2"/>
  <c r="B840" i="2"/>
  <c r="C840" i="2" s="1"/>
  <c r="D840" i="2" s="1"/>
  <c r="A841" i="2"/>
  <c r="J839" i="2"/>
  <c r="K839" i="2" s="1"/>
  <c r="G839" i="2"/>
  <c r="H836" i="2"/>
  <c r="I836" i="2" s="1"/>
  <c r="E841" i="2" l="1" a="1"/>
  <c r="E841" i="2" s="1"/>
  <c r="H837" i="2"/>
  <c r="I837" i="2" s="1"/>
  <c r="A842" i="2"/>
  <c r="B841" i="2"/>
  <c r="C841" i="2" s="1"/>
  <c r="D841" i="2" s="1"/>
  <c r="F841" i="2"/>
  <c r="J840" i="2"/>
  <c r="K840" i="2" s="1"/>
  <c r="G840" i="2"/>
  <c r="E842" i="2" l="1" a="1"/>
  <c r="E842" i="2" s="1"/>
  <c r="J841" i="2"/>
  <c r="K841" i="2" s="1"/>
  <c r="G841" i="2"/>
  <c r="A843" i="2"/>
  <c r="B842" i="2"/>
  <c r="C842" i="2" s="1"/>
  <c r="D842" i="2" s="1"/>
  <c r="F842" i="2"/>
  <c r="H838" i="2"/>
  <c r="I838" i="2" s="1"/>
  <c r="E843" i="2" l="1" a="1"/>
  <c r="E843" i="2" s="1"/>
  <c r="H839" i="2"/>
  <c r="I839" i="2" s="1"/>
  <c r="J842" i="2"/>
  <c r="K842" i="2" s="1"/>
  <c r="G842" i="2"/>
  <c r="A844" i="2"/>
  <c r="B843" i="2"/>
  <c r="C843" i="2" s="1"/>
  <c r="D843" i="2" s="1"/>
  <c r="F843" i="2"/>
  <c r="E844" i="2" l="1" a="1"/>
  <c r="E844" i="2" s="1"/>
  <c r="J843" i="2"/>
  <c r="K843" i="2" s="1"/>
  <c r="G843" i="2"/>
  <c r="A845" i="2"/>
  <c r="B844" i="2"/>
  <c r="C844" i="2" s="1"/>
  <c r="D844" i="2" s="1"/>
  <c r="F844" i="2"/>
  <c r="H840" i="2"/>
  <c r="I840" i="2" s="1"/>
  <c r="E845" i="2" l="1" a="1"/>
  <c r="E845" i="2" s="1"/>
  <c r="H841" i="2"/>
  <c r="I841" i="2" s="1"/>
  <c r="G844" i="2"/>
  <c r="J844" i="2"/>
  <c r="K844" i="2" s="1"/>
  <c r="F845" i="2"/>
  <c r="A846" i="2"/>
  <c r="B845" i="2"/>
  <c r="C845" i="2" s="1"/>
  <c r="D845" i="2" s="1"/>
  <c r="E846" i="2" l="1" a="1"/>
  <c r="E846" i="2" s="1"/>
  <c r="F846" i="2"/>
  <c r="B846" i="2"/>
  <c r="C846" i="2" s="1"/>
  <c r="D846" i="2" s="1"/>
  <c r="A847" i="2"/>
  <c r="J845" i="2"/>
  <c r="K845" i="2" s="1"/>
  <c r="G845" i="2"/>
  <c r="H842" i="2"/>
  <c r="I842" i="2" s="1"/>
  <c r="E847" i="2" l="1" a="1"/>
  <c r="E847" i="2" s="1"/>
  <c r="H843" i="2"/>
  <c r="I843" i="2" s="1"/>
  <c r="F847" i="2"/>
  <c r="A848" i="2"/>
  <c r="B847" i="2"/>
  <c r="C847" i="2" s="1"/>
  <c r="D847" i="2" s="1"/>
  <c r="J846" i="2"/>
  <c r="K846" i="2" s="1"/>
  <c r="G846" i="2"/>
  <c r="E848" i="2" l="1" a="1"/>
  <c r="E848" i="2" s="1"/>
  <c r="A849" i="2"/>
  <c r="B848" i="2"/>
  <c r="C848" i="2" s="1"/>
  <c r="D848" i="2" s="1"/>
  <c r="F848" i="2"/>
  <c r="J847" i="2"/>
  <c r="K847" i="2" s="1"/>
  <c r="G847" i="2"/>
  <c r="H844" i="2"/>
  <c r="I844" i="2" s="1"/>
  <c r="E849" i="2" l="1" a="1"/>
  <c r="E849" i="2" s="1"/>
  <c r="H845" i="2"/>
  <c r="I845" i="2" s="1"/>
  <c r="J848" i="2"/>
  <c r="K848" i="2" s="1"/>
  <c r="G848" i="2"/>
  <c r="F849" i="2"/>
  <c r="A850" i="2"/>
  <c r="B849" i="2"/>
  <c r="C849" i="2" s="1"/>
  <c r="D849" i="2" s="1"/>
  <c r="E850" i="2" l="1" a="1"/>
  <c r="E850" i="2" s="1"/>
  <c r="F850" i="2"/>
  <c r="A851" i="2"/>
  <c r="B850" i="2"/>
  <c r="C850" i="2" s="1"/>
  <c r="D850" i="2" s="1"/>
  <c r="J849" i="2"/>
  <c r="K849" i="2" s="1"/>
  <c r="G849" i="2"/>
  <c r="H846" i="2"/>
  <c r="I846" i="2" s="1"/>
  <c r="E851" i="2" l="1" a="1"/>
  <c r="E851" i="2" s="1"/>
  <c r="H847" i="2"/>
  <c r="I847" i="2" s="1"/>
  <c r="A852" i="2"/>
  <c r="B851" i="2"/>
  <c r="C851" i="2" s="1"/>
  <c r="D851" i="2" s="1"/>
  <c r="F851" i="2"/>
  <c r="J850" i="2"/>
  <c r="K850" i="2" s="1"/>
  <c r="G850" i="2"/>
  <c r="E852" i="2" l="1" a="1"/>
  <c r="E852" i="2" s="1"/>
  <c r="J851" i="2"/>
  <c r="K851" i="2" s="1"/>
  <c r="G851" i="2"/>
  <c r="F852" i="2"/>
  <c r="A853" i="2"/>
  <c r="B852" i="2"/>
  <c r="C852" i="2" s="1"/>
  <c r="D852" i="2" s="1"/>
  <c r="H848" i="2"/>
  <c r="I848" i="2" s="1"/>
  <c r="E853" i="2" l="1" a="1"/>
  <c r="E853" i="2" s="1"/>
  <c r="H849" i="2"/>
  <c r="I849" i="2" s="1"/>
  <c r="F853" i="2"/>
  <c r="A854" i="2"/>
  <c r="B853" i="2"/>
  <c r="C853" i="2" s="1"/>
  <c r="D853" i="2" s="1"/>
  <c r="G852" i="2"/>
  <c r="J852" i="2"/>
  <c r="K852" i="2" s="1"/>
  <c r="E854" i="2" l="1" a="1"/>
  <c r="E854" i="2" s="1"/>
  <c r="F854" i="2"/>
  <c r="A855" i="2"/>
  <c r="B854" i="2"/>
  <c r="C854" i="2" s="1"/>
  <c r="D854" i="2" s="1"/>
  <c r="G853" i="2"/>
  <c r="J853" i="2"/>
  <c r="K853" i="2" s="1"/>
  <c r="H850" i="2"/>
  <c r="I850" i="2" s="1"/>
  <c r="E855" i="2" l="1" a="1"/>
  <c r="E855" i="2" s="1"/>
  <c r="H851" i="2"/>
  <c r="I851" i="2" s="1"/>
  <c r="F855" i="2"/>
  <c r="A856" i="2"/>
  <c r="B855" i="2"/>
  <c r="C855" i="2" s="1"/>
  <c r="D855" i="2" s="1"/>
  <c r="G854" i="2"/>
  <c r="J854" i="2"/>
  <c r="K854" i="2" s="1"/>
  <c r="E856" i="2" l="1" a="1"/>
  <c r="E856" i="2" s="1"/>
  <c r="A857" i="2"/>
  <c r="F856" i="2"/>
  <c r="B856" i="2"/>
  <c r="C856" i="2" s="1"/>
  <c r="D856" i="2" s="1"/>
  <c r="J855" i="2"/>
  <c r="K855" i="2" s="1"/>
  <c r="G855" i="2"/>
  <c r="H852" i="2"/>
  <c r="I852" i="2" s="1"/>
  <c r="E857" i="2" l="1" a="1"/>
  <c r="E857" i="2" s="1"/>
  <c r="H853" i="2"/>
  <c r="I853" i="2" s="1"/>
  <c r="J856" i="2"/>
  <c r="K856" i="2" s="1"/>
  <c r="G856" i="2"/>
  <c r="A858" i="2"/>
  <c r="B857" i="2"/>
  <c r="C857" i="2" s="1"/>
  <c r="D857" i="2" s="1"/>
  <c r="E858" i="2" s="1" a="1"/>
  <c r="E858" i="2" s="1"/>
  <c r="F857" i="2"/>
  <c r="J857" i="2" l="1"/>
  <c r="K857" i="2" s="1"/>
  <c r="G857" i="2"/>
  <c r="A859" i="2"/>
  <c r="B858" i="2"/>
  <c r="C858" i="2" s="1"/>
  <c r="D858" i="2" s="1"/>
  <c r="E859" i="2" s="1" a="1"/>
  <c r="E859" i="2" s="1"/>
  <c r="F858" i="2"/>
  <c r="H854" i="2"/>
  <c r="I854" i="2" s="1"/>
  <c r="H855" i="2" l="1"/>
  <c r="I855" i="2" s="1"/>
  <c r="J858" i="2"/>
  <c r="K858" i="2" s="1"/>
  <c r="G858" i="2"/>
  <c r="A860" i="2"/>
  <c r="B859" i="2"/>
  <c r="C859" i="2" s="1"/>
  <c r="D859" i="2" s="1"/>
  <c r="F859" i="2"/>
  <c r="E860" i="2" l="1" a="1"/>
  <c r="E860" i="2" s="1"/>
  <c r="J859" i="2"/>
  <c r="K859" i="2" s="1"/>
  <c r="G859" i="2"/>
  <c r="A861" i="2"/>
  <c r="B860" i="2"/>
  <c r="C860" i="2" s="1"/>
  <c r="D860" i="2" s="1"/>
  <c r="F860" i="2"/>
  <c r="H856" i="2"/>
  <c r="I856" i="2" s="1"/>
  <c r="E861" i="2" l="1" a="1"/>
  <c r="E861" i="2" s="1"/>
  <c r="H857" i="2"/>
  <c r="I857" i="2" s="1"/>
  <c r="J860" i="2"/>
  <c r="K860" i="2" s="1"/>
  <c r="G860" i="2"/>
  <c r="F861" i="2"/>
  <c r="B861" i="2"/>
  <c r="C861" i="2" s="1"/>
  <c r="D861" i="2" s="1"/>
  <c r="A862" i="2"/>
  <c r="E862" i="2" l="1" a="1"/>
  <c r="E862" i="2" s="1"/>
  <c r="F862" i="2"/>
  <c r="A863" i="2"/>
  <c r="B862" i="2"/>
  <c r="C862" i="2" s="1"/>
  <c r="D862" i="2" s="1"/>
  <c r="J861" i="2"/>
  <c r="K861" i="2" s="1"/>
  <c r="G861" i="2"/>
  <c r="H858" i="2"/>
  <c r="I858" i="2" s="1"/>
  <c r="E863" i="2" l="1" a="1"/>
  <c r="E863" i="2" s="1"/>
  <c r="H859" i="2"/>
  <c r="I859" i="2" s="1"/>
  <c r="F863" i="2"/>
  <c r="A864" i="2"/>
  <c r="B863" i="2"/>
  <c r="C863" i="2" s="1"/>
  <c r="D863" i="2" s="1"/>
  <c r="J862" i="2"/>
  <c r="K862" i="2" s="1"/>
  <c r="G862" i="2"/>
  <c r="E864" i="2" l="1" a="1"/>
  <c r="E864" i="2" s="1"/>
  <c r="F864" i="2"/>
  <c r="A865" i="2"/>
  <c r="B864" i="2"/>
  <c r="C864" i="2" s="1"/>
  <c r="D864" i="2" s="1"/>
  <c r="G863" i="2"/>
  <c r="J863" i="2"/>
  <c r="K863" i="2" s="1"/>
  <c r="H860" i="2"/>
  <c r="I860" i="2" s="1"/>
  <c r="E865" i="2" l="1" a="1"/>
  <c r="E865" i="2" s="1"/>
  <c r="H861" i="2"/>
  <c r="I861" i="2" s="1"/>
  <c r="F865" i="2"/>
  <c r="A866" i="2"/>
  <c r="B865" i="2"/>
  <c r="C865" i="2" s="1"/>
  <c r="D865" i="2" s="1"/>
  <c r="J864" i="2"/>
  <c r="K864" i="2" s="1"/>
  <c r="G864" i="2"/>
  <c r="E866" i="2" l="1" a="1"/>
  <c r="E866" i="2" s="1"/>
  <c r="F866" i="2"/>
  <c r="A867" i="2"/>
  <c r="B866" i="2"/>
  <c r="C866" i="2" s="1"/>
  <c r="D866" i="2" s="1"/>
  <c r="J865" i="2"/>
  <c r="K865" i="2" s="1"/>
  <c r="G865" i="2"/>
  <c r="H862" i="2"/>
  <c r="I862" i="2" s="1"/>
  <c r="E867" i="2" l="1" a="1"/>
  <c r="E867" i="2" s="1"/>
  <c r="H863" i="2"/>
  <c r="I863" i="2" s="1"/>
  <c r="A868" i="2"/>
  <c r="B867" i="2"/>
  <c r="C867" i="2" s="1"/>
  <c r="D867" i="2" s="1"/>
  <c r="F867" i="2"/>
  <c r="J866" i="2"/>
  <c r="K866" i="2" s="1"/>
  <c r="G866" i="2"/>
  <c r="E868" i="2" l="1" a="1"/>
  <c r="E868" i="2" s="1"/>
  <c r="J867" i="2"/>
  <c r="K867" i="2" s="1"/>
  <c r="G867" i="2"/>
  <c r="F868" i="2"/>
  <c r="A869" i="2"/>
  <c r="B868" i="2"/>
  <c r="C868" i="2" s="1"/>
  <c r="D868" i="2" s="1"/>
  <c r="H864" i="2"/>
  <c r="I864" i="2" s="1"/>
  <c r="E869" i="2" l="1" a="1"/>
  <c r="E869" i="2" s="1"/>
  <c r="H865" i="2"/>
  <c r="I865" i="2" s="1"/>
  <c r="F869" i="2"/>
  <c r="A870" i="2"/>
  <c r="B869" i="2"/>
  <c r="C869" i="2" s="1"/>
  <c r="D869" i="2" s="1"/>
  <c r="G868" i="2"/>
  <c r="J868" i="2"/>
  <c r="K868" i="2" s="1"/>
  <c r="E870" i="2" l="1" a="1"/>
  <c r="E870" i="2" s="1"/>
  <c r="F870" i="2"/>
  <c r="A871" i="2"/>
  <c r="B870" i="2"/>
  <c r="C870" i="2" s="1"/>
  <c r="D870" i="2" s="1"/>
  <c r="G869" i="2"/>
  <c r="J869" i="2"/>
  <c r="K869" i="2" s="1"/>
  <c r="H866" i="2"/>
  <c r="I866" i="2" s="1"/>
  <c r="E871" i="2" l="1" a="1"/>
  <c r="E871" i="2" s="1"/>
  <c r="H867" i="2"/>
  <c r="I867" i="2" s="1"/>
  <c r="F871" i="2"/>
  <c r="A872" i="2"/>
  <c r="B871" i="2"/>
  <c r="C871" i="2" s="1"/>
  <c r="D871" i="2" s="1"/>
  <c r="G870" i="2"/>
  <c r="J870" i="2"/>
  <c r="K870" i="2" s="1"/>
  <c r="E872" i="2" l="1" a="1"/>
  <c r="E872" i="2" s="1"/>
  <c r="A873" i="2"/>
  <c r="B872" i="2"/>
  <c r="C872" i="2" s="1"/>
  <c r="D872" i="2" s="1"/>
  <c r="F872" i="2"/>
  <c r="J871" i="2"/>
  <c r="K871" i="2" s="1"/>
  <c r="G871" i="2"/>
  <c r="H868" i="2"/>
  <c r="I868" i="2" s="1"/>
  <c r="E873" i="2" l="1" a="1"/>
  <c r="E873" i="2" s="1"/>
  <c r="H869" i="2"/>
  <c r="I869" i="2" s="1"/>
  <c r="J872" i="2"/>
  <c r="K872" i="2" s="1"/>
  <c r="G872" i="2"/>
  <c r="A874" i="2"/>
  <c r="B873" i="2"/>
  <c r="C873" i="2" s="1"/>
  <c r="D873" i="2" s="1"/>
  <c r="F873" i="2"/>
  <c r="E874" i="2" l="1" a="1"/>
  <c r="E874" i="2" s="1"/>
  <c r="J873" i="2"/>
  <c r="K873" i="2" s="1"/>
  <c r="G873" i="2"/>
  <c r="A875" i="2"/>
  <c r="B874" i="2"/>
  <c r="C874" i="2" s="1"/>
  <c r="D874" i="2" s="1"/>
  <c r="F874" i="2"/>
  <c r="H870" i="2"/>
  <c r="I870" i="2" s="1"/>
  <c r="E875" i="2" l="1" a="1"/>
  <c r="E875" i="2" s="1"/>
  <c r="H871" i="2"/>
  <c r="I871" i="2" s="1"/>
  <c r="J874" i="2"/>
  <c r="K874" i="2" s="1"/>
  <c r="G874" i="2"/>
  <c r="A876" i="2"/>
  <c r="B875" i="2"/>
  <c r="C875" i="2" s="1"/>
  <c r="D875" i="2" s="1"/>
  <c r="F875" i="2"/>
  <c r="E876" i="2" l="1" a="1"/>
  <c r="E876" i="2" s="1"/>
  <c r="J875" i="2"/>
  <c r="K875" i="2" s="1"/>
  <c r="G875" i="2"/>
  <c r="A877" i="2"/>
  <c r="B876" i="2"/>
  <c r="C876" i="2" s="1"/>
  <c r="D876" i="2" s="1"/>
  <c r="F876" i="2"/>
  <c r="H872" i="2"/>
  <c r="I872" i="2" s="1"/>
  <c r="E877" i="2" l="1" a="1"/>
  <c r="E877" i="2" s="1"/>
  <c r="H873" i="2"/>
  <c r="I873" i="2" s="1"/>
  <c r="J876" i="2"/>
  <c r="K876" i="2" s="1"/>
  <c r="G876" i="2"/>
  <c r="F877" i="2"/>
  <c r="A878" i="2"/>
  <c r="B877" i="2"/>
  <c r="C877" i="2" s="1"/>
  <c r="D877" i="2" s="1"/>
  <c r="E878" i="2" l="1" a="1"/>
  <c r="E878" i="2" s="1"/>
  <c r="F878" i="2"/>
  <c r="A879" i="2"/>
  <c r="B878" i="2"/>
  <c r="C878" i="2" s="1"/>
  <c r="D878" i="2" s="1"/>
  <c r="J877" i="2"/>
  <c r="K877" i="2" s="1"/>
  <c r="G877" i="2"/>
  <c r="H874" i="2"/>
  <c r="I874" i="2" s="1"/>
  <c r="E879" i="2" l="1" a="1"/>
  <c r="E879" i="2" s="1"/>
  <c r="H875" i="2"/>
  <c r="I875" i="2" s="1"/>
  <c r="F879" i="2"/>
  <c r="A880" i="2"/>
  <c r="B879" i="2"/>
  <c r="C879" i="2" s="1"/>
  <c r="D879" i="2" s="1"/>
  <c r="J878" i="2"/>
  <c r="K878" i="2" s="1"/>
  <c r="G878" i="2"/>
  <c r="E880" i="2" l="1" a="1"/>
  <c r="E880" i="2" s="1"/>
  <c r="F880" i="2"/>
  <c r="A881" i="2"/>
  <c r="B880" i="2"/>
  <c r="C880" i="2" s="1"/>
  <c r="D880" i="2" s="1"/>
  <c r="J879" i="2"/>
  <c r="K879" i="2" s="1"/>
  <c r="G879" i="2"/>
  <c r="H876" i="2"/>
  <c r="I876" i="2" s="1"/>
  <c r="E881" i="2" l="1" a="1"/>
  <c r="E881" i="2" s="1"/>
  <c r="H877" i="2"/>
  <c r="I877" i="2" s="1"/>
  <c r="F881" i="2"/>
  <c r="A882" i="2"/>
  <c r="B881" i="2"/>
  <c r="C881" i="2" s="1"/>
  <c r="D881" i="2" s="1"/>
  <c r="J880" i="2"/>
  <c r="K880" i="2" s="1"/>
  <c r="G880" i="2"/>
  <c r="E882" i="2" l="1" a="1"/>
  <c r="E882" i="2" s="1"/>
  <c r="F882" i="2"/>
  <c r="A883" i="2"/>
  <c r="B882" i="2"/>
  <c r="C882" i="2" s="1"/>
  <c r="D882" i="2" s="1"/>
  <c r="J881" i="2"/>
  <c r="K881" i="2" s="1"/>
  <c r="G881" i="2"/>
  <c r="H878" i="2"/>
  <c r="I878" i="2" s="1"/>
  <c r="E883" i="2" l="1" a="1"/>
  <c r="E883" i="2" s="1"/>
  <c r="H879" i="2"/>
  <c r="I879" i="2" s="1"/>
  <c r="F883" i="2"/>
  <c r="A884" i="2"/>
  <c r="B883" i="2"/>
  <c r="C883" i="2" s="1"/>
  <c r="D883" i="2" s="1"/>
  <c r="J882" i="2"/>
  <c r="K882" i="2" s="1"/>
  <c r="G882" i="2"/>
  <c r="E884" i="2" l="1" a="1"/>
  <c r="E884" i="2" s="1"/>
  <c r="F884" i="2"/>
  <c r="A885" i="2"/>
  <c r="B884" i="2"/>
  <c r="C884" i="2" s="1"/>
  <c r="D884" i="2" s="1"/>
  <c r="J883" i="2"/>
  <c r="K883" i="2" s="1"/>
  <c r="G883" i="2"/>
  <c r="H880" i="2"/>
  <c r="I880" i="2" s="1"/>
  <c r="E885" i="2" l="1" a="1"/>
  <c r="E885" i="2" s="1"/>
  <c r="H881" i="2"/>
  <c r="I881" i="2" s="1"/>
  <c r="F885" i="2"/>
  <c r="A886" i="2"/>
  <c r="B885" i="2"/>
  <c r="C885" i="2" s="1"/>
  <c r="D885" i="2" s="1"/>
  <c r="G884" i="2"/>
  <c r="J884" i="2"/>
  <c r="K884" i="2" s="1"/>
  <c r="E886" i="2" l="1" a="1"/>
  <c r="E886" i="2" s="1"/>
  <c r="E887" i="2" a="1"/>
  <c r="E887" i="2" s="1"/>
  <c r="F886" i="2"/>
  <c r="A887" i="2"/>
  <c r="B886" i="2"/>
  <c r="C886" i="2" s="1"/>
  <c r="D886" i="2" s="1"/>
  <c r="G885" i="2"/>
  <c r="J885" i="2"/>
  <c r="K885" i="2" s="1"/>
  <c r="H882" i="2"/>
  <c r="I882" i="2" s="1"/>
  <c r="H883" i="2" l="1"/>
  <c r="I883" i="2" s="1"/>
  <c r="F887" i="2"/>
  <c r="A888" i="2"/>
  <c r="B887" i="2"/>
  <c r="C887" i="2" s="1"/>
  <c r="D887" i="2" s="1"/>
  <c r="G886" i="2"/>
  <c r="J886" i="2"/>
  <c r="K886" i="2" s="1"/>
  <c r="E888" i="2" l="1" a="1"/>
  <c r="E888" i="2" s="1"/>
  <c r="A889" i="2"/>
  <c r="B888" i="2"/>
  <c r="C888" i="2" s="1"/>
  <c r="D888" i="2" s="1"/>
  <c r="F888" i="2"/>
  <c r="J887" i="2"/>
  <c r="K887" i="2" s="1"/>
  <c r="G887" i="2"/>
  <c r="H884" i="2"/>
  <c r="I884" i="2" s="1"/>
  <c r="E889" i="2" l="1" a="1"/>
  <c r="E889" i="2" s="1"/>
  <c r="H885" i="2"/>
  <c r="I885" i="2" s="1"/>
  <c r="J888" i="2"/>
  <c r="K888" i="2" s="1"/>
  <c r="G888" i="2"/>
  <c r="A890" i="2"/>
  <c r="B889" i="2"/>
  <c r="C889" i="2" s="1"/>
  <c r="D889" i="2" s="1"/>
  <c r="F889" i="2"/>
  <c r="E890" i="2" l="1" a="1"/>
  <c r="E890" i="2" s="1"/>
  <c r="J889" i="2"/>
  <c r="K889" i="2" s="1"/>
  <c r="G889" i="2"/>
  <c r="A891" i="2"/>
  <c r="B890" i="2"/>
  <c r="C890" i="2" s="1"/>
  <c r="D890" i="2" s="1"/>
  <c r="F890" i="2"/>
  <c r="H886" i="2"/>
  <c r="I886" i="2" s="1"/>
  <c r="E891" i="2" l="1" a="1"/>
  <c r="E891" i="2" s="1"/>
  <c r="H887" i="2"/>
  <c r="I887" i="2" s="1"/>
  <c r="J890" i="2"/>
  <c r="K890" i="2" s="1"/>
  <c r="G890" i="2"/>
  <c r="A892" i="2"/>
  <c r="B891" i="2"/>
  <c r="C891" i="2" s="1"/>
  <c r="D891" i="2" s="1"/>
  <c r="F891" i="2"/>
  <c r="E892" i="2" l="1" a="1"/>
  <c r="E892" i="2" s="1"/>
  <c r="J891" i="2"/>
  <c r="K891" i="2" s="1"/>
  <c r="G891" i="2"/>
  <c r="A893" i="2"/>
  <c r="B892" i="2"/>
  <c r="C892" i="2" s="1"/>
  <c r="D892" i="2" s="1"/>
  <c r="F892" i="2"/>
  <c r="H888" i="2"/>
  <c r="I888" i="2" s="1"/>
  <c r="E893" i="2" l="1" a="1"/>
  <c r="E893" i="2" s="1"/>
  <c r="H889" i="2"/>
  <c r="I889" i="2" s="1"/>
  <c r="J892" i="2"/>
  <c r="K892" i="2" s="1"/>
  <c r="G892" i="2"/>
  <c r="F893" i="2"/>
  <c r="A894" i="2"/>
  <c r="B893" i="2"/>
  <c r="C893" i="2" s="1"/>
  <c r="D893" i="2" s="1"/>
  <c r="E894" i="2" l="1" a="1"/>
  <c r="E894" i="2" s="1"/>
  <c r="F894" i="2"/>
  <c r="A895" i="2"/>
  <c r="B894" i="2"/>
  <c r="C894" i="2" s="1"/>
  <c r="D894" i="2" s="1"/>
  <c r="J893" i="2"/>
  <c r="K893" i="2" s="1"/>
  <c r="G893" i="2"/>
  <c r="H890" i="2"/>
  <c r="I890" i="2" s="1"/>
  <c r="E895" i="2" l="1" a="1"/>
  <c r="E895" i="2" s="1"/>
  <c r="H891" i="2"/>
  <c r="I891" i="2" s="1"/>
  <c r="F895" i="2"/>
  <c r="A896" i="2"/>
  <c r="B895" i="2"/>
  <c r="C895" i="2" s="1"/>
  <c r="D895" i="2" s="1"/>
  <c r="J894" i="2"/>
  <c r="K894" i="2" s="1"/>
  <c r="G894" i="2"/>
  <c r="E896" i="2" l="1" a="1"/>
  <c r="E896" i="2" s="1"/>
  <c r="F896" i="2"/>
  <c r="A897" i="2"/>
  <c r="B896" i="2"/>
  <c r="C896" i="2" s="1"/>
  <c r="D896" i="2" s="1"/>
  <c r="J895" i="2"/>
  <c r="K895" i="2" s="1"/>
  <c r="G895" i="2"/>
  <c r="H892" i="2"/>
  <c r="I892" i="2" s="1"/>
  <c r="E897" i="2" l="1" a="1"/>
  <c r="E897" i="2" s="1"/>
  <c r="H893" i="2"/>
  <c r="I893" i="2" s="1"/>
  <c r="F897" i="2"/>
  <c r="A898" i="2"/>
  <c r="B897" i="2"/>
  <c r="C897" i="2" s="1"/>
  <c r="D897" i="2" s="1"/>
  <c r="J896" i="2"/>
  <c r="K896" i="2" s="1"/>
  <c r="G896" i="2"/>
  <c r="E898" i="2" l="1" a="1"/>
  <c r="E898" i="2" s="1"/>
  <c r="F898" i="2"/>
  <c r="A899" i="2"/>
  <c r="B898" i="2"/>
  <c r="C898" i="2" s="1"/>
  <c r="D898" i="2" s="1"/>
  <c r="J897" i="2"/>
  <c r="K897" i="2" s="1"/>
  <c r="G897" i="2"/>
  <c r="H894" i="2"/>
  <c r="I894" i="2" s="1"/>
  <c r="E899" i="2" l="1" a="1"/>
  <c r="E899" i="2" s="1"/>
  <c r="H895" i="2"/>
  <c r="I895" i="2" s="1"/>
  <c r="F899" i="2"/>
  <c r="A900" i="2"/>
  <c r="B899" i="2"/>
  <c r="C899" i="2" s="1"/>
  <c r="D899" i="2" s="1"/>
  <c r="E900" i="2" s="1" a="1"/>
  <c r="E900" i="2" s="1"/>
  <c r="J898" i="2"/>
  <c r="K898" i="2" s="1"/>
  <c r="G898" i="2"/>
  <c r="F900" i="2" l="1"/>
  <c r="A901" i="2"/>
  <c r="B900" i="2"/>
  <c r="C900" i="2" s="1"/>
  <c r="D900" i="2" s="1"/>
  <c r="J899" i="2"/>
  <c r="K899" i="2" s="1"/>
  <c r="G899" i="2"/>
  <c r="H896" i="2"/>
  <c r="I896" i="2" s="1"/>
  <c r="E901" i="2" l="1" a="1"/>
  <c r="E901" i="2" s="1"/>
  <c r="H897" i="2"/>
  <c r="I897" i="2" s="1"/>
  <c r="F901" i="2"/>
  <c r="A902" i="2"/>
  <c r="B901" i="2"/>
  <c r="C901" i="2" s="1"/>
  <c r="D901" i="2" s="1"/>
  <c r="G900" i="2"/>
  <c r="J900" i="2"/>
  <c r="K900" i="2" s="1"/>
  <c r="E902" i="2" l="1" a="1"/>
  <c r="E902" i="2" s="1"/>
  <c r="F902" i="2"/>
  <c r="A903" i="2"/>
  <c r="B902" i="2"/>
  <c r="C902" i="2" s="1"/>
  <c r="D902" i="2" s="1"/>
  <c r="G901" i="2"/>
  <c r="J901" i="2"/>
  <c r="K901" i="2" s="1"/>
  <c r="H898" i="2"/>
  <c r="I898" i="2" s="1"/>
  <c r="E903" i="2" l="1" a="1"/>
  <c r="E903" i="2" s="1"/>
  <c r="H899" i="2"/>
  <c r="I899" i="2" s="1"/>
  <c r="F903" i="2"/>
  <c r="A904" i="2"/>
  <c r="B903" i="2"/>
  <c r="C903" i="2" s="1"/>
  <c r="D903" i="2" s="1"/>
  <c r="G902" i="2"/>
  <c r="J902" i="2"/>
  <c r="K902" i="2" s="1"/>
  <c r="E904" i="2" l="1" a="1"/>
  <c r="E904" i="2" s="1"/>
  <c r="A905" i="2"/>
  <c r="B904" i="2"/>
  <c r="C904" i="2" s="1"/>
  <c r="D904" i="2" s="1"/>
  <c r="F904" i="2"/>
  <c r="J903" i="2"/>
  <c r="K903" i="2" s="1"/>
  <c r="G903" i="2"/>
  <c r="H900" i="2"/>
  <c r="I900" i="2" s="1"/>
  <c r="E905" i="2" l="1" a="1"/>
  <c r="E905" i="2" s="1"/>
  <c r="H901" i="2"/>
  <c r="I901" i="2" s="1"/>
  <c r="J904" i="2"/>
  <c r="K904" i="2" s="1"/>
  <c r="G904" i="2"/>
  <c r="A906" i="2"/>
  <c r="B905" i="2"/>
  <c r="C905" i="2" s="1"/>
  <c r="D905" i="2" s="1"/>
  <c r="F905" i="2"/>
  <c r="E906" i="2" l="1" a="1"/>
  <c r="E906" i="2" s="1"/>
  <c r="J905" i="2"/>
  <c r="K905" i="2" s="1"/>
  <c r="G905" i="2"/>
  <c r="A907" i="2"/>
  <c r="B906" i="2"/>
  <c r="C906" i="2" s="1"/>
  <c r="D906" i="2" s="1"/>
  <c r="F906" i="2"/>
  <c r="H902" i="2"/>
  <c r="I902" i="2" s="1"/>
  <c r="E907" i="2" l="1" a="1"/>
  <c r="E907" i="2" s="1"/>
  <c r="H903" i="2"/>
  <c r="I903" i="2" s="1"/>
  <c r="J906" i="2"/>
  <c r="K906" i="2" s="1"/>
  <c r="G906" i="2"/>
  <c r="A908" i="2"/>
  <c r="B907" i="2"/>
  <c r="C907" i="2" s="1"/>
  <c r="D907" i="2" s="1"/>
  <c r="F907" i="2"/>
  <c r="E908" i="2" l="1" a="1"/>
  <c r="E908" i="2" s="1"/>
  <c r="J907" i="2"/>
  <c r="K907" i="2" s="1"/>
  <c r="G907" i="2"/>
  <c r="A909" i="2"/>
  <c r="B908" i="2"/>
  <c r="C908" i="2" s="1"/>
  <c r="D908" i="2" s="1"/>
  <c r="E909" i="2" s="1" a="1"/>
  <c r="E909" i="2" s="1"/>
  <c r="F908" i="2"/>
  <c r="H904" i="2"/>
  <c r="I904" i="2" s="1"/>
  <c r="H905" i="2" l="1"/>
  <c r="I905" i="2" s="1"/>
  <c r="J908" i="2"/>
  <c r="K908" i="2" s="1"/>
  <c r="G908" i="2"/>
  <c r="F909" i="2"/>
  <c r="A910" i="2"/>
  <c r="B909" i="2"/>
  <c r="C909" i="2" s="1"/>
  <c r="D909" i="2" s="1"/>
  <c r="E910" i="2" l="1" a="1"/>
  <c r="E910" i="2" s="1"/>
  <c r="F910" i="2"/>
  <c r="A911" i="2"/>
  <c r="B910" i="2"/>
  <c r="C910" i="2" s="1"/>
  <c r="D910" i="2" s="1"/>
  <c r="J909" i="2"/>
  <c r="K909" i="2" s="1"/>
  <c r="G909" i="2"/>
  <c r="H906" i="2"/>
  <c r="I906" i="2" s="1"/>
  <c r="E911" i="2" l="1" a="1"/>
  <c r="E911" i="2" s="1"/>
  <c r="H907" i="2"/>
  <c r="I907" i="2" s="1"/>
  <c r="F911" i="2"/>
  <c r="A912" i="2"/>
  <c r="B911" i="2"/>
  <c r="C911" i="2" s="1"/>
  <c r="D911" i="2" s="1"/>
  <c r="E912" i="2" s="1" a="1"/>
  <c r="E912" i="2" s="1"/>
  <c r="J910" i="2"/>
  <c r="K910" i="2" s="1"/>
  <c r="G910" i="2"/>
  <c r="F912" i="2" l="1"/>
  <c r="A913" i="2"/>
  <c r="B912" i="2"/>
  <c r="C912" i="2" s="1"/>
  <c r="D912" i="2" s="1"/>
  <c r="J911" i="2"/>
  <c r="K911" i="2" s="1"/>
  <c r="G911" i="2"/>
  <c r="H908" i="2"/>
  <c r="I908" i="2" s="1"/>
  <c r="E913" i="2" l="1" a="1"/>
  <c r="E913" i="2" s="1"/>
  <c r="H909" i="2"/>
  <c r="I909" i="2" s="1"/>
  <c r="F913" i="2"/>
  <c r="A914" i="2"/>
  <c r="B913" i="2"/>
  <c r="C913" i="2" s="1"/>
  <c r="D913" i="2" s="1"/>
  <c r="J912" i="2"/>
  <c r="K912" i="2" s="1"/>
  <c r="G912" i="2"/>
  <c r="E914" i="2" l="1" a="1"/>
  <c r="E914" i="2" s="1"/>
  <c r="F914" i="2"/>
  <c r="A915" i="2"/>
  <c r="B914" i="2"/>
  <c r="C914" i="2" s="1"/>
  <c r="D914" i="2" s="1"/>
  <c r="J913" i="2"/>
  <c r="K913" i="2" s="1"/>
  <c r="G913" i="2"/>
  <c r="H910" i="2"/>
  <c r="I910" i="2" s="1"/>
  <c r="E915" i="2" l="1" a="1"/>
  <c r="E915" i="2" s="1"/>
  <c r="H911" i="2"/>
  <c r="I911" i="2" s="1"/>
  <c r="F915" i="2"/>
  <c r="A916" i="2"/>
  <c r="B915" i="2"/>
  <c r="C915" i="2" s="1"/>
  <c r="D915" i="2" s="1"/>
  <c r="J914" i="2"/>
  <c r="K914" i="2" s="1"/>
  <c r="G914" i="2"/>
  <c r="E916" i="2" l="1" a="1"/>
  <c r="E916" i="2" s="1"/>
  <c r="F916" i="2"/>
  <c r="A917" i="2"/>
  <c r="B916" i="2"/>
  <c r="C916" i="2" s="1"/>
  <c r="D916" i="2" s="1"/>
  <c r="J915" i="2"/>
  <c r="K915" i="2" s="1"/>
  <c r="G915" i="2"/>
  <c r="H912" i="2"/>
  <c r="I912" i="2" s="1"/>
  <c r="E917" i="2" l="1" a="1"/>
  <c r="E917" i="2" s="1"/>
  <c r="H913" i="2"/>
  <c r="I913" i="2" s="1"/>
  <c r="F917" i="2"/>
  <c r="A918" i="2"/>
  <c r="B917" i="2"/>
  <c r="C917" i="2" s="1"/>
  <c r="D917" i="2" s="1"/>
  <c r="G916" i="2"/>
  <c r="J916" i="2"/>
  <c r="K916" i="2" s="1"/>
  <c r="E918" i="2" l="1" a="1"/>
  <c r="E918" i="2" s="1"/>
  <c r="F918" i="2"/>
  <c r="A919" i="2"/>
  <c r="B918" i="2"/>
  <c r="C918" i="2" s="1"/>
  <c r="D918" i="2" s="1"/>
  <c r="G917" i="2"/>
  <c r="J917" i="2"/>
  <c r="K917" i="2" s="1"/>
  <c r="H914" i="2"/>
  <c r="I914" i="2" s="1"/>
  <c r="E919" i="2" l="1" a="1"/>
  <c r="E919" i="2" s="1"/>
  <c r="H915" i="2"/>
  <c r="I915" i="2" s="1"/>
  <c r="F919" i="2"/>
  <c r="A920" i="2"/>
  <c r="B919" i="2"/>
  <c r="C919" i="2" s="1"/>
  <c r="D919" i="2" s="1"/>
  <c r="G918" i="2"/>
  <c r="J918" i="2"/>
  <c r="K918" i="2" s="1"/>
  <c r="E920" i="2" l="1" a="1"/>
  <c r="E920" i="2" s="1"/>
  <c r="A921" i="2"/>
  <c r="B920" i="2"/>
  <c r="C920" i="2" s="1"/>
  <c r="D920" i="2" s="1"/>
  <c r="F920" i="2"/>
  <c r="J919" i="2"/>
  <c r="K919" i="2" s="1"/>
  <c r="G919" i="2"/>
  <c r="H916" i="2"/>
  <c r="I916" i="2" s="1"/>
  <c r="E921" i="2" l="1" a="1"/>
  <c r="E921" i="2" s="1"/>
  <c r="H917" i="2"/>
  <c r="I917" i="2" s="1"/>
  <c r="J920" i="2"/>
  <c r="K920" i="2" s="1"/>
  <c r="G920" i="2"/>
  <c r="A922" i="2"/>
  <c r="B921" i="2"/>
  <c r="C921" i="2" s="1"/>
  <c r="D921" i="2" s="1"/>
  <c r="F921" i="2"/>
  <c r="E922" i="2" l="1" a="1"/>
  <c r="E922" i="2" s="1"/>
  <c r="J921" i="2"/>
  <c r="K921" i="2" s="1"/>
  <c r="G921" i="2"/>
  <c r="A923" i="2"/>
  <c r="B922" i="2"/>
  <c r="C922" i="2" s="1"/>
  <c r="D922" i="2" s="1"/>
  <c r="F922" i="2"/>
  <c r="H918" i="2"/>
  <c r="I918" i="2" s="1"/>
  <c r="E923" i="2" l="1" a="1"/>
  <c r="E923" i="2" s="1"/>
  <c r="H919" i="2"/>
  <c r="I919" i="2" s="1"/>
  <c r="J922" i="2"/>
  <c r="K922" i="2" s="1"/>
  <c r="G922" i="2"/>
  <c r="A924" i="2"/>
  <c r="B923" i="2"/>
  <c r="C923" i="2" s="1"/>
  <c r="D923" i="2" s="1"/>
  <c r="F923" i="2"/>
  <c r="E924" i="2" l="1" a="1"/>
  <c r="E924" i="2" s="1"/>
  <c r="J923" i="2"/>
  <c r="K923" i="2" s="1"/>
  <c r="G923" i="2"/>
  <c r="A925" i="2"/>
  <c r="B924" i="2"/>
  <c r="C924" i="2" s="1"/>
  <c r="D924" i="2" s="1"/>
  <c r="F924" i="2"/>
  <c r="H920" i="2"/>
  <c r="I920" i="2" s="1"/>
  <c r="E925" i="2" l="1" a="1"/>
  <c r="E925" i="2" s="1"/>
  <c r="H921" i="2"/>
  <c r="I921" i="2" s="1"/>
  <c r="J924" i="2"/>
  <c r="K924" i="2" s="1"/>
  <c r="G924" i="2"/>
  <c r="F925" i="2"/>
  <c r="A926" i="2"/>
  <c r="B925" i="2"/>
  <c r="C925" i="2" s="1"/>
  <c r="D925" i="2" s="1"/>
  <c r="E926" i="2" s="1" a="1"/>
  <c r="E926" i="2" s="1"/>
  <c r="F926" i="2" l="1"/>
  <c r="A927" i="2"/>
  <c r="B926" i="2"/>
  <c r="C926" i="2" s="1"/>
  <c r="D926" i="2" s="1"/>
  <c r="J925" i="2"/>
  <c r="K925" i="2" s="1"/>
  <c r="G925" i="2"/>
  <c r="H922" i="2"/>
  <c r="I922" i="2" s="1"/>
  <c r="E927" i="2" l="1" a="1"/>
  <c r="E927" i="2" s="1"/>
  <c r="H923" i="2"/>
  <c r="I923" i="2" s="1"/>
  <c r="F927" i="2"/>
  <c r="A928" i="2"/>
  <c r="B927" i="2"/>
  <c r="C927" i="2" s="1"/>
  <c r="D927" i="2" s="1"/>
  <c r="J926" i="2"/>
  <c r="K926" i="2" s="1"/>
  <c r="G926" i="2"/>
  <c r="E928" i="2" l="1" a="1"/>
  <c r="E928" i="2" s="1"/>
  <c r="F928" i="2"/>
  <c r="A929" i="2"/>
  <c r="B928" i="2"/>
  <c r="C928" i="2" s="1"/>
  <c r="D928" i="2" s="1"/>
  <c r="J927" i="2"/>
  <c r="K927" i="2" s="1"/>
  <c r="G927" i="2"/>
  <c r="H924" i="2"/>
  <c r="I924" i="2" s="1"/>
  <c r="E929" i="2" l="1" a="1"/>
  <c r="E929" i="2" s="1"/>
  <c r="H925" i="2"/>
  <c r="I925" i="2" s="1"/>
  <c r="F929" i="2"/>
  <c r="A930" i="2"/>
  <c r="B929" i="2"/>
  <c r="C929" i="2" s="1"/>
  <c r="D929" i="2" s="1"/>
  <c r="J928" i="2"/>
  <c r="K928" i="2" s="1"/>
  <c r="G928" i="2"/>
  <c r="E930" i="2" l="1" a="1"/>
  <c r="E930" i="2" s="1"/>
  <c r="F930" i="2"/>
  <c r="A931" i="2"/>
  <c r="B930" i="2"/>
  <c r="C930" i="2" s="1"/>
  <c r="D930" i="2" s="1"/>
  <c r="J929" i="2"/>
  <c r="K929" i="2" s="1"/>
  <c r="G929" i="2"/>
  <c r="H926" i="2"/>
  <c r="I926" i="2" s="1"/>
  <c r="E931" i="2" l="1" a="1"/>
  <c r="E931" i="2" s="1"/>
  <c r="H927" i="2"/>
  <c r="I927" i="2" s="1"/>
  <c r="F931" i="2"/>
  <c r="A932" i="2"/>
  <c r="B931" i="2"/>
  <c r="C931" i="2" s="1"/>
  <c r="D931" i="2" s="1"/>
  <c r="J930" i="2"/>
  <c r="K930" i="2" s="1"/>
  <c r="G930" i="2"/>
  <c r="E932" i="2" l="1" a="1"/>
  <c r="E932" i="2" s="1"/>
  <c r="F932" i="2"/>
  <c r="A933" i="2"/>
  <c r="B932" i="2"/>
  <c r="C932" i="2" s="1"/>
  <c r="D932" i="2" s="1"/>
  <c r="J931" i="2"/>
  <c r="K931" i="2" s="1"/>
  <c r="G931" i="2"/>
  <c r="H928" i="2"/>
  <c r="I928" i="2" s="1"/>
  <c r="E933" i="2" l="1" a="1"/>
  <c r="E933" i="2" s="1"/>
  <c r="H929" i="2"/>
  <c r="I929" i="2" s="1"/>
  <c r="F933" i="2"/>
  <c r="A934" i="2"/>
  <c r="B933" i="2"/>
  <c r="C933" i="2" s="1"/>
  <c r="D933" i="2" s="1"/>
  <c r="G932" i="2"/>
  <c r="J932" i="2"/>
  <c r="K932" i="2" s="1"/>
  <c r="E934" i="2" l="1" a="1"/>
  <c r="E934" i="2" s="1"/>
  <c r="F934" i="2"/>
  <c r="A935" i="2"/>
  <c r="B934" i="2"/>
  <c r="C934" i="2" s="1"/>
  <c r="D934" i="2" s="1"/>
  <c r="G933" i="2"/>
  <c r="J933" i="2"/>
  <c r="K933" i="2" s="1"/>
  <c r="H930" i="2"/>
  <c r="I930" i="2" s="1"/>
  <c r="E935" i="2" l="1" a="1"/>
  <c r="E935" i="2" s="1"/>
  <c r="H931" i="2"/>
  <c r="I931" i="2" s="1"/>
  <c r="F935" i="2"/>
  <c r="A936" i="2"/>
  <c r="B935" i="2"/>
  <c r="C935" i="2" s="1"/>
  <c r="D935" i="2" s="1"/>
  <c r="G934" i="2"/>
  <c r="J934" i="2"/>
  <c r="K934" i="2" s="1"/>
  <c r="E936" i="2" l="1" a="1"/>
  <c r="E936" i="2" s="1"/>
  <c r="E937" i="2" a="1"/>
  <c r="E937" i="2" s="1"/>
  <c r="A937" i="2"/>
  <c r="B936" i="2"/>
  <c r="C936" i="2" s="1"/>
  <c r="D936" i="2" s="1"/>
  <c r="F936" i="2"/>
  <c r="J935" i="2"/>
  <c r="K935" i="2" s="1"/>
  <c r="G935" i="2"/>
  <c r="H932" i="2"/>
  <c r="I932" i="2" s="1"/>
  <c r="H933" i="2" l="1"/>
  <c r="I933" i="2" s="1"/>
  <c r="J936" i="2"/>
  <c r="K936" i="2" s="1"/>
  <c r="G936" i="2"/>
  <c r="A938" i="2"/>
  <c r="B937" i="2"/>
  <c r="C937" i="2" s="1"/>
  <c r="D937" i="2" s="1"/>
  <c r="F937" i="2"/>
  <c r="E938" i="2" l="1" a="1"/>
  <c r="E938" i="2" s="1"/>
  <c r="J937" i="2"/>
  <c r="K937" i="2" s="1"/>
  <c r="G937" i="2"/>
  <c r="A939" i="2"/>
  <c r="B938" i="2"/>
  <c r="C938" i="2" s="1"/>
  <c r="D938" i="2" s="1"/>
  <c r="F938" i="2"/>
  <c r="H934" i="2"/>
  <c r="I934" i="2" s="1"/>
  <c r="E939" i="2" l="1" a="1"/>
  <c r="E939" i="2" s="1"/>
  <c r="H935" i="2"/>
  <c r="I935" i="2" s="1"/>
  <c r="J938" i="2"/>
  <c r="K938" i="2" s="1"/>
  <c r="G938" i="2"/>
  <c r="A940" i="2"/>
  <c r="B939" i="2"/>
  <c r="C939" i="2" s="1"/>
  <c r="D939" i="2" s="1"/>
  <c r="F939" i="2"/>
  <c r="E940" i="2" l="1" a="1"/>
  <c r="E940" i="2" s="1"/>
  <c r="J939" i="2"/>
  <c r="K939" i="2" s="1"/>
  <c r="G939" i="2"/>
  <c r="A941" i="2"/>
  <c r="B940" i="2"/>
  <c r="C940" i="2" s="1"/>
  <c r="D940" i="2" s="1"/>
  <c r="F940" i="2"/>
  <c r="H936" i="2"/>
  <c r="I936" i="2" s="1"/>
  <c r="E941" i="2" l="1" a="1"/>
  <c r="E941" i="2" s="1"/>
  <c r="H937" i="2"/>
  <c r="I937" i="2" s="1"/>
  <c r="J940" i="2"/>
  <c r="K940" i="2" s="1"/>
  <c r="G940" i="2"/>
  <c r="F941" i="2"/>
  <c r="A942" i="2"/>
  <c r="B941" i="2"/>
  <c r="C941" i="2" s="1"/>
  <c r="D941" i="2" s="1"/>
  <c r="E942" i="2" l="1" a="1"/>
  <c r="E942" i="2" s="1"/>
  <c r="F942" i="2"/>
  <c r="A943" i="2"/>
  <c r="B942" i="2"/>
  <c r="C942" i="2" s="1"/>
  <c r="D942" i="2" s="1"/>
  <c r="J941" i="2"/>
  <c r="K941" i="2" s="1"/>
  <c r="G941" i="2"/>
  <c r="H938" i="2"/>
  <c r="I938" i="2" s="1"/>
  <c r="E943" i="2" l="1" a="1"/>
  <c r="E943" i="2" s="1"/>
  <c r="H939" i="2"/>
  <c r="I939" i="2" s="1"/>
  <c r="F943" i="2"/>
  <c r="A944" i="2"/>
  <c r="B943" i="2"/>
  <c r="C943" i="2" s="1"/>
  <c r="D943" i="2" s="1"/>
  <c r="J942" i="2"/>
  <c r="K942" i="2" s="1"/>
  <c r="G942" i="2"/>
  <c r="E944" i="2" l="1" a="1"/>
  <c r="E944" i="2" s="1"/>
  <c r="F944" i="2"/>
  <c r="A945" i="2"/>
  <c r="B944" i="2"/>
  <c r="C944" i="2" s="1"/>
  <c r="D944" i="2" s="1"/>
  <c r="J943" i="2"/>
  <c r="K943" i="2" s="1"/>
  <c r="G943" i="2"/>
  <c r="H940" i="2"/>
  <c r="I940" i="2" s="1"/>
  <c r="E945" i="2" l="1" a="1"/>
  <c r="E945" i="2" s="1"/>
  <c r="H941" i="2"/>
  <c r="I941" i="2" s="1"/>
  <c r="F945" i="2"/>
  <c r="A946" i="2"/>
  <c r="B945" i="2"/>
  <c r="C945" i="2" s="1"/>
  <c r="D945" i="2" s="1"/>
  <c r="J944" i="2"/>
  <c r="K944" i="2" s="1"/>
  <c r="G944" i="2"/>
  <c r="E946" i="2" l="1" a="1"/>
  <c r="E946" i="2" s="1"/>
  <c r="F946" i="2"/>
  <c r="A947" i="2"/>
  <c r="B946" i="2"/>
  <c r="C946" i="2" s="1"/>
  <c r="D946" i="2" s="1"/>
  <c r="J945" i="2"/>
  <c r="K945" i="2" s="1"/>
  <c r="G945" i="2"/>
  <c r="H942" i="2"/>
  <c r="I942" i="2" s="1"/>
  <c r="E947" i="2" l="1" a="1"/>
  <c r="E947" i="2" s="1"/>
  <c r="H943" i="2"/>
  <c r="I943" i="2" s="1"/>
  <c r="F947" i="2"/>
  <c r="A948" i="2"/>
  <c r="B947" i="2"/>
  <c r="C947" i="2" s="1"/>
  <c r="D947" i="2" s="1"/>
  <c r="J946" i="2"/>
  <c r="K946" i="2" s="1"/>
  <c r="G946" i="2"/>
  <c r="E948" i="2" l="1" a="1"/>
  <c r="E948" i="2" s="1"/>
  <c r="F948" i="2"/>
  <c r="A949" i="2"/>
  <c r="B948" i="2"/>
  <c r="C948" i="2" s="1"/>
  <c r="D948" i="2" s="1"/>
  <c r="J947" i="2"/>
  <c r="K947" i="2" s="1"/>
  <c r="G947" i="2"/>
  <c r="H944" i="2"/>
  <c r="I944" i="2" s="1"/>
  <c r="E949" i="2" l="1" a="1"/>
  <c r="E949" i="2" s="1"/>
  <c r="H945" i="2"/>
  <c r="I945" i="2" s="1"/>
  <c r="F949" i="2"/>
  <c r="A950" i="2"/>
  <c r="B949" i="2"/>
  <c r="C949" i="2" s="1"/>
  <c r="D949" i="2" s="1"/>
  <c r="G948" i="2"/>
  <c r="J948" i="2"/>
  <c r="K948" i="2" s="1"/>
  <c r="E950" i="2" l="1" a="1"/>
  <c r="E950" i="2" s="1"/>
  <c r="F950" i="2"/>
  <c r="A951" i="2"/>
  <c r="B950" i="2"/>
  <c r="C950" i="2" s="1"/>
  <c r="D950" i="2" s="1"/>
  <c r="G949" i="2"/>
  <c r="J949" i="2"/>
  <c r="K949" i="2" s="1"/>
  <c r="H946" i="2"/>
  <c r="I946" i="2" s="1"/>
  <c r="E951" i="2" l="1" a="1"/>
  <c r="E951" i="2" s="1"/>
  <c r="H947" i="2"/>
  <c r="I947" i="2" s="1"/>
  <c r="F951" i="2"/>
  <c r="A952" i="2"/>
  <c r="B951" i="2"/>
  <c r="C951" i="2" s="1"/>
  <c r="D951" i="2" s="1"/>
  <c r="G950" i="2"/>
  <c r="J950" i="2"/>
  <c r="K950" i="2" s="1"/>
  <c r="E952" i="2" l="1" a="1"/>
  <c r="E952" i="2" s="1"/>
  <c r="A953" i="2"/>
  <c r="B952" i="2"/>
  <c r="C952" i="2" s="1"/>
  <c r="D952" i="2" s="1"/>
  <c r="F952" i="2"/>
  <c r="J951" i="2"/>
  <c r="K951" i="2" s="1"/>
  <c r="G951" i="2"/>
  <c r="H948" i="2"/>
  <c r="I948" i="2" s="1"/>
  <c r="E953" i="2" l="1" a="1"/>
  <c r="E953" i="2" s="1"/>
  <c r="H949" i="2"/>
  <c r="I949" i="2" s="1"/>
  <c r="J952" i="2"/>
  <c r="K952" i="2" s="1"/>
  <c r="G952" i="2"/>
  <c r="A954" i="2"/>
  <c r="B953" i="2"/>
  <c r="C953" i="2" s="1"/>
  <c r="D953" i="2" s="1"/>
  <c r="F953" i="2"/>
  <c r="E954" i="2" l="1" a="1"/>
  <c r="E954" i="2" s="1"/>
  <c r="J953" i="2"/>
  <c r="K953" i="2" s="1"/>
  <c r="G953" i="2"/>
  <c r="A955" i="2"/>
  <c r="B954" i="2"/>
  <c r="C954" i="2" s="1"/>
  <c r="D954" i="2" s="1"/>
  <c r="F954" i="2"/>
  <c r="H950" i="2"/>
  <c r="I950" i="2" s="1"/>
  <c r="E955" i="2" l="1" a="1"/>
  <c r="E955" i="2" s="1"/>
  <c r="H951" i="2"/>
  <c r="I951" i="2" s="1"/>
  <c r="J954" i="2"/>
  <c r="K954" i="2" s="1"/>
  <c r="G954" i="2"/>
  <c r="B955" i="2"/>
  <c r="C955" i="2" s="1"/>
  <c r="D955" i="2" s="1"/>
  <c r="A956" i="2"/>
  <c r="F955" i="2"/>
  <c r="E956" i="2" l="1" a="1"/>
  <c r="E956" i="2" s="1"/>
  <c r="J955" i="2"/>
  <c r="K955" i="2" s="1"/>
  <c r="G955" i="2"/>
  <c r="B956" i="2"/>
  <c r="C956" i="2" s="1"/>
  <c r="D956" i="2" s="1"/>
  <c r="A957" i="2"/>
  <c r="F956" i="2"/>
  <c r="H952" i="2"/>
  <c r="I952" i="2" s="1"/>
  <c r="E957" i="2" l="1" a="1"/>
  <c r="E957" i="2" s="1"/>
  <c r="H953" i="2"/>
  <c r="I953" i="2" s="1"/>
  <c r="J956" i="2"/>
  <c r="K956" i="2" s="1"/>
  <c r="G956" i="2"/>
  <c r="B957" i="2"/>
  <c r="C957" i="2" s="1"/>
  <c r="D957" i="2" s="1"/>
  <c r="A958" i="2"/>
  <c r="F957" i="2"/>
  <c r="E958" i="2" l="1" a="1"/>
  <c r="E958" i="2" s="1"/>
  <c r="E959" i="2" a="1"/>
  <c r="E959" i="2" s="1"/>
  <c r="J957" i="2"/>
  <c r="K957" i="2" s="1"/>
  <c r="G957" i="2"/>
  <c r="B958" i="2"/>
  <c r="C958" i="2" s="1"/>
  <c r="D958" i="2" s="1"/>
  <c r="A959" i="2"/>
  <c r="F958" i="2"/>
  <c r="H954" i="2"/>
  <c r="I954" i="2" s="1"/>
  <c r="H955" i="2" l="1"/>
  <c r="I955" i="2" s="1"/>
  <c r="J958" i="2"/>
  <c r="K958" i="2" s="1"/>
  <c r="G958" i="2"/>
  <c r="A960" i="2"/>
  <c r="B959" i="2"/>
  <c r="C959" i="2" s="1"/>
  <c r="D959" i="2" s="1"/>
  <c r="F959" i="2"/>
  <c r="E960" i="2" l="1" a="1"/>
  <c r="E960" i="2" s="1"/>
  <c r="J959" i="2"/>
  <c r="K959" i="2" s="1"/>
  <c r="G959" i="2"/>
  <c r="B960" i="2"/>
  <c r="C960" i="2" s="1"/>
  <c r="D960" i="2" s="1"/>
  <c r="A961" i="2"/>
  <c r="F960" i="2"/>
  <c r="H956" i="2"/>
  <c r="I956" i="2" s="1"/>
  <c r="E961" i="2" l="1" a="1"/>
  <c r="E961" i="2" s="1"/>
  <c r="H957" i="2"/>
  <c r="I957" i="2" s="1"/>
  <c r="J960" i="2"/>
  <c r="K960" i="2" s="1"/>
  <c r="G960" i="2"/>
  <c r="F961" i="2"/>
  <c r="B961" i="2"/>
  <c r="C961" i="2" s="1"/>
  <c r="D961" i="2" s="1"/>
  <c r="A962" i="2"/>
  <c r="E962" i="2" l="1" a="1"/>
  <c r="E962" i="2" s="1"/>
  <c r="F962" i="2"/>
  <c r="B962" i="2"/>
  <c r="C962" i="2" s="1"/>
  <c r="D962" i="2" s="1"/>
  <c r="A963" i="2"/>
  <c r="J961" i="2"/>
  <c r="K961" i="2" s="1"/>
  <c r="G961" i="2"/>
  <c r="H958" i="2"/>
  <c r="I958" i="2" s="1"/>
  <c r="E963" i="2" l="1" a="1"/>
  <c r="E963" i="2" s="1"/>
  <c r="H959" i="2"/>
  <c r="I959" i="2" s="1"/>
  <c r="A964" i="2"/>
  <c r="B963" i="2"/>
  <c r="C963" i="2" s="1"/>
  <c r="D963" i="2" s="1"/>
  <c r="F963" i="2"/>
  <c r="G962" i="2"/>
  <c r="J962" i="2"/>
  <c r="K962" i="2" s="1"/>
  <c r="E964" i="2" l="1" a="1"/>
  <c r="E964" i="2" s="1"/>
  <c r="G963" i="2"/>
  <c r="J963" i="2"/>
  <c r="K963" i="2" s="1"/>
  <c r="F964" i="2"/>
  <c r="B964" i="2"/>
  <c r="C964" i="2" s="1"/>
  <c r="D964" i="2" s="1"/>
  <c r="A965" i="2"/>
  <c r="H960" i="2"/>
  <c r="I960" i="2" s="1"/>
  <c r="E965" i="2" l="1" a="1"/>
  <c r="E965" i="2" s="1"/>
  <c r="H961" i="2"/>
  <c r="I961" i="2" s="1"/>
  <c r="F965" i="2"/>
  <c r="B965" i="2"/>
  <c r="C965" i="2" s="1"/>
  <c r="D965" i="2" s="1"/>
  <c r="A966" i="2"/>
  <c r="G964" i="2"/>
  <c r="J964" i="2"/>
  <c r="K964" i="2" s="1"/>
  <c r="E966" i="2" l="1" a="1"/>
  <c r="E966" i="2" s="1"/>
  <c r="F966" i="2"/>
  <c r="B966" i="2"/>
  <c r="C966" i="2" s="1"/>
  <c r="D966" i="2" s="1"/>
  <c r="A967" i="2"/>
  <c r="J965" i="2"/>
  <c r="K965" i="2" s="1"/>
  <c r="G965" i="2"/>
  <c r="H962" i="2"/>
  <c r="I962" i="2" s="1"/>
  <c r="E967" i="2" l="1" a="1"/>
  <c r="E967" i="2" s="1"/>
  <c r="H963" i="2"/>
  <c r="I963" i="2" s="1"/>
  <c r="F967" i="2"/>
  <c r="B967" i="2"/>
  <c r="C967" i="2" s="1"/>
  <c r="D967" i="2" s="1"/>
  <c r="A968" i="2"/>
  <c r="J966" i="2"/>
  <c r="K966" i="2" s="1"/>
  <c r="G966" i="2"/>
  <c r="E968" i="2" l="1" a="1"/>
  <c r="E968" i="2" s="1"/>
  <c r="F968" i="2"/>
  <c r="B968" i="2"/>
  <c r="C968" i="2" s="1"/>
  <c r="D968" i="2" s="1"/>
  <c r="A969" i="2"/>
  <c r="J967" i="2"/>
  <c r="K967" i="2" s="1"/>
  <c r="G967" i="2"/>
  <c r="H964" i="2"/>
  <c r="I964" i="2" s="1"/>
  <c r="E969" i="2" l="1" a="1"/>
  <c r="E969" i="2" s="1"/>
  <c r="H965" i="2"/>
  <c r="I965" i="2" s="1"/>
  <c r="F969" i="2"/>
  <c r="B969" i="2"/>
  <c r="C969" i="2" s="1"/>
  <c r="D969" i="2" s="1"/>
  <c r="A970" i="2"/>
  <c r="J968" i="2"/>
  <c r="K968" i="2" s="1"/>
  <c r="G968" i="2"/>
  <c r="E970" i="2" l="1" a="1"/>
  <c r="E970" i="2" s="1"/>
  <c r="F970" i="2"/>
  <c r="A971" i="2"/>
  <c r="B970" i="2"/>
  <c r="C970" i="2" s="1"/>
  <c r="D970" i="2" s="1"/>
  <c r="G969" i="2"/>
  <c r="J969" i="2"/>
  <c r="K969" i="2" s="1"/>
  <c r="H966" i="2"/>
  <c r="I966" i="2" s="1"/>
  <c r="E971" i="2" l="1" a="1"/>
  <c r="E971" i="2" s="1"/>
  <c r="H967" i="2"/>
  <c r="I967" i="2" s="1"/>
  <c r="B971" i="2"/>
  <c r="C971" i="2" s="1"/>
  <c r="D971" i="2" s="1"/>
  <c r="A972" i="2"/>
  <c r="F971" i="2"/>
  <c r="J970" i="2"/>
  <c r="K970" i="2" s="1"/>
  <c r="G970" i="2"/>
  <c r="E972" i="2" l="1" a="1"/>
  <c r="E972" i="2" s="1"/>
  <c r="J971" i="2"/>
  <c r="K971" i="2" s="1"/>
  <c r="G971" i="2"/>
  <c r="B972" i="2"/>
  <c r="C972" i="2" s="1"/>
  <c r="D972" i="2" s="1"/>
  <c r="E973" i="2" s="1" a="1"/>
  <c r="E973" i="2" s="1"/>
  <c r="A973" i="2"/>
  <c r="F972" i="2"/>
  <c r="H968" i="2"/>
  <c r="I968" i="2" s="1"/>
  <c r="H969" i="2" l="1"/>
  <c r="I969" i="2" s="1"/>
  <c r="J972" i="2"/>
  <c r="K972" i="2" s="1"/>
  <c r="G972" i="2"/>
  <c r="F973" i="2"/>
  <c r="B973" i="2"/>
  <c r="C973" i="2" s="1"/>
  <c r="D973" i="2" s="1"/>
  <c r="A974" i="2"/>
  <c r="E974" i="2" l="1" a="1"/>
  <c r="E974" i="2" s="1"/>
  <c r="F974" i="2"/>
  <c r="A975" i="2"/>
  <c r="B974" i="2"/>
  <c r="C974" i="2" s="1"/>
  <c r="D974" i="2" s="1"/>
  <c r="G973" i="2"/>
  <c r="J973" i="2"/>
  <c r="K973" i="2" s="1"/>
  <c r="H970" i="2"/>
  <c r="I970" i="2" s="1"/>
  <c r="E975" i="2" l="1" a="1"/>
  <c r="E975" i="2" s="1"/>
  <c r="H971" i="2"/>
  <c r="I971" i="2" s="1"/>
  <c r="A976" i="2"/>
  <c r="B975" i="2"/>
  <c r="C975" i="2" s="1"/>
  <c r="D975" i="2" s="1"/>
  <c r="F975" i="2"/>
  <c r="J974" i="2"/>
  <c r="K974" i="2" s="1"/>
  <c r="G974" i="2"/>
  <c r="E976" i="2" l="1" a="1"/>
  <c r="E976" i="2" s="1"/>
  <c r="J975" i="2"/>
  <c r="K975" i="2" s="1"/>
  <c r="G975" i="2"/>
  <c r="F976" i="2"/>
  <c r="B976" i="2"/>
  <c r="C976" i="2" s="1"/>
  <c r="D976" i="2" s="1"/>
  <c r="A977" i="2"/>
  <c r="H972" i="2"/>
  <c r="I972" i="2" s="1"/>
  <c r="E977" i="2" l="1" a="1"/>
  <c r="E977" i="2" s="1"/>
  <c r="H973" i="2"/>
  <c r="I973" i="2" s="1"/>
  <c r="A978" i="2"/>
  <c r="F977" i="2"/>
  <c r="B977" i="2"/>
  <c r="C977" i="2" s="1"/>
  <c r="D977" i="2" s="1"/>
  <c r="J976" i="2"/>
  <c r="K976" i="2" s="1"/>
  <c r="G976" i="2"/>
  <c r="E978" i="2" l="1" a="1"/>
  <c r="E978" i="2" s="1"/>
  <c r="J977" i="2"/>
  <c r="K977" i="2" s="1"/>
  <c r="G977" i="2"/>
  <c r="B978" i="2"/>
  <c r="C978" i="2" s="1"/>
  <c r="D978" i="2" s="1"/>
  <c r="A979" i="2"/>
  <c r="F978" i="2"/>
  <c r="H974" i="2"/>
  <c r="I974" i="2" s="1"/>
  <c r="E979" i="2" l="1" a="1"/>
  <c r="E979" i="2" s="1"/>
  <c r="H975" i="2"/>
  <c r="I975" i="2" s="1"/>
  <c r="J978" i="2"/>
  <c r="K978" i="2" s="1"/>
  <c r="G978" i="2"/>
  <c r="A980" i="2"/>
  <c r="B979" i="2"/>
  <c r="C979" i="2" s="1"/>
  <c r="D979" i="2" s="1"/>
  <c r="F979" i="2"/>
  <c r="E980" i="2" l="1" a="1"/>
  <c r="E980" i="2" s="1"/>
  <c r="J979" i="2"/>
  <c r="K979" i="2" s="1"/>
  <c r="G979" i="2"/>
  <c r="F980" i="2"/>
  <c r="B980" i="2"/>
  <c r="C980" i="2" s="1"/>
  <c r="D980" i="2" s="1"/>
  <c r="A981" i="2"/>
  <c r="H976" i="2"/>
  <c r="I976" i="2" s="1"/>
  <c r="E981" i="2" l="1" a="1"/>
  <c r="E981" i="2" s="1"/>
  <c r="H977" i="2"/>
  <c r="I977" i="2" s="1"/>
  <c r="F981" i="2"/>
  <c r="B981" i="2"/>
  <c r="C981" i="2" s="1"/>
  <c r="D981" i="2" s="1"/>
  <c r="A982" i="2"/>
  <c r="J980" i="2"/>
  <c r="K980" i="2" s="1"/>
  <c r="G980" i="2"/>
  <c r="E982" i="2" l="1" a="1"/>
  <c r="E982" i="2" s="1"/>
  <c r="F982" i="2"/>
  <c r="B982" i="2"/>
  <c r="C982" i="2" s="1"/>
  <c r="D982" i="2" s="1"/>
  <c r="A983" i="2"/>
  <c r="J981" i="2"/>
  <c r="K981" i="2" s="1"/>
  <c r="G981" i="2"/>
  <c r="H978" i="2"/>
  <c r="I978" i="2" s="1"/>
  <c r="E983" i="2" l="1" a="1"/>
  <c r="E983" i="2" s="1"/>
  <c r="H979" i="2"/>
  <c r="I979" i="2" s="1"/>
  <c r="F983" i="2"/>
  <c r="B983" i="2"/>
  <c r="C983" i="2" s="1"/>
  <c r="D983" i="2" s="1"/>
  <c r="A984" i="2"/>
  <c r="J982" i="2"/>
  <c r="K982" i="2" s="1"/>
  <c r="G982" i="2"/>
  <c r="E984" i="2" l="1" a="1"/>
  <c r="E984" i="2" s="1"/>
  <c r="A985" i="2"/>
  <c r="F984" i="2"/>
  <c r="B984" i="2"/>
  <c r="C984" i="2" s="1"/>
  <c r="D984" i="2" s="1"/>
  <c r="J983" i="2"/>
  <c r="K983" i="2" s="1"/>
  <c r="G983" i="2"/>
  <c r="H980" i="2"/>
  <c r="I980" i="2" s="1"/>
  <c r="E985" i="2" l="1" a="1"/>
  <c r="E985" i="2" s="1"/>
  <c r="H981" i="2"/>
  <c r="I981" i="2" s="1"/>
  <c r="G984" i="2"/>
  <c r="J984" i="2"/>
  <c r="K984" i="2" s="1"/>
  <c r="F985" i="2"/>
  <c r="A986" i="2"/>
  <c r="B985" i="2"/>
  <c r="C985" i="2" s="1"/>
  <c r="D985" i="2" s="1"/>
  <c r="E986" i="2" l="1" a="1"/>
  <c r="E986" i="2" s="1"/>
  <c r="F986" i="2"/>
  <c r="B986" i="2"/>
  <c r="C986" i="2" s="1"/>
  <c r="D986" i="2" s="1"/>
  <c r="A987" i="2"/>
  <c r="G985" i="2"/>
  <c r="J985" i="2"/>
  <c r="K985" i="2" s="1"/>
  <c r="H982" i="2"/>
  <c r="I982" i="2" s="1"/>
  <c r="E987" i="2" l="1" a="1"/>
  <c r="E987" i="2" s="1"/>
  <c r="H983" i="2"/>
  <c r="I983" i="2" s="1"/>
  <c r="F987" i="2"/>
  <c r="B987" i="2"/>
  <c r="C987" i="2" s="1"/>
  <c r="D987" i="2" s="1"/>
  <c r="A988" i="2"/>
  <c r="J986" i="2"/>
  <c r="K986" i="2" s="1"/>
  <c r="G986" i="2"/>
  <c r="E988" i="2" l="1" a="1"/>
  <c r="E988" i="2" s="1"/>
  <c r="F988" i="2"/>
  <c r="B988" i="2"/>
  <c r="C988" i="2" s="1"/>
  <c r="D988" i="2" s="1"/>
  <c r="A989" i="2"/>
  <c r="J987" i="2"/>
  <c r="K987" i="2" s="1"/>
  <c r="G987" i="2"/>
  <c r="H984" i="2"/>
  <c r="I984" i="2" s="1"/>
  <c r="E989" i="2" l="1" a="1"/>
  <c r="E989" i="2" s="1"/>
  <c r="H985" i="2"/>
  <c r="I985" i="2" s="1"/>
  <c r="A990" i="2"/>
  <c r="B989" i="2"/>
  <c r="C989" i="2" s="1"/>
  <c r="D989" i="2" s="1"/>
  <c r="F989" i="2"/>
  <c r="J988" i="2"/>
  <c r="K988" i="2" s="1"/>
  <c r="G988" i="2"/>
  <c r="E990" i="2" l="1" a="1"/>
  <c r="E990" i="2" s="1"/>
  <c r="G989" i="2"/>
  <c r="J989" i="2"/>
  <c r="K989" i="2" s="1"/>
  <c r="F990" i="2"/>
  <c r="A991" i="2"/>
  <c r="B990" i="2"/>
  <c r="C990" i="2" s="1"/>
  <c r="D990" i="2" s="1"/>
  <c r="H986" i="2"/>
  <c r="I986" i="2" s="1"/>
  <c r="E991" i="2" l="1" a="1"/>
  <c r="E991" i="2" s="1"/>
  <c r="H987" i="2"/>
  <c r="I987" i="2" s="1"/>
  <c r="A992" i="2"/>
  <c r="B991" i="2"/>
  <c r="C991" i="2" s="1"/>
  <c r="D991" i="2" s="1"/>
  <c r="F991" i="2"/>
  <c r="J990" i="2"/>
  <c r="K990" i="2" s="1"/>
  <c r="G990" i="2"/>
  <c r="E992" i="2" l="1" a="1"/>
  <c r="E992" i="2" s="1"/>
  <c r="J991" i="2"/>
  <c r="K991" i="2" s="1"/>
  <c r="G991" i="2"/>
  <c r="F992" i="2"/>
  <c r="B992" i="2"/>
  <c r="C992" i="2" s="1"/>
  <c r="D992" i="2" s="1"/>
  <c r="A993" i="2"/>
  <c r="H988" i="2"/>
  <c r="I988" i="2" s="1"/>
  <c r="E993" i="2" l="1" a="1"/>
  <c r="E993" i="2" s="1"/>
  <c r="H989" i="2"/>
  <c r="I989" i="2" s="1"/>
  <c r="F993" i="2"/>
  <c r="B993" i="2"/>
  <c r="C993" i="2" s="1"/>
  <c r="D993" i="2" s="1"/>
  <c r="A994" i="2"/>
  <c r="G992" i="2"/>
  <c r="J992" i="2"/>
  <c r="K992" i="2" s="1"/>
  <c r="E994" i="2" l="1" a="1"/>
  <c r="E994" i="2" s="1"/>
  <c r="A995" i="2"/>
  <c r="F994" i="2"/>
  <c r="B994" i="2"/>
  <c r="C994" i="2" s="1"/>
  <c r="D994" i="2" s="1"/>
  <c r="J993" i="2"/>
  <c r="K993" i="2" s="1"/>
  <c r="G993" i="2"/>
  <c r="H990" i="2"/>
  <c r="I990" i="2" s="1"/>
  <c r="E995" i="2" l="1" a="1"/>
  <c r="E995" i="2" s="1"/>
  <c r="H991" i="2"/>
  <c r="I991" i="2" s="1"/>
  <c r="J994" i="2"/>
  <c r="K994" i="2" s="1"/>
  <c r="G994" i="2"/>
  <c r="A996" i="2"/>
  <c r="B995" i="2"/>
  <c r="C995" i="2" s="1"/>
  <c r="D995" i="2" s="1"/>
  <c r="F995" i="2"/>
  <c r="E996" i="2" l="1" a="1"/>
  <c r="E996" i="2" s="1"/>
  <c r="J995" i="2"/>
  <c r="K995" i="2" s="1"/>
  <c r="G995" i="2"/>
  <c r="B996" i="2"/>
  <c r="C996" i="2" s="1"/>
  <c r="D996" i="2" s="1"/>
  <c r="A997" i="2"/>
  <c r="F996" i="2"/>
  <c r="H992" i="2"/>
  <c r="I992" i="2" s="1"/>
  <c r="E997" i="2" l="1" a="1"/>
  <c r="E997" i="2" s="1"/>
  <c r="H993" i="2"/>
  <c r="I993" i="2" s="1"/>
  <c r="J996" i="2"/>
  <c r="K996" i="2" s="1"/>
  <c r="G996" i="2"/>
  <c r="F997" i="2"/>
  <c r="B997" i="2"/>
  <c r="C997" i="2" s="1"/>
  <c r="D997" i="2" s="1"/>
  <c r="A998" i="2"/>
  <c r="E998" i="2" l="1" a="1"/>
  <c r="E998" i="2" s="1"/>
  <c r="A999" i="2"/>
  <c r="F998" i="2"/>
  <c r="B998" i="2"/>
  <c r="C998" i="2" s="1"/>
  <c r="D998" i="2" s="1"/>
  <c r="J997" i="2"/>
  <c r="K997" i="2" s="1"/>
  <c r="G997" i="2"/>
  <c r="H994" i="2"/>
  <c r="I994" i="2" s="1"/>
  <c r="E999" i="2" l="1" a="1"/>
  <c r="E999" i="2" s="1"/>
  <c r="H995" i="2"/>
  <c r="I995" i="2" s="1"/>
  <c r="J998" i="2"/>
  <c r="K998" i="2" s="1"/>
  <c r="G998" i="2"/>
  <c r="B999" i="2"/>
  <c r="C999" i="2" s="1"/>
  <c r="D999" i="2" s="1"/>
  <c r="A1000" i="2"/>
  <c r="F999" i="2"/>
  <c r="E1000" i="2" l="1" a="1"/>
  <c r="E1000" i="2" s="1"/>
  <c r="E1001" i="2" a="1"/>
  <c r="E1001" i="2" s="1"/>
  <c r="G999" i="2"/>
  <c r="J999" i="2"/>
  <c r="K999" i="2" s="1"/>
  <c r="F1000" i="2"/>
  <c r="B1000" i="2"/>
  <c r="C1000" i="2" s="1"/>
  <c r="D1000" i="2" s="1"/>
  <c r="A1001" i="2"/>
  <c r="H996" i="2"/>
  <c r="I996" i="2" s="1"/>
  <c r="H997" i="2" l="1"/>
  <c r="I997" i="2" s="1"/>
  <c r="F1001" i="2"/>
  <c r="A1002" i="2"/>
  <c r="B1001" i="2"/>
  <c r="C1001" i="2" s="1"/>
  <c r="D1001" i="2" s="1"/>
  <c r="J1000" i="2"/>
  <c r="K1000" i="2" s="1"/>
  <c r="G1000" i="2"/>
  <c r="E1002" i="2" l="1" a="1"/>
  <c r="E1002" i="2" s="1"/>
  <c r="F1002" i="2"/>
  <c r="A1003" i="2"/>
  <c r="B1002" i="2"/>
  <c r="C1002" i="2" s="1"/>
  <c r="D1002" i="2" s="1"/>
  <c r="G1001" i="2"/>
  <c r="J1001" i="2"/>
  <c r="K1001" i="2" s="1"/>
  <c r="H998" i="2"/>
  <c r="I998" i="2" s="1"/>
  <c r="E1003" i="2" l="1" a="1"/>
  <c r="E1003" i="2" s="1"/>
  <c r="H999" i="2"/>
  <c r="I999" i="2" s="1"/>
  <c r="F1003" i="2"/>
  <c r="B1003" i="2"/>
  <c r="C1003" i="2" s="1"/>
  <c r="D1003" i="2" s="1"/>
  <c r="A1004" i="2"/>
  <c r="J1002" i="2"/>
  <c r="K1002" i="2" s="1"/>
  <c r="G1002" i="2"/>
  <c r="E1004" i="2" l="1" a="1"/>
  <c r="E1004" i="2" s="1"/>
  <c r="F1004" i="2"/>
  <c r="A1005" i="2"/>
  <c r="B1004" i="2"/>
  <c r="C1004" i="2" s="1"/>
  <c r="D1004" i="2" s="1"/>
  <c r="G1003" i="2"/>
  <c r="J1003" i="2"/>
  <c r="K1003" i="2" s="1"/>
  <c r="H1000" i="2"/>
  <c r="I1000" i="2" s="1"/>
  <c r="E1005" i="2" l="1" a="1"/>
  <c r="E1005" i="2" s="1"/>
  <c r="H1001" i="2"/>
  <c r="I1001" i="2" s="1"/>
  <c r="A1006" i="2"/>
  <c r="B1005" i="2"/>
  <c r="C1005" i="2" s="1"/>
  <c r="D1005" i="2" s="1"/>
  <c r="F1005" i="2"/>
  <c r="J1004" i="2"/>
  <c r="K1004" i="2" s="1"/>
  <c r="G1004" i="2"/>
  <c r="E1006" i="2" l="1" a="1"/>
  <c r="E1006" i="2" s="1"/>
  <c r="E1007" i="2" a="1"/>
  <c r="E1007" i="2" s="1"/>
  <c r="G1005" i="2"/>
  <c r="J1005" i="2"/>
  <c r="K1005" i="2" s="1"/>
  <c r="F1006" i="2"/>
  <c r="A1007" i="2"/>
  <c r="B1006" i="2"/>
  <c r="C1006" i="2" s="1"/>
  <c r="D1006" i="2" s="1"/>
  <c r="H1002" i="2"/>
  <c r="I1002" i="2" s="1"/>
  <c r="H1003" i="2" l="1"/>
  <c r="I1003" i="2" s="1"/>
  <c r="A1008" i="2"/>
  <c r="B1007" i="2"/>
  <c r="C1007" i="2" s="1"/>
  <c r="D1007" i="2" s="1"/>
  <c r="F1007" i="2"/>
  <c r="J1006" i="2"/>
  <c r="K1006" i="2" s="1"/>
  <c r="G1006" i="2"/>
  <c r="E1008" i="2" l="1" a="1"/>
  <c r="E1008" i="2" s="1"/>
  <c r="J1007" i="2"/>
  <c r="K1007" i="2" s="1"/>
  <c r="G1007" i="2"/>
  <c r="F1008" i="2"/>
  <c r="B1008" i="2"/>
  <c r="C1008" i="2" s="1"/>
  <c r="D1008" i="2" s="1"/>
  <c r="A1009" i="2"/>
  <c r="H1004" i="2"/>
  <c r="I1004" i="2" s="1"/>
  <c r="E1009" i="2" l="1" a="1"/>
  <c r="E1009" i="2" s="1"/>
  <c r="H1005" i="2"/>
  <c r="I1005" i="2" s="1"/>
  <c r="A1010" i="2"/>
  <c r="B1009" i="2"/>
  <c r="C1009" i="2" s="1"/>
  <c r="D1009" i="2" s="1"/>
  <c r="F1009" i="2"/>
  <c r="G1008" i="2"/>
  <c r="J1008" i="2"/>
  <c r="K1008" i="2" s="1"/>
  <c r="E1010" i="2" l="1" a="1"/>
  <c r="E1010" i="2" s="1"/>
  <c r="J1009" i="2"/>
  <c r="K1009" i="2" s="1"/>
  <c r="G1009" i="2"/>
  <c r="A1011" i="2"/>
  <c r="B1010" i="2"/>
  <c r="C1010" i="2" s="1"/>
  <c r="D1010" i="2" s="1"/>
  <c r="F1010" i="2"/>
  <c r="H1006" i="2"/>
  <c r="I1006" i="2" s="1"/>
  <c r="E1011" i="2" l="1" a="1"/>
  <c r="E1011" i="2" s="1"/>
  <c r="H1007" i="2"/>
  <c r="I1007" i="2" s="1"/>
  <c r="J1010" i="2"/>
  <c r="K1010" i="2" s="1"/>
  <c r="G1010" i="2"/>
  <c r="A1012" i="2"/>
  <c r="B1011" i="2"/>
  <c r="C1011" i="2" s="1"/>
  <c r="D1011" i="2" s="1"/>
  <c r="F1011" i="2"/>
  <c r="E1012" i="2" l="1" a="1"/>
  <c r="E1012" i="2" s="1"/>
  <c r="J1011" i="2"/>
  <c r="K1011" i="2" s="1"/>
  <c r="G1011" i="2"/>
  <c r="A1013" i="2"/>
  <c r="F1012" i="2"/>
  <c r="B1012" i="2"/>
  <c r="C1012" i="2" s="1"/>
  <c r="D1012" i="2" s="1"/>
  <c r="H1008" i="2"/>
  <c r="I1008" i="2" s="1"/>
  <c r="E1013" i="2" l="1" a="1"/>
  <c r="E1013" i="2" s="1"/>
  <c r="H1009" i="2"/>
  <c r="I1009" i="2" s="1"/>
  <c r="J1012" i="2"/>
  <c r="K1012" i="2" s="1"/>
  <c r="G1012" i="2"/>
  <c r="F1013" i="2"/>
  <c r="B1013" i="2"/>
  <c r="C1013" i="2" s="1"/>
  <c r="D1013" i="2" s="1"/>
  <c r="A1014" i="2"/>
  <c r="E1014" i="2" l="1" a="1"/>
  <c r="E1014" i="2" s="1"/>
  <c r="A1015" i="2"/>
  <c r="F1014" i="2"/>
  <c r="B1014" i="2"/>
  <c r="C1014" i="2" s="1"/>
  <c r="D1014" i="2" s="1"/>
  <c r="J1013" i="2"/>
  <c r="K1013" i="2" s="1"/>
  <c r="G1013" i="2"/>
  <c r="H1010" i="2"/>
  <c r="I1010" i="2" s="1"/>
  <c r="E1015" i="2" l="1" a="1"/>
  <c r="E1015" i="2" s="1"/>
  <c r="H1011" i="2"/>
  <c r="I1011" i="2" s="1"/>
  <c r="J1014" i="2"/>
  <c r="K1014" i="2" s="1"/>
  <c r="G1014" i="2"/>
  <c r="F1015" i="2"/>
  <c r="B1015" i="2"/>
  <c r="C1015" i="2" s="1"/>
  <c r="D1015" i="2" s="1"/>
  <c r="A1016" i="2"/>
  <c r="E1016" i="2" l="1" a="1"/>
  <c r="E1016" i="2" s="1"/>
  <c r="F1016" i="2"/>
  <c r="A1017" i="2"/>
  <c r="B1016" i="2"/>
  <c r="C1016" i="2" s="1"/>
  <c r="D1016" i="2" s="1"/>
  <c r="G1015" i="2"/>
  <c r="J1015" i="2"/>
  <c r="K1015" i="2" s="1"/>
  <c r="H1012" i="2"/>
  <c r="I1012" i="2" s="1"/>
  <c r="E1017" i="2" l="1" a="1"/>
  <c r="E1017" i="2" s="1"/>
  <c r="H1013" i="2"/>
  <c r="I1013" i="2" s="1"/>
  <c r="F1017" i="2"/>
  <c r="A1018" i="2"/>
  <c r="B1017" i="2"/>
  <c r="C1017" i="2" s="1"/>
  <c r="D1017" i="2" s="1"/>
  <c r="J1016" i="2"/>
  <c r="K1016" i="2" s="1"/>
  <c r="G1016" i="2"/>
  <c r="E1018" i="2" l="1" a="1"/>
  <c r="E1018" i="2" s="1"/>
  <c r="F1018" i="2"/>
  <c r="A1019" i="2"/>
  <c r="B1018" i="2"/>
  <c r="C1018" i="2" s="1"/>
  <c r="D1018" i="2" s="1"/>
  <c r="J1017" i="2"/>
  <c r="K1017" i="2" s="1"/>
  <c r="G1017" i="2"/>
  <c r="H1014" i="2"/>
  <c r="I1014" i="2" s="1"/>
  <c r="E1019" i="2" l="1" a="1"/>
  <c r="E1019" i="2" s="1"/>
  <c r="E1020" i="2" a="1"/>
  <c r="E1020" i="2" s="1"/>
  <c r="H1015" i="2"/>
  <c r="I1015" i="2" s="1"/>
  <c r="B1019" i="2"/>
  <c r="C1019" i="2" s="1"/>
  <c r="D1019" i="2" s="1"/>
  <c r="A1020" i="2"/>
  <c r="F1019" i="2"/>
  <c r="J1018" i="2"/>
  <c r="K1018" i="2" s="1"/>
  <c r="G1018" i="2"/>
  <c r="G1019" i="2" l="1"/>
  <c r="J1019" i="2"/>
  <c r="K1019" i="2" s="1"/>
  <c r="F1020" i="2"/>
  <c r="A1021" i="2"/>
  <c r="B1020" i="2"/>
  <c r="C1020" i="2" s="1"/>
  <c r="D1020" i="2" s="1"/>
  <c r="H1016" i="2"/>
  <c r="I1016" i="2" s="1"/>
  <c r="E1021" i="2" l="1" a="1"/>
  <c r="E1021" i="2" s="1"/>
  <c r="H1017" i="2"/>
  <c r="I1017" i="2" s="1"/>
  <c r="F1021" i="2"/>
  <c r="A1022" i="2"/>
  <c r="B1021" i="2"/>
  <c r="C1021" i="2" s="1"/>
  <c r="D1021" i="2" s="1"/>
  <c r="G1020" i="2"/>
  <c r="J1020" i="2"/>
  <c r="K1020" i="2" s="1"/>
  <c r="E1022" i="2" l="1" a="1"/>
  <c r="E1022" i="2" s="1"/>
  <c r="F1022" i="2"/>
  <c r="A1023" i="2"/>
  <c r="B1022" i="2"/>
  <c r="C1022" i="2" s="1"/>
  <c r="D1022" i="2" s="1"/>
  <c r="G1021" i="2"/>
  <c r="J1021" i="2"/>
  <c r="K1021" i="2" s="1"/>
  <c r="H1018" i="2"/>
  <c r="I1018" i="2" s="1"/>
  <c r="E1023" i="2" l="1" a="1"/>
  <c r="E1023" i="2" s="1"/>
  <c r="H1019" i="2"/>
  <c r="I1019" i="2" s="1"/>
  <c r="A1024" i="2"/>
  <c r="B1023" i="2"/>
  <c r="C1023" i="2" s="1"/>
  <c r="D1023" i="2" s="1"/>
  <c r="F1023" i="2"/>
  <c r="J1022" i="2"/>
  <c r="K1022" i="2" s="1"/>
  <c r="G1022" i="2"/>
  <c r="E1024" i="2" l="1" a="1"/>
  <c r="E1024" i="2" s="1"/>
  <c r="J1023" i="2"/>
  <c r="K1023" i="2" s="1"/>
  <c r="G1023" i="2"/>
  <c r="F1024" i="2"/>
  <c r="B1024" i="2"/>
  <c r="C1024" i="2" s="1"/>
  <c r="D1024" i="2" s="1"/>
  <c r="A1025" i="2"/>
  <c r="H1020" i="2"/>
  <c r="I1020" i="2" s="1"/>
  <c r="E1025" i="2" l="1" a="1"/>
  <c r="E1025" i="2" s="1"/>
  <c r="H1021" i="2"/>
  <c r="I1021" i="2" s="1"/>
  <c r="A1026" i="2"/>
  <c r="B1025" i="2"/>
  <c r="C1025" i="2" s="1"/>
  <c r="D1025" i="2" s="1"/>
  <c r="F1025" i="2"/>
  <c r="J1024" i="2"/>
  <c r="K1024" i="2" s="1"/>
  <c r="G1024" i="2"/>
  <c r="E1026" i="2" l="1" a="1"/>
  <c r="E1026" i="2" s="1"/>
  <c r="J1025" i="2"/>
  <c r="K1025" i="2" s="1"/>
  <c r="G1025" i="2"/>
  <c r="A1027" i="2"/>
  <c r="B1026" i="2"/>
  <c r="C1026" i="2" s="1"/>
  <c r="D1026" i="2" s="1"/>
  <c r="F1026" i="2"/>
  <c r="H1022" i="2"/>
  <c r="I1022" i="2" s="1"/>
  <c r="E1027" i="2" l="1" a="1"/>
  <c r="E1027" i="2" s="1"/>
  <c r="H1023" i="2"/>
  <c r="I1023" i="2" s="1"/>
  <c r="J1026" i="2"/>
  <c r="K1026" i="2" s="1"/>
  <c r="G1026" i="2"/>
  <c r="A1028" i="2"/>
  <c r="B1027" i="2"/>
  <c r="C1027" i="2" s="1"/>
  <c r="D1027" i="2" s="1"/>
  <c r="F1027" i="2"/>
  <c r="E1028" i="2" l="1" a="1"/>
  <c r="E1028" i="2" s="1"/>
  <c r="G1027" i="2"/>
  <c r="J1027" i="2"/>
  <c r="K1027" i="2" s="1"/>
  <c r="F1028" i="2"/>
  <c r="A1029" i="2"/>
  <c r="B1028" i="2"/>
  <c r="C1028" i="2" s="1"/>
  <c r="D1028" i="2" s="1"/>
  <c r="E1029" i="2" s="1" a="1"/>
  <c r="E1029" i="2" s="1"/>
  <c r="H1024" i="2"/>
  <c r="I1024" i="2" s="1"/>
  <c r="H1025" i="2" l="1"/>
  <c r="I1025" i="2" s="1"/>
  <c r="F1029" i="2"/>
  <c r="A1030" i="2"/>
  <c r="B1029" i="2"/>
  <c r="C1029" i="2" s="1"/>
  <c r="D1029" i="2" s="1"/>
  <c r="J1028" i="2"/>
  <c r="K1028" i="2" s="1"/>
  <c r="G1028" i="2"/>
  <c r="E1030" i="2" l="1" a="1"/>
  <c r="E1030" i="2" s="1"/>
  <c r="A1031" i="2"/>
  <c r="F1030" i="2"/>
  <c r="B1030" i="2"/>
  <c r="C1030" i="2" s="1"/>
  <c r="D1030" i="2" s="1"/>
  <c r="J1029" i="2"/>
  <c r="K1029" i="2" s="1"/>
  <c r="G1029" i="2"/>
  <c r="H1026" i="2"/>
  <c r="I1026" i="2" s="1"/>
  <c r="E1031" i="2" l="1" a="1"/>
  <c r="E1031" i="2" s="1"/>
  <c r="H1027" i="2"/>
  <c r="I1027" i="2" s="1"/>
  <c r="J1030" i="2"/>
  <c r="K1030" i="2" s="1"/>
  <c r="G1030" i="2"/>
  <c r="A1032" i="2"/>
  <c r="B1031" i="2"/>
  <c r="C1031" i="2" s="1"/>
  <c r="D1031" i="2" s="1"/>
  <c r="F1031" i="2"/>
  <c r="E1032" i="2" l="1" a="1"/>
  <c r="E1032" i="2" s="1"/>
  <c r="G1031" i="2"/>
  <c r="J1031" i="2"/>
  <c r="K1031" i="2" s="1"/>
  <c r="F1032" i="2"/>
  <c r="A1033" i="2"/>
  <c r="B1032" i="2"/>
  <c r="C1032" i="2" s="1"/>
  <c r="D1032" i="2" s="1"/>
  <c r="H1028" i="2"/>
  <c r="I1028" i="2" s="1"/>
  <c r="E1033" i="2" l="1" a="1"/>
  <c r="E1033" i="2" s="1"/>
  <c r="H1029" i="2"/>
  <c r="I1029" i="2" s="1"/>
  <c r="F1033" i="2"/>
  <c r="A1034" i="2"/>
  <c r="B1033" i="2"/>
  <c r="C1033" i="2" s="1"/>
  <c r="D1033" i="2" s="1"/>
  <c r="J1032" i="2"/>
  <c r="K1032" i="2" s="1"/>
  <c r="G1032" i="2"/>
  <c r="E1034" i="2" l="1" a="1"/>
  <c r="E1034" i="2" s="1"/>
  <c r="F1034" i="2"/>
  <c r="A1035" i="2"/>
  <c r="B1034" i="2"/>
  <c r="C1034" i="2" s="1"/>
  <c r="D1034" i="2" s="1"/>
  <c r="J1033" i="2"/>
  <c r="K1033" i="2" s="1"/>
  <c r="G1033" i="2"/>
  <c r="H1030" i="2"/>
  <c r="I1030" i="2" s="1"/>
  <c r="E1035" i="2" l="1" a="1"/>
  <c r="E1035" i="2" s="1"/>
  <c r="H1031" i="2"/>
  <c r="I1031" i="2" s="1"/>
  <c r="F1035" i="2"/>
  <c r="B1035" i="2"/>
  <c r="C1035" i="2" s="1"/>
  <c r="D1035" i="2" s="1"/>
  <c r="A1036" i="2"/>
  <c r="J1034" i="2"/>
  <c r="K1034" i="2" s="1"/>
  <c r="G1034" i="2"/>
  <c r="E1036" i="2" l="1" a="1"/>
  <c r="E1036" i="2" s="1"/>
  <c r="F1036" i="2"/>
  <c r="A1037" i="2"/>
  <c r="B1036" i="2"/>
  <c r="C1036" i="2" s="1"/>
  <c r="D1036" i="2" s="1"/>
  <c r="G1035" i="2"/>
  <c r="J1035" i="2"/>
  <c r="K1035" i="2" s="1"/>
  <c r="H1032" i="2"/>
  <c r="I1032" i="2" s="1"/>
  <c r="E1037" i="2" l="1" a="1"/>
  <c r="E1037" i="2" s="1"/>
  <c r="H1033" i="2"/>
  <c r="I1033" i="2" s="1"/>
  <c r="F1037" i="2"/>
  <c r="A1038" i="2"/>
  <c r="B1037" i="2"/>
  <c r="C1037" i="2" s="1"/>
  <c r="D1037" i="2" s="1"/>
  <c r="G1036" i="2"/>
  <c r="J1036" i="2"/>
  <c r="K1036" i="2" s="1"/>
  <c r="E1038" i="2" l="1" a="1"/>
  <c r="E1038" i="2" s="1"/>
  <c r="F1038" i="2"/>
  <c r="A1039" i="2"/>
  <c r="B1038" i="2"/>
  <c r="C1038" i="2" s="1"/>
  <c r="D1038" i="2" s="1"/>
  <c r="G1037" i="2"/>
  <c r="J1037" i="2"/>
  <c r="K1037" i="2" s="1"/>
  <c r="H1034" i="2"/>
  <c r="I1034" i="2" s="1"/>
  <c r="E1039" i="2" l="1" a="1"/>
  <c r="E1039" i="2" s="1"/>
  <c r="H1035" i="2"/>
  <c r="I1035" i="2" s="1"/>
  <c r="A1040" i="2"/>
  <c r="B1039" i="2"/>
  <c r="C1039" i="2" s="1"/>
  <c r="D1039" i="2" s="1"/>
  <c r="F1039" i="2"/>
  <c r="J1038" i="2"/>
  <c r="K1038" i="2" s="1"/>
  <c r="G1038" i="2"/>
  <c r="E1040" i="2" l="1" a="1"/>
  <c r="E1040" i="2" s="1"/>
  <c r="J1039" i="2"/>
  <c r="K1039" i="2" s="1"/>
  <c r="G1039" i="2"/>
  <c r="A1041" i="2"/>
  <c r="F1040" i="2"/>
  <c r="B1040" i="2"/>
  <c r="C1040" i="2" s="1"/>
  <c r="D1040" i="2" s="1"/>
  <c r="H1036" i="2"/>
  <c r="I1036" i="2" s="1"/>
  <c r="E1041" i="2" l="1" a="1"/>
  <c r="E1041" i="2" s="1"/>
  <c r="H1037" i="2"/>
  <c r="I1037" i="2" s="1"/>
  <c r="J1040" i="2"/>
  <c r="K1040" i="2" s="1"/>
  <c r="G1040" i="2"/>
  <c r="A1042" i="2"/>
  <c r="B1041" i="2"/>
  <c r="C1041" i="2" s="1"/>
  <c r="D1041" i="2" s="1"/>
  <c r="F1041" i="2"/>
  <c r="E1042" i="2" l="1" a="1"/>
  <c r="E1042" i="2" s="1"/>
  <c r="J1041" i="2"/>
  <c r="K1041" i="2" s="1"/>
  <c r="G1041" i="2"/>
  <c r="A1043" i="2"/>
  <c r="B1042" i="2"/>
  <c r="C1042" i="2" s="1"/>
  <c r="D1042" i="2" s="1"/>
  <c r="F1042" i="2"/>
  <c r="H1038" i="2"/>
  <c r="I1038" i="2" s="1"/>
  <c r="E1043" i="2" l="1" a="1"/>
  <c r="E1043" i="2" s="1"/>
  <c r="H1039" i="2"/>
  <c r="I1039" i="2" s="1"/>
  <c r="J1042" i="2"/>
  <c r="K1042" i="2" s="1"/>
  <c r="G1042" i="2"/>
  <c r="A1044" i="2"/>
  <c r="B1043" i="2"/>
  <c r="C1043" i="2" s="1"/>
  <c r="D1043" i="2" s="1"/>
  <c r="F1043" i="2"/>
  <c r="E1044" i="2" l="1" a="1"/>
  <c r="E1044" i="2" s="1"/>
  <c r="J1043" i="2"/>
  <c r="K1043" i="2" s="1"/>
  <c r="G1043" i="2"/>
  <c r="F1044" i="2"/>
  <c r="A1045" i="2"/>
  <c r="B1044" i="2"/>
  <c r="C1044" i="2" s="1"/>
  <c r="D1044" i="2" s="1"/>
  <c r="H1040" i="2"/>
  <c r="I1040" i="2" s="1"/>
  <c r="E1045" i="2" l="1" a="1"/>
  <c r="E1045" i="2" s="1"/>
  <c r="H1041" i="2"/>
  <c r="I1041" i="2" s="1"/>
  <c r="F1045" i="2"/>
  <c r="A1046" i="2"/>
  <c r="B1045" i="2"/>
  <c r="C1045" i="2" s="1"/>
  <c r="D1045" i="2" s="1"/>
  <c r="J1044" i="2"/>
  <c r="K1044" i="2" s="1"/>
  <c r="G1044" i="2"/>
  <c r="E1046" i="2" l="1" a="1"/>
  <c r="E1046" i="2" s="1"/>
  <c r="A1047" i="2"/>
  <c r="F1046" i="2"/>
  <c r="B1046" i="2"/>
  <c r="C1046" i="2" s="1"/>
  <c r="D1046" i="2" s="1"/>
  <c r="J1045" i="2"/>
  <c r="K1045" i="2" s="1"/>
  <c r="G1045" i="2"/>
  <c r="H1042" i="2"/>
  <c r="I1042" i="2" s="1"/>
  <c r="E1047" i="2" l="1" a="1"/>
  <c r="E1047" i="2" s="1"/>
  <c r="H1043" i="2"/>
  <c r="I1043" i="2" s="1"/>
  <c r="J1046" i="2"/>
  <c r="K1046" i="2" s="1"/>
  <c r="G1046" i="2"/>
  <c r="F1047" i="2"/>
  <c r="A1048" i="2"/>
  <c r="B1047" i="2"/>
  <c r="C1047" i="2" s="1"/>
  <c r="D1047" i="2" s="1"/>
  <c r="E1048" i="2" l="1" a="1"/>
  <c r="E1048" i="2" s="1"/>
  <c r="F1048" i="2"/>
  <c r="B1048" i="2"/>
  <c r="C1048" i="2" s="1"/>
  <c r="D1048" i="2" s="1"/>
  <c r="A1049" i="2"/>
  <c r="G1047" i="2"/>
  <c r="J1047" i="2"/>
  <c r="K1047" i="2" s="1"/>
  <c r="H1044" i="2"/>
  <c r="I1044" i="2" s="1"/>
  <c r="E1049" i="2" l="1" a="1"/>
  <c r="E1049" i="2" s="1"/>
  <c r="H1045" i="2"/>
  <c r="I1045" i="2" s="1"/>
  <c r="F1049" i="2"/>
  <c r="A1050" i="2"/>
  <c r="B1049" i="2"/>
  <c r="C1049" i="2" s="1"/>
  <c r="D1049" i="2" s="1"/>
  <c r="J1048" i="2"/>
  <c r="K1048" i="2" s="1"/>
  <c r="G1048" i="2"/>
  <c r="E1050" i="2" l="1" a="1"/>
  <c r="E1050" i="2" s="1"/>
  <c r="F1050" i="2"/>
  <c r="A1051" i="2"/>
  <c r="B1050" i="2"/>
  <c r="C1050" i="2" s="1"/>
  <c r="D1050" i="2" s="1"/>
  <c r="J1049" i="2"/>
  <c r="K1049" i="2" s="1"/>
  <c r="G1049" i="2"/>
  <c r="H1046" i="2"/>
  <c r="I1046" i="2" s="1"/>
  <c r="E1051" i="2" l="1" a="1"/>
  <c r="E1051" i="2" s="1"/>
  <c r="H1047" i="2"/>
  <c r="I1047" i="2" s="1"/>
  <c r="A1052" i="2"/>
  <c r="B1051" i="2"/>
  <c r="C1051" i="2" s="1"/>
  <c r="D1051" i="2" s="1"/>
  <c r="F1051" i="2"/>
  <c r="J1050" i="2"/>
  <c r="K1050" i="2" s="1"/>
  <c r="G1050" i="2"/>
  <c r="E1052" i="2" l="1" a="1"/>
  <c r="E1052" i="2" s="1"/>
  <c r="G1051" i="2"/>
  <c r="J1051" i="2"/>
  <c r="K1051" i="2" s="1"/>
  <c r="F1052" i="2"/>
  <c r="A1053" i="2"/>
  <c r="B1052" i="2"/>
  <c r="C1052" i="2" s="1"/>
  <c r="D1052" i="2" s="1"/>
  <c r="H1048" i="2"/>
  <c r="I1048" i="2" s="1"/>
  <c r="E1053" i="2" l="1" a="1"/>
  <c r="E1053" i="2" s="1"/>
  <c r="H1049" i="2"/>
  <c r="I1049" i="2" s="1"/>
  <c r="F1053" i="2"/>
  <c r="A1054" i="2"/>
  <c r="B1053" i="2"/>
  <c r="C1053" i="2" s="1"/>
  <c r="D1053" i="2" s="1"/>
  <c r="G1052" i="2"/>
  <c r="J1052" i="2"/>
  <c r="K1052" i="2" s="1"/>
  <c r="E1054" i="2" l="1" a="1"/>
  <c r="E1054" i="2" s="1"/>
  <c r="F1054" i="2"/>
  <c r="A1055" i="2"/>
  <c r="B1054" i="2"/>
  <c r="C1054" i="2" s="1"/>
  <c r="D1054" i="2" s="1"/>
  <c r="G1053" i="2"/>
  <c r="J1053" i="2"/>
  <c r="K1053" i="2" s="1"/>
  <c r="H1050" i="2"/>
  <c r="I1050" i="2" s="1"/>
  <c r="E1055" i="2" l="1" a="1"/>
  <c r="E1055" i="2" s="1"/>
  <c r="H1051" i="2"/>
  <c r="I1051" i="2" s="1"/>
  <c r="A1056" i="2"/>
  <c r="B1055" i="2"/>
  <c r="C1055" i="2" s="1"/>
  <c r="D1055" i="2" s="1"/>
  <c r="F1055" i="2"/>
  <c r="J1054" i="2"/>
  <c r="K1054" i="2" s="1"/>
  <c r="G1054" i="2"/>
  <c r="E1056" i="2" l="1" a="1"/>
  <c r="E1056" i="2" s="1"/>
  <c r="G1055" i="2"/>
  <c r="J1055" i="2"/>
  <c r="K1055" i="2" s="1"/>
  <c r="A1057" i="2"/>
  <c r="B1056" i="2"/>
  <c r="C1056" i="2" s="1"/>
  <c r="D1056" i="2" s="1"/>
  <c r="F1056" i="2"/>
  <c r="H1052" i="2"/>
  <c r="I1052" i="2" s="1"/>
  <c r="E1057" i="2" l="1" a="1"/>
  <c r="E1057" i="2" s="1"/>
  <c r="H1053" i="2"/>
  <c r="I1053" i="2" s="1"/>
  <c r="J1056" i="2"/>
  <c r="K1056" i="2" s="1"/>
  <c r="G1056" i="2"/>
  <c r="A1058" i="2"/>
  <c r="B1057" i="2"/>
  <c r="C1057" i="2" s="1"/>
  <c r="D1057" i="2" s="1"/>
  <c r="F1057" i="2"/>
  <c r="E1058" i="2" l="1" a="1"/>
  <c r="E1058" i="2" s="1"/>
  <c r="J1057" i="2"/>
  <c r="K1057" i="2" s="1"/>
  <c r="G1057" i="2"/>
  <c r="A1059" i="2"/>
  <c r="B1058" i="2"/>
  <c r="C1058" i="2" s="1"/>
  <c r="D1058" i="2" s="1"/>
  <c r="F1058" i="2"/>
  <c r="H1054" i="2"/>
  <c r="I1054" i="2" s="1"/>
  <c r="E1059" i="2" l="1" a="1"/>
  <c r="E1059" i="2" s="1"/>
  <c r="H1055" i="2"/>
  <c r="I1055" i="2" s="1"/>
  <c r="J1058" i="2"/>
  <c r="K1058" i="2" s="1"/>
  <c r="G1058" i="2"/>
  <c r="A1060" i="2"/>
  <c r="B1059" i="2"/>
  <c r="C1059" i="2" s="1"/>
  <c r="D1059" i="2" s="1"/>
  <c r="E1060" i="2" s="1" a="1"/>
  <c r="E1060" i="2" s="1"/>
  <c r="F1059" i="2"/>
  <c r="J1059" i="2" l="1"/>
  <c r="K1059" i="2" s="1"/>
  <c r="G1059" i="2"/>
  <c r="F1060" i="2"/>
  <c r="A1061" i="2"/>
  <c r="B1060" i="2"/>
  <c r="C1060" i="2" s="1"/>
  <c r="D1060" i="2" s="1"/>
  <c r="H1056" i="2"/>
  <c r="I1056" i="2" s="1"/>
  <c r="E1061" i="2" l="1" a="1"/>
  <c r="E1061" i="2" s="1"/>
  <c r="H1057" i="2"/>
  <c r="I1057" i="2" s="1"/>
  <c r="F1061" i="2"/>
  <c r="A1062" i="2"/>
  <c r="B1061" i="2"/>
  <c r="C1061" i="2" s="1"/>
  <c r="D1061" i="2" s="1"/>
  <c r="J1060" i="2"/>
  <c r="K1060" i="2" s="1"/>
  <c r="G1060" i="2"/>
  <c r="E1062" i="2" l="1" a="1"/>
  <c r="E1062" i="2" s="1"/>
  <c r="F1062" i="2"/>
  <c r="A1063" i="2"/>
  <c r="B1062" i="2"/>
  <c r="C1062" i="2" s="1"/>
  <c r="D1062" i="2" s="1"/>
  <c r="J1061" i="2"/>
  <c r="K1061" i="2" s="1"/>
  <c r="G1061" i="2"/>
  <c r="H1058" i="2"/>
  <c r="I1058" i="2" s="1"/>
  <c r="E1063" i="2" l="1" a="1"/>
  <c r="E1063" i="2" s="1"/>
  <c r="H1059" i="2"/>
  <c r="I1059" i="2" s="1"/>
  <c r="F1063" i="2"/>
  <c r="A1064" i="2"/>
  <c r="B1063" i="2"/>
  <c r="C1063" i="2" s="1"/>
  <c r="D1063" i="2" s="1"/>
  <c r="J1062" i="2"/>
  <c r="K1062" i="2" s="1"/>
  <c r="G1062" i="2"/>
  <c r="E1064" i="2" l="1" a="1"/>
  <c r="E1064" i="2" s="1"/>
  <c r="F1064" i="2"/>
  <c r="A1065" i="2"/>
  <c r="B1064" i="2"/>
  <c r="C1064" i="2" s="1"/>
  <c r="D1064" i="2" s="1"/>
  <c r="J1063" i="2"/>
  <c r="K1063" i="2" s="1"/>
  <c r="G1063" i="2"/>
  <c r="H1060" i="2"/>
  <c r="I1060" i="2" s="1"/>
  <c r="E1065" i="2" l="1" a="1"/>
  <c r="E1065" i="2" s="1"/>
  <c r="H1061" i="2"/>
  <c r="I1061" i="2" s="1"/>
  <c r="F1065" i="2"/>
  <c r="A1066" i="2"/>
  <c r="B1065" i="2"/>
  <c r="C1065" i="2" s="1"/>
  <c r="D1065" i="2" s="1"/>
  <c r="J1064" i="2"/>
  <c r="K1064" i="2" s="1"/>
  <c r="G1064" i="2"/>
  <c r="E1066" i="2" l="1" a="1"/>
  <c r="E1066" i="2" s="1"/>
  <c r="F1066" i="2"/>
  <c r="A1067" i="2"/>
  <c r="B1066" i="2"/>
  <c r="C1066" i="2" s="1"/>
  <c r="D1066" i="2" s="1"/>
  <c r="J1065" i="2"/>
  <c r="K1065" i="2" s="1"/>
  <c r="G1065" i="2"/>
  <c r="H1062" i="2"/>
  <c r="I1062" i="2" s="1"/>
  <c r="E1067" i="2" l="1" a="1"/>
  <c r="E1067" i="2" s="1"/>
  <c r="E1068" i="2" a="1"/>
  <c r="E1068" i="2" s="1"/>
  <c r="H1063" i="2"/>
  <c r="I1063" i="2" s="1"/>
  <c r="F1067" i="2"/>
  <c r="A1068" i="2"/>
  <c r="B1067" i="2"/>
  <c r="C1067" i="2" s="1"/>
  <c r="D1067" i="2" s="1"/>
  <c r="J1066" i="2"/>
  <c r="K1066" i="2" s="1"/>
  <c r="G1066" i="2"/>
  <c r="F1068" i="2" l="1"/>
  <c r="A1069" i="2"/>
  <c r="B1068" i="2"/>
  <c r="C1068" i="2" s="1"/>
  <c r="D1068" i="2" s="1"/>
  <c r="G1067" i="2"/>
  <c r="J1067" i="2"/>
  <c r="K1067" i="2" s="1"/>
  <c r="H1064" i="2"/>
  <c r="I1064" i="2" s="1"/>
  <c r="E1069" i="2" l="1" a="1"/>
  <c r="E1069" i="2" s="1"/>
  <c r="H1065" i="2"/>
  <c r="I1065" i="2" s="1"/>
  <c r="F1069" i="2"/>
  <c r="A1070" i="2"/>
  <c r="B1069" i="2"/>
  <c r="C1069" i="2" s="1"/>
  <c r="D1069" i="2" s="1"/>
  <c r="G1068" i="2"/>
  <c r="J1068" i="2"/>
  <c r="K1068" i="2" s="1"/>
  <c r="E1070" i="2" l="1" a="1"/>
  <c r="E1070" i="2" s="1"/>
  <c r="E1071" i="2" a="1"/>
  <c r="E1071" i="2" s="1"/>
  <c r="F1070" i="2"/>
  <c r="A1071" i="2"/>
  <c r="B1070" i="2"/>
  <c r="C1070" i="2" s="1"/>
  <c r="D1070" i="2" s="1"/>
  <c r="G1069" i="2"/>
  <c r="J1069" i="2"/>
  <c r="K1069" i="2" s="1"/>
  <c r="H1066" i="2"/>
  <c r="I1066" i="2" s="1"/>
  <c r="H1067" i="2" l="1"/>
  <c r="I1067" i="2" s="1"/>
  <c r="A1072" i="2"/>
  <c r="B1071" i="2"/>
  <c r="C1071" i="2" s="1"/>
  <c r="D1071" i="2" s="1"/>
  <c r="F1071" i="2"/>
  <c r="J1070" i="2"/>
  <c r="K1070" i="2" s="1"/>
  <c r="G1070" i="2"/>
  <c r="E1072" i="2" l="1" a="1"/>
  <c r="E1072" i="2" s="1"/>
  <c r="J1071" i="2"/>
  <c r="K1071" i="2" s="1"/>
  <c r="G1071" i="2"/>
  <c r="A1073" i="2"/>
  <c r="B1072" i="2"/>
  <c r="C1072" i="2" s="1"/>
  <c r="D1072" i="2" s="1"/>
  <c r="F1072" i="2"/>
  <c r="H1068" i="2"/>
  <c r="I1068" i="2" s="1"/>
  <c r="E1073" i="2" l="1" a="1"/>
  <c r="E1073" i="2" s="1"/>
  <c r="H1069" i="2"/>
  <c r="I1069" i="2" s="1"/>
  <c r="J1072" i="2"/>
  <c r="K1072" i="2" s="1"/>
  <c r="G1072" i="2"/>
  <c r="A1074" i="2"/>
  <c r="B1073" i="2"/>
  <c r="C1073" i="2" s="1"/>
  <c r="D1073" i="2" s="1"/>
  <c r="F1073" i="2"/>
  <c r="E1074" i="2" l="1" a="1"/>
  <c r="E1074" i="2" s="1"/>
  <c r="J1073" i="2"/>
  <c r="K1073" i="2" s="1"/>
  <c r="G1073" i="2"/>
  <c r="A1075" i="2"/>
  <c r="B1074" i="2"/>
  <c r="C1074" i="2" s="1"/>
  <c r="D1074" i="2" s="1"/>
  <c r="F1074" i="2"/>
  <c r="H1070" i="2"/>
  <c r="I1070" i="2" s="1"/>
  <c r="E1075" i="2" l="1" a="1"/>
  <c r="E1075" i="2" s="1"/>
  <c r="H1071" i="2"/>
  <c r="I1071" i="2" s="1"/>
  <c r="J1074" i="2"/>
  <c r="K1074" i="2" s="1"/>
  <c r="G1074" i="2"/>
  <c r="A1076" i="2"/>
  <c r="B1075" i="2"/>
  <c r="C1075" i="2" s="1"/>
  <c r="D1075" i="2" s="1"/>
  <c r="F1075" i="2"/>
  <c r="E1076" i="2" l="1" a="1"/>
  <c r="E1076" i="2" s="1"/>
  <c r="J1075" i="2"/>
  <c r="K1075" i="2" s="1"/>
  <c r="G1075" i="2"/>
  <c r="F1076" i="2"/>
  <c r="A1077" i="2"/>
  <c r="B1076" i="2"/>
  <c r="C1076" i="2" s="1"/>
  <c r="D1076" i="2" s="1"/>
  <c r="H1072" i="2"/>
  <c r="I1072" i="2" s="1"/>
  <c r="E1077" i="2" l="1" a="1"/>
  <c r="E1077" i="2" s="1"/>
  <c r="H1073" i="2"/>
  <c r="I1073" i="2" s="1"/>
  <c r="F1077" i="2"/>
  <c r="A1078" i="2"/>
  <c r="B1077" i="2"/>
  <c r="C1077" i="2" s="1"/>
  <c r="D1077" i="2" s="1"/>
  <c r="J1076" i="2"/>
  <c r="K1076" i="2" s="1"/>
  <c r="G1076" i="2"/>
  <c r="E1078" i="2" l="1" a="1"/>
  <c r="E1078" i="2" s="1"/>
  <c r="F1078" i="2"/>
  <c r="B1078" i="2"/>
  <c r="C1078" i="2" s="1"/>
  <c r="D1078" i="2" s="1"/>
  <c r="A1079" i="2"/>
  <c r="J1077" i="2"/>
  <c r="K1077" i="2" s="1"/>
  <c r="G1077" i="2"/>
  <c r="H1074" i="2"/>
  <c r="I1074" i="2" s="1"/>
  <c r="E1079" i="2" l="1" a="1"/>
  <c r="E1079" i="2" s="1"/>
  <c r="H1075" i="2"/>
  <c r="I1075" i="2" s="1"/>
  <c r="F1079" i="2"/>
  <c r="A1080" i="2"/>
  <c r="B1079" i="2"/>
  <c r="C1079" i="2" s="1"/>
  <c r="D1079" i="2" s="1"/>
  <c r="J1078" i="2"/>
  <c r="K1078" i="2" s="1"/>
  <c r="G1078" i="2"/>
  <c r="E1080" i="2" l="1" a="1"/>
  <c r="E1080" i="2" s="1"/>
  <c r="F1080" i="2"/>
  <c r="A1081" i="2"/>
  <c r="B1080" i="2"/>
  <c r="C1080" i="2" s="1"/>
  <c r="D1080" i="2" s="1"/>
  <c r="J1079" i="2"/>
  <c r="K1079" i="2" s="1"/>
  <c r="G1079" i="2"/>
  <c r="H1076" i="2"/>
  <c r="I1076" i="2" s="1"/>
  <c r="E1081" i="2" l="1" a="1"/>
  <c r="E1081" i="2" s="1"/>
  <c r="H1077" i="2"/>
  <c r="I1077" i="2" s="1"/>
  <c r="F1081" i="2"/>
  <c r="A1082" i="2"/>
  <c r="B1081" i="2"/>
  <c r="C1081" i="2" s="1"/>
  <c r="D1081" i="2" s="1"/>
  <c r="J1080" i="2"/>
  <c r="K1080" i="2" s="1"/>
  <c r="G1080" i="2"/>
  <c r="E1082" i="2" l="1" a="1"/>
  <c r="E1082" i="2" s="1"/>
  <c r="F1082" i="2"/>
  <c r="B1082" i="2"/>
  <c r="C1082" i="2" s="1"/>
  <c r="D1082" i="2" s="1"/>
  <c r="A1083" i="2"/>
  <c r="J1081" i="2"/>
  <c r="K1081" i="2" s="1"/>
  <c r="G1081" i="2"/>
  <c r="H1078" i="2"/>
  <c r="I1078" i="2" s="1"/>
  <c r="E1083" i="2" l="1" a="1"/>
  <c r="E1083" i="2" s="1"/>
  <c r="H1079" i="2"/>
  <c r="I1079" i="2" s="1"/>
  <c r="A1084" i="2"/>
  <c r="B1083" i="2"/>
  <c r="C1083" i="2" s="1"/>
  <c r="D1083" i="2" s="1"/>
  <c r="F1083" i="2"/>
  <c r="J1082" i="2"/>
  <c r="K1082" i="2" s="1"/>
  <c r="G1082" i="2"/>
  <c r="E1084" i="2" l="1" a="1"/>
  <c r="E1084" i="2" s="1"/>
  <c r="J1083" i="2"/>
  <c r="K1083" i="2" s="1"/>
  <c r="G1083" i="2"/>
  <c r="A1085" i="2"/>
  <c r="B1084" i="2"/>
  <c r="C1084" i="2" s="1"/>
  <c r="D1084" i="2" s="1"/>
  <c r="F1084" i="2"/>
  <c r="H1080" i="2"/>
  <c r="I1080" i="2" s="1"/>
  <c r="E1085" i="2" l="1" a="1"/>
  <c r="E1085" i="2" s="1"/>
  <c r="H1081" i="2"/>
  <c r="I1081" i="2" s="1"/>
  <c r="J1084" i="2"/>
  <c r="K1084" i="2" s="1"/>
  <c r="G1084" i="2"/>
  <c r="A1086" i="2"/>
  <c r="F1085" i="2"/>
  <c r="B1085" i="2"/>
  <c r="C1085" i="2" s="1"/>
  <c r="D1085" i="2" s="1"/>
  <c r="E1086" i="2" l="1" a="1"/>
  <c r="E1086" i="2" s="1"/>
  <c r="J1085" i="2"/>
  <c r="K1085" i="2" s="1"/>
  <c r="G1085" i="2"/>
  <c r="A1087" i="2"/>
  <c r="F1086" i="2"/>
  <c r="B1086" i="2"/>
  <c r="C1086" i="2" s="1"/>
  <c r="D1086" i="2" s="1"/>
  <c r="H1082" i="2"/>
  <c r="I1082" i="2" s="1"/>
  <c r="E1087" i="2" l="1" a="1"/>
  <c r="E1087" i="2" s="1"/>
  <c r="H1083" i="2"/>
  <c r="I1083" i="2" s="1"/>
  <c r="J1086" i="2"/>
  <c r="K1086" i="2" s="1"/>
  <c r="G1086" i="2"/>
  <c r="B1087" i="2"/>
  <c r="C1087" i="2" s="1"/>
  <c r="D1087" i="2" s="1"/>
  <c r="A1088" i="2"/>
  <c r="F1087" i="2"/>
  <c r="E1088" i="2" l="1" a="1"/>
  <c r="E1088" i="2" s="1"/>
  <c r="J1087" i="2"/>
  <c r="K1087" i="2" s="1"/>
  <c r="G1087" i="2"/>
  <c r="B1088" i="2"/>
  <c r="C1088" i="2" s="1"/>
  <c r="D1088" i="2" s="1"/>
  <c r="A1089" i="2"/>
  <c r="F1088" i="2"/>
  <c r="H1084" i="2"/>
  <c r="I1084" i="2" s="1"/>
  <c r="E1089" i="2" l="1" a="1"/>
  <c r="E1089" i="2" s="1"/>
  <c r="H1085" i="2"/>
  <c r="I1085" i="2" s="1"/>
  <c r="J1088" i="2"/>
  <c r="K1088" i="2" s="1"/>
  <c r="G1088" i="2"/>
  <c r="B1089" i="2"/>
  <c r="C1089" i="2" s="1"/>
  <c r="D1089" i="2" s="1"/>
  <c r="A1090" i="2"/>
  <c r="F1089" i="2"/>
  <c r="E1090" i="2" l="1" a="1"/>
  <c r="E1090" i="2" s="1"/>
  <c r="J1089" i="2"/>
  <c r="K1089" i="2" s="1"/>
  <c r="G1089" i="2"/>
  <c r="B1090" i="2"/>
  <c r="C1090" i="2" s="1"/>
  <c r="D1090" i="2" s="1"/>
  <c r="A1091" i="2"/>
  <c r="F1090" i="2"/>
  <c r="H1086" i="2"/>
  <c r="I1086" i="2" s="1"/>
  <c r="E1091" i="2" l="1" a="1"/>
  <c r="E1091" i="2" s="1"/>
  <c r="H1087" i="2"/>
  <c r="I1087" i="2" s="1"/>
  <c r="J1090" i="2"/>
  <c r="K1090" i="2" s="1"/>
  <c r="G1090" i="2"/>
  <c r="B1091" i="2"/>
  <c r="C1091" i="2" s="1"/>
  <c r="D1091" i="2" s="1"/>
  <c r="A1092" i="2"/>
  <c r="F1091" i="2"/>
  <c r="E1092" i="2" l="1" a="1"/>
  <c r="E1092" i="2" s="1"/>
  <c r="J1091" i="2"/>
  <c r="K1091" i="2" s="1"/>
  <c r="G1091" i="2"/>
  <c r="F1092" i="2"/>
  <c r="B1092" i="2"/>
  <c r="C1092" i="2" s="1"/>
  <c r="D1092" i="2" s="1"/>
  <c r="A1093" i="2"/>
  <c r="H1088" i="2"/>
  <c r="I1088" i="2" s="1"/>
  <c r="E1093" i="2" l="1" a="1"/>
  <c r="E1093" i="2" s="1"/>
  <c r="H1089" i="2"/>
  <c r="I1089" i="2" s="1"/>
  <c r="F1093" i="2"/>
  <c r="B1093" i="2"/>
  <c r="C1093" i="2" s="1"/>
  <c r="D1093" i="2" s="1"/>
  <c r="A1094" i="2"/>
  <c r="G1092" i="2"/>
  <c r="J1092" i="2"/>
  <c r="K1092" i="2" s="1"/>
  <c r="E1094" i="2" l="1" a="1"/>
  <c r="E1094" i="2" s="1"/>
  <c r="F1094" i="2"/>
  <c r="B1094" i="2"/>
  <c r="C1094" i="2" s="1"/>
  <c r="D1094" i="2" s="1"/>
  <c r="A1095" i="2"/>
  <c r="G1093" i="2"/>
  <c r="J1093" i="2"/>
  <c r="K1093" i="2" s="1"/>
  <c r="H1090" i="2"/>
  <c r="I1090" i="2" s="1"/>
  <c r="E1095" i="2" l="1" a="1"/>
  <c r="E1095" i="2" s="1"/>
  <c r="H1091" i="2"/>
  <c r="I1091" i="2" s="1"/>
  <c r="F1095" i="2"/>
  <c r="B1095" i="2"/>
  <c r="C1095" i="2" s="1"/>
  <c r="D1095" i="2" s="1"/>
  <c r="A1096" i="2"/>
  <c r="G1094" i="2"/>
  <c r="J1094" i="2"/>
  <c r="K1094" i="2" s="1"/>
  <c r="E1096" i="2" l="1" a="1"/>
  <c r="E1096" i="2" s="1"/>
  <c r="F1096" i="2"/>
  <c r="B1096" i="2"/>
  <c r="C1096" i="2" s="1"/>
  <c r="D1096" i="2" s="1"/>
  <c r="A1097" i="2"/>
  <c r="J1095" i="2"/>
  <c r="K1095" i="2" s="1"/>
  <c r="G1095" i="2"/>
  <c r="H1092" i="2"/>
  <c r="I1092" i="2" s="1"/>
  <c r="E1097" i="2" l="1" a="1"/>
  <c r="E1097" i="2" s="1"/>
  <c r="H1093" i="2"/>
  <c r="I1093" i="2" s="1"/>
  <c r="F1097" i="2"/>
  <c r="B1097" i="2"/>
  <c r="C1097" i="2" s="1"/>
  <c r="D1097" i="2" s="1"/>
  <c r="A1098" i="2"/>
  <c r="J1096" i="2"/>
  <c r="K1096" i="2" s="1"/>
  <c r="G1096" i="2"/>
  <c r="E1098" i="2" l="1" a="1"/>
  <c r="E1098" i="2" s="1"/>
  <c r="F1098" i="2"/>
  <c r="B1098" i="2"/>
  <c r="C1098" i="2" s="1"/>
  <c r="D1098" i="2" s="1"/>
  <c r="A1099" i="2"/>
  <c r="J1097" i="2"/>
  <c r="K1097" i="2" s="1"/>
  <c r="G1097" i="2"/>
  <c r="H1094" i="2"/>
  <c r="I1094" i="2" s="1"/>
  <c r="E1099" i="2" l="1" a="1"/>
  <c r="E1099" i="2" s="1"/>
  <c r="H1095" i="2"/>
  <c r="I1095" i="2" s="1"/>
  <c r="A1100" i="2"/>
  <c r="B1099" i="2"/>
  <c r="C1099" i="2" s="1"/>
  <c r="D1099" i="2" s="1"/>
  <c r="F1099" i="2"/>
  <c r="J1098" i="2"/>
  <c r="K1098" i="2" s="1"/>
  <c r="G1098" i="2"/>
  <c r="E1100" i="2" l="1" a="1"/>
  <c r="E1100" i="2" s="1"/>
  <c r="J1099" i="2"/>
  <c r="K1099" i="2" s="1"/>
  <c r="G1099" i="2"/>
  <c r="A1101" i="2"/>
  <c r="B1100" i="2"/>
  <c r="C1100" i="2" s="1"/>
  <c r="D1100" i="2" s="1"/>
  <c r="F1100" i="2"/>
  <c r="H1096" i="2"/>
  <c r="I1096" i="2" s="1"/>
  <c r="E1101" i="2" l="1" a="1"/>
  <c r="E1101" i="2" s="1"/>
  <c r="H1097" i="2"/>
  <c r="I1097" i="2" s="1"/>
  <c r="J1100" i="2"/>
  <c r="K1100" i="2" s="1"/>
  <c r="G1100" i="2"/>
  <c r="B1101" i="2"/>
  <c r="C1101" i="2" s="1"/>
  <c r="D1101" i="2" s="1"/>
  <c r="A1102" i="2"/>
  <c r="F1101" i="2"/>
  <c r="E1102" i="2" l="1" a="1"/>
  <c r="E1102" i="2" s="1"/>
  <c r="J1101" i="2"/>
  <c r="K1101" i="2" s="1"/>
  <c r="G1101" i="2"/>
  <c r="B1102" i="2"/>
  <c r="C1102" i="2" s="1"/>
  <c r="D1102" i="2" s="1"/>
  <c r="A1103" i="2"/>
  <c r="F1102" i="2"/>
  <c r="H1098" i="2"/>
  <c r="I1098" i="2" s="1"/>
  <c r="E1104" i="2" l="1" a="1"/>
  <c r="E1104" i="2" s="1"/>
  <c r="E1103" i="2" a="1"/>
  <c r="E1103" i="2" s="1"/>
  <c r="H1099" i="2"/>
  <c r="I1099" i="2" s="1"/>
  <c r="J1102" i="2"/>
  <c r="K1102" i="2" s="1"/>
  <c r="G1102" i="2"/>
  <c r="B1103" i="2"/>
  <c r="C1103" i="2" s="1"/>
  <c r="D1103" i="2" s="1"/>
  <c r="A1104" i="2"/>
  <c r="F1103" i="2"/>
  <c r="J1103" i="2" l="1"/>
  <c r="K1103" i="2" s="1"/>
  <c r="G1103" i="2"/>
  <c r="B1104" i="2"/>
  <c r="C1104" i="2" s="1"/>
  <c r="D1104" i="2" s="1"/>
  <c r="A1105" i="2"/>
  <c r="F1104" i="2"/>
  <c r="H1100" i="2"/>
  <c r="I1100" i="2" s="1"/>
  <c r="E1105" i="2" l="1" a="1"/>
  <c r="E1105" i="2" s="1"/>
  <c r="H1101" i="2"/>
  <c r="I1101" i="2" s="1"/>
  <c r="J1104" i="2"/>
  <c r="K1104" i="2" s="1"/>
  <c r="G1104" i="2"/>
  <c r="B1105" i="2"/>
  <c r="C1105" i="2" s="1"/>
  <c r="D1105" i="2" s="1"/>
  <c r="A1106" i="2"/>
  <c r="F1105" i="2"/>
  <c r="E1106" i="2" l="1" a="1"/>
  <c r="E1106" i="2" s="1"/>
  <c r="J1105" i="2"/>
  <c r="K1105" i="2" s="1"/>
  <c r="G1105" i="2"/>
  <c r="F1106" i="2"/>
  <c r="B1106" i="2"/>
  <c r="C1106" i="2" s="1"/>
  <c r="D1106" i="2" s="1"/>
  <c r="A1107" i="2"/>
  <c r="H1102" i="2"/>
  <c r="I1102" i="2" s="1"/>
  <c r="E1107" i="2" l="1" a="1"/>
  <c r="E1107" i="2" s="1"/>
  <c r="E1108" i="2" a="1"/>
  <c r="E1108" i="2" s="1"/>
  <c r="H1103" i="2"/>
  <c r="I1103" i="2" s="1"/>
  <c r="F1107" i="2"/>
  <c r="B1107" i="2"/>
  <c r="C1107" i="2" s="1"/>
  <c r="D1107" i="2" s="1"/>
  <c r="A1108" i="2"/>
  <c r="J1106" i="2"/>
  <c r="K1106" i="2" s="1"/>
  <c r="G1106" i="2"/>
  <c r="E1109" i="2" l="1" a="1"/>
  <c r="E1109" i="2" s="1"/>
  <c r="F1108" i="2"/>
  <c r="B1108" i="2"/>
  <c r="C1108" i="2" s="1"/>
  <c r="D1108" i="2" s="1"/>
  <c r="A1109" i="2"/>
  <c r="J1107" i="2"/>
  <c r="K1107" i="2" s="1"/>
  <c r="G1107" i="2"/>
  <c r="H1104" i="2"/>
  <c r="I1104" i="2" s="1"/>
  <c r="H1105" i="2" l="1"/>
  <c r="I1105" i="2" s="1"/>
  <c r="F1109" i="2"/>
  <c r="B1109" i="2"/>
  <c r="C1109" i="2" s="1"/>
  <c r="D1109" i="2" s="1"/>
  <c r="A1110" i="2"/>
  <c r="J1108" i="2"/>
  <c r="K1108" i="2" s="1"/>
  <c r="G1108" i="2"/>
  <c r="E1110" i="2" l="1" a="1"/>
  <c r="E1110" i="2" s="1"/>
  <c r="F1110" i="2"/>
  <c r="B1110" i="2"/>
  <c r="C1110" i="2" s="1"/>
  <c r="D1110" i="2" s="1"/>
  <c r="A1111" i="2"/>
  <c r="G1109" i="2"/>
  <c r="J1109" i="2"/>
  <c r="K1109" i="2" s="1"/>
  <c r="H1106" i="2"/>
  <c r="I1106" i="2" s="1"/>
  <c r="E1111" i="2" l="1" a="1"/>
  <c r="E1111" i="2" s="1"/>
  <c r="H1107" i="2"/>
  <c r="I1107" i="2" s="1"/>
  <c r="F1111" i="2"/>
  <c r="B1111" i="2"/>
  <c r="C1111" i="2" s="1"/>
  <c r="D1111" i="2" s="1"/>
  <c r="A1112" i="2"/>
  <c r="G1110" i="2"/>
  <c r="J1110" i="2"/>
  <c r="K1110" i="2" s="1"/>
  <c r="E1112" i="2" l="1" a="1"/>
  <c r="E1112" i="2" s="1"/>
  <c r="F1112" i="2"/>
  <c r="B1112" i="2"/>
  <c r="C1112" i="2" s="1"/>
  <c r="D1112" i="2" s="1"/>
  <c r="A1113" i="2"/>
  <c r="J1111" i="2"/>
  <c r="K1111" i="2" s="1"/>
  <c r="G1111" i="2"/>
  <c r="H1108" i="2"/>
  <c r="I1108" i="2" s="1"/>
  <c r="E1113" i="2" l="1" a="1"/>
  <c r="E1113" i="2" s="1"/>
  <c r="H1109" i="2"/>
  <c r="I1109" i="2" s="1"/>
  <c r="F1113" i="2"/>
  <c r="B1113" i="2"/>
  <c r="C1113" i="2" s="1"/>
  <c r="D1113" i="2" s="1"/>
  <c r="A1114" i="2"/>
  <c r="J1112" i="2"/>
  <c r="K1112" i="2" s="1"/>
  <c r="G1112" i="2"/>
  <c r="E1114" i="2" l="1" a="1"/>
  <c r="E1114" i="2" s="1"/>
  <c r="F1114" i="2"/>
  <c r="A1115" i="2"/>
  <c r="B1114" i="2"/>
  <c r="C1114" i="2" s="1"/>
  <c r="D1114" i="2" s="1"/>
  <c r="J1113" i="2"/>
  <c r="K1113" i="2" s="1"/>
  <c r="G1113" i="2"/>
  <c r="H1110" i="2"/>
  <c r="I1110" i="2" s="1"/>
  <c r="E1115" i="2" l="1" a="1"/>
  <c r="E1115" i="2" s="1"/>
  <c r="H1111" i="2"/>
  <c r="I1111" i="2" s="1"/>
  <c r="A1116" i="2"/>
  <c r="B1115" i="2"/>
  <c r="C1115" i="2" s="1"/>
  <c r="D1115" i="2" s="1"/>
  <c r="F1115" i="2"/>
  <c r="J1114" i="2"/>
  <c r="K1114" i="2" s="1"/>
  <c r="G1114" i="2"/>
  <c r="E1116" i="2" l="1" a="1"/>
  <c r="E1116" i="2" s="1"/>
  <c r="J1115" i="2"/>
  <c r="K1115" i="2" s="1"/>
  <c r="G1115" i="2"/>
  <c r="A1117" i="2"/>
  <c r="B1116" i="2"/>
  <c r="C1116" i="2" s="1"/>
  <c r="D1116" i="2" s="1"/>
  <c r="F1116" i="2"/>
  <c r="H1112" i="2"/>
  <c r="I1112" i="2" s="1"/>
  <c r="E1117" i="2" l="1" a="1"/>
  <c r="E1117" i="2" s="1"/>
  <c r="H1113" i="2"/>
  <c r="I1113" i="2" s="1"/>
  <c r="J1116" i="2"/>
  <c r="K1116" i="2" s="1"/>
  <c r="G1116" i="2"/>
  <c r="B1117" i="2"/>
  <c r="C1117" i="2" s="1"/>
  <c r="D1117" i="2" s="1"/>
  <c r="A1118" i="2"/>
  <c r="F1117" i="2"/>
  <c r="E1118" i="2" l="1" a="1"/>
  <c r="E1118" i="2" s="1"/>
  <c r="J1117" i="2"/>
  <c r="K1117" i="2" s="1"/>
  <c r="G1117" i="2"/>
  <c r="F1118" i="2"/>
  <c r="B1118" i="2"/>
  <c r="C1118" i="2" s="1"/>
  <c r="D1118" i="2" s="1"/>
  <c r="A1119" i="2"/>
  <c r="H1114" i="2"/>
  <c r="I1114" i="2" s="1"/>
  <c r="E1119" i="2" l="1" a="1"/>
  <c r="E1119" i="2" s="1"/>
  <c r="H1115" i="2"/>
  <c r="I1115" i="2" s="1"/>
  <c r="F1119" i="2"/>
  <c r="B1119" i="2"/>
  <c r="C1119" i="2" s="1"/>
  <c r="D1119" i="2" s="1"/>
  <c r="E1120" i="2" s="1" a="1"/>
  <c r="E1120" i="2" s="1"/>
  <c r="A1120" i="2"/>
  <c r="G1118" i="2"/>
  <c r="J1118" i="2"/>
  <c r="K1118" i="2" s="1"/>
  <c r="E1121" i="2" l="1" a="1"/>
  <c r="E1121" i="2" s="1"/>
  <c r="F1120" i="2"/>
  <c r="B1120" i="2"/>
  <c r="C1120" i="2" s="1"/>
  <c r="D1120" i="2" s="1"/>
  <c r="A1121" i="2"/>
  <c r="J1119" i="2"/>
  <c r="K1119" i="2" s="1"/>
  <c r="G1119" i="2"/>
  <c r="H1116" i="2"/>
  <c r="I1116" i="2" s="1"/>
  <c r="H1117" i="2" l="1"/>
  <c r="I1117" i="2" s="1"/>
  <c r="A1122" i="2"/>
  <c r="B1121" i="2"/>
  <c r="C1121" i="2" s="1"/>
  <c r="D1121" i="2" s="1"/>
  <c r="F1121" i="2"/>
  <c r="J1120" i="2"/>
  <c r="K1120" i="2" s="1"/>
  <c r="G1120" i="2"/>
  <c r="E1122" i="2" l="1" a="1"/>
  <c r="E1122" i="2" s="1"/>
  <c r="J1121" i="2"/>
  <c r="K1121" i="2" s="1"/>
  <c r="G1121" i="2"/>
  <c r="A1123" i="2"/>
  <c r="B1122" i="2"/>
  <c r="C1122" i="2" s="1"/>
  <c r="D1122" i="2" s="1"/>
  <c r="E1123" i="2" s="1" a="1"/>
  <c r="E1123" i="2" s="1"/>
  <c r="F1122" i="2"/>
  <c r="H1118" i="2"/>
  <c r="I1118" i="2" s="1"/>
  <c r="H1119" i="2" l="1"/>
  <c r="I1119" i="2" s="1"/>
  <c r="J1122" i="2"/>
  <c r="K1122" i="2" s="1"/>
  <c r="G1122" i="2"/>
  <c r="F1123" i="2"/>
  <c r="B1123" i="2"/>
  <c r="C1123" i="2" s="1"/>
  <c r="D1123" i="2" s="1"/>
  <c r="A1124" i="2"/>
  <c r="E1124" i="2" l="1" a="1"/>
  <c r="E1124" i="2" s="1"/>
  <c r="F1124" i="2"/>
  <c r="B1124" i="2"/>
  <c r="C1124" i="2" s="1"/>
  <c r="D1124" i="2" s="1"/>
  <c r="A1125" i="2"/>
  <c r="J1123" i="2"/>
  <c r="K1123" i="2" s="1"/>
  <c r="G1123" i="2"/>
  <c r="H1120" i="2"/>
  <c r="I1120" i="2" s="1"/>
  <c r="E1125" i="2" l="1" a="1"/>
  <c r="E1125" i="2" s="1"/>
  <c r="H1121" i="2"/>
  <c r="I1121" i="2" s="1"/>
  <c r="A1126" i="2"/>
  <c r="F1125" i="2"/>
  <c r="B1125" i="2"/>
  <c r="C1125" i="2" s="1"/>
  <c r="D1125" i="2" s="1"/>
  <c r="J1124" i="2"/>
  <c r="K1124" i="2" s="1"/>
  <c r="G1124" i="2"/>
  <c r="E1126" i="2" l="1" a="1"/>
  <c r="E1126" i="2" s="1"/>
  <c r="G1125" i="2"/>
  <c r="J1125" i="2"/>
  <c r="K1125" i="2" s="1"/>
  <c r="A1127" i="2"/>
  <c r="B1126" i="2"/>
  <c r="C1126" i="2" s="1"/>
  <c r="D1126" i="2" s="1"/>
  <c r="F1126" i="2"/>
  <c r="H1122" i="2"/>
  <c r="I1122" i="2" s="1"/>
  <c r="E1127" i="2" l="1" a="1"/>
  <c r="E1127" i="2" s="1"/>
  <c r="H1123" i="2"/>
  <c r="I1123" i="2" s="1"/>
  <c r="G1126" i="2"/>
  <c r="J1126" i="2"/>
  <c r="K1126" i="2" s="1"/>
  <c r="F1127" i="2"/>
  <c r="B1127" i="2"/>
  <c r="C1127" i="2" s="1"/>
  <c r="D1127" i="2" s="1"/>
  <c r="A1128" i="2"/>
  <c r="E1128" i="2" l="1" a="1"/>
  <c r="E1128" i="2" s="1"/>
  <c r="A1129" i="2"/>
  <c r="F1128" i="2"/>
  <c r="B1128" i="2"/>
  <c r="C1128" i="2" s="1"/>
  <c r="D1128" i="2" s="1"/>
  <c r="J1127" i="2"/>
  <c r="K1127" i="2" s="1"/>
  <c r="G1127" i="2"/>
  <c r="H1124" i="2"/>
  <c r="I1124" i="2" s="1"/>
  <c r="E1129" i="2" l="1" a="1"/>
  <c r="E1129" i="2" s="1"/>
  <c r="H1125" i="2"/>
  <c r="I1125" i="2" s="1"/>
  <c r="J1128" i="2"/>
  <c r="K1128" i="2" s="1"/>
  <c r="G1128" i="2"/>
  <c r="A1130" i="2"/>
  <c r="B1129" i="2"/>
  <c r="C1129" i="2" s="1"/>
  <c r="D1129" i="2" s="1"/>
  <c r="F1129" i="2"/>
  <c r="E1130" i="2" l="1" a="1"/>
  <c r="E1130" i="2" s="1"/>
  <c r="E1131" i="2" a="1"/>
  <c r="E1131" i="2" s="1"/>
  <c r="J1129" i="2"/>
  <c r="K1129" i="2" s="1"/>
  <c r="G1129" i="2"/>
  <c r="F1130" i="2"/>
  <c r="B1130" i="2"/>
  <c r="C1130" i="2" s="1"/>
  <c r="D1130" i="2" s="1"/>
  <c r="A1131" i="2"/>
  <c r="H1126" i="2"/>
  <c r="I1126" i="2" s="1"/>
  <c r="H1127" i="2" l="1"/>
  <c r="I1127" i="2" s="1"/>
  <c r="A1132" i="2"/>
  <c r="B1131" i="2"/>
  <c r="C1131" i="2" s="1"/>
  <c r="D1131" i="2" s="1"/>
  <c r="F1131" i="2"/>
  <c r="J1130" i="2"/>
  <c r="K1130" i="2" s="1"/>
  <c r="G1130" i="2"/>
  <c r="E1132" i="2" l="1" a="1"/>
  <c r="E1132" i="2" s="1"/>
  <c r="G1131" i="2"/>
  <c r="J1131" i="2"/>
  <c r="K1131" i="2" s="1"/>
  <c r="F1132" i="2"/>
  <c r="A1133" i="2"/>
  <c r="B1132" i="2"/>
  <c r="C1132" i="2" s="1"/>
  <c r="D1132" i="2" s="1"/>
  <c r="H1128" i="2"/>
  <c r="I1128" i="2" s="1"/>
  <c r="E1133" i="2" l="1" a="1"/>
  <c r="E1133" i="2" s="1"/>
  <c r="H1129" i="2"/>
  <c r="I1129" i="2" s="1"/>
  <c r="F1133" i="2"/>
  <c r="A1134" i="2"/>
  <c r="B1133" i="2"/>
  <c r="C1133" i="2" s="1"/>
  <c r="D1133" i="2" s="1"/>
  <c r="G1132" i="2"/>
  <c r="J1132" i="2"/>
  <c r="K1132" i="2" s="1"/>
  <c r="E1134" i="2" l="1" a="1"/>
  <c r="E1134" i="2" s="1"/>
  <c r="A1135" i="2"/>
  <c r="F1134" i="2"/>
  <c r="B1134" i="2"/>
  <c r="C1134" i="2" s="1"/>
  <c r="D1134" i="2" s="1"/>
  <c r="J1133" i="2"/>
  <c r="K1133" i="2" s="1"/>
  <c r="G1133" i="2"/>
  <c r="H1130" i="2"/>
  <c r="I1130" i="2" s="1"/>
  <c r="E1135" i="2" l="1" a="1"/>
  <c r="E1135" i="2" s="1"/>
  <c r="H1131" i="2"/>
  <c r="I1131" i="2" s="1"/>
  <c r="J1134" i="2"/>
  <c r="K1134" i="2" s="1"/>
  <c r="G1134" i="2"/>
  <c r="B1135" i="2"/>
  <c r="C1135" i="2" s="1"/>
  <c r="D1135" i="2" s="1"/>
  <c r="A1136" i="2"/>
  <c r="F1135" i="2"/>
  <c r="E1136" i="2" l="1" a="1"/>
  <c r="E1136" i="2" s="1"/>
  <c r="J1135" i="2"/>
  <c r="K1135" i="2" s="1"/>
  <c r="G1135" i="2"/>
  <c r="F1136" i="2"/>
  <c r="B1136" i="2"/>
  <c r="C1136" i="2" s="1"/>
  <c r="D1136" i="2" s="1"/>
  <c r="A1137" i="2"/>
  <c r="H1132" i="2"/>
  <c r="I1132" i="2" s="1"/>
  <c r="E1137" i="2" l="1" a="1"/>
  <c r="E1137" i="2" s="1"/>
  <c r="H1133" i="2"/>
  <c r="I1133" i="2" s="1"/>
  <c r="F1137" i="2"/>
  <c r="A1138" i="2"/>
  <c r="B1137" i="2"/>
  <c r="C1137" i="2" s="1"/>
  <c r="D1137" i="2" s="1"/>
  <c r="G1136" i="2"/>
  <c r="J1136" i="2"/>
  <c r="K1136" i="2" s="1"/>
  <c r="E1138" i="2" l="1" a="1"/>
  <c r="E1138" i="2" s="1"/>
  <c r="A1139" i="2"/>
  <c r="B1138" i="2"/>
  <c r="C1138" i="2" s="1"/>
  <c r="D1138" i="2" s="1"/>
  <c r="E1139" i="2" s="1" a="1"/>
  <c r="E1139" i="2" s="1"/>
  <c r="F1138" i="2"/>
  <c r="J1137" i="2"/>
  <c r="K1137" i="2" s="1"/>
  <c r="G1137" i="2"/>
  <c r="H1134" i="2"/>
  <c r="I1134" i="2" s="1"/>
  <c r="H1135" i="2" l="1"/>
  <c r="I1135" i="2" s="1"/>
  <c r="J1138" i="2"/>
  <c r="K1138" i="2" s="1"/>
  <c r="G1138" i="2"/>
  <c r="F1139" i="2"/>
  <c r="B1139" i="2"/>
  <c r="C1139" i="2" s="1"/>
  <c r="D1139" i="2" s="1"/>
  <c r="A1140" i="2"/>
  <c r="E1140" i="2" l="1" a="1"/>
  <c r="E1140" i="2" s="1"/>
  <c r="A1141" i="2"/>
  <c r="F1140" i="2"/>
  <c r="B1140" i="2"/>
  <c r="C1140" i="2" s="1"/>
  <c r="D1140" i="2" s="1"/>
  <c r="J1139" i="2"/>
  <c r="K1139" i="2" s="1"/>
  <c r="G1139" i="2"/>
  <c r="H1136" i="2"/>
  <c r="I1136" i="2" s="1"/>
  <c r="E1141" i="2" l="1" a="1"/>
  <c r="E1141" i="2" s="1"/>
  <c r="H1137" i="2"/>
  <c r="I1137" i="2" s="1"/>
  <c r="J1140" i="2"/>
  <c r="K1140" i="2" s="1"/>
  <c r="G1140" i="2"/>
  <c r="A1142" i="2"/>
  <c r="B1141" i="2"/>
  <c r="C1141" i="2" s="1"/>
  <c r="D1141" i="2" s="1"/>
  <c r="F1141" i="2"/>
  <c r="E1142" i="2" l="1" a="1"/>
  <c r="E1142" i="2" s="1"/>
  <c r="G1141" i="2"/>
  <c r="J1141" i="2"/>
  <c r="K1141" i="2" s="1"/>
  <c r="A1143" i="2"/>
  <c r="B1142" i="2"/>
  <c r="C1142" i="2" s="1"/>
  <c r="D1142" i="2" s="1"/>
  <c r="F1142" i="2"/>
  <c r="H1138" i="2"/>
  <c r="I1138" i="2" s="1"/>
  <c r="E1143" i="2" l="1" a="1"/>
  <c r="E1143" i="2" s="1"/>
  <c r="H1139" i="2"/>
  <c r="I1139" i="2" s="1"/>
  <c r="G1142" i="2"/>
  <c r="J1142" i="2"/>
  <c r="K1142" i="2" s="1"/>
  <c r="F1143" i="2"/>
  <c r="B1143" i="2"/>
  <c r="C1143" i="2" s="1"/>
  <c r="D1143" i="2" s="1"/>
  <c r="A1144" i="2"/>
  <c r="E1144" i="2" l="1" a="1"/>
  <c r="E1144" i="2" s="1"/>
  <c r="F1144" i="2"/>
  <c r="B1144" i="2"/>
  <c r="C1144" i="2" s="1"/>
  <c r="D1144" i="2" s="1"/>
  <c r="A1145" i="2"/>
  <c r="G1143" i="2"/>
  <c r="J1143" i="2"/>
  <c r="K1143" i="2" s="1"/>
  <c r="H1140" i="2"/>
  <c r="I1140" i="2" s="1"/>
  <c r="E1145" i="2" l="1" a="1"/>
  <c r="E1145" i="2" s="1"/>
  <c r="H1141" i="2"/>
  <c r="I1141" i="2" s="1"/>
  <c r="A1146" i="2"/>
  <c r="F1145" i="2"/>
  <c r="B1145" i="2"/>
  <c r="C1145" i="2" s="1"/>
  <c r="D1145" i="2" s="1"/>
  <c r="J1144" i="2"/>
  <c r="K1144" i="2" s="1"/>
  <c r="G1144" i="2"/>
  <c r="E1146" i="2" l="1" a="1"/>
  <c r="E1146" i="2" s="1"/>
  <c r="J1145" i="2"/>
  <c r="K1145" i="2" s="1"/>
  <c r="G1145" i="2"/>
  <c r="F1146" i="2"/>
  <c r="B1146" i="2"/>
  <c r="C1146" i="2" s="1"/>
  <c r="D1146" i="2" s="1"/>
  <c r="A1147" i="2"/>
  <c r="H1142" i="2"/>
  <c r="I1142" i="2" s="1"/>
  <c r="E1147" i="2" l="1" a="1"/>
  <c r="E1147" i="2" s="1"/>
  <c r="H1143" i="2"/>
  <c r="I1143" i="2" s="1"/>
  <c r="A1148" i="2"/>
  <c r="B1147" i="2"/>
  <c r="C1147" i="2" s="1"/>
  <c r="D1147" i="2" s="1"/>
  <c r="F1147" i="2"/>
  <c r="J1146" i="2"/>
  <c r="K1146" i="2" s="1"/>
  <c r="G1146" i="2"/>
  <c r="E1148" i="2" l="1" a="1"/>
  <c r="E1148" i="2" s="1"/>
  <c r="G1147" i="2"/>
  <c r="J1147" i="2"/>
  <c r="K1147" i="2" s="1"/>
  <c r="F1148" i="2"/>
  <c r="A1149" i="2"/>
  <c r="B1148" i="2"/>
  <c r="C1148" i="2" s="1"/>
  <c r="D1148" i="2" s="1"/>
  <c r="H1144" i="2"/>
  <c r="I1144" i="2" s="1"/>
  <c r="E1149" i="2" l="1" a="1"/>
  <c r="E1149" i="2" s="1"/>
  <c r="H1145" i="2"/>
  <c r="I1145" i="2" s="1"/>
  <c r="F1149" i="2"/>
  <c r="A1150" i="2"/>
  <c r="B1149" i="2"/>
  <c r="C1149" i="2" s="1"/>
  <c r="D1149" i="2" s="1"/>
  <c r="J1148" i="2"/>
  <c r="K1148" i="2" s="1"/>
  <c r="G1148" i="2"/>
  <c r="E1150" i="2" l="1" a="1"/>
  <c r="E1150" i="2" s="1"/>
  <c r="A1151" i="2"/>
  <c r="B1150" i="2"/>
  <c r="C1150" i="2" s="1"/>
  <c r="D1150" i="2" s="1"/>
  <c r="F1150" i="2"/>
  <c r="J1149" i="2"/>
  <c r="K1149" i="2" s="1"/>
  <c r="G1149" i="2"/>
  <c r="H1146" i="2"/>
  <c r="I1146" i="2" s="1"/>
  <c r="E1151" i="2" l="1" a="1"/>
  <c r="E1151" i="2" s="1"/>
  <c r="H1147" i="2"/>
  <c r="I1147" i="2" s="1"/>
  <c r="J1150" i="2"/>
  <c r="K1150" i="2" s="1"/>
  <c r="G1150" i="2"/>
  <c r="A1152" i="2"/>
  <c r="B1151" i="2"/>
  <c r="C1151" i="2" s="1"/>
  <c r="D1151" i="2" s="1"/>
  <c r="F1151" i="2"/>
  <c r="E1152" i="2" l="1" a="1"/>
  <c r="E1152" i="2" s="1"/>
  <c r="E1153" i="2" a="1"/>
  <c r="E1153" i="2" s="1"/>
  <c r="G1151" i="2"/>
  <c r="J1151" i="2"/>
  <c r="K1151" i="2" s="1"/>
  <c r="F1152" i="2"/>
  <c r="A1153" i="2"/>
  <c r="B1152" i="2"/>
  <c r="C1152" i="2" s="1"/>
  <c r="D1152" i="2" s="1"/>
  <c r="H1148" i="2"/>
  <c r="I1148" i="2" s="1"/>
  <c r="H1149" i="2" l="1"/>
  <c r="I1149" i="2" s="1"/>
  <c r="F1153" i="2"/>
  <c r="A1154" i="2"/>
  <c r="B1153" i="2"/>
  <c r="C1153" i="2" s="1"/>
  <c r="D1153" i="2" s="1"/>
  <c r="G1152" i="2"/>
  <c r="J1152" i="2"/>
  <c r="K1152" i="2" s="1"/>
  <c r="E1154" i="2" l="1" a="1"/>
  <c r="E1154" i="2" s="1"/>
  <c r="A1155" i="2"/>
  <c r="B1154" i="2"/>
  <c r="C1154" i="2" s="1"/>
  <c r="D1154" i="2" s="1"/>
  <c r="F1154" i="2"/>
  <c r="J1153" i="2"/>
  <c r="K1153" i="2" s="1"/>
  <c r="G1153" i="2"/>
  <c r="H1150" i="2"/>
  <c r="I1150" i="2" s="1"/>
  <c r="E1155" i="2" l="1" a="1"/>
  <c r="E1155" i="2" s="1"/>
  <c r="H1151" i="2"/>
  <c r="I1151" i="2" s="1"/>
  <c r="J1154" i="2"/>
  <c r="K1154" i="2" s="1"/>
  <c r="G1154" i="2"/>
  <c r="A1156" i="2"/>
  <c r="F1155" i="2"/>
  <c r="B1155" i="2"/>
  <c r="C1155" i="2" s="1"/>
  <c r="D1155" i="2" s="1"/>
  <c r="E1156" i="2" l="1" a="1"/>
  <c r="E1156" i="2" s="1"/>
  <c r="J1155" i="2"/>
  <c r="K1155" i="2" s="1"/>
  <c r="G1155" i="2"/>
  <c r="F1156" i="2"/>
  <c r="B1156" i="2"/>
  <c r="C1156" i="2" s="1"/>
  <c r="D1156" i="2" s="1"/>
  <c r="A1157" i="2"/>
  <c r="H1152" i="2"/>
  <c r="I1152" i="2" s="1"/>
  <c r="E1157" i="2" l="1" a="1"/>
  <c r="E1157" i="2" s="1"/>
  <c r="H1153" i="2"/>
  <c r="I1153" i="2" s="1"/>
  <c r="A1158" i="2"/>
  <c r="B1157" i="2"/>
  <c r="C1157" i="2" s="1"/>
  <c r="D1157" i="2" s="1"/>
  <c r="E1158" i="2" s="1" a="1"/>
  <c r="E1158" i="2" s="1"/>
  <c r="F1157" i="2"/>
  <c r="J1156" i="2"/>
  <c r="K1156" i="2" s="1"/>
  <c r="G1156" i="2"/>
  <c r="J1157" i="2" l="1"/>
  <c r="K1157" i="2" s="1"/>
  <c r="G1157" i="2"/>
  <c r="A1159" i="2"/>
  <c r="B1158" i="2"/>
  <c r="C1158" i="2" s="1"/>
  <c r="D1158" i="2" s="1"/>
  <c r="F1158" i="2"/>
  <c r="H1154" i="2"/>
  <c r="I1154" i="2" s="1"/>
  <c r="E1159" i="2" l="1" a="1"/>
  <c r="E1159" i="2" s="1"/>
  <c r="H1155" i="2"/>
  <c r="I1155" i="2" s="1"/>
  <c r="J1158" i="2"/>
  <c r="K1158" i="2" s="1"/>
  <c r="G1158" i="2"/>
  <c r="F1159" i="2"/>
  <c r="B1159" i="2"/>
  <c r="C1159" i="2" s="1"/>
  <c r="D1159" i="2" s="1"/>
  <c r="A1160" i="2"/>
  <c r="E1160" i="2" l="1" a="1"/>
  <c r="E1160" i="2" s="1"/>
  <c r="F1160" i="2"/>
  <c r="A1161" i="2"/>
  <c r="B1160" i="2"/>
  <c r="C1160" i="2" s="1"/>
  <c r="D1160" i="2" s="1"/>
  <c r="J1159" i="2"/>
  <c r="K1159" i="2" s="1"/>
  <c r="G1159" i="2"/>
  <c r="H1156" i="2"/>
  <c r="I1156" i="2" s="1"/>
  <c r="E1161" i="2" l="1" a="1"/>
  <c r="E1161" i="2" s="1"/>
  <c r="H1157" i="2"/>
  <c r="I1157" i="2" s="1"/>
  <c r="F1161" i="2"/>
  <c r="B1161" i="2"/>
  <c r="C1161" i="2" s="1"/>
  <c r="D1161" i="2" s="1"/>
  <c r="A1162" i="2"/>
  <c r="J1160" i="2"/>
  <c r="K1160" i="2" s="1"/>
  <c r="G1160" i="2"/>
  <c r="E1162" i="2" l="1" a="1"/>
  <c r="E1162" i="2" s="1"/>
  <c r="E1163" i="2" a="1"/>
  <c r="E1163" i="2" s="1"/>
  <c r="F1162" i="2"/>
  <c r="A1163" i="2"/>
  <c r="B1162" i="2"/>
  <c r="C1162" i="2" s="1"/>
  <c r="D1162" i="2" s="1"/>
  <c r="J1161" i="2"/>
  <c r="K1161" i="2" s="1"/>
  <c r="G1161" i="2"/>
  <c r="H1158" i="2"/>
  <c r="I1158" i="2" s="1"/>
  <c r="H1159" i="2" l="1"/>
  <c r="I1159" i="2" s="1"/>
  <c r="F1163" i="2"/>
  <c r="A1164" i="2"/>
  <c r="B1163" i="2"/>
  <c r="C1163" i="2" s="1"/>
  <c r="D1163" i="2" s="1"/>
  <c r="G1162" i="2"/>
  <c r="J1162" i="2"/>
  <c r="K1162" i="2" s="1"/>
  <c r="E1164" i="2" l="1" a="1"/>
  <c r="E1164" i="2" s="1"/>
  <c r="F1164" i="2"/>
  <c r="A1165" i="2"/>
  <c r="B1164" i="2"/>
  <c r="C1164" i="2" s="1"/>
  <c r="D1164" i="2" s="1"/>
  <c r="G1163" i="2"/>
  <c r="J1163" i="2"/>
  <c r="K1163" i="2" s="1"/>
  <c r="H1160" i="2"/>
  <c r="I1160" i="2" s="1"/>
  <c r="E1165" i="2" l="1" a="1"/>
  <c r="E1165" i="2" s="1"/>
  <c r="H1161" i="2"/>
  <c r="I1161" i="2" s="1"/>
  <c r="F1165" i="2"/>
  <c r="A1166" i="2"/>
  <c r="B1165" i="2"/>
  <c r="C1165" i="2" s="1"/>
  <c r="D1165" i="2" s="1"/>
  <c r="J1164" i="2"/>
  <c r="K1164" i="2" s="1"/>
  <c r="G1164" i="2"/>
  <c r="E1166" i="2" l="1" a="1"/>
  <c r="E1166" i="2" s="1"/>
  <c r="A1167" i="2"/>
  <c r="B1166" i="2"/>
  <c r="C1166" i="2" s="1"/>
  <c r="D1166" i="2" s="1"/>
  <c r="F1166" i="2"/>
  <c r="J1165" i="2"/>
  <c r="K1165" i="2" s="1"/>
  <c r="G1165" i="2"/>
  <c r="H1162" i="2"/>
  <c r="I1162" i="2" s="1"/>
  <c r="E1167" i="2" l="1" a="1"/>
  <c r="E1167" i="2" s="1"/>
  <c r="H1163" i="2"/>
  <c r="I1163" i="2" s="1"/>
  <c r="J1166" i="2"/>
  <c r="K1166" i="2" s="1"/>
  <c r="G1166" i="2"/>
  <c r="A1168" i="2"/>
  <c r="B1167" i="2"/>
  <c r="C1167" i="2" s="1"/>
  <c r="D1167" i="2" s="1"/>
  <c r="F1167" i="2"/>
  <c r="E1168" i="2" l="1" a="1"/>
  <c r="E1168" i="2" s="1"/>
  <c r="G1167" i="2"/>
  <c r="J1167" i="2"/>
  <c r="K1167" i="2" s="1"/>
  <c r="F1168" i="2"/>
  <c r="A1169" i="2"/>
  <c r="B1168" i="2"/>
  <c r="C1168" i="2" s="1"/>
  <c r="D1168" i="2" s="1"/>
  <c r="H1164" i="2"/>
  <c r="I1164" i="2" s="1"/>
  <c r="E1169" i="2" l="1" a="1"/>
  <c r="E1169" i="2" s="1"/>
  <c r="H1165" i="2"/>
  <c r="I1165" i="2" s="1"/>
  <c r="F1169" i="2"/>
  <c r="A1170" i="2"/>
  <c r="B1169" i="2"/>
  <c r="C1169" i="2" s="1"/>
  <c r="D1169" i="2" s="1"/>
  <c r="G1168" i="2"/>
  <c r="J1168" i="2"/>
  <c r="K1168" i="2" s="1"/>
  <c r="E1170" i="2" l="1" a="1"/>
  <c r="E1170" i="2" s="1"/>
  <c r="A1171" i="2"/>
  <c r="B1170" i="2"/>
  <c r="C1170" i="2" s="1"/>
  <c r="D1170" i="2" s="1"/>
  <c r="F1170" i="2"/>
  <c r="J1169" i="2"/>
  <c r="K1169" i="2" s="1"/>
  <c r="G1169" i="2"/>
  <c r="H1166" i="2"/>
  <c r="I1166" i="2" s="1"/>
  <c r="E1171" i="2" l="1" a="1"/>
  <c r="E1171" i="2" s="1"/>
  <c r="H1167" i="2"/>
  <c r="I1167" i="2" s="1"/>
  <c r="J1170" i="2"/>
  <c r="K1170" i="2" s="1"/>
  <c r="G1170" i="2"/>
  <c r="A1172" i="2"/>
  <c r="B1171" i="2"/>
  <c r="C1171" i="2" s="1"/>
  <c r="D1171" i="2" s="1"/>
  <c r="F1171" i="2"/>
  <c r="E1172" i="2" l="1" a="1"/>
  <c r="E1172" i="2" s="1"/>
  <c r="J1171" i="2"/>
  <c r="K1171" i="2" s="1"/>
  <c r="G1171" i="2"/>
  <c r="A1173" i="2"/>
  <c r="B1172" i="2"/>
  <c r="C1172" i="2" s="1"/>
  <c r="D1172" i="2" s="1"/>
  <c r="F1172" i="2"/>
  <c r="H1168" i="2"/>
  <c r="I1168" i="2" s="1"/>
  <c r="E1173" i="2" l="1" a="1"/>
  <c r="E1173" i="2" s="1"/>
  <c r="H1169" i="2"/>
  <c r="I1169" i="2" s="1"/>
  <c r="J1172" i="2"/>
  <c r="K1172" i="2" s="1"/>
  <c r="G1172" i="2"/>
  <c r="A1174" i="2"/>
  <c r="B1173" i="2"/>
  <c r="C1173" i="2" s="1"/>
  <c r="D1173" i="2" s="1"/>
  <c r="F1173" i="2"/>
  <c r="E1174" i="2" l="1" a="1"/>
  <c r="E1174" i="2" s="1"/>
  <c r="J1173" i="2"/>
  <c r="K1173" i="2" s="1"/>
  <c r="G1173" i="2"/>
  <c r="A1175" i="2"/>
  <c r="B1174" i="2"/>
  <c r="C1174" i="2" s="1"/>
  <c r="D1174" i="2" s="1"/>
  <c r="F1174" i="2"/>
  <c r="H1170" i="2"/>
  <c r="I1170" i="2" s="1"/>
  <c r="E1175" i="2" l="1" a="1"/>
  <c r="E1175" i="2" s="1"/>
  <c r="H1171" i="2"/>
  <c r="I1171" i="2" s="1"/>
  <c r="J1174" i="2"/>
  <c r="K1174" i="2" s="1"/>
  <c r="G1174" i="2"/>
  <c r="F1175" i="2"/>
  <c r="A1176" i="2"/>
  <c r="B1175" i="2"/>
  <c r="C1175" i="2" s="1"/>
  <c r="D1175" i="2" s="1"/>
  <c r="E1176" i="2" l="1" a="1"/>
  <c r="E1176" i="2" s="1"/>
  <c r="F1176" i="2"/>
  <c r="A1177" i="2"/>
  <c r="B1176" i="2"/>
  <c r="C1176" i="2" s="1"/>
  <c r="D1176" i="2" s="1"/>
  <c r="J1175" i="2"/>
  <c r="K1175" i="2" s="1"/>
  <c r="G1175" i="2"/>
  <c r="H1172" i="2"/>
  <c r="I1172" i="2" s="1"/>
  <c r="E1177" i="2" l="1" a="1"/>
  <c r="E1177" i="2" s="1"/>
  <c r="H1173" i="2"/>
  <c r="I1173" i="2" s="1"/>
  <c r="F1177" i="2"/>
  <c r="B1177" i="2"/>
  <c r="C1177" i="2" s="1"/>
  <c r="D1177" i="2" s="1"/>
  <c r="A1178" i="2"/>
  <c r="J1176" i="2"/>
  <c r="K1176" i="2" s="1"/>
  <c r="G1176" i="2"/>
  <c r="E1178" i="2" l="1" a="1"/>
  <c r="E1178" i="2" s="1"/>
  <c r="F1178" i="2"/>
  <c r="A1179" i="2"/>
  <c r="B1178" i="2"/>
  <c r="C1178" i="2" s="1"/>
  <c r="D1178" i="2" s="1"/>
  <c r="J1177" i="2"/>
  <c r="K1177" i="2" s="1"/>
  <c r="G1177" i="2"/>
  <c r="H1174" i="2"/>
  <c r="I1174" i="2" s="1"/>
  <c r="E1179" i="2" l="1" a="1"/>
  <c r="E1179" i="2" s="1"/>
  <c r="H1175" i="2"/>
  <c r="I1175" i="2" s="1"/>
  <c r="F1179" i="2"/>
  <c r="A1180" i="2"/>
  <c r="B1179" i="2"/>
  <c r="C1179" i="2" s="1"/>
  <c r="D1179" i="2" s="1"/>
  <c r="J1178" i="2"/>
  <c r="K1178" i="2" s="1"/>
  <c r="G1178" i="2"/>
  <c r="E1180" i="2" l="1" a="1"/>
  <c r="E1180" i="2" s="1"/>
  <c r="F1180" i="2"/>
  <c r="A1181" i="2"/>
  <c r="B1180" i="2"/>
  <c r="C1180" i="2" s="1"/>
  <c r="D1180" i="2" s="1"/>
  <c r="J1179" i="2"/>
  <c r="K1179" i="2" s="1"/>
  <c r="G1179" i="2"/>
  <c r="H1176" i="2"/>
  <c r="I1176" i="2" s="1"/>
  <c r="E1181" i="2" l="1" a="1"/>
  <c r="E1181" i="2" s="1"/>
  <c r="H1177" i="2"/>
  <c r="I1177" i="2" s="1"/>
  <c r="F1181" i="2"/>
  <c r="A1182" i="2"/>
  <c r="B1181" i="2"/>
  <c r="C1181" i="2" s="1"/>
  <c r="D1181" i="2" s="1"/>
  <c r="J1180" i="2"/>
  <c r="K1180" i="2" s="1"/>
  <c r="G1180" i="2"/>
  <c r="E1182" i="2" l="1" a="1"/>
  <c r="E1182" i="2" s="1"/>
  <c r="F1182" i="2"/>
  <c r="A1183" i="2"/>
  <c r="B1182" i="2"/>
  <c r="C1182" i="2" s="1"/>
  <c r="D1182" i="2" s="1"/>
  <c r="J1181" i="2"/>
  <c r="K1181" i="2" s="1"/>
  <c r="G1181" i="2"/>
  <c r="H1178" i="2"/>
  <c r="I1178" i="2" s="1"/>
  <c r="E1183" i="2" l="1" a="1"/>
  <c r="E1183" i="2" s="1"/>
  <c r="H1179" i="2"/>
  <c r="I1179" i="2" s="1"/>
  <c r="F1183" i="2"/>
  <c r="A1184" i="2"/>
  <c r="B1183" i="2"/>
  <c r="C1183" i="2" s="1"/>
  <c r="D1183" i="2" s="1"/>
  <c r="G1182" i="2"/>
  <c r="J1182" i="2"/>
  <c r="K1182" i="2" s="1"/>
  <c r="E1184" i="2" l="1" a="1"/>
  <c r="E1184" i="2" s="1"/>
  <c r="F1184" i="2"/>
  <c r="A1185" i="2"/>
  <c r="B1184" i="2"/>
  <c r="C1184" i="2" s="1"/>
  <c r="D1184" i="2" s="1"/>
  <c r="G1183" i="2"/>
  <c r="J1183" i="2"/>
  <c r="K1183" i="2" s="1"/>
  <c r="H1180" i="2"/>
  <c r="I1180" i="2" s="1"/>
  <c r="E1185" i="2" l="1" a="1"/>
  <c r="E1185" i="2" s="1"/>
  <c r="H1181" i="2"/>
  <c r="I1181" i="2" s="1"/>
  <c r="F1185" i="2"/>
  <c r="A1186" i="2"/>
  <c r="B1185" i="2"/>
  <c r="C1185" i="2" s="1"/>
  <c r="D1185" i="2" s="1"/>
  <c r="G1184" i="2"/>
  <c r="J1184" i="2"/>
  <c r="K1184" i="2" s="1"/>
  <c r="E1186" i="2" l="1" a="1"/>
  <c r="E1186" i="2" s="1"/>
  <c r="A1187" i="2"/>
  <c r="B1186" i="2"/>
  <c r="C1186" i="2" s="1"/>
  <c r="D1186" i="2" s="1"/>
  <c r="F1186" i="2"/>
  <c r="J1185" i="2"/>
  <c r="K1185" i="2" s="1"/>
  <c r="G1185" i="2"/>
  <c r="H1182" i="2"/>
  <c r="I1182" i="2" s="1"/>
  <c r="E1187" i="2" l="1" a="1"/>
  <c r="E1187" i="2" s="1"/>
  <c r="H1183" i="2"/>
  <c r="I1183" i="2" s="1"/>
  <c r="J1186" i="2"/>
  <c r="K1186" i="2" s="1"/>
  <c r="G1186" i="2"/>
  <c r="A1188" i="2"/>
  <c r="B1187" i="2"/>
  <c r="C1187" i="2" s="1"/>
  <c r="D1187" i="2" s="1"/>
  <c r="F1187" i="2"/>
  <c r="E1188" i="2" l="1" a="1"/>
  <c r="E1188" i="2" s="1"/>
  <c r="J1187" i="2"/>
  <c r="K1187" i="2" s="1"/>
  <c r="G1187" i="2"/>
  <c r="B1188" i="2"/>
  <c r="C1188" i="2" s="1"/>
  <c r="D1188" i="2" s="1"/>
  <c r="A1189" i="2"/>
  <c r="F1188" i="2"/>
  <c r="H1184" i="2"/>
  <c r="I1184" i="2" s="1"/>
  <c r="E1189" i="2" l="1" a="1"/>
  <c r="E1189" i="2" s="1"/>
  <c r="H1185" i="2"/>
  <c r="I1185" i="2" s="1"/>
  <c r="J1188" i="2"/>
  <c r="K1188" i="2" s="1"/>
  <c r="G1188" i="2"/>
  <c r="B1189" i="2"/>
  <c r="C1189" i="2" s="1"/>
  <c r="D1189" i="2" s="1"/>
  <c r="A1190" i="2"/>
  <c r="F1189" i="2"/>
  <c r="E1190" i="2" l="1" a="1"/>
  <c r="E1190" i="2" s="1"/>
  <c r="J1189" i="2"/>
  <c r="K1189" i="2" s="1"/>
  <c r="G1189" i="2"/>
  <c r="B1190" i="2"/>
  <c r="C1190" i="2" s="1"/>
  <c r="D1190" i="2" s="1"/>
  <c r="A1191" i="2"/>
  <c r="F1190" i="2"/>
  <c r="H1186" i="2"/>
  <c r="I1186" i="2" s="1"/>
  <c r="E1191" i="2" l="1" a="1"/>
  <c r="E1191" i="2" s="1"/>
  <c r="H1187" i="2"/>
  <c r="I1187" i="2" s="1"/>
  <c r="J1190" i="2"/>
  <c r="K1190" i="2" s="1"/>
  <c r="G1190" i="2"/>
  <c r="B1191" i="2"/>
  <c r="C1191" i="2" s="1"/>
  <c r="D1191" i="2" s="1"/>
  <c r="A1192" i="2"/>
  <c r="F1191" i="2"/>
  <c r="E1192" i="2" l="1" a="1"/>
  <c r="E1192" i="2" s="1"/>
  <c r="J1191" i="2"/>
  <c r="K1191" i="2" s="1"/>
  <c r="G1191" i="2"/>
  <c r="A1193" i="2"/>
  <c r="B1192" i="2"/>
  <c r="C1192" i="2" s="1"/>
  <c r="D1192" i="2" s="1"/>
  <c r="F1192" i="2"/>
  <c r="H1188" i="2"/>
  <c r="I1188" i="2" s="1"/>
  <c r="E1193" i="2" l="1" a="1"/>
  <c r="E1193" i="2" s="1"/>
  <c r="H1189" i="2"/>
  <c r="I1189" i="2" s="1"/>
  <c r="J1192" i="2"/>
  <c r="K1192" i="2" s="1"/>
  <c r="G1192" i="2"/>
  <c r="B1193" i="2"/>
  <c r="C1193" i="2" s="1"/>
  <c r="D1193" i="2" s="1"/>
  <c r="A1194" i="2"/>
  <c r="F1193" i="2"/>
  <c r="E1194" i="2" l="1" a="1"/>
  <c r="E1194" i="2" s="1"/>
  <c r="J1193" i="2"/>
  <c r="K1193" i="2" s="1"/>
  <c r="G1193" i="2"/>
  <c r="B1194" i="2"/>
  <c r="C1194" i="2" s="1"/>
  <c r="D1194" i="2" s="1"/>
  <c r="A1195" i="2"/>
  <c r="F1194" i="2"/>
  <c r="H1190" i="2"/>
  <c r="I1190" i="2" s="1"/>
  <c r="E1195" i="2" l="1" a="1"/>
  <c r="E1195" i="2" s="1"/>
  <c r="H1191" i="2"/>
  <c r="I1191" i="2" s="1"/>
  <c r="J1194" i="2"/>
  <c r="K1194" i="2" s="1"/>
  <c r="G1194" i="2"/>
  <c r="F1195" i="2"/>
  <c r="B1195" i="2"/>
  <c r="C1195" i="2" s="1"/>
  <c r="D1195" i="2" s="1"/>
  <c r="A1196" i="2"/>
  <c r="E1196" i="2" l="1" a="1"/>
  <c r="E1196" i="2" s="1"/>
  <c r="F1196" i="2"/>
  <c r="B1196" i="2"/>
  <c r="C1196" i="2" s="1"/>
  <c r="D1196" i="2" s="1"/>
  <c r="A1197" i="2"/>
  <c r="J1195" i="2"/>
  <c r="K1195" i="2" s="1"/>
  <c r="G1195" i="2"/>
  <c r="H1192" i="2"/>
  <c r="I1192" i="2" s="1"/>
  <c r="E1197" i="2" l="1" a="1"/>
  <c r="E1197" i="2" s="1"/>
  <c r="E1198" i="2" a="1"/>
  <c r="E1198" i="2" s="1"/>
  <c r="H1193" i="2"/>
  <c r="I1193" i="2" s="1"/>
  <c r="F1197" i="2"/>
  <c r="B1197" i="2"/>
  <c r="C1197" i="2" s="1"/>
  <c r="D1197" i="2" s="1"/>
  <c r="A1198" i="2"/>
  <c r="G1196" i="2"/>
  <c r="J1196" i="2"/>
  <c r="K1196" i="2" s="1"/>
  <c r="A1199" i="2" l="1"/>
  <c r="B1198" i="2"/>
  <c r="C1198" i="2" s="1"/>
  <c r="D1198" i="2" s="1"/>
  <c r="F1198" i="2"/>
  <c r="G1197" i="2"/>
  <c r="J1197" i="2"/>
  <c r="K1197" i="2" s="1"/>
  <c r="H1194" i="2"/>
  <c r="I1194" i="2" s="1"/>
  <c r="E1199" i="2" l="1" a="1"/>
  <c r="E1199" i="2" s="1"/>
  <c r="H1195" i="2"/>
  <c r="I1195" i="2" s="1"/>
  <c r="G1198" i="2"/>
  <c r="J1198" i="2"/>
  <c r="K1198" i="2" s="1"/>
  <c r="F1199" i="2"/>
  <c r="B1199" i="2"/>
  <c r="C1199" i="2" s="1"/>
  <c r="D1199" i="2" s="1"/>
  <c r="A1200" i="2"/>
  <c r="E1200" i="2" l="1" a="1"/>
  <c r="E1200" i="2" s="1"/>
  <c r="F1200" i="2"/>
  <c r="B1200" i="2"/>
  <c r="C1200" i="2" s="1"/>
  <c r="D1200" i="2" s="1"/>
  <c r="A1201" i="2"/>
  <c r="J1199" i="2"/>
  <c r="K1199" i="2" s="1"/>
  <c r="G1199" i="2"/>
  <c r="H1196" i="2"/>
  <c r="I1196" i="2" s="1"/>
  <c r="E1201" i="2" l="1" a="1"/>
  <c r="E1201" i="2" s="1"/>
  <c r="H1197" i="2"/>
  <c r="I1197" i="2" s="1"/>
  <c r="F1201" i="2"/>
  <c r="B1201" i="2"/>
  <c r="C1201" i="2" s="1"/>
  <c r="D1201" i="2" s="1"/>
  <c r="A1202" i="2"/>
  <c r="J1200" i="2"/>
  <c r="K1200" i="2" s="1"/>
  <c r="G1200" i="2"/>
  <c r="E1202" i="2" l="1" a="1"/>
  <c r="E1202" i="2" s="1"/>
  <c r="F1202" i="2"/>
  <c r="A1203" i="2"/>
  <c r="B1202" i="2"/>
  <c r="C1202" i="2" s="1"/>
  <c r="D1202" i="2" s="1"/>
  <c r="J1201" i="2"/>
  <c r="K1201" i="2" s="1"/>
  <c r="G1201" i="2"/>
  <c r="H1198" i="2"/>
  <c r="I1198" i="2" s="1"/>
  <c r="E1203" i="2" l="1" a="1"/>
  <c r="E1203" i="2" s="1"/>
  <c r="H1199" i="2"/>
  <c r="I1199" i="2" s="1"/>
  <c r="F1203" i="2"/>
  <c r="A1204" i="2"/>
  <c r="B1203" i="2"/>
  <c r="C1203" i="2" s="1"/>
  <c r="D1203" i="2" s="1"/>
  <c r="G1202" i="2"/>
  <c r="J1202" i="2"/>
  <c r="K1202" i="2" s="1"/>
  <c r="E1204" i="2" l="1" a="1"/>
  <c r="E1204" i="2" s="1"/>
  <c r="B1204" i="2"/>
  <c r="C1204" i="2" s="1"/>
  <c r="D1204" i="2" s="1"/>
  <c r="A1205" i="2"/>
  <c r="F1204" i="2"/>
  <c r="J1203" i="2"/>
  <c r="K1203" i="2" s="1"/>
  <c r="G1203" i="2"/>
  <c r="H1200" i="2"/>
  <c r="I1200" i="2" s="1"/>
  <c r="E1205" i="2" l="1" a="1"/>
  <c r="E1205" i="2" s="1"/>
  <c r="H1201" i="2"/>
  <c r="I1201" i="2" s="1"/>
  <c r="J1204" i="2"/>
  <c r="K1204" i="2" s="1"/>
  <c r="G1204" i="2"/>
  <c r="F1205" i="2"/>
  <c r="B1205" i="2"/>
  <c r="C1205" i="2" s="1"/>
  <c r="D1205" i="2" s="1"/>
  <c r="A1206" i="2"/>
  <c r="E1206" i="2" l="1" a="1"/>
  <c r="E1206" i="2" s="1"/>
  <c r="A1207" i="2"/>
  <c r="B1206" i="2"/>
  <c r="C1206" i="2" s="1"/>
  <c r="D1206" i="2" s="1"/>
  <c r="F1206" i="2"/>
  <c r="J1205" i="2"/>
  <c r="K1205" i="2" s="1"/>
  <c r="G1205" i="2"/>
  <c r="H1202" i="2"/>
  <c r="I1202" i="2" s="1"/>
  <c r="E1207" i="2" l="1" a="1"/>
  <c r="E1207" i="2" s="1"/>
  <c r="H1203" i="2"/>
  <c r="I1203" i="2" s="1"/>
  <c r="J1206" i="2"/>
  <c r="K1206" i="2" s="1"/>
  <c r="G1206" i="2"/>
  <c r="A1208" i="2"/>
  <c r="B1207" i="2"/>
  <c r="C1207" i="2" s="1"/>
  <c r="D1207" i="2" s="1"/>
  <c r="F1207" i="2"/>
  <c r="E1208" i="2" l="1" a="1"/>
  <c r="E1208" i="2" s="1"/>
  <c r="J1207" i="2"/>
  <c r="K1207" i="2" s="1"/>
  <c r="G1207" i="2"/>
  <c r="A1209" i="2"/>
  <c r="B1208" i="2"/>
  <c r="C1208" i="2" s="1"/>
  <c r="D1208" i="2" s="1"/>
  <c r="F1208" i="2"/>
  <c r="H1204" i="2"/>
  <c r="I1204" i="2" s="1"/>
  <c r="E1209" i="2" l="1" a="1"/>
  <c r="E1209" i="2" s="1"/>
  <c r="H1205" i="2"/>
  <c r="I1205" i="2" s="1"/>
  <c r="G1208" i="2"/>
  <c r="J1208" i="2"/>
  <c r="K1208" i="2" s="1"/>
  <c r="F1209" i="2"/>
  <c r="B1209" i="2"/>
  <c r="C1209" i="2" s="1"/>
  <c r="D1209" i="2" s="1"/>
  <c r="A1210" i="2"/>
  <c r="E1210" i="2" l="1" a="1"/>
  <c r="E1210" i="2" s="1"/>
  <c r="A1211" i="2"/>
  <c r="F1210" i="2"/>
  <c r="B1210" i="2"/>
  <c r="C1210" i="2" s="1"/>
  <c r="D1210" i="2" s="1"/>
  <c r="J1209" i="2"/>
  <c r="K1209" i="2" s="1"/>
  <c r="G1209" i="2"/>
  <c r="H1206" i="2"/>
  <c r="I1206" i="2" s="1"/>
  <c r="E1211" i="2" l="1" a="1"/>
  <c r="E1211" i="2" s="1"/>
  <c r="H1207" i="2"/>
  <c r="I1207" i="2" s="1"/>
  <c r="G1210" i="2"/>
  <c r="J1210" i="2"/>
  <c r="K1210" i="2" s="1"/>
  <c r="A1212" i="2"/>
  <c r="F1211" i="2"/>
  <c r="B1211" i="2"/>
  <c r="C1211" i="2" s="1"/>
  <c r="D1211" i="2" s="1"/>
  <c r="E1212" i="2" l="1" a="1"/>
  <c r="E1212" i="2" s="1"/>
  <c r="J1211" i="2"/>
  <c r="K1211" i="2" s="1"/>
  <c r="G1211" i="2"/>
  <c r="A1213" i="2"/>
  <c r="B1212" i="2"/>
  <c r="C1212" i="2" s="1"/>
  <c r="D1212" i="2" s="1"/>
  <c r="F1212" i="2"/>
  <c r="H1208" i="2"/>
  <c r="I1208" i="2" s="1"/>
  <c r="E1213" i="2" l="1" a="1"/>
  <c r="E1213" i="2" s="1"/>
  <c r="H1209" i="2"/>
  <c r="I1209" i="2" s="1"/>
  <c r="J1212" i="2"/>
  <c r="K1212" i="2" s="1"/>
  <c r="G1212" i="2"/>
  <c r="F1213" i="2"/>
  <c r="B1213" i="2"/>
  <c r="C1213" i="2" s="1"/>
  <c r="D1213" i="2" s="1"/>
  <c r="A1214" i="2"/>
  <c r="E1214" i="2" l="1" a="1"/>
  <c r="E1214" i="2" s="1"/>
  <c r="A1215" i="2"/>
  <c r="B1214" i="2"/>
  <c r="C1214" i="2" s="1"/>
  <c r="D1214" i="2" s="1"/>
  <c r="F1214" i="2"/>
  <c r="J1213" i="2"/>
  <c r="K1213" i="2" s="1"/>
  <c r="G1213" i="2"/>
  <c r="H1210" i="2"/>
  <c r="I1210" i="2" s="1"/>
  <c r="E1215" i="2" l="1" a="1"/>
  <c r="E1215" i="2" s="1"/>
  <c r="H1211" i="2"/>
  <c r="I1211" i="2" s="1"/>
  <c r="J1214" i="2"/>
  <c r="K1214" i="2" s="1"/>
  <c r="G1214" i="2"/>
  <c r="B1215" i="2"/>
  <c r="C1215" i="2" s="1"/>
  <c r="D1215" i="2" s="1"/>
  <c r="A1216" i="2"/>
  <c r="F1215" i="2"/>
  <c r="E1216" i="2" l="1" a="1"/>
  <c r="E1216" i="2" s="1"/>
  <c r="J1215" i="2"/>
  <c r="K1215" i="2" s="1"/>
  <c r="G1215" i="2"/>
  <c r="F1216" i="2"/>
  <c r="B1216" i="2"/>
  <c r="C1216" i="2" s="1"/>
  <c r="D1216" i="2" s="1"/>
  <c r="A1217" i="2"/>
  <c r="H1212" i="2"/>
  <c r="I1212" i="2" s="1"/>
  <c r="E1217" i="2" l="1" a="1"/>
  <c r="E1217" i="2" s="1"/>
  <c r="H1213" i="2"/>
  <c r="I1213" i="2" s="1"/>
  <c r="F1217" i="2"/>
  <c r="A1218" i="2"/>
  <c r="B1217" i="2"/>
  <c r="C1217" i="2" s="1"/>
  <c r="D1217" i="2" s="1"/>
  <c r="G1216" i="2"/>
  <c r="J1216" i="2"/>
  <c r="K1216" i="2" s="1"/>
  <c r="E1218" i="2" l="1" a="1"/>
  <c r="E1218" i="2" s="1"/>
  <c r="F1218" i="2"/>
  <c r="A1219" i="2"/>
  <c r="B1218" i="2"/>
  <c r="C1218" i="2" s="1"/>
  <c r="D1218" i="2" s="1"/>
  <c r="J1217" i="2"/>
  <c r="K1217" i="2" s="1"/>
  <c r="G1217" i="2"/>
  <c r="H1214" i="2"/>
  <c r="I1214" i="2" s="1"/>
  <c r="E1219" i="2" l="1" a="1"/>
  <c r="E1219" i="2" s="1"/>
  <c r="H1215" i="2"/>
  <c r="I1215" i="2" s="1"/>
  <c r="F1219" i="2"/>
  <c r="B1219" i="2"/>
  <c r="C1219" i="2" s="1"/>
  <c r="D1219" i="2" s="1"/>
  <c r="A1220" i="2"/>
  <c r="G1218" i="2"/>
  <c r="J1218" i="2"/>
  <c r="K1218" i="2" s="1"/>
  <c r="E1220" i="2" l="1" a="1"/>
  <c r="E1220" i="2" s="1"/>
  <c r="F1220" i="2"/>
  <c r="B1220" i="2"/>
  <c r="C1220" i="2" s="1"/>
  <c r="D1220" i="2" s="1"/>
  <c r="A1221" i="2"/>
  <c r="J1219" i="2"/>
  <c r="K1219" i="2" s="1"/>
  <c r="G1219" i="2"/>
  <c r="H1216" i="2"/>
  <c r="I1216" i="2" s="1"/>
  <c r="E1221" i="2" l="1" a="1"/>
  <c r="E1221" i="2" s="1"/>
  <c r="H1217" i="2"/>
  <c r="I1217" i="2" s="1"/>
  <c r="F1221" i="2"/>
  <c r="A1222" i="2"/>
  <c r="B1221" i="2"/>
  <c r="C1221" i="2" s="1"/>
  <c r="D1221" i="2" s="1"/>
  <c r="G1220" i="2"/>
  <c r="J1220" i="2"/>
  <c r="K1220" i="2" s="1"/>
  <c r="E1222" i="2" l="1" a="1"/>
  <c r="E1222" i="2" s="1"/>
  <c r="A1223" i="2"/>
  <c r="B1222" i="2"/>
  <c r="C1222" i="2" s="1"/>
  <c r="D1222" i="2" s="1"/>
  <c r="F1222" i="2"/>
  <c r="J1221" i="2"/>
  <c r="K1221" i="2" s="1"/>
  <c r="G1221" i="2"/>
  <c r="H1218" i="2"/>
  <c r="I1218" i="2" s="1"/>
  <c r="E1223" i="2" l="1" a="1"/>
  <c r="E1223" i="2" s="1"/>
  <c r="H1219" i="2"/>
  <c r="I1219" i="2" s="1"/>
  <c r="G1222" i="2"/>
  <c r="J1222" i="2"/>
  <c r="K1222" i="2" s="1"/>
  <c r="F1223" i="2"/>
  <c r="A1224" i="2"/>
  <c r="B1223" i="2"/>
  <c r="C1223" i="2" s="1"/>
  <c r="D1223" i="2" s="1"/>
  <c r="E1224" i="2" l="1" a="1"/>
  <c r="E1224" i="2" s="1"/>
  <c r="A1225" i="2"/>
  <c r="B1224" i="2"/>
  <c r="C1224" i="2" s="1"/>
  <c r="D1224" i="2" s="1"/>
  <c r="F1224" i="2"/>
  <c r="J1223" i="2"/>
  <c r="K1223" i="2" s="1"/>
  <c r="G1223" i="2"/>
  <c r="H1220" i="2"/>
  <c r="I1220" i="2" s="1"/>
  <c r="E1225" i="2" l="1" a="1"/>
  <c r="E1225" i="2" s="1"/>
  <c r="H1221" i="2"/>
  <c r="I1221" i="2" s="1"/>
  <c r="G1224" i="2"/>
  <c r="J1224" i="2"/>
  <c r="K1224" i="2" s="1"/>
  <c r="F1225" i="2"/>
  <c r="B1225" i="2"/>
  <c r="C1225" i="2" s="1"/>
  <c r="D1225" i="2" s="1"/>
  <c r="A1226" i="2"/>
  <c r="E1226" i="2" l="1" a="1"/>
  <c r="E1226" i="2" s="1"/>
  <c r="A1227" i="2"/>
  <c r="B1226" i="2"/>
  <c r="C1226" i="2" s="1"/>
  <c r="D1226" i="2" s="1"/>
  <c r="F1226" i="2"/>
  <c r="G1225" i="2"/>
  <c r="J1225" i="2"/>
  <c r="K1225" i="2" s="1"/>
  <c r="H1222" i="2"/>
  <c r="I1222" i="2" s="1"/>
  <c r="E1227" i="2" l="1" a="1"/>
  <c r="E1227" i="2" s="1"/>
  <c r="H1223" i="2"/>
  <c r="I1223" i="2" s="1"/>
  <c r="J1226" i="2"/>
  <c r="K1226" i="2" s="1"/>
  <c r="G1226" i="2"/>
  <c r="A1228" i="2"/>
  <c r="B1227" i="2"/>
  <c r="C1227" i="2" s="1"/>
  <c r="D1227" i="2" s="1"/>
  <c r="F1227" i="2"/>
  <c r="E1228" i="2" l="1" a="1"/>
  <c r="E1228" i="2" s="1"/>
  <c r="J1227" i="2"/>
  <c r="K1227" i="2" s="1"/>
  <c r="G1227" i="2"/>
  <c r="A1229" i="2"/>
  <c r="B1228" i="2"/>
  <c r="C1228" i="2" s="1"/>
  <c r="D1228" i="2" s="1"/>
  <c r="F1228" i="2"/>
  <c r="H1224" i="2"/>
  <c r="I1224" i="2" s="1"/>
  <c r="E1229" i="2" l="1" a="1"/>
  <c r="E1229" i="2" s="1"/>
  <c r="H1225" i="2"/>
  <c r="I1225" i="2" s="1"/>
  <c r="J1228" i="2"/>
  <c r="K1228" i="2" s="1"/>
  <c r="G1228" i="2"/>
  <c r="B1229" i="2"/>
  <c r="C1229" i="2" s="1"/>
  <c r="D1229" i="2" s="1"/>
  <c r="A1230" i="2"/>
  <c r="F1229" i="2"/>
  <c r="E1230" i="2" l="1" a="1"/>
  <c r="E1230" i="2" s="1"/>
  <c r="J1229" i="2"/>
  <c r="K1229" i="2" s="1"/>
  <c r="G1229" i="2"/>
  <c r="A1231" i="2"/>
  <c r="B1230" i="2"/>
  <c r="C1230" i="2" s="1"/>
  <c r="D1230" i="2" s="1"/>
  <c r="F1230" i="2"/>
  <c r="H1226" i="2"/>
  <c r="I1226" i="2" s="1"/>
  <c r="E1231" i="2" l="1" a="1"/>
  <c r="E1231" i="2" s="1"/>
  <c r="H1227" i="2"/>
  <c r="I1227" i="2" s="1"/>
  <c r="J1230" i="2"/>
  <c r="K1230" i="2" s="1"/>
  <c r="G1230" i="2"/>
  <c r="A1232" i="2"/>
  <c r="B1231" i="2"/>
  <c r="C1231" i="2" s="1"/>
  <c r="D1231" i="2" s="1"/>
  <c r="F1231" i="2"/>
  <c r="E1232" i="2" l="1" a="1"/>
  <c r="E1232" i="2" s="1"/>
  <c r="J1231" i="2"/>
  <c r="K1231" i="2" s="1"/>
  <c r="G1231" i="2"/>
  <c r="A1233" i="2"/>
  <c r="F1232" i="2"/>
  <c r="B1232" i="2"/>
  <c r="C1232" i="2" s="1"/>
  <c r="D1232" i="2" s="1"/>
  <c r="H1228" i="2"/>
  <c r="I1228" i="2" s="1"/>
  <c r="E1233" i="2" l="1" a="1"/>
  <c r="E1233" i="2" s="1"/>
  <c r="H1229" i="2"/>
  <c r="I1229" i="2" s="1"/>
  <c r="G1232" i="2"/>
  <c r="J1232" i="2"/>
  <c r="K1232" i="2" s="1"/>
  <c r="F1233" i="2"/>
  <c r="B1233" i="2"/>
  <c r="C1233" i="2" s="1"/>
  <c r="D1233" i="2" s="1"/>
  <c r="A1234" i="2"/>
  <c r="E1234" i="2" l="1" a="1"/>
  <c r="E1234" i="2" s="1"/>
  <c r="F1234" i="2"/>
  <c r="A1235" i="2"/>
  <c r="B1234" i="2"/>
  <c r="C1234" i="2" s="1"/>
  <c r="D1234" i="2" s="1"/>
  <c r="J1233" i="2"/>
  <c r="K1233" i="2" s="1"/>
  <c r="G1233" i="2"/>
  <c r="H1230" i="2"/>
  <c r="I1230" i="2" s="1"/>
  <c r="E1235" i="2" l="1" a="1"/>
  <c r="E1235" i="2" s="1"/>
  <c r="H1231" i="2"/>
  <c r="I1231" i="2" s="1"/>
  <c r="F1235" i="2"/>
  <c r="A1236" i="2"/>
  <c r="B1235" i="2"/>
  <c r="C1235" i="2" s="1"/>
  <c r="D1235" i="2" s="1"/>
  <c r="J1234" i="2"/>
  <c r="K1234" i="2" s="1"/>
  <c r="G1234" i="2"/>
  <c r="E1236" i="2" l="1" a="1"/>
  <c r="E1236" i="2" s="1"/>
  <c r="B1236" i="2"/>
  <c r="C1236" i="2" s="1"/>
  <c r="D1236" i="2" s="1"/>
  <c r="A1237" i="2"/>
  <c r="F1236" i="2"/>
  <c r="J1235" i="2"/>
  <c r="K1235" i="2" s="1"/>
  <c r="G1235" i="2"/>
  <c r="H1232" i="2"/>
  <c r="I1232" i="2" s="1"/>
  <c r="E1237" i="2" l="1" a="1"/>
  <c r="E1237" i="2" s="1"/>
  <c r="H1233" i="2"/>
  <c r="I1233" i="2" s="1"/>
  <c r="G1236" i="2"/>
  <c r="J1236" i="2"/>
  <c r="K1236" i="2" s="1"/>
  <c r="F1237" i="2"/>
  <c r="A1238" i="2"/>
  <c r="B1237" i="2"/>
  <c r="C1237" i="2" s="1"/>
  <c r="D1237" i="2" s="1"/>
  <c r="E1238" i="2" l="1" a="1"/>
  <c r="E1238" i="2" s="1"/>
  <c r="F1238" i="2"/>
  <c r="A1239" i="2"/>
  <c r="B1238" i="2"/>
  <c r="C1238" i="2" s="1"/>
  <c r="D1238" i="2" s="1"/>
  <c r="J1237" i="2"/>
  <c r="K1237" i="2" s="1"/>
  <c r="G1237" i="2"/>
  <c r="H1234" i="2"/>
  <c r="I1234" i="2" s="1"/>
  <c r="E1239" i="2" l="1" a="1"/>
  <c r="E1239" i="2" s="1"/>
  <c r="H1235" i="2"/>
  <c r="I1235" i="2" s="1"/>
  <c r="F1239" i="2"/>
  <c r="A1240" i="2"/>
  <c r="B1239" i="2"/>
  <c r="C1239" i="2" s="1"/>
  <c r="D1239" i="2" s="1"/>
  <c r="J1238" i="2"/>
  <c r="K1238" i="2" s="1"/>
  <c r="G1238" i="2"/>
  <c r="E1240" i="2" l="1" a="1"/>
  <c r="E1240" i="2" s="1"/>
  <c r="A1241" i="2"/>
  <c r="B1240" i="2"/>
  <c r="C1240" i="2" s="1"/>
  <c r="D1240" i="2" s="1"/>
  <c r="F1240" i="2"/>
  <c r="J1239" i="2"/>
  <c r="K1239" i="2" s="1"/>
  <c r="G1239" i="2"/>
  <c r="H1236" i="2"/>
  <c r="I1236" i="2" s="1"/>
  <c r="E1241" i="2" l="1" a="1"/>
  <c r="E1241" i="2" s="1"/>
  <c r="H1237" i="2"/>
  <c r="I1237" i="2" s="1"/>
  <c r="G1240" i="2"/>
  <c r="J1240" i="2"/>
  <c r="K1240" i="2" s="1"/>
  <c r="F1241" i="2"/>
  <c r="A1242" i="2"/>
  <c r="B1241" i="2"/>
  <c r="C1241" i="2" s="1"/>
  <c r="D1241" i="2" s="1"/>
  <c r="E1242" i="2" l="1" a="1"/>
  <c r="E1242" i="2" s="1"/>
  <c r="F1242" i="2"/>
  <c r="A1243" i="2"/>
  <c r="B1242" i="2"/>
  <c r="C1242" i="2" s="1"/>
  <c r="D1242" i="2" s="1"/>
  <c r="G1241" i="2"/>
  <c r="J1241" i="2"/>
  <c r="K1241" i="2" s="1"/>
  <c r="H1238" i="2"/>
  <c r="I1238" i="2" s="1"/>
  <c r="E1243" i="2" l="1" a="1"/>
  <c r="E1243" i="2" s="1"/>
  <c r="H1239" i="2"/>
  <c r="I1239" i="2" s="1"/>
  <c r="A1244" i="2"/>
  <c r="B1243" i="2"/>
  <c r="C1243" i="2" s="1"/>
  <c r="D1243" i="2" s="1"/>
  <c r="F1243" i="2"/>
  <c r="J1242" i="2"/>
  <c r="K1242" i="2" s="1"/>
  <c r="G1242" i="2"/>
  <c r="E1244" i="2" l="1" a="1"/>
  <c r="E1244" i="2" s="1"/>
  <c r="J1243" i="2"/>
  <c r="K1243" i="2" s="1"/>
  <c r="G1243" i="2"/>
  <c r="A1245" i="2"/>
  <c r="B1244" i="2"/>
  <c r="C1244" i="2" s="1"/>
  <c r="D1244" i="2" s="1"/>
  <c r="F1244" i="2"/>
  <c r="H1240" i="2"/>
  <c r="I1240" i="2" s="1"/>
  <c r="E1245" i="2" l="1" a="1"/>
  <c r="E1245" i="2" s="1"/>
  <c r="H1241" i="2"/>
  <c r="I1241" i="2" s="1"/>
  <c r="G1244" i="2"/>
  <c r="J1244" i="2"/>
  <c r="K1244" i="2" s="1"/>
  <c r="A1246" i="2"/>
  <c r="B1245" i="2"/>
  <c r="C1245" i="2" s="1"/>
  <c r="D1245" i="2" s="1"/>
  <c r="F1245" i="2"/>
  <c r="E1246" i="2" l="1" a="1"/>
  <c r="E1246" i="2" s="1"/>
  <c r="J1245" i="2"/>
  <c r="K1245" i="2" s="1"/>
  <c r="G1245" i="2"/>
  <c r="A1247" i="2"/>
  <c r="B1246" i="2"/>
  <c r="C1246" i="2" s="1"/>
  <c r="D1246" i="2" s="1"/>
  <c r="F1246" i="2"/>
  <c r="H1242" i="2"/>
  <c r="I1242" i="2" s="1"/>
  <c r="E1247" i="2" l="1" a="1"/>
  <c r="E1247" i="2" s="1"/>
  <c r="H1243" i="2"/>
  <c r="I1243" i="2" s="1"/>
  <c r="J1246" i="2"/>
  <c r="K1246" i="2" s="1"/>
  <c r="G1246" i="2"/>
  <c r="A1248" i="2"/>
  <c r="B1247" i="2"/>
  <c r="C1247" i="2" s="1"/>
  <c r="D1247" i="2" s="1"/>
  <c r="F1247" i="2"/>
  <c r="E1248" i="2" l="1" a="1"/>
  <c r="E1248" i="2" s="1"/>
  <c r="J1247" i="2"/>
  <c r="K1247" i="2" s="1"/>
  <c r="G1247" i="2"/>
  <c r="A1249" i="2"/>
  <c r="F1248" i="2"/>
  <c r="B1248" i="2"/>
  <c r="C1248" i="2" s="1"/>
  <c r="D1248" i="2" s="1"/>
  <c r="H1244" i="2"/>
  <c r="I1244" i="2" s="1"/>
  <c r="E1249" i="2" l="1" a="1"/>
  <c r="E1249" i="2" s="1"/>
  <c r="H1245" i="2"/>
  <c r="I1245" i="2" s="1"/>
  <c r="J1248" i="2"/>
  <c r="K1248" i="2" s="1"/>
  <c r="G1248" i="2"/>
  <c r="F1249" i="2"/>
  <c r="A1250" i="2"/>
  <c r="B1249" i="2"/>
  <c r="C1249" i="2" s="1"/>
  <c r="D1249" i="2" s="1"/>
  <c r="E1250" i="2" l="1" a="1"/>
  <c r="E1250" i="2" s="1"/>
  <c r="F1250" i="2"/>
  <c r="A1251" i="2"/>
  <c r="B1250" i="2"/>
  <c r="C1250" i="2" s="1"/>
  <c r="D1250" i="2" s="1"/>
  <c r="J1249" i="2"/>
  <c r="K1249" i="2" s="1"/>
  <c r="G1249" i="2"/>
  <c r="H1246" i="2"/>
  <c r="I1246" i="2" s="1"/>
  <c r="E1251" i="2" l="1" a="1"/>
  <c r="E1251" i="2" s="1"/>
  <c r="H1247" i="2"/>
  <c r="I1247" i="2" s="1"/>
  <c r="F1251" i="2"/>
  <c r="A1252" i="2"/>
  <c r="B1251" i="2"/>
  <c r="C1251" i="2" s="1"/>
  <c r="D1251" i="2" s="1"/>
  <c r="J1250" i="2"/>
  <c r="K1250" i="2" s="1"/>
  <c r="G1250" i="2"/>
  <c r="E1252" i="2" l="1" a="1"/>
  <c r="E1252" i="2" s="1"/>
  <c r="F1252" i="2"/>
  <c r="A1253" i="2"/>
  <c r="B1252" i="2"/>
  <c r="C1252" i="2" s="1"/>
  <c r="D1252" i="2" s="1"/>
  <c r="J1251" i="2"/>
  <c r="K1251" i="2" s="1"/>
  <c r="G1251" i="2"/>
  <c r="H1248" i="2"/>
  <c r="I1248" i="2" s="1"/>
  <c r="E1253" i="2" l="1" a="1"/>
  <c r="E1253" i="2" s="1"/>
  <c r="E1254" i="2" a="1"/>
  <c r="E1254" i="2" s="1"/>
  <c r="H1249" i="2"/>
  <c r="I1249" i="2" s="1"/>
  <c r="F1253" i="2"/>
  <c r="A1254" i="2"/>
  <c r="B1253" i="2"/>
  <c r="C1253" i="2" s="1"/>
  <c r="D1253" i="2" s="1"/>
  <c r="J1252" i="2"/>
  <c r="K1252" i="2" s="1"/>
  <c r="G1252" i="2"/>
  <c r="F1254" i="2" l="1"/>
  <c r="A1255" i="2"/>
  <c r="B1254" i="2"/>
  <c r="C1254" i="2" s="1"/>
  <c r="D1254" i="2" s="1"/>
  <c r="J1253" i="2"/>
  <c r="K1253" i="2" s="1"/>
  <c r="G1253" i="2"/>
  <c r="H1250" i="2"/>
  <c r="I1250" i="2" s="1"/>
  <c r="E1255" i="2" l="1" a="1"/>
  <c r="E1255" i="2" s="1"/>
  <c r="H1251" i="2"/>
  <c r="I1251" i="2" s="1"/>
  <c r="F1255" i="2"/>
  <c r="A1256" i="2"/>
  <c r="B1255" i="2"/>
  <c r="C1255" i="2" s="1"/>
  <c r="D1255" i="2" s="1"/>
  <c r="J1254" i="2"/>
  <c r="K1254" i="2" s="1"/>
  <c r="G1254" i="2"/>
  <c r="E1256" i="2" l="1" a="1"/>
  <c r="E1256" i="2" s="1"/>
  <c r="F1256" i="2"/>
  <c r="A1257" i="2"/>
  <c r="B1256" i="2"/>
  <c r="C1256" i="2" s="1"/>
  <c r="D1256" i="2" s="1"/>
  <c r="G1255" i="2"/>
  <c r="J1255" i="2"/>
  <c r="K1255" i="2" s="1"/>
  <c r="H1252" i="2"/>
  <c r="I1252" i="2" s="1"/>
  <c r="E1257" i="2" l="1" a="1"/>
  <c r="E1257" i="2" s="1"/>
  <c r="H1253" i="2"/>
  <c r="I1253" i="2" s="1"/>
  <c r="F1257" i="2"/>
  <c r="A1258" i="2"/>
  <c r="B1257" i="2"/>
  <c r="C1257" i="2" s="1"/>
  <c r="D1257" i="2" s="1"/>
  <c r="G1256" i="2"/>
  <c r="J1256" i="2"/>
  <c r="K1256" i="2" s="1"/>
  <c r="E1258" i="2" l="1" a="1"/>
  <c r="E1258" i="2" s="1"/>
  <c r="F1258" i="2"/>
  <c r="A1259" i="2"/>
  <c r="B1258" i="2"/>
  <c r="C1258" i="2" s="1"/>
  <c r="D1258" i="2" s="1"/>
  <c r="G1257" i="2"/>
  <c r="J1257" i="2"/>
  <c r="K1257" i="2" s="1"/>
  <c r="H1254" i="2"/>
  <c r="I1254" i="2" s="1"/>
  <c r="E1259" i="2" l="1" a="1"/>
  <c r="E1259" i="2" s="1"/>
  <c r="H1255" i="2"/>
  <c r="I1255" i="2" s="1"/>
  <c r="A1260" i="2"/>
  <c r="B1259" i="2"/>
  <c r="C1259" i="2" s="1"/>
  <c r="D1259" i="2" s="1"/>
  <c r="F1259" i="2"/>
  <c r="J1258" i="2"/>
  <c r="K1258" i="2" s="1"/>
  <c r="G1258" i="2"/>
  <c r="E1260" i="2" l="1" a="1"/>
  <c r="E1260" i="2" s="1"/>
  <c r="J1259" i="2"/>
  <c r="K1259" i="2" s="1"/>
  <c r="G1259" i="2"/>
  <c r="A1261" i="2"/>
  <c r="B1260" i="2"/>
  <c r="C1260" i="2" s="1"/>
  <c r="D1260" i="2" s="1"/>
  <c r="F1260" i="2"/>
  <c r="H1256" i="2"/>
  <c r="I1256" i="2" s="1"/>
  <c r="E1261" i="2" l="1" a="1"/>
  <c r="E1261" i="2" s="1"/>
  <c r="H1257" i="2"/>
  <c r="I1257" i="2" s="1"/>
  <c r="J1260" i="2"/>
  <c r="K1260" i="2" s="1"/>
  <c r="G1260" i="2"/>
  <c r="A1262" i="2"/>
  <c r="B1261" i="2"/>
  <c r="C1261" i="2" s="1"/>
  <c r="D1261" i="2" s="1"/>
  <c r="F1261" i="2"/>
  <c r="E1262" i="2" l="1" a="1"/>
  <c r="E1262" i="2" s="1"/>
  <c r="J1261" i="2"/>
  <c r="K1261" i="2" s="1"/>
  <c r="G1261" i="2"/>
  <c r="A1263" i="2"/>
  <c r="B1262" i="2"/>
  <c r="C1262" i="2" s="1"/>
  <c r="D1262" i="2" s="1"/>
  <c r="F1262" i="2"/>
  <c r="H1258" i="2"/>
  <c r="I1258" i="2" s="1"/>
  <c r="E1263" i="2" l="1" a="1"/>
  <c r="E1263" i="2" s="1"/>
  <c r="H1259" i="2"/>
  <c r="I1259" i="2" s="1"/>
  <c r="J1262" i="2"/>
  <c r="K1262" i="2" s="1"/>
  <c r="G1262" i="2"/>
  <c r="A1264" i="2"/>
  <c r="B1263" i="2"/>
  <c r="C1263" i="2" s="1"/>
  <c r="D1263" i="2" s="1"/>
  <c r="F1263" i="2"/>
  <c r="E1264" i="2" l="1" a="1"/>
  <c r="E1264" i="2" s="1"/>
  <c r="J1263" i="2"/>
  <c r="K1263" i="2" s="1"/>
  <c r="G1263" i="2"/>
  <c r="F1264" i="2"/>
  <c r="A1265" i="2"/>
  <c r="B1264" i="2"/>
  <c r="C1264" i="2" s="1"/>
  <c r="D1264" i="2" s="1"/>
  <c r="H1260" i="2"/>
  <c r="I1260" i="2" s="1"/>
  <c r="E1265" i="2" l="1" a="1"/>
  <c r="E1265" i="2" s="1"/>
  <c r="H1261" i="2"/>
  <c r="I1261" i="2" s="1"/>
  <c r="F1265" i="2"/>
  <c r="B1265" i="2"/>
  <c r="C1265" i="2" s="1"/>
  <c r="D1265" i="2" s="1"/>
  <c r="A1266" i="2"/>
  <c r="J1264" i="2"/>
  <c r="K1264" i="2" s="1"/>
  <c r="G1264" i="2"/>
  <c r="E1266" i="2" l="1" a="1"/>
  <c r="E1266" i="2" s="1"/>
  <c r="F1266" i="2"/>
  <c r="A1267" i="2"/>
  <c r="B1266" i="2"/>
  <c r="C1266" i="2" s="1"/>
  <c r="D1266" i="2" s="1"/>
  <c r="J1265" i="2"/>
  <c r="K1265" i="2" s="1"/>
  <c r="G1265" i="2"/>
  <c r="H1262" i="2"/>
  <c r="I1262" i="2" s="1"/>
  <c r="E1267" i="2" l="1" a="1"/>
  <c r="E1267" i="2" s="1"/>
  <c r="H1263" i="2"/>
  <c r="I1263" i="2" s="1"/>
  <c r="F1267" i="2"/>
  <c r="A1268" i="2"/>
  <c r="B1267" i="2"/>
  <c r="C1267" i="2" s="1"/>
  <c r="D1267" i="2" s="1"/>
  <c r="J1266" i="2"/>
  <c r="K1266" i="2" s="1"/>
  <c r="G1266" i="2"/>
  <c r="E1268" i="2" l="1" a="1"/>
  <c r="E1268" i="2" s="1"/>
  <c r="F1268" i="2"/>
  <c r="A1269" i="2"/>
  <c r="B1268" i="2"/>
  <c r="C1268" i="2" s="1"/>
  <c r="D1268" i="2" s="1"/>
  <c r="J1267" i="2"/>
  <c r="K1267" i="2" s="1"/>
  <c r="G1267" i="2"/>
  <c r="H1264" i="2"/>
  <c r="I1264" i="2" s="1"/>
  <c r="E1269" i="2" l="1" a="1"/>
  <c r="E1269" i="2" s="1"/>
  <c r="H1265" i="2"/>
  <c r="I1265" i="2" s="1"/>
  <c r="F1269" i="2"/>
  <c r="A1270" i="2"/>
  <c r="B1269" i="2"/>
  <c r="C1269" i="2" s="1"/>
  <c r="D1269" i="2" s="1"/>
  <c r="J1268" i="2"/>
  <c r="K1268" i="2" s="1"/>
  <c r="G1268" i="2"/>
  <c r="E1270" i="2" l="1" a="1"/>
  <c r="E1270" i="2" s="1"/>
  <c r="F1270" i="2"/>
  <c r="A1271" i="2"/>
  <c r="B1270" i="2"/>
  <c r="C1270" i="2" s="1"/>
  <c r="D1270" i="2" s="1"/>
  <c r="J1269" i="2"/>
  <c r="K1269" i="2" s="1"/>
  <c r="G1269" i="2"/>
  <c r="H1266" i="2"/>
  <c r="I1266" i="2" s="1"/>
  <c r="E1271" i="2" l="1" a="1"/>
  <c r="E1271" i="2" s="1"/>
  <c r="H1267" i="2"/>
  <c r="I1267" i="2" s="1"/>
  <c r="F1271" i="2"/>
  <c r="A1272" i="2"/>
  <c r="B1271" i="2"/>
  <c r="C1271" i="2" s="1"/>
  <c r="D1271" i="2" s="1"/>
  <c r="J1270" i="2"/>
  <c r="K1270" i="2" s="1"/>
  <c r="G1270" i="2"/>
  <c r="E1272" i="2" l="1" a="1"/>
  <c r="E1272" i="2" s="1"/>
  <c r="F1272" i="2"/>
  <c r="A1273" i="2"/>
  <c r="B1272" i="2"/>
  <c r="C1272" i="2" s="1"/>
  <c r="D1272" i="2" s="1"/>
  <c r="G1271" i="2"/>
  <c r="J1271" i="2"/>
  <c r="K1271" i="2" s="1"/>
  <c r="H1268" i="2"/>
  <c r="I1268" i="2" s="1"/>
  <c r="E1273" i="2" l="1" a="1"/>
  <c r="E1273" i="2" s="1"/>
  <c r="H1269" i="2"/>
  <c r="I1269" i="2" s="1"/>
  <c r="F1273" i="2"/>
  <c r="A1274" i="2"/>
  <c r="B1273" i="2"/>
  <c r="C1273" i="2" s="1"/>
  <c r="D1273" i="2" s="1"/>
  <c r="G1272" i="2"/>
  <c r="J1272" i="2"/>
  <c r="K1272" i="2" s="1"/>
  <c r="E1274" i="2" l="1" a="1"/>
  <c r="E1274" i="2" s="1"/>
  <c r="F1274" i="2"/>
  <c r="A1275" i="2"/>
  <c r="B1274" i="2"/>
  <c r="C1274" i="2" s="1"/>
  <c r="D1274" i="2" s="1"/>
  <c r="G1273" i="2"/>
  <c r="J1273" i="2"/>
  <c r="K1273" i="2" s="1"/>
  <c r="H1270" i="2"/>
  <c r="I1270" i="2" s="1"/>
  <c r="E1275" i="2" l="1" a="1"/>
  <c r="E1275" i="2" s="1"/>
  <c r="H1271" i="2"/>
  <c r="I1271" i="2" s="1"/>
  <c r="A1276" i="2"/>
  <c r="B1275" i="2"/>
  <c r="C1275" i="2" s="1"/>
  <c r="D1275" i="2" s="1"/>
  <c r="F1275" i="2"/>
  <c r="J1274" i="2"/>
  <c r="K1274" i="2" s="1"/>
  <c r="G1274" i="2"/>
  <c r="E1276" i="2" l="1" a="1"/>
  <c r="E1276" i="2" s="1"/>
  <c r="J1275" i="2"/>
  <c r="K1275" i="2" s="1"/>
  <c r="G1275" i="2"/>
  <c r="A1277" i="2"/>
  <c r="B1276" i="2"/>
  <c r="C1276" i="2" s="1"/>
  <c r="D1276" i="2" s="1"/>
  <c r="F1276" i="2"/>
  <c r="H1272" i="2"/>
  <c r="I1272" i="2" s="1"/>
  <c r="E1277" i="2" l="1" a="1"/>
  <c r="E1277" i="2" s="1"/>
  <c r="H1273" i="2"/>
  <c r="I1273" i="2" s="1"/>
  <c r="J1276" i="2"/>
  <c r="K1276" i="2" s="1"/>
  <c r="G1276" i="2"/>
  <c r="A1278" i="2"/>
  <c r="B1277" i="2"/>
  <c r="C1277" i="2" s="1"/>
  <c r="D1277" i="2" s="1"/>
  <c r="F1277" i="2"/>
  <c r="E1278" i="2" l="1" a="1"/>
  <c r="E1278" i="2" s="1"/>
  <c r="J1277" i="2"/>
  <c r="K1277" i="2" s="1"/>
  <c r="G1277" i="2"/>
  <c r="A1279" i="2"/>
  <c r="B1278" i="2"/>
  <c r="C1278" i="2" s="1"/>
  <c r="D1278" i="2" s="1"/>
  <c r="F1278" i="2"/>
  <c r="H1274" i="2"/>
  <c r="I1274" i="2" s="1"/>
  <c r="E1279" i="2" l="1" a="1"/>
  <c r="E1279" i="2" s="1"/>
  <c r="H1275" i="2"/>
  <c r="I1275" i="2" s="1"/>
  <c r="J1278" i="2"/>
  <c r="K1278" i="2" s="1"/>
  <c r="G1278" i="2"/>
  <c r="A1280" i="2"/>
  <c r="B1279" i="2"/>
  <c r="C1279" i="2" s="1"/>
  <c r="D1279" i="2" s="1"/>
  <c r="F1279" i="2"/>
  <c r="E1280" i="2" l="1" a="1"/>
  <c r="E1280" i="2" s="1"/>
  <c r="J1279" i="2"/>
  <c r="K1279" i="2" s="1"/>
  <c r="G1279" i="2"/>
  <c r="F1280" i="2"/>
  <c r="B1280" i="2"/>
  <c r="C1280" i="2" s="1"/>
  <c r="D1280" i="2" s="1"/>
  <c r="A1281" i="2"/>
  <c r="H1276" i="2"/>
  <c r="I1276" i="2" s="1"/>
  <c r="E1281" i="2" l="1" a="1"/>
  <c r="E1281" i="2" s="1"/>
  <c r="H1277" i="2"/>
  <c r="I1277" i="2" s="1"/>
  <c r="F1281" i="2"/>
  <c r="A1282" i="2"/>
  <c r="B1281" i="2"/>
  <c r="C1281" i="2" s="1"/>
  <c r="D1281" i="2" s="1"/>
  <c r="J1280" i="2"/>
  <c r="K1280" i="2" s="1"/>
  <c r="G1280" i="2"/>
  <c r="E1282" i="2" l="1" a="1"/>
  <c r="E1282" i="2" s="1"/>
  <c r="F1282" i="2"/>
  <c r="A1283" i="2"/>
  <c r="B1282" i="2"/>
  <c r="C1282" i="2" s="1"/>
  <c r="D1282" i="2" s="1"/>
  <c r="J1281" i="2"/>
  <c r="K1281" i="2" s="1"/>
  <c r="G1281" i="2"/>
  <c r="H1278" i="2"/>
  <c r="I1278" i="2" s="1"/>
  <c r="E1283" i="2" l="1" a="1"/>
  <c r="E1283" i="2" s="1"/>
  <c r="H1279" i="2"/>
  <c r="I1279" i="2" s="1"/>
  <c r="F1283" i="2"/>
  <c r="A1284" i="2"/>
  <c r="B1283" i="2"/>
  <c r="C1283" i="2" s="1"/>
  <c r="D1283" i="2" s="1"/>
  <c r="J1282" i="2"/>
  <c r="K1282" i="2" s="1"/>
  <c r="G1282" i="2"/>
  <c r="E1284" i="2" l="1" a="1"/>
  <c r="E1284" i="2" s="1"/>
  <c r="F1284" i="2"/>
  <c r="A1285" i="2"/>
  <c r="B1284" i="2"/>
  <c r="C1284" i="2" s="1"/>
  <c r="D1284" i="2" s="1"/>
  <c r="J1283" i="2"/>
  <c r="K1283" i="2" s="1"/>
  <c r="G1283" i="2"/>
  <c r="H1280" i="2"/>
  <c r="I1280" i="2" s="1"/>
  <c r="E1285" i="2" l="1" a="1"/>
  <c r="E1285" i="2" s="1"/>
  <c r="H1281" i="2"/>
  <c r="I1281" i="2" s="1"/>
  <c r="F1285" i="2"/>
  <c r="A1286" i="2"/>
  <c r="B1285" i="2"/>
  <c r="C1285" i="2" s="1"/>
  <c r="D1285" i="2" s="1"/>
  <c r="J1284" i="2"/>
  <c r="K1284" i="2" s="1"/>
  <c r="G1284" i="2"/>
  <c r="E1286" i="2" l="1" a="1"/>
  <c r="E1286" i="2" s="1"/>
  <c r="F1286" i="2"/>
  <c r="A1287" i="2"/>
  <c r="B1286" i="2"/>
  <c r="C1286" i="2" s="1"/>
  <c r="D1286" i="2" s="1"/>
  <c r="J1285" i="2"/>
  <c r="K1285" i="2" s="1"/>
  <c r="G1285" i="2"/>
  <c r="H1282" i="2"/>
  <c r="I1282" i="2" s="1"/>
  <c r="E1287" i="2" l="1" a="1"/>
  <c r="E1287" i="2" s="1"/>
  <c r="H1283" i="2"/>
  <c r="I1283" i="2" s="1"/>
  <c r="F1287" i="2"/>
  <c r="A1288" i="2"/>
  <c r="B1287" i="2"/>
  <c r="C1287" i="2" s="1"/>
  <c r="D1287" i="2" s="1"/>
  <c r="J1286" i="2"/>
  <c r="K1286" i="2" s="1"/>
  <c r="G1286" i="2"/>
  <c r="E1288" i="2" l="1" a="1"/>
  <c r="E1288" i="2" s="1"/>
  <c r="F1288" i="2"/>
  <c r="A1289" i="2"/>
  <c r="B1288" i="2"/>
  <c r="C1288" i="2" s="1"/>
  <c r="D1288" i="2" s="1"/>
  <c r="G1287" i="2"/>
  <c r="J1287" i="2"/>
  <c r="K1287" i="2" s="1"/>
  <c r="H1284" i="2"/>
  <c r="I1284" i="2" s="1"/>
  <c r="E1289" i="2" l="1" a="1"/>
  <c r="E1289" i="2" s="1"/>
  <c r="H1285" i="2"/>
  <c r="I1285" i="2" s="1"/>
  <c r="F1289" i="2"/>
  <c r="A1290" i="2"/>
  <c r="B1289" i="2"/>
  <c r="C1289" i="2" s="1"/>
  <c r="D1289" i="2" s="1"/>
  <c r="G1288" i="2"/>
  <c r="J1288" i="2"/>
  <c r="K1288" i="2" s="1"/>
  <c r="E1290" i="2" l="1" a="1"/>
  <c r="E1290" i="2" s="1"/>
  <c r="F1290" i="2"/>
  <c r="A1291" i="2"/>
  <c r="B1290" i="2"/>
  <c r="C1290" i="2" s="1"/>
  <c r="D1290" i="2" s="1"/>
  <c r="G1289" i="2"/>
  <c r="J1289" i="2"/>
  <c r="K1289" i="2" s="1"/>
  <c r="H1286" i="2"/>
  <c r="I1286" i="2" s="1"/>
  <c r="E1291" i="2" l="1" a="1"/>
  <c r="E1291" i="2" s="1"/>
  <c r="H1287" i="2"/>
  <c r="I1287" i="2" s="1"/>
  <c r="A1292" i="2"/>
  <c r="B1291" i="2"/>
  <c r="C1291" i="2" s="1"/>
  <c r="D1291" i="2" s="1"/>
  <c r="F1291" i="2"/>
  <c r="J1290" i="2"/>
  <c r="K1290" i="2" s="1"/>
  <c r="G1290" i="2"/>
  <c r="E1292" i="2" l="1" a="1"/>
  <c r="E1292" i="2" s="1"/>
  <c r="J1291" i="2"/>
  <c r="K1291" i="2" s="1"/>
  <c r="G1291" i="2"/>
  <c r="A1293" i="2"/>
  <c r="B1292" i="2"/>
  <c r="C1292" i="2" s="1"/>
  <c r="D1292" i="2" s="1"/>
  <c r="F1292" i="2"/>
  <c r="H1288" i="2"/>
  <c r="I1288" i="2" s="1"/>
  <c r="E1293" i="2" l="1" a="1"/>
  <c r="E1293" i="2" s="1"/>
  <c r="H1289" i="2"/>
  <c r="I1289" i="2" s="1"/>
  <c r="J1292" i="2"/>
  <c r="K1292" i="2" s="1"/>
  <c r="G1292" i="2"/>
  <c r="A1294" i="2"/>
  <c r="B1293" i="2"/>
  <c r="C1293" i="2" s="1"/>
  <c r="D1293" i="2" s="1"/>
  <c r="F1293" i="2"/>
  <c r="E1294" i="2" l="1" a="1"/>
  <c r="E1294" i="2" s="1"/>
  <c r="J1293" i="2"/>
  <c r="K1293" i="2" s="1"/>
  <c r="G1293" i="2"/>
  <c r="A1295" i="2"/>
  <c r="B1294" i="2"/>
  <c r="C1294" i="2" s="1"/>
  <c r="D1294" i="2" s="1"/>
  <c r="F1294" i="2"/>
  <c r="H1290" i="2"/>
  <c r="I1290" i="2" s="1"/>
  <c r="E1295" i="2" l="1" a="1"/>
  <c r="E1295" i="2" s="1"/>
  <c r="H1291" i="2"/>
  <c r="I1291" i="2" s="1"/>
  <c r="J1294" i="2"/>
  <c r="K1294" i="2" s="1"/>
  <c r="G1294" i="2"/>
  <c r="A1296" i="2"/>
  <c r="B1295" i="2"/>
  <c r="C1295" i="2" s="1"/>
  <c r="D1295" i="2" s="1"/>
  <c r="F1295" i="2"/>
  <c r="E1296" i="2" l="1" a="1"/>
  <c r="E1296" i="2" s="1"/>
  <c r="J1295" i="2"/>
  <c r="K1295" i="2" s="1"/>
  <c r="G1295" i="2"/>
  <c r="F1296" i="2"/>
  <c r="A1297" i="2"/>
  <c r="B1296" i="2"/>
  <c r="C1296" i="2" s="1"/>
  <c r="D1296" i="2" s="1"/>
  <c r="H1292" i="2"/>
  <c r="I1292" i="2" s="1"/>
  <c r="E1297" i="2" l="1" a="1"/>
  <c r="E1297" i="2" s="1"/>
  <c r="H1293" i="2"/>
  <c r="I1293" i="2" s="1"/>
  <c r="F1297" i="2"/>
  <c r="A1298" i="2"/>
  <c r="B1297" i="2"/>
  <c r="C1297" i="2" s="1"/>
  <c r="D1297" i="2" s="1"/>
  <c r="J1296" i="2"/>
  <c r="K1296" i="2" s="1"/>
  <c r="G1296" i="2"/>
  <c r="E1298" i="2" l="1" a="1"/>
  <c r="E1298" i="2" s="1"/>
  <c r="F1298" i="2"/>
  <c r="A1299" i="2"/>
  <c r="B1298" i="2"/>
  <c r="C1298" i="2" s="1"/>
  <c r="D1298" i="2" s="1"/>
  <c r="J1297" i="2"/>
  <c r="K1297" i="2" s="1"/>
  <c r="G1297" i="2"/>
  <c r="H1294" i="2"/>
  <c r="I1294" i="2" s="1"/>
  <c r="E1299" i="2" l="1" a="1"/>
  <c r="E1299" i="2" s="1"/>
  <c r="H1295" i="2"/>
  <c r="I1295" i="2" s="1"/>
  <c r="F1299" i="2"/>
  <c r="A1300" i="2"/>
  <c r="B1299" i="2"/>
  <c r="C1299" i="2" s="1"/>
  <c r="D1299" i="2" s="1"/>
  <c r="J1298" i="2"/>
  <c r="K1298" i="2" s="1"/>
  <c r="G1298" i="2"/>
  <c r="E1300" i="2" l="1" a="1"/>
  <c r="E1300" i="2" s="1"/>
  <c r="F1300" i="2"/>
  <c r="A1301" i="2"/>
  <c r="B1300" i="2"/>
  <c r="C1300" i="2" s="1"/>
  <c r="D1300" i="2" s="1"/>
  <c r="J1299" i="2"/>
  <c r="K1299" i="2" s="1"/>
  <c r="G1299" i="2"/>
  <c r="H1296" i="2"/>
  <c r="I1296" i="2" s="1"/>
  <c r="E1301" i="2" l="1" a="1"/>
  <c r="E1301" i="2" s="1"/>
  <c r="H1297" i="2"/>
  <c r="I1297" i="2" s="1"/>
  <c r="F1301" i="2"/>
  <c r="A1302" i="2"/>
  <c r="B1301" i="2"/>
  <c r="C1301" i="2" s="1"/>
  <c r="D1301" i="2" s="1"/>
  <c r="J1300" i="2"/>
  <c r="K1300" i="2" s="1"/>
  <c r="G1300" i="2"/>
  <c r="E1302" i="2" l="1" a="1"/>
  <c r="E1302" i="2" s="1"/>
  <c r="F1302" i="2"/>
  <c r="A1303" i="2"/>
  <c r="B1302" i="2"/>
  <c r="C1302" i="2" s="1"/>
  <c r="D1302" i="2" s="1"/>
  <c r="J1301" i="2"/>
  <c r="K1301" i="2" s="1"/>
  <c r="G1301" i="2"/>
  <c r="H1298" i="2"/>
  <c r="I1298" i="2" s="1"/>
  <c r="E1303" i="2" l="1" a="1"/>
  <c r="E1303" i="2" s="1"/>
  <c r="H1299" i="2"/>
  <c r="I1299" i="2" s="1"/>
  <c r="F1303" i="2"/>
  <c r="A1304" i="2"/>
  <c r="B1303" i="2"/>
  <c r="C1303" i="2" s="1"/>
  <c r="D1303" i="2" s="1"/>
  <c r="J1302" i="2"/>
  <c r="K1302" i="2" s="1"/>
  <c r="G1302" i="2"/>
  <c r="E1304" i="2" l="1" a="1"/>
  <c r="E1304" i="2" s="1"/>
  <c r="F1304" i="2"/>
  <c r="A1305" i="2"/>
  <c r="B1304" i="2"/>
  <c r="C1304" i="2" s="1"/>
  <c r="D1304" i="2" s="1"/>
  <c r="G1303" i="2"/>
  <c r="J1303" i="2"/>
  <c r="K1303" i="2" s="1"/>
  <c r="H1300" i="2"/>
  <c r="I1300" i="2" s="1"/>
  <c r="E1305" i="2" l="1" a="1"/>
  <c r="E1305" i="2" s="1"/>
  <c r="H1301" i="2"/>
  <c r="I1301" i="2" s="1"/>
  <c r="F1305" i="2"/>
  <c r="A1306" i="2"/>
  <c r="B1305" i="2"/>
  <c r="C1305" i="2" s="1"/>
  <c r="D1305" i="2" s="1"/>
  <c r="G1304" i="2"/>
  <c r="J1304" i="2"/>
  <c r="K1304" i="2" s="1"/>
  <c r="E1306" i="2" l="1" a="1"/>
  <c r="E1306" i="2" s="1"/>
  <c r="F1306" i="2"/>
  <c r="A1307" i="2"/>
  <c r="B1306" i="2"/>
  <c r="C1306" i="2" s="1"/>
  <c r="D1306" i="2" s="1"/>
  <c r="G1305" i="2"/>
  <c r="J1305" i="2"/>
  <c r="K1305" i="2" s="1"/>
  <c r="H1302" i="2"/>
  <c r="I1302" i="2" s="1"/>
  <c r="E1307" i="2" l="1" a="1"/>
  <c r="E1307" i="2" s="1"/>
  <c r="H1303" i="2"/>
  <c r="I1303" i="2" s="1"/>
  <c r="A1308" i="2"/>
  <c r="B1307" i="2"/>
  <c r="C1307" i="2" s="1"/>
  <c r="D1307" i="2" s="1"/>
  <c r="F1307" i="2"/>
  <c r="J1306" i="2"/>
  <c r="K1306" i="2" s="1"/>
  <c r="G1306" i="2"/>
  <c r="E1308" i="2" l="1" a="1"/>
  <c r="E1308" i="2" s="1"/>
  <c r="J1307" i="2"/>
  <c r="K1307" i="2" s="1"/>
  <c r="G1307" i="2"/>
  <c r="A1309" i="2"/>
  <c r="B1308" i="2"/>
  <c r="C1308" i="2" s="1"/>
  <c r="D1308" i="2" s="1"/>
  <c r="F1308" i="2"/>
  <c r="H1304" i="2"/>
  <c r="I1304" i="2" s="1"/>
  <c r="E1309" i="2" l="1" a="1"/>
  <c r="E1309" i="2" s="1"/>
  <c r="H1305" i="2"/>
  <c r="I1305" i="2" s="1"/>
  <c r="J1308" i="2"/>
  <c r="K1308" i="2" s="1"/>
  <c r="G1308" i="2"/>
  <c r="A1310" i="2"/>
  <c r="B1309" i="2"/>
  <c r="C1309" i="2" s="1"/>
  <c r="D1309" i="2" s="1"/>
  <c r="F1309" i="2"/>
  <c r="E1310" i="2" l="1" a="1"/>
  <c r="E1310" i="2" s="1"/>
  <c r="J1309" i="2"/>
  <c r="K1309" i="2" s="1"/>
  <c r="G1309" i="2"/>
  <c r="A1311" i="2"/>
  <c r="B1310" i="2"/>
  <c r="C1310" i="2" s="1"/>
  <c r="D1310" i="2" s="1"/>
  <c r="F1310" i="2"/>
  <c r="H1306" i="2"/>
  <c r="I1306" i="2" s="1"/>
  <c r="E1311" i="2" l="1" a="1"/>
  <c r="E1311" i="2" s="1"/>
  <c r="H1307" i="2"/>
  <c r="I1307" i="2" s="1"/>
  <c r="J1310" i="2"/>
  <c r="K1310" i="2" s="1"/>
  <c r="G1310" i="2"/>
  <c r="A1312" i="2"/>
  <c r="B1311" i="2"/>
  <c r="C1311" i="2" s="1"/>
  <c r="D1311" i="2" s="1"/>
  <c r="F1311" i="2"/>
  <c r="E1312" i="2" l="1" a="1"/>
  <c r="E1312" i="2" s="1"/>
  <c r="J1311" i="2"/>
  <c r="K1311" i="2" s="1"/>
  <c r="G1311" i="2"/>
  <c r="F1312" i="2"/>
  <c r="A1313" i="2"/>
  <c r="B1312" i="2"/>
  <c r="C1312" i="2" s="1"/>
  <c r="D1312" i="2" s="1"/>
  <c r="H1308" i="2"/>
  <c r="I1308" i="2" s="1"/>
  <c r="E1313" i="2" l="1" a="1"/>
  <c r="E1313" i="2" s="1"/>
  <c r="H1309" i="2"/>
  <c r="I1309" i="2" s="1"/>
  <c r="F1313" i="2"/>
  <c r="A1314" i="2"/>
  <c r="B1313" i="2"/>
  <c r="C1313" i="2" s="1"/>
  <c r="D1313" i="2" s="1"/>
  <c r="J1312" i="2"/>
  <c r="K1312" i="2" s="1"/>
  <c r="G1312" i="2"/>
  <c r="E1314" i="2" l="1" a="1"/>
  <c r="E1314" i="2" s="1"/>
  <c r="F1314" i="2"/>
  <c r="A1315" i="2"/>
  <c r="B1314" i="2"/>
  <c r="C1314" i="2" s="1"/>
  <c r="D1314" i="2" s="1"/>
  <c r="J1313" i="2"/>
  <c r="K1313" i="2" s="1"/>
  <c r="G1313" i="2"/>
  <c r="H1310" i="2"/>
  <c r="I1310" i="2" s="1"/>
  <c r="E1315" i="2" l="1" a="1"/>
  <c r="E1315" i="2" s="1"/>
  <c r="H1311" i="2"/>
  <c r="I1311" i="2" s="1"/>
  <c r="F1315" i="2"/>
  <c r="A1316" i="2"/>
  <c r="B1315" i="2"/>
  <c r="C1315" i="2" s="1"/>
  <c r="D1315" i="2" s="1"/>
  <c r="J1314" i="2"/>
  <c r="K1314" i="2" s="1"/>
  <c r="G1314" i="2"/>
  <c r="E1316" i="2" l="1" a="1"/>
  <c r="E1316" i="2" s="1"/>
  <c r="F1316" i="2"/>
  <c r="A1317" i="2"/>
  <c r="B1316" i="2"/>
  <c r="C1316" i="2" s="1"/>
  <c r="D1316" i="2" s="1"/>
  <c r="J1315" i="2"/>
  <c r="K1315" i="2" s="1"/>
  <c r="G1315" i="2"/>
  <c r="H1312" i="2"/>
  <c r="I1312" i="2" s="1"/>
  <c r="E1317" i="2" l="1" a="1"/>
  <c r="E1317" i="2" s="1"/>
  <c r="H1313" i="2"/>
  <c r="I1313" i="2" s="1"/>
  <c r="F1317" i="2"/>
  <c r="A1318" i="2"/>
  <c r="B1317" i="2"/>
  <c r="C1317" i="2" s="1"/>
  <c r="D1317" i="2" s="1"/>
  <c r="J1316" i="2"/>
  <c r="K1316" i="2" s="1"/>
  <c r="G1316" i="2"/>
  <c r="E1318" i="2" l="1" a="1"/>
  <c r="E1318" i="2" s="1"/>
  <c r="F1318" i="2"/>
  <c r="A1319" i="2"/>
  <c r="B1318" i="2"/>
  <c r="C1318" i="2" s="1"/>
  <c r="D1318" i="2" s="1"/>
  <c r="J1317" i="2"/>
  <c r="K1317" i="2" s="1"/>
  <c r="G1317" i="2"/>
  <c r="H1314" i="2"/>
  <c r="I1314" i="2" s="1"/>
  <c r="E1319" i="2" l="1" a="1"/>
  <c r="E1319" i="2" s="1"/>
  <c r="H1315" i="2"/>
  <c r="I1315" i="2" s="1"/>
  <c r="F1319" i="2"/>
  <c r="A1320" i="2"/>
  <c r="B1319" i="2"/>
  <c r="C1319" i="2" s="1"/>
  <c r="D1319" i="2" s="1"/>
  <c r="J1318" i="2"/>
  <c r="K1318" i="2" s="1"/>
  <c r="G1318" i="2"/>
  <c r="E1320" i="2" l="1" a="1"/>
  <c r="E1320" i="2" s="1"/>
  <c r="F1320" i="2"/>
  <c r="A1321" i="2"/>
  <c r="B1320" i="2"/>
  <c r="C1320" i="2" s="1"/>
  <c r="D1320" i="2" s="1"/>
  <c r="G1319" i="2"/>
  <c r="J1319" i="2"/>
  <c r="K1319" i="2" s="1"/>
  <c r="H1316" i="2"/>
  <c r="I1316" i="2" s="1"/>
  <c r="E1321" i="2" l="1" a="1"/>
  <c r="E1321" i="2" s="1"/>
  <c r="H1317" i="2"/>
  <c r="I1317" i="2" s="1"/>
  <c r="F1321" i="2"/>
  <c r="A1322" i="2"/>
  <c r="B1321" i="2"/>
  <c r="C1321" i="2" s="1"/>
  <c r="D1321" i="2" s="1"/>
  <c r="G1320" i="2"/>
  <c r="J1320" i="2"/>
  <c r="K1320" i="2" s="1"/>
  <c r="E1322" i="2" l="1" a="1"/>
  <c r="E1322" i="2" s="1"/>
  <c r="F1322" i="2"/>
  <c r="A1323" i="2"/>
  <c r="B1322" i="2"/>
  <c r="C1322" i="2" s="1"/>
  <c r="D1322" i="2" s="1"/>
  <c r="G1321" i="2"/>
  <c r="J1321" i="2"/>
  <c r="K1321" i="2" s="1"/>
  <c r="H1318" i="2"/>
  <c r="I1318" i="2" s="1"/>
  <c r="E1323" i="2" l="1" a="1"/>
  <c r="E1323" i="2" s="1"/>
  <c r="H1319" i="2"/>
  <c r="I1319" i="2" s="1"/>
  <c r="A1324" i="2"/>
  <c r="B1323" i="2"/>
  <c r="C1323" i="2" s="1"/>
  <c r="D1323" i="2" s="1"/>
  <c r="F1323" i="2"/>
  <c r="J1322" i="2"/>
  <c r="K1322" i="2" s="1"/>
  <c r="G1322" i="2"/>
  <c r="E1324" i="2" l="1" a="1"/>
  <c r="E1324" i="2" s="1"/>
  <c r="J1323" i="2"/>
  <c r="K1323" i="2" s="1"/>
  <c r="G1323" i="2"/>
  <c r="A1325" i="2"/>
  <c r="B1324" i="2"/>
  <c r="C1324" i="2" s="1"/>
  <c r="D1324" i="2" s="1"/>
  <c r="F1324" i="2"/>
  <c r="H1320" i="2"/>
  <c r="I1320" i="2" s="1"/>
  <c r="E1325" i="2" l="1" a="1"/>
  <c r="E1325" i="2" s="1"/>
  <c r="H1321" i="2"/>
  <c r="I1321" i="2" s="1"/>
  <c r="J1324" i="2"/>
  <c r="K1324" i="2" s="1"/>
  <c r="G1324" i="2"/>
  <c r="A1326" i="2"/>
  <c r="B1325" i="2"/>
  <c r="C1325" i="2" s="1"/>
  <c r="D1325" i="2" s="1"/>
  <c r="F1325" i="2"/>
  <c r="E1326" i="2" l="1" a="1"/>
  <c r="E1326" i="2" s="1"/>
  <c r="J1325" i="2"/>
  <c r="K1325" i="2" s="1"/>
  <c r="G1325" i="2"/>
  <c r="A1327" i="2"/>
  <c r="B1326" i="2"/>
  <c r="C1326" i="2" s="1"/>
  <c r="D1326" i="2" s="1"/>
  <c r="F1326" i="2"/>
  <c r="H1322" i="2"/>
  <c r="I1322" i="2" s="1"/>
  <c r="E1327" i="2" l="1" a="1"/>
  <c r="E1327" i="2" s="1"/>
  <c r="H1323" i="2"/>
  <c r="I1323" i="2" s="1"/>
  <c r="J1326" i="2"/>
  <c r="K1326" i="2" s="1"/>
  <c r="G1326" i="2"/>
  <c r="A1328" i="2"/>
  <c r="B1327" i="2"/>
  <c r="C1327" i="2" s="1"/>
  <c r="D1327" i="2" s="1"/>
  <c r="F1327" i="2"/>
  <c r="E1328" i="2" l="1" a="1"/>
  <c r="E1328" i="2" s="1"/>
  <c r="J1327" i="2"/>
  <c r="K1327" i="2" s="1"/>
  <c r="G1327" i="2"/>
  <c r="A1329" i="2"/>
  <c r="F1328" i="2"/>
  <c r="B1328" i="2"/>
  <c r="C1328" i="2" s="1"/>
  <c r="D1328" i="2" s="1"/>
  <c r="H1324" i="2"/>
  <c r="I1324" i="2" s="1"/>
  <c r="E1329" i="2" l="1" a="1"/>
  <c r="E1329" i="2" s="1"/>
  <c r="H1325" i="2"/>
  <c r="I1325" i="2" s="1"/>
  <c r="J1328" i="2"/>
  <c r="K1328" i="2" s="1"/>
  <c r="G1328" i="2"/>
  <c r="A1330" i="2"/>
  <c r="F1329" i="2"/>
  <c r="B1329" i="2"/>
  <c r="C1329" i="2" s="1"/>
  <c r="D1329" i="2" s="1"/>
  <c r="E1330" i="2" l="1" a="1"/>
  <c r="E1330" i="2" s="1"/>
  <c r="J1329" i="2"/>
  <c r="K1329" i="2" s="1"/>
  <c r="G1329" i="2"/>
  <c r="A1331" i="2"/>
  <c r="F1330" i="2"/>
  <c r="B1330" i="2"/>
  <c r="C1330" i="2" s="1"/>
  <c r="D1330" i="2" s="1"/>
  <c r="H1326" i="2"/>
  <c r="I1326" i="2" s="1"/>
  <c r="E1331" i="2" l="1" a="1"/>
  <c r="E1331" i="2" s="1"/>
  <c r="H1327" i="2"/>
  <c r="I1327" i="2" s="1"/>
  <c r="J1330" i="2"/>
  <c r="K1330" i="2" s="1"/>
  <c r="G1330" i="2"/>
  <c r="A1332" i="2"/>
  <c r="F1331" i="2"/>
  <c r="B1331" i="2"/>
  <c r="C1331" i="2" s="1"/>
  <c r="D1331" i="2" s="1"/>
  <c r="E1332" i="2" l="1" a="1"/>
  <c r="E1332" i="2" s="1"/>
  <c r="J1331" i="2"/>
  <c r="K1331" i="2" s="1"/>
  <c r="G1331" i="2"/>
  <c r="A1333" i="2"/>
  <c r="F1332" i="2"/>
  <c r="B1332" i="2"/>
  <c r="C1332" i="2" s="1"/>
  <c r="D1332" i="2" s="1"/>
  <c r="H1328" i="2"/>
  <c r="I1328" i="2" s="1"/>
  <c r="E1333" i="2" l="1" a="1"/>
  <c r="E1333" i="2" s="1"/>
  <c r="H1329" i="2"/>
  <c r="I1329" i="2" s="1"/>
  <c r="J1332" i="2"/>
  <c r="K1332" i="2" s="1"/>
  <c r="G1332" i="2"/>
  <c r="B1333" i="2"/>
  <c r="C1333" i="2" s="1"/>
  <c r="D1333" i="2" s="1"/>
  <c r="A1334" i="2"/>
  <c r="F1333" i="2"/>
  <c r="E1334" i="2" l="1" a="1"/>
  <c r="E1334" i="2" s="1"/>
  <c r="J1333" i="2"/>
  <c r="K1333" i="2" s="1"/>
  <c r="G1333" i="2"/>
  <c r="B1334" i="2"/>
  <c r="C1334" i="2" s="1"/>
  <c r="D1334" i="2" s="1"/>
  <c r="A1335" i="2"/>
  <c r="F1334" i="2"/>
  <c r="H1330" i="2"/>
  <c r="I1330" i="2" s="1"/>
  <c r="E1335" i="2" l="1" a="1"/>
  <c r="E1335" i="2" s="1"/>
  <c r="H1331" i="2"/>
  <c r="I1331" i="2" s="1"/>
  <c r="J1334" i="2"/>
  <c r="K1334" i="2" s="1"/>
  <c r="G1334" i="2"/>
  <c r="F1335" i="2"/>
  <c r="B1335" i="2"/>
  <c r="C1335" i="2" s="1"/>
  <c r="D1335" i="2" s="1"/>
  <c r="A1336" i="2"/>
  <c r="E1336" i="2" l="1" a="1"/>
  <c r="E1336" i="2" s="1"/>
  <c r="A1337" i="2"/>
  <c r="B1336" i="2"/>
  <c r="C1336" i="2" s="1"/>
  <c r="D1336" i="2" s="1"/>
  <c r="F1336" i="2"/>
  <c r="G1335" i="2"/>
  <c r="J1335" i="2"/>
  <c r="K1335" i="2" s="1"/>
  <c r="H1332" i="2"/>
  <c r="I1332" i="2" s="1"/>
  <c r="E1337" i="2" l="1" a="1"/>
  <c r="E1337" i="2" s="1"/>
  <c r="H1333" i="2"/>
  <c r="I1333" i="2" s="1"/>
  <c r="J1336" i="2"/>
  <c r="K1336" i="2" s="1"/>
  <c r="G1336" i="2"/>
  <c r="A1338" i="2"/>
  <c r="B1337" i="2"/>
  <c r="C1337" i="2" s="1"/>
  <c r="D1337" i="2" s="1"/>
  <c r="F1337" i="2"/>
  <c r="E1338" i="2" l="1" a="1"/>
  <c r="E1338" i="2" s="1"/>
  <c r="G1337" i="2"/>
  <c r="J1337" i="2"/>
  <c r="K1337" i="2" s="1"/>
  <c r="F1338" i="2"/>
  <c r="A1339" i="2"/>
  <c r="B1338" i="2"/>
  <c r="C1338" i="2" s="1"/>
  <c r="D1338" i="2" s="1"/>
  <c r="H1334" i="2"/>
  <c r="I1334" i="2" s="1"/>
  <c r="E1339" i="2" l="1" a="1"/>
  <c r="E1339" i="2" s="1"/>
  <c r="H1335" i="2"/>
  <c r="I1335" i="2" s="1"/>
  <c r="A1340" i="2"/>
  <c r="F1339" i="2"/>
  <c r="B1339" i="2"/>
  <c r="C1339" i="2" s="1"/>
  <c r="D1339" i="2" s="1"/>
  <c r="J1338" i="2"/>
  <c r="K1338" i="2" s="1"/>
  <c r="G1338" i="2"/>
  <c r="E1340" i="2" l="1" a="1"/>
  <c r="E1340" i="2" s="1"/>
  <c r="J1339" i="2"/>
  <c r="K1339" i="2" s="1"/>
  <c r="G1339" i="2"/>
  <c r="B1340" i="2"/>
  <c r="C1340" i="2" s="1"/>
  <c r="D1340" i="2" s="1"/>
  <c r="A1341" i="2"/>
  <c r="F1340" i="2"/>
  <c r="H1336" i="2"/>
  <c r="I1336" i="2" s="1"/>
  <c r="E1341" i="2" l="1" a="1"/>
  <c r="E1341" i="2" s="1"/>
  <c r="H1337" i="2"/>
  <c r="I1337" i="2" s="1"/>
  <c r="J1340" i="2"/>
  <c r="K1340" i="2" s="1"/>
  <c r="G1340" i="2"/>
  <c r="F1341" i="2"/>
  <c r="B1341" i="2"/>
  <c r="C1341" i="2" s="1"/>
  <c r="D1341" i="2" s="1"/>
  <c r="A1342" i="2"/>
  <c r="E1342" i="2" l="1" a="1"/>
  <c r="E1342" i="2" s="1"/>
  <c r="A1343" i="2"/>
  <c r="B1342" i="2"/>
  <c r="C1342" i="2" s="1"/>
  <c r="D1342" i="2" s="1"/>
  <c r="F1342" i="2"/>
  <c r="G1341" i="2"/>
  <c r="J1341" i="2"/>
  <c r="K1341" i="2" s="1"/>
  <c r="H1338" i="2"/>
  <c r="I1338" i="2" s="1"/>
  <c r="E1343" i="2" l="1" a="1"/>
  <c r="E1343" i="2" s="1"/>
  <c r="H1339" i="2"/>
  <c r="I1339" i="2" s="1"/>
  <c r="J1342" i="2"/>
  <c r="K1342" i="2" s="1"/>
  <c r="G1342" i="2"/>
  <c r="A1344" i="2"/>
  <c r="B1343" i="2"/>
  <c r="C1343" i="2" s="1"/>
  <c r="D1343" i="2" s="1"/>
  <c r="F1343" i="2"/>
  <c r="E1344" i="2" l="1" a="1"/>
  <c r="E1344" i="2" s="1"/>
  <c r="J1343" i="2"/>
  <c r="K1343" i="2" s="1"/>
  <c r="G1343" i="2"/>
  <c r="B1344" i="2"/>
  <c r="C1344" i="2" s="1"/>
  <c r="D1344" i="2" s="1"/>
  <c r="A1345" i="2"/>
  <c r="F1344" i="2"/>
  <c r="H1340" i="2"/>
  <c r="I1340" i="2" s="1"/>
  <c r="E1345" i="2" l="1" a="1"/>
  <c r="E1345" i="2" s="1"/>
  <c r="H1341" i="2"/>
  <c r="I1341" i="2" s="1"/>
  <c r="J1344" i="2"/>
  <c r="K1344" i="2" s="1"/>
  <c r="G1344" i="2"/>
  <c r="F1345" i="2"/>
  <c r="B1345" i="2"/>
  <c r="C1345" i="2" s="1"/>
  <c r="D1345" i="2" s="1"/>
  <c r="A1346" i="2"/>
  <c r="E1346" i="2" l="1" a="1"/>
  <c r="E1346" i="2" s="1"/>
  <c r="F1346" i="2"/>
  <c r="B1346" i="2"/>
  <c r="C1346" i="2" s="1"/>
  <c r="D1346" i="2" s="1"/>
  <c r="A1347" i="2"/>
  <c r="J1345" i="2"/>
  <c r="K1345" i="2" s="1"/>
  <c r="G1345" i="2"/>
  <c r="H1342" i="2"/>
  <c r="I1342" i="2" s="1"/>
  <c r="E1347" i="2" l="1" a="1"/>
  <c r="E1347" i="2" s="1"/>
  <c r="H1343" i="2"/>
  <c r="I1343" i="2" s="1"/>
  <c r="F1347" i="2"/>
  <c r="A1348" i="2"/>
  <c r="B1347" i="2"/>
  <c r="C1347" i="2" s="1"/>
  <c r="D1347" i="2" s="1"/>
  <c r="G1346" i="2"/>
  <c r="J1346" i="2"/>
  <c r="K1346" i="2" s="1"/>
  <c r="E1348" i="2" l="1" a="1"/>
  <c r="E1348" i="2" s="1"/>
  <c r="F1348" i="2"/>
  <c r="A1349" i="2"/>
  <c r="B1348" i="2"/>
  <c r="C1348" i="2" s="1"/>
  <c r="D1348" i="2" s="1"/>
  <c r="G1347" i="2"/>
  <c r="J1347" i="2"/>
  <c r="K1347" i="2" s="1"/>
  <c r="H1344" i="2"/>
  <c r="I1344" i="2" s="1"/>
  <c r="E1349" i="2" l="1" a="1"/>
  <c r="E1349" i="2" s="1"/>
  <c r="H1345" i="2"/>
  <c r="I1345" i="2" s="1"/>
  <c r="F1349" i="2"/>
  <c r="B1349" i="2"/>
  <c r="C1349" i="2" s="1"/>
  <c r="D1349" i="2" s="1"/>
  <c r="A1350" i="2"/>
  <c r="J1348" i="2"/>
  <c r="K1348" i="2" s="1"/>
  <c r="G1348" i="2"/>
  <c r="E1350" i="2" l="1" a="1"/>
  <c r="E1350" i="2" s="1"/>
  <c r="A1351" i="2"/>
  <c r="F1350" i="2"/>
  <c r="B1350" i="2"/>
  <c r="C1350" i="2" s="1"/>
  <c r="D1350" i="2" s="1"/>
  <c r="J1349" i="2"/>
  <c r="K1349" i="2" s="1"/>
  <c r="G1349" i="2"/>
  <c r="H1346" i="2"/>
  <c r="I1346" i="2" s="1"/>
  <c r="E1351" i="2" l="1" a="1"/>
  <c r="E1351" i="2" s="1"/>
  <c r="H1347" i="2"/>
  <c r="I1347" i="2" s="1"/>
  <c r="J1350" i="2"/>
  <c r="K1350" i="2" s="1"/>
  <c r="G1350" i="2"/>
  <c r="A1352" i="2"/>
  <c r="B1351" i="2"/>
  <c r="C1351" i="2" s="1"/>
  <c r="D1351" i="2" s="1"/>
  <c r="F1351" i="2"/>
  <c r="E1352" i="2" l="1" a="1"/>
  <c r="E1352" i="2" s="1"/>
  <c r="G1351" i="2"/>
  <c r="J1351" i="2"/>
  <c r="K1351" i="2" s="1"/>
  <c r="A1353" i="2"/>
  <c r="B1352" i="2"/>
  <c r="C1352" i="2" s="1"/>
  <c r="D1352" i="2" s="1"/>
  <c r="F1352" i="2"/>
  <c r="H1348" i="2"/>
  <c r="I1348" i="2" s="1"/>
  <c r="E1353" i="2" l="1" a="1"/>
  <c r="E1353" i="2" s="1"/>
  <c r="H1349" i="2"/>
  <c r="I1349" i="2" s="1"/>
  <c r="G1352" i="2"/>
  <c r="J1352" i="2"/>
  <c r="K1352" i="2" s="1"/>
  <c r="A1354" i="2"/>
  <c r="B1353" i="2"/>
  <c r="C1353" i="2" s="1"/>
  <c r="D1353" i="2" s="1"/>
  <c r="F1353" i="2"/>
  <c r="E1354" i="2" l="1" a="1"/>
  <c r="E1354" i="2" s="1"/>
  <c r="G1353" i="2"/>
  <c r="J1353" i="2"/>
  <c r="K1353" i="2" s="1"/>
  <c r="A1355" i="2"/>
  <c r="B1354" i="2"/>
  <c r="C1354" i="2" s="1"/>
  <c r="D1354" i="2" s="1"/>
  <c r="F1354" i="2"/>
  <c r="H1350" i="2"/>
  <c r="I1350" i="2" s="1"/>
  <c r="E1355" i="2" l="1" a="1"/>
  <c r="E1355" i="2" s="1"/>
  <c r="H1351" i="2"/>
  <c r="I1351" i="2" s="1"/>
  <c r="J1354" i="2"/>
  <c r="K1354" i="2" s="1"/>
  <c r="G1354" i="2"/>
  <c r="A1356" i="2"/>
  <c r="F1355" i="2"/>
  <c r="B1355" i="2"/>
  <c r="C1355" i="2" s="1"/>
  <c r="D1355" i="2" s="1"/>
  <c r="E1356" i="2" l="1" a="1"/>
  <c r="E1356" i="2" s="1"/>
  <c r="J1355" i="2"/>
  <c r="K1355" i="2" s="1"/>
  <c r="G1355" i="2"/>
  <c r="F1356" i="2"/>
  <c r="B1356" i="2"/>
  <c r="C1356" i="2" s="1"/>
  <c r="D1356" i="2" s="1"/>
  <c r="A1357" i="2"/>
  <c r="H1352" i="2"/>
  <c r="I1352" i="2" s="1"/>
  <c r="E1357" i="2" l="1" a="1"/>
  <c r="E1357" i="2" s="1"/>
  <c r="H1353" i="2"/>
  <c r="I1353" i="2" s="1"/>
  <c r="A1358" i="2"/>
  <c r="F1357" i="2"/>
  <c r="B1357" i="2"/>
  <c r="C1357" i="2" s="1"/>
  <c r="D1357" i="2" s="1"/>
  <c r="G1356" i="2"/>
  <c r="J1356" i="2"/>
  <c r="K1356" i="2" s="1"/>
  <c r="E1358" i="2" l="1" a="1"/>
  <c r="E1358" i="2" s="1"/>
  <c r="J1357" i="2"/>
  <c r="K1357" i="2" s="1"/>
  <c r="G1357" i="2"/>
  <c r="A1359" i="2"/>
  <c r="B1358" i="2"/>
  <c r="C1358" i="2" s="1"/>
  <c r="D1358" i="2" s="1"/>
  <c r="F1358" i="2"/>
  <c r="H1354" i="2"/>
  <c r="I1354" i="2" s="1"/>
  <c r="E1359" i="2" l="1" a="1"/>
  <c r="E1359" i="2" s="1"/>
  <c r="H1355" i="2"/>
  <c r="I1355" i="2" s="1"/>
  <c r="J1358" i="2"/>
  <c r="K1358" i="2" s="1"/>
  <c r="G1358" i="2"/>
  <c r="F1359" i="2"/>
  <c r="A1360" i="2"/>
  <c r="B1359" i="2"/>
  <c r="C1359" i="2" s="1"/>
  <c r="D1359" i="2" s="1"/>
  <c r="E1360" i="2" l="1" a="1"/>
  <c r="E1360" i="2" s="1"/>
  <c r="A1361" i="2"/>
  <c r="B1360" i="2"/>
  <c r="C1360" i="2" s="1"/>
  <c r="D1360" i="2" s="1"/>
  <c r="F1360" i="2"/>
  <c r="J1359" i="2"/>
  <c r="K1359" i="2" s="1"/>
  <c r="G1359" i="2"/>
  <c r="H1356" i="2"/>
  <c r="I1356" i="2" s="1"/>
  <c r="E1361" i="2" l="1" a="1"/>
  <c r="E1361" i="2" s="1"/>
  <c r="H1357" i="2"/>
  <c r="I1357" i="2" s="1"/>
  <c r="J1360" i="2"/>
  <c r="K1360" i="2" s="1"/>
  <c r="G1360" i="2"/>
  <c r="A1362" i="2"/>
  <c r="B1361" i="2"/>
  <c r="C1361" i="2" s="1"/>
  <c r="D1361" i="2" s="1"/>
  <c r="F1361" i="2"/>
  <c r="E1362" i="2" l="1" a="1"/>
  <c r="E1362" i="2" s="1"/>
  <c r="J1361" i="2"/>
  <c r="K1361" i="2" s="1"/>
  <c r="G1361" i="2"/>
  <c r="F1362" i="2"/>
  <c r="A1363" i="2"/>
  <c r="B1362" i="2"/>
  <c r="C1362" i="2" s="1"/>
  <c r="D1362" i="2" s="1"/>
  <c r="H1358" i="2"/>
  <c r="I1358" i="2" s="1"/>
  <c r="E1363" i="2" l="1" a="1"/>
  <c r="E1363" i="2" s="1"/>
  <c r="H1359" i="2"/>
  <c r="I1359" i="2" s="1"/>
  <c r="F1363" i="2"/>
  <c r="A1364" i="2"/>
  <c r="B1363" i="2"/>
  <c r="C1363" i="2" s="1"/>
  <c r="D1363" i="2" s="1"/>
  <c r="G1362" i="2"/>
  <c r="J1362" i="2"/>
  <c r="K1362" i="2" s="1"/>
  <c r="E1364" i="2" l="1" a="1"/>
  <c r="E1364" i="2" s="1"/>
  <c r="F1364" i="2"/>
  <c r="A1365" i="2"/>
  <c r="B1364" i="2"/>
  <c r="C1364" i="2" s="1"/>
  <c r="D1364" i="2" s="1"/>
  <c r="G1363" i="2"/>
  <c r="J1363" i="2"/>
  <c r="K1363" i="2" s="1"/>
  <c r="H1360" i="2"/>
  <c r="I1360" i="2" s="1"/>
  <c r="E1365" i="2" l="1" a="1"/>
  <c r="E1365" i="2" s="1"/>
  <c r="H1361" i="2"/>
  <c r="I1361" i="2" s="1"/>
  <c r="F1365" i="2"/>
  <c r="A1366" i="2"/>
  <c r="B1365" i="2"/>
  <c r="C1365" i="2" s="1"/>
  <c r="D1365" i="2" s="1"/>
  <c r="G1364" i="2"/>
  <c r="J1364" i="2"/>
  <c r="K1364" i="2" s="1"/>
  <c r="E1366" i="2" l="1" a="1"/>
  <c r="E1366" i="2" s="1"/>
  <c r="A1367" i="2"/>
  <c r="F1366" i="2"/>
  <c r="B1366" i="2"/>
  <c r="C1366" i="2" s="1"/>
  <c r="D1366" i="2" s="1"/>
  <c r="J1365" i="2"/>
  <c r="K1365" i="2" s="1"/>
  <c r="G1365" i="2"/>
  <c r="H1362" i="2"/>
  <c r="I1362" i="2" s="1"/>
  <c r="E1367" i="2" l="1" a="1"/>
  <c r="E1367" i="2" s="1"/>
  <c r="H1363" i="2"/>
  <c r="I1363" i="2" s="1"/>
  <c r="J1366" i="2"/>
  <c r="K1366" i="2" s="1"/>
  <c r="G1366" i="2"/>
  <c r="A1368" i="2"/>
  <c r="B1367" i="2"/>
  <c r="C1367" i="2" s="1"/>
  <c r="D1367" i="2" s="1"/>
  <c r="F1367" i="2"/>
  <c r="E1368" i="2" l="1" a="1"/>
  <c r="E1368" i="2" s="1"/>
  <c r="J1367" i="2"/>
  <c r="K1367" i="2" s="1"/>
  <c r="G1367" i="2"/>
  <c r="A1369" i="2"/>
  <c r="B1368" i="2"/>
  <c r="C1368" i="2" s="1"/>
  <c r="D1368" i="2" s="1"/>
  <c r="F1368" i="2"/>
  <c r="H1364" i="2"/>
  <c r="I1364" i="2" s="1"/>
  <c r="E1369" i="2" l="1" a="1"/>
  <c r="E1369" i="2" s="1"/>
  <c r="H1365" i="2"/>
  <c r="I1365" i="2" s="1"/>
  <c r="J1368" i="2"/>
  <c r="K1368" i="2" s="1"/>
  <c r="G1368" i="2"/>
  <c r="A1370" i="2"/>
  <c r="B1369" i="2"/>
  <c r="C1369" i="2" s="1"/>
  <c r="D1369" i="2" s="1"/>
  <c r="F1369" i="2"/>
  <c r="E1370" i="2" l="1" a="1"/>
  <c r="E1370" i="2" s="1"/>
  <c r="G1369" i="2"/>
  <c r="J1369" i="2"/>
  <c r="K1369" i="2" s="1"/>
  <c r="A1371" i="2"/>
  <c r="B1370" i="2"/>
  <c r="C1370" i="2" s="1"/>
  <c r="D1370" i="2" s="1"/>
  <c r="F1370" i="2"/>
  <c r="H1366" i="2"/>
  <c r="I1366" i="2" s="1"/>
  <c r="E1371" i="2" l="1" a="1"/>
  <c r="E1371" i="2" s="1"/>
  <c r="H1367" i="2"/>
  <c r="I1367" i="2" s="1"/>
  <c r="J1370" i="2"/>
  <c r="K1370" i="2" s="1"/>
  <c r="G1370" i="2"/>
  <c r="F1371" i="2"/>
  <c r="A1372" i="2"/>
  <c r="B1371" i="2"/>
  <c r="C1371" i="2" s="1"/>
  <c r="D1371" i="2" s="1"/>
  <c r="E1372" i="2" l="1" a="1"/>
  <c r="E1372" i="2" s="1"/>
  <c r="F1372" i="2"/>
  <c r="A1373" i="2"/>
  <c r="B1372" i="2"/>
  <c r="C1372" i="2" s="1"/>
  <c r="D1372" i="2" s="1"/>
  <c r="J1371" i="2"/>
  <c r="K1371" i="2" s="1"/>
  <c r="G1371" i="2"/>
  <c r="H1368" i="2"/>
  <c r="I1368" i="2" s="1"/>
  <c r="E1373" i="2" l="1" a="1"/>
  <c r="E1373" i="2" s="1"/>
  <c r="H1369" i="2"/>
  <c r="I1369" i="2" s="1"/>
  <c r="B1373" i="2"/>
  <c r="C1373" i="2" s="1"/>
  <c r="D1373" i="2" s="1"/>
  <c r="A1374" i="2"/>
  <c r="F1373" i="2"/>
  <c r="J1372" i="2"/>
  <c r="K1372" i="2" s="1"/>
  <c r="G1372" i="2"/>
  <c r="E1374" i="2" l="1" a="1"/>
  <c r="E1374" i="2" s="1"/>
  <c r="G1373" i="2"/>
  <c r="J1373" i="2"/>
  <c r="K1373" i="2" s="1"/>
  <c r="F1374" i="2"/>
  <c r="A1375" i="2"/>
  <c r="B1374" i="2"/>
  <c r="C1374" i="2" s="1"/>
  <c r="D1374" i="2" s="1"/>
  <c r="H1370" i="2"/>
  <c r="I1370" i="2" s="1"/>
  <c r="E1375" i="2" l="1" a="1"/>
  <c r="E1375" i="2" s="1"/>
  <c r="H1371" i="2"/>
  <c r="I1371" i="2" s="1"/>
  <c r="F1375" i="2"/>
  <c r="A1376" i="2"/>
  <c r="B1375" i="2"/>
  <c r="C1375" i="2" s="1"/>
  <c r="D1375" i="2" s="1"/>
  <c r="J1374" i="2"/>
  <c r="K1374" i="2" s="1"/>
  <c r="G1374" i="2"/>
  <c r="E1376" i="2" l="1" a="1"/>
  <c r="E1376" i="2" s="1"/>
  <c r="F1376" i="2"/>
  <c r="A1377" i="2"/>
  <c r="B1376" i="2"/>
  <c r="C1376" i="2" s="1"/>
  <c r="D1376" i="2" s="1"/>
  <c r="J1375" i="2"/>
  <c r="K1375" i="2" s="1"/>
  <c r="G1375" i="2"/>
  <c r="H1372" i="2"/>
  <c r="I1372" i="2" s="1"/>
  <c r="E1377" i="2" l="1" a="1"/>
  <c r="E1377" i="2" s="1"/>
  <c r="H1373" i="2"/>
  <c r="I1373" i="2" s="1"/>
  <c r="A1378" i="2"/>
  <c r="B1377" i="2"/>
  <c r="C1377" i="2" s="1"/>
  <c r="D1377" i="2" s="1"/>
  <c r="F1377" i="2"/>
  <c r="J1376" i="2"/>
  <c r="K1376" i="2" s="1"/>
  <c r="G1376" i="2"/>
  <c r="E1378" i="2" l="1" a="1"/>
  <c r="E1378" i="2" s="1"/>
  <c r="J1377" i="2"/>
  <c r="K1377" i="2" s="1"/>
  <c r="G1377" i="2"/>
  <c r="F1378" i="2"/>
  <c r="A1379" i="2"/>
  <c r="B1378" i="2"/>
  <c r="C1378" i="2" s="1"/>
  <c r="D1378" i="2" s="1"/>
  <c r="H1374" i="2"/>
  <c r="I1374" i="2" s="1"/>
  <c r="E1379" i="2" l="1" a="1"/>
  <c r="E1379" i="2" s="1"/>
  <c r="H1375" i="2"/>
  <c r="I1375" i="2" s="1"/>
  <c r="F1379" i="2"/>
  <c r="A1380" i="2"/>
  <c r="B1379" i="2"/>
  <c r="C1379" i="2" s="1"/>
  <c r="D1379" i="2" s="1"/>
  <c r="G1378" i="2"/>
  <c r="J1378" i="2"/>
  <c r="K1378" i="2" s="1"/>
  <c r="E1380" i="2" l="1" a="1"/>
  <c r="E1380" i="2" s="1"/>
  <c r="F1380" i="2"/>
  <c r="A1381" i="2"/>
  <c r="B1380" i="2"/>
  <c r="C1380" i="2" s="1"/>
  <c r="D1380" i="2" s="1"/>
  <c r="G1379" i="2"/>
  <c r="J1379" i="2"/>
  <c r="K1379" i="2" s="1"/>
  <c r="H1376" i="2"/>
  <c r="I1376" i="2" s="1"/>
  <c r="E1381" i="2" l="1" a="1"/>
  <c r="E1381" i="2" s="1"/>
  <c r="H1377" i="2"/>
  <c r="I1377" i="2" s="1"/>
  <c r="F1381" i="2"/>
  <c r="A1382" i="2"/>
  <c r="B1381" i="2"/>
  <c r="C1381" i="2" s="1"/>
  <c r="D1381" i="2" s="1"/>
  <c r="G1380" i="2"/>
  <c r="J1380" i="2"/>
  <c r="K1380" i="2" s="1"/>
  <c r="E1382" i="2" l="1" a="1"/>
  <c r="E1382" i="2" s="1"/>
  <c r="B1382" i="2"/>
  <c r="C1382" i="2" s="1"/>
  <c r="D1382" i="2" s="1"/>
  <c r="A1383" i="2"/>
  <c r="F1382" i="2"/>
  <c r="J1381" i="2"/>
  <c r="K1381" i="2" s="1"/>
  <c r="G1381" i="2"/>
  <c r="H1378" i="2"/>
  <c r="I1378" i="2" s="1"/>
  <c r="E1383" i="2" l="1" a="1"/>
  <c r="E1383" i="2" s="1"/>
  <c r="H1379" i="2"/>
  <c r="I1379" i="2" s="1"/>
  <c r="J1382" i="2"/>
  <c r="K1382" i="2" s="1"/>
  <c r="G1382" i="2"/>
  <c r="A1384" i="2"/>
  <c r="B1383" i="2"/>
  <c r="C1383" i="2" s="1"/>
  <c r="D1383" i="2" s="1"/>
  <c r="F1383" i="2"/>
  <c r="E1384" i="2" l="1" a="1"/>
  <c r="E1384" i="2" s="1"/>
  <c r="J1383" i="2"/>
  <c r="K1383" i="2" s="1"/>
  <c r="G1383" i="2"/>
  <c r="A1385" i="2"/>
  <c r="B1384" i="2"/>
  <c r="C1384" i="2" s="1"/>
  <c r="D1384" i="2" s="1"/>
  <c r="F1384" i="2"/>
  <c r="H1380" i="2"/>
  <c r="I1380" i="2" s="1"/>
  <c r="E1385" i="2" l="1" a="1"/>
  <c r="E1385" i="2" s="1"/>
  <c r="H1381" i="2"/>
  <c r="I1381" i="2" s="1"/>
  <c r="J1384" i="2"/>
  <c r="K1384" i="2" s="1"/>
  <c r="G1384" i="2"/>
  <c r="A1386" i="2"/>
  <c r="B1385" i="2"/>
  <c r="C1385" i="2" s="1"/>
  <c r="D1385" i="2" s="1"/>
  <c r="F1385" i="2"/>
  <c r="E1386" i="2" l="1" a="1"/>
  <c r="E1386" i="2" s="1"/>
  <c r="J1385" i="2"/>
  <c r="K1385" i="2" s="1"/>
  <c r="G1385" i="2"/>
  <c r="A1387" i="2"/>
  <c r="B1386" i="2"/>
  <c r="C1386" i="2" s="1"/>
  <c r="D1386" i="2" s="1"/>
  <c r="F1386" i="2"/>
  <c r="H1382" i="2"/>
  <c r="I1382" i="2" s="1"/>
  <c r="E1387" i="2" l="1" a="1"/>
  <c r="E1387" i="2" s="1"/>
  <c r="H1383" i="2"/>
  <c r="I1383" i="2" s="1"/>
  <c r="J1386" i="2"/>
  <c r="K1386" i="2" s="1"/>
  <c r="G1386" i="2"/>
  <c r="F1387" i="2"/>
  <c r="B1387" i="2"/>
  <c r="C1387" i="2" s="1"/>
  <c r="D1387" i="2" s="1"/>
  <c r="A1388" i="2"/>
  <c r="E1388" i="2" l="1" a="1"/>
  <c r="E1388" i="2" s="1"/>
  <c r="F1388" i="2"/>
  <c r="A1389" i="2"/>
  <c r="B1388" i="2"/>
  <c r="C1388" i="2" s="1"/>
  <c r="D1388" i="2" s="1"/>
  <c r="J1387" i="2"/>
  <c r="K1387" i="2" s="1"/>
  <c r="G1387" i="2"/>
  <c r="H1384" i="2"/>
  <c r="I1384" i="2" s="1"/>
  <c r="E1389" i="2" l="1" a="1"/>
  <c r="E1389" i="2" s="1"/>
  <c r="H1385" i="2"/>
  <c r="I1385" i="2" s="1"/>
  <c r="F1389" i="2"/>
  <c r="A1390" i="2"/>
  <c r="B1389" i="2"/>
  <c r="C1389" i="2" s="1"/>
  <c r="D1389" i="2" s="1"/>
  <c r="J1388" i="2"/>
  <c r="K1388" i="2" s="1"/>
  <c r="G1388" i="2"/>
  <c r="E1390" i="2" l="1" a="1"/>
  <c r="E1390" i="2" s="1"/>
  <c r="F1390" i="2"/>
  <c r="A1391" i="2"/>
  <c r="B1390" i="2"/>
  <c r="C1390" i="2" s="1"/>
  <c r="D1390" i="2" s="1"/>
  <c r="G1389" i="2"/>
  <c r="J1389" i="2"/>
  <c r="K1389" i="2" s="1"/>
  <c r="H1386" i="2"/>
  <c r="I1386" i="2" s="1"/>
  <c r="E1391" i="2" l="1" a="1"/>
  <c r="E1391" i="2" s="1"/>
  <c r="H1387" i="2"/>
  <c r="I1387" i="2" s="1"/>
  <c r="F1391" i="2"/>
  <c r="A1392" i="2"/>
  <c r="B1391" i="2"/>
  <c r="C1391" i="2" s="1"/>
  <c r="D1391" i="2" s="1"/>
  <c r="J1390" i="2"/>
  <c r="K1390" i="2" s="1"/>
  <c r="G1390" i="2"/>
  <c r="E1392" i="2" l="1" a="1"/>
  <c r="E1392" i="2" s="1"/>
  <c r="F1392" i="2"/>
  <c r="A1393" i="2"/>
  <c r="B1392" i="2"/>
  <c r="C1392" i="2" s="1"/>
  <c r="D1392" i="2" s="1"/>
  <c r="J1391" i="2"/>
  <c r="K1391" i="2" s="1"/>
  <c r="G1391" i="2"/>
  <c r="H1388" i="2"/>
  <c r="I1388" i="2" s="1"/>
  <c r="E1393" i="2" l="1" a="1"/>
  <c r="E1393" i="2" s="1"/>
  <c r="H1389" i="2"/>
  <c r="I1389" i="2" s="1"/>
  <c r="A1394" i="2"/>
  <c r="B1393" i="2"/>
  <c r="C1393" i="2" s="1"/>
  <c r="D1393" i="2" s="1"/>
  <c r="F1393" i="2"/>
  <c r="J1392" i="2"/>
  <c r="K1392" i="2" s="1"/>
  <c r="G1392" i="2"/>
  <c r="E1394" i="2" l="1" a="1"/>
  <c r="E1394" i="2" s="1"/>
  <c r="J1393" i="2"/>
  <c r="K1393" i="2" s="1"/>
  <c r="G1393" i="2"/>
  <c r="F1394" i="2"/>
  <c r="A1395" i="2"/>
  <c r="B1394" i="2"/>
  <c r="C1394" i="2" s="1"/>
  <c r="D1394" i="2" s="1"/>
  <c r="H1390" i="2"/>
  <c r="I1390" i="2" s="1"/>
  <c r="E1395" i="2" l="1" a="1"/>
  <c r="E1395" i="2" s="1"/>
  <c r="H1391" i="2"/>
  <c r="I1391" i="2" s="1"/>
  <c r="F1395" i="2"/>
  <c r="A1396" i="2"/>
  <c r="B1395" i="2"/>
  <c r="C1395" i="2" s="1"/>
  <c r="D1395" i="2" s="1"/>
  <c r="G1394" i="2"/>
  <c r="J1394" i="2"/>
  <c r="K1394" i="2" s="1"/>
  <c r="E1396" i="2" l="1" a="1"/>
  <c r="E1396" i="2" s="1"/>
  <c r="F1396" i="2"/>
  <c r="A1397" i="2"/>
  <c r="B1396" i="2"/>
  <c r="C1396" i="2" s="1"/>
  <c r="D1396" i="2" s="1"/>
  <c r="G1395" i="2"/>
  <c r="J1395" i="2"/>
  <c r="K1395" i="2" s="1"/>
  <c r="H1392" i="2"/>
  <c r="I1392" i="2" s="1"/>
  <c r="E1397" i="2" l="1" a="1"/>
  <c r="E1397" i="2" s="1"/>
  <c r="H1393" i="2"/>
  <c r="I1393" i="2" s="1"/>
  <c r="F1397" i="2"/>
  <c r="A1398" i="2"/>
  <c r="B1397" i="2"/>
  <c r="C1397" i="2" s="1"/>
  <c r="D1397" i="2" s="1"/>
  <c r="G1396" i="2"/>
  <c r="J1396" i="2"/>
  <c r="K1396" i="2" s="1"/>
  <c r="E1398" i="2" l="1" a="1"/>
  <c r="E1398" i="2" s="1"/>
  <c r="A1399" i="2"/>
  <c r="B1398" i="2"/>
  <c r="C1398" i="2" s="1"/>
  <c r="D1398" i="2" s="1"/>
  <c r="F1398" i="2"/>
  <c r="J1397" i="2"/>
  <c r="K1397" i="2" s="1"/>
  <c r="G1397" i="2"/>
  <c r="H1394" i="2"/>
  <c r="I1394" i="2" s="1"/>
  <c r="E1399" i="2" l="1" a="1"/>
  <c r="E1399" i="2" s="1"/>
  <c r="H1395" i="2"/>
  <c r="I1395" i="2" s="1"/>
  <c r="J1398" i="2"/>
  <c r="K1398" i="2" s="1"/>
  <c r="G1398" i="2"/>
  <c r="A1400" i="2"/>
  <c r="B1399" i="2"/>
  <c r="C1399" i="2" s="1"/>
  <c r="D1399" i="2" s="1"/>
  <c r="F1399" i="2"/>
  <c r="E1400" i="2" l="1" a="1"/>
  <c r="E1400" i="2" s="1"/>
  <c r="J1399" i="2"/>
  <c r="K1399" i="2" s="1"/>
  <c r="G1399" i="2"/>
  <c r="A1401" i="2"/>
  <c r="B1400" i="2"/>
  <c r="C1400" i="2" s="1"/>
  <c r="D1400" i="2" s="1"/>
  <c r="F1400" i="2"/>
  <c r="H1396" i="2"/>
  <c r="I1396" i="2" s="1"/>
  <c r="E1401" i="2" l="1" a="1"/>
  <c r="E1401" i="2" s="1"/>
  <c r="H1397" i="2"/>
  <c r="I1397" i="2" s="1"/>
  <c r="J1400" i="2"/>
  <c r="K1400" i="2" s="1"/>
  <c r="G1400" i="2"/>
  <c r="A1402" i="2"/>
  <c r="B1401" i="2"/>
  <c r="C1401" i="2" s="1"/>
  <c r="D1401" i="2" s="1"/>
  <c r="F1401" i="2"/>
  <c r="E1402" i="2" l="1" a="1"/>
  <c r="E1402" i="2" s="1"/>
  <c r="J1401" i="2"/>
  <c r="K1401" i="2" s="1"/>
  <c r="G1401" i="2"/>
  <c r="A1403" i="2"/>
  <c r="B1402" i="2"/>
  <c r="C1402" i="2" s="1"/>
  <c r="D1402" i="2" s="1"/>
  <c r="F1402" i="2"/>
  <c r="H1398" i="2"/>
  <c r="I1398" i="2" s="1"/>
  <c r="E1403" i="2" l="1" a="1"/>
  <c r="E1403" i="2" s="1"/>
  <c r="H1399" i="2"/>
  <c r="I1399" i="2" s="1"/>
  <c r="J1402" i="2"/>
  <c r="K1402" i="2" s="1"/>
  <c r="G1402" i="2"/>
  <c r="F1403" i="2"/>
  <c r="A1404" i="2"/>
  <c r="B1403" i="2"/>
  <c r="C1403" i="2" s="1"/>
  <c r="D1403" i="2" s="1"/>
  <c r="E1404" i="2" l="1" a="1"/>
  <c r="E1404" i="2" s="1"/>
  <c r="F1404" i="2"/>
  <c r="A1405" i="2"/>
  <c r="B1404" i="2"/>
  <c r="C1404" i="2" s="1"/>
  <c r="D1404" i="2" s="1"/>
  <c r="J1403" i="2"/>
  <c r="K1403" i="2" s="1"/>
  <c r="G1403" i="2"/>
  <c r="H1400" i="2"/>
  <c r="I1400" i="2" s="1"/>
  <c r="E1405" i="2" l="1" a="1"/>
  <c r="E1405" i="2" s="1"/>
  <c r="H1401" i="2"/>
  <c r="I1401" i="2" s="1"/>
  <c r="F1405" i="2"/>
  <c r="A1406" i="2"/>
  <c r="B1405" i="2"/>
  <c r="C1405" i="2" s="1"/>
  <c r="D1405" i="2" s="1"/>
  <c r="J1404" i="2"/>
  <c r="K1404" i="2" s="1"/>
  <c r="G1404" i="2"/>
  <c r="E1406" i="2" l="1" a="1"/>
  <c r="E1406" i="2" s="1"/>
  <c r="F1406" i="2"/>
  <c r="A1407" i="2"/>
  <c r="B1406" i="2"/>
  <c r="C1406" i="2" s="1"/>
  <c r="D1406" i="2" s="1"/>
  <c r="J1405" i="2"/>
  <c r="K1405" i="2" s="1"/>
  <c r="G1405" i="2"/>
  <c r="H1402" i="2"/>
  <c r="I1402" i="2" s="1"/>
  <c r="E1407" i="2" l="1" a="1"/>
  <c r="E1407" i="2" s="1"/>
  <c r="H1403" i="2"/>
  <c r="I1403" i="2" s="1"/>
  <c r="F1407" i="2"/>
  <c r="A1408" i="2"/>
  <c r="B1407" i="2"/>
  <c r="C1407" i="2" s="1"/>
  <c r="D1407" i="2" s="1"/>
  <c r="J1406" i="2"/>
  <c r="K1406" i="2" s="1"/>
  <c r="G1406" i="2"/>
  <c r="E1408" i="2" l="1" a="1"/>
  <c r="E1408" i="2" s="1"/>
  <c r="F1408" i="2"/>
  <c r="A1409" i="2"/>
  <c r="B1408" i="2"/>
  <c r="C1408" i="2" s="1"/>
  <c r="D1408" i="2" s="1"/>
  <c r="J1407" i="2"/>
  <c r="K1407" i="2" s="1"/>
  <c r="G1407" i="2"/>
  <c r="H1404" i="2"/>
  <c r="I1404" i="2" s="1"/>
  <c r="E1409" i="2" l="1" a="1"/>
  <c r="E1409" i="2" s="1"/>
  <c r="H1405" i="2"/>
  <c r="I1405" i="2" s="1"/>
  <c r="F1409" i="2"/>
  <c r="A1410" i="2"/>
  <c r="B1409" i="2"/>
  <c r="C1409" i="2" s="1"/>
  <c r="D1409" i="2" s="1"/>
  <c r="J1408" i="2"/>
  <c r="K1408" i="2" s="1"/>
  <c r="G1408" i="2"/>
  <c r="E1410" i="2" l="1" a="1"/>
  <c r="E1410" i="2" s="1"/>
  <c r="F1410" i="2"/>
  <c r="A1411" i="2"/>
  <c r="B1410" i="2"/>
  <c r="C1410" i="2" s="1"/>
  <c r="D1410" i="2" s="1"/>
  <c r="J1409" i="2"/>
  <c r="K1409" i="2" s="1"/>
  <c r="G1409" i="2"/>
  <c r="H1406" i="2"/>
  <c r="I1406" i="2" s="1"/>
  <c r="E1411" i="2" l="1" a="1"/>
  <c r="E1411" i="2" s="1"/>
  <c r="H1407" i="2"/>
  <c r="I1407" i="2" s="1"/>
  <c r="F1411" i="2"/>
  <c r="A1412" i="2"/>
  <c r="B1411" i="2"/>
  <c r="C1411" i="2" s="1"/>
  <c r="D1411" i="2" s="1"/>
  <c r="G1410" i="2"/>
  <c r="J1410" i="2"/>
  <c r="K1410" i="2" s="1"/>
  <c r="E1412" i="2" l="1" a="1"/>
  <c r="E1412" i="2" s="1"/>
  <c r="F1412" i="2"/>
  <c r="A1413" i="2"/>
  <c r="B1412" i="2"/>
  <c r="C1412" i="2" s="1"/>
  <c r="D1412" i="2" s="1"/>
  <c r="G1411" i="2"/>
  <c r="J1411" i="2"/>
  <c r="K1411" i="2" s="1"/>
  <c r="H1408" i="2"/>
  <c r="I1408" i="2" s="1"/>
  <c r="E1413" i="2" l="1" a="1"/>
  <c r="E1413" i="2" s="1"/>
  <c r="H1409" i="2"/>
  <c r="I1409" i="2" s="1"/>
  <c r="F1413" i="2"/>
  <c r="A1414" i="2"/>
  <c r="B1413" i="2"/>
  <c r="C1413" i="2" s="1"/>
  <c r="D1413" i="2" s="1"/>
  <c r="G1412" i="2"/>
  <c r="J1412" i="2"/>
  <c r="K1412" i="2" s="1"/>
  <c r="E1414" i="2" l="1" a="1"/>
  <c r="E1414" i="2" s="1"/>
  <c r="A1415" i="2"/>
  <c r="B1414" i="2"/>
  <c r="C1414" i="2" s="1"/>
  <c r="D1414" i="2" s="1"/>
  <c r="F1414" i="2"/>
  <c r="J1413" i="2"/>
  <c r="K1413" i="2" s="1"/>
  <c r="G1413" i="2"/>
  <c r="H1410" i="2"/>
  <c r="I1410" i="2" s="1"/>
  <c r="E1415" i="2" l="1" a="1"/>
  <c r="E1415" i="2" s="1"/>
  <c r="H1411" i="2"/>
  <c r="I1411" i="2" s="1"/>
  <c r="J1414" i="2"/>
  <c r="K1414" i="2" s="1"/>
  <c r="G1414" i="2"/>
  <c r="A1416" i="2"/>
  <c r="B1415" i="2"/>
  <c r="C1415" i="2" s="1"/>
  <c r="D1415" i="2" s="1"/>
  <c r="F1415" i="2"/>
  <c r="E1416" i="2" l="1" a="1"/>
  <c r="E1416" i="2" s="1"/>
  <c r="J1415" i="2"/>
  <c r="K1415" i="2" s="1"/>
  <c r="G1415" i="2"/>
  <c r="A1417" i="2"/>
  <c r="B1416" i="2"/>
  <c r="C1416" i="2" s="1"/>
  <c r="D1416" i="2" s="1"/>
  <c r="F1416" i="2"/>
  <c r="H1412" i="2"/>
  <c r="I1412" i="2" s="1"/>
  <c r="E1417" i="2" l="1" a="1"/>
  <c r="E1417" i="2" s="1"/>
  <c r="H1413" i="2"/>
  <c r="I1413" i="2" s="1"/>
  <c r="J1416" i="2"/>
  <c r="K1416" i="2" s="1"/>
  <c r="G1416" i="2"/>
  <c r="A1418" i="2"/>
  <c r="B1417" i="2"/>
  <c r="C1417" i="2" s="1"/>
  <c r="D1417" i="2" s="1"/>
  <c r="F1417" i="2"/>
  <c r="E1418" i="2" l="1" a="1"/>
  <c r="E1418" i="2" s="1"/>
  <c r="J1417" i="2"/>
  <c r="K1417" i="2" s="1"/>
  <c r="G1417" i="2"/>
  <c r="A1419" i="2"/>
  <c r="B1418" i="2"/>
  <c r="C1418" i="2" s="1"/>
  <c r="D1418" i="2" s="1"/>
  <c r="F1418" i="2"/>
  <c r="H1414" i="2"/>
  <c r="I1414" i="2" s="1"/>
  <c r="E1419" i="2" l="1" a="1"/>
  <c r="E1419" i="2" s="1"/>
  <c r="H1415" i="2"/>
  <c r="I1415" i="2" s="1"/>
  <c r="J1418" i="2"/>
  <c r="K1418" i="2" s="1"/>
  <c r="G1418" i="2"/>
  <c r="F1419" i="2"/>
  <c r="A1420" i="2"/>
  <c r="B1419" i="2"/>
  <c r="C1419" i="2" s="1"/>
  <c r="D1419" i="2" s="1"/>
  <c r="E1420" i="2" l="1" a="1"/>
  <c r="E1420" i="2" s="1"/>
  <c r="F1420" i="2"/>
  <c r="A1421" i="2"/>
  <c r="B1420" i="2"/>
  <c r="C1420" i="2" s="1"/>
  <c r="D1420" i="2" s="1"/>
  <c r="J1419" i="2"/>
  <c r="K1419" i="2" s="1"/>
  <c r="G1419" i="2"/>
  <c r="H1416" i="2"/>
  <c r="I1416" i="2" s="1"/>
  <c r="E1421" i="2" l="1" a="1"/>
  <c r="E1421" i="2" s="1"/>
  <c r="H1417" i="2"/>
  <c r="I1417" i="2" s="1"/>
  <c r="F1421" i="2"/>
  <c r="B1421" i="2"/>
  <c r="C1421" i="2" s="1"/>
  <c r="D1421" i="2" s="1"/>
  <c r="A1422" i="2"/>
  <c r="J1420" i="2"/>
  <c r="K1420" i="2" s="1"/>
  <c r="G1420" i="2"/>
  <c r="E1422" i="2" l="1" a="1"/>
  <c r="E1422" i="2" s="1"/>
  <c r="F1422" i="2"/>
  <c r="A1423" i="2"/>
  <c r="B1422" i="2"/>
  <c r="C1422" i="2" s="1"/>
  <c r="D1422" i="2" s="1"/>
  <c r="J1421" i="2"/>
  <c r="K1421" i="2" s="1"/>
  <c r="G1421" i="2"/>
  <c r="H1418" i="2"/>
  <c r="I1418" i="2" s="1"/>
  <c r="E1423" i="2" l="1" a="1"/>
  <c r="E1423" i="2" s="1"/>
  <c r="H1419" i="2"/>
  <c r="I1419" i="2" s="1"/>
  <c r="F1423" i="2"/>
  <c r="A1424" i="2"/>
  <c r="B1423" i="2"/>
  <c r="C1423" i="2" s="1"/>
  <c r="D1423" i="2" s="1"/>
  <c r="J1422" i="2"/>
  <c r="K1422" i="2" s="1"/>
  <c r="G1422" i="2"/>
  <c r="E1424" i="2" l="1" a="1"/>
  <c r="E1424" i="2" s="1"/>
  <c r="F1424" i="2"/>
  <c r="A1425" i="2"/>
  <c r="B1424" i="2"/>
  <c r="C1424" i="2" s="1"/>
  <c r="D1424" i="2" s="1"/>
  <c r="J1423" i="2"/>
  <c r="K1423" i="2" s="1"/>
  <c r="G1423" i="2"/>
  <c r="H1420" i="2"/>
  <c r="I1420" i="2" s="1"/>
  <c r="E1425" i="2" l="1" a="1"/>
  <c r="E1425" i="2" s="1"/>
  <c r="H1421" i="2"/>
  <c r="I1421" i="2" s="1"/>
  <c r="F1425" i="2"/>
  <c r="A1426" i="2"/>
  <c r="B1425" i="2"/>
  <c r="C1425" i="2" s="1"/>
  <c r="D1425" i="2" s="1"/>
  <c r="J1424" i="2"/>
  <c r="K1424" i="2" s="1"/>
  <c r="G1424" i="2"/>
  <c r="E1426" i="2" l="1" a="1"/>
  <c r="E1426" i="2" s="1"/>
  <c r="F1426" i="2"/>
  <c r="A1427" i="2"/>
  <c r="B1426" i="2"/>
  <c r="C1426" i="2" s="1"/>
  <c r="D1426" i="2" s="1"/>
  <c r="J1425" i="2"/>
  <c r="K1425" i="2" s="1"/>
  <c r="G1425" i="2"/>
  <c r="H1422" i="2"/>
  <c r="I1422" i="2" s="1"/>
  <c r="E1427" i="2" l="1" a="1"/>
  <c r="E1427" i="2" s="1"/>
  <c r="H1423" i="2"/>
  <c r="I1423" i="2" s="1"/>
  <c r="F1427" i="2"/>
  <c r="A1428" i="2"/>
  <c r="B1427" i="2"/>
  <c r="C1427" i="2" s="1"/>
  <c r="D1427" i="2" s="1"/>
  <c r="G1426" i="2"/>
  <c r="J1426" i="2"/>
  <c r="K1426" i="2" s="1"/>
  <c r="E1428" i="2" l="1" a="1"/>
  <c r="E1428" i="2" s="1"/>
  <c r="F1428" i="2"/>
  <c r="A1429" i="2"/>
  <c r="B1428" i="2"/>
  <c r="C1428" i="2" s="1"/>
  <c r="D1428" i="2" s="1"/>
  <c r="G1427" i="2"/>
  <c r="J1427" i="2"/>
  <c r="K1427" i="2" s="1"/>
  <c r="H1424" i="2"/>
  <c r="I1424" i="2" s="1"/>
  <c r="E1429" i="2" l="1" a="1"/>
  <c r="E1429" i="2" s="1"/>
  <c r="H1425" i="2"/>
  <c r="I1425" i="2" s="1"/>
  <c r="F1429" i="2"/>
  <c r="A1430" i="2"/>
  <c r="B1429" i="2"/>
  <c r="C1429" i="2" s="1"/>
  <c r="D1429" i="2" s="1"/>
  <c r="G1428" i="2"/>
  <c r="J1428" i="2"/>
  <c r="K1428" i="2" s="1"/>
  <c r="E1430" i="2" l="1" a="1"/>
  <c r="E1430" i="2" s="1"/>
  <c r="A1431" i="2"/>
  <c r="B1430" i="2"/>
  <c r="C1430" i="2" s="1"/>
  <c r="D1430" i="2" s="1"/>
  <c r="F1430" i="2"/>
  <c r="J1429" i="2"/>
  <c r="K1429" i="2" s="1"/>
  <c r="G1429" i="2"/>
  <c r="H1426" i="2"/>
  <c r="I1426" i="2" s="1"/>
  <c r="E1431" i="2" l="1" a="1"/>
  <c r="E1431" i="2" s="1"/>
  <c r="H1427" i="2"/>
  <c r="I1427" i="2" s="1"/>
  <c r="J1430" i="2"/>
  <c r="K1430" i="2" s="1"/>
  <c r="G1430" i="2"/>
  <c r="A1432" i="2"/>
  <c r="B1431" i="2"/>
  <c r="C1431" i="2" s="1"/>
  <c r="D1431" i="2" s="1"/>
  <c r="F1431" i="2"/>
  <c r="E1432" i="2" l="1" a="1"/>
  <c r="E1432" i="2" s="1"/>
  <c r="J1431" i="2"/>
  <c r="K1431" i="2" s="1"/>
  <c r="G1431" i="2"/>
  <c r="A1433" i="2"/>
  <c r="B1432" i="2"/>
  <c r="C1432" i="2" s="1"/>
  <c r="D1432" i="2" s="1"/>
  <c r="F1432" i="2"/>
  <c r="H1428" i="2"/>
  <c r="I1428" i="2" s="1"/>
  <c r="E1433" i="2" l="1" a="1"/>
  <c r="E1433" i="2" s="1"/>
  <c r="H1429" i="2"/>
  <c r="I1429" i="2" s="1"/>
  <c r="J1432" i="2"/>
  <c r="K1432" i="2" s="1"/>
  <c r="G1432" i="2"/>
  <c r="A1434" i="2"/>
  <c r="B1433" i="2"/>
  <c r="C1433" i="2" s="1"/>
  <c r="D1433" i="2" s="1"/>
  <c r="F1433" i="2"/>
  <c r="E1434" i="2" l="1" a="1"/>
  <c r="E1434" i="2" s="1"/>
  <c r="E1435" i="2" a="1"/>
  <c r="E1435" i="2" s="1"/>
  <c r="J1433" i="2"/>
  <c r="K1433" i="2" s="1"/>
  <c r="G1433" i="2"/>
  <c r="A1435" i="2"/>
  <c r="B1434" i="2"/>
  <c r="C1434" i="2" s="1"/>
  <c r="D1434" i="2" s="1"/>
  <c r="F1434" i="2"/>
  <c r="H1430" i="2"/>
  <c r="I1430" i="2" s="1"/>
  <c r="H1431" i="2" l="1"/>
  <c r="I1431" i="2" s="1"/>
  <c r="J1434" i="2"/>
  <c r="K1434" i="2" s="1"/>
  <c r="G1434" i="2"/>
  <c r="F1435" i="2"/>
  <c r="A1436" i="2"/>
  <c r="B1435" i="2"/>
  <c r="C1435" i="2" s="1"/>
  <c r="D1435" i="2" s="1"/>
  <c r="E1436" i="2" l="1" a="1"/>
  <c r="E1436" i="2" s="1"/>
  <c r="F1436" i="2"/>
  <c r="A1437" i="2"/>
  <c r="B1436" i="2"/>
  <c r="C1436" i="2" s="1"/>
  <c r="D1436" i="2" s="1"/>
  <c r="J1435" i="2"/>
  <c r="K1435" i="2" s="1"/>
  <c r="G1435" i="2"/>
  <c r="H1432" i="2"/>
  <c r="I1432" i="2" s="1"/>
  <c r="E1437" i="2" l="1" a="1"/>
  <c r="E1437" i="2" s="1"/>
  <c r="H1433" i="2"/>
  <c r="I1433" i="2" s="1"/>
  <c r="F1437" i="2"/>
  <c r="A1438" i="2"/>
  <c r="B1437" i="2"/>
  <c r="C1437" i="2" s="1"/>
  <c r="D1437" i="2" s="1"/>
  <c r="J1436" i="2"/>
  <c r="K1436" i="2" s="1"/>
  <c r="G1436" i="2"/>
  <c r="E1438" i="2" l="1" a="1"/>
  <c r="E1438" i="2" s="1"/>
  <c r="F1438" i="2"/>
  <c r="A1439" i="2"/>
  <c r="B1438" i="2"/>
  <c r="C1438" i="2" s="1"/>
  <c r="D1438" i="2" s="1"/>
  <c r="J1437" i="2"/>
  <c r="K1437" i="2" s="1"/>
  <c r="G1437" i="2"/>
  <c r="H1434" i="2"/>
  <c r="I1434" i="2" s="1"/>
  <c r="E1439" i="2" l="1" a="1"/>
  <c r="E1439" i="2" s="1"/>
  <c r="H1435" i="2"/>
  <c r="I1435" i="2" s="1"/>
  <c r="F1439" i="2"/>
  <c r="A1440" i="2"/>
  <c r="B1439" i="2"/>
  <c r="C1439" i="2" s="1"/>
  <c r="D1439" i="2" s="1"/>
  <c r="J1438" i="2"/>
  <c r="K1438" i="2" s="1"/>
  <c r="G1438" i="2"/>
  <c r="E1440" i="2" l="1" a="1"/>
  <c r="E1440" i="2" s="1"/>
  <c r="F1440" i="2"/>
  <c r="A1441" i="2"/>
  <c r="B1440" i="2"/>
  <c r="C1440" i="2" s="1"/>
  <c r="D1440" i="2" s="1"/>
  <c r="J1439" i="2"/>
  <c r="K1439" i="2" s="1"/>
  <c r="G1439" i="2"/>
  <c r="H1436" i="2"/>
  <c r="I1436" i="2" s="1"/>
  <c r="E1441" i="2" l="1" a="1"/>
  <c r="E1441" i="2" s="1"/>
  <c r="H1437" i="2"/>
  <c r="I1437" i="2" s="1"/>
  <c r="F1441" i="2"/>
  <c r="A1442" i="2"/>
  <c r="B1441" i="2"/>
  <c r="C1441" i="2" s="1"/>
  <c r="D1441" i="2" s="1"/>
  <c r="J1440" i="2"/>
  <c r="K1440" i="2" s="1"/>
  <c r="G1440" i="2"/>
  <c r="E1442" i="2" l="1" a="1"/>
  <c r="E1442" i="2" s="1"/>
  <c r="F1442" i="2"/>
  <c r="A1443" i="2"/>
  <c r="B1442" i="2"/>
  <c r="C1442" i="2" s="1"/>
  <c r="D1442" i="2" s="1"/>
  <c r="J1441" i="2"/>
  <c r="K1441" i="2" s="1"/>
  <c r="G1441" i="2"/>
  <c r="H1438" i="2"/>
  <c r="I1438" i="2" s="1"/>
  <c r="E1443" i="2" l="1" a="1"/>
  <c r="E1443" i="2" s="1"/>
  <c r="H1439" i="2"/>
  <c r="I1439" i="2" s="1"/>
  <c r="F1443" i="2"/>
  <c r="A1444" i="2"/>
  <c r="B1443" i="2"/>
  <c r="C1443" i="2" s="1"/>
  <c r="D1443" i="2" s="1"/>
  <c r="G1442" i="2"/>
  <c r="J1442" i="2"/>
  <c r="K1442" i="2" s="1"/>
  <c r="E1444" i="2" l="1" a="1"/>
  <c r="E1444" i="2" s="1"/>
  <c r="F1444" i="2"/>
  <c r="A1445" i="2"/>
  <c r="B1444" i="2"/>
  <c r="C1444" i="2" s="1"/>
  <c r="D1444" i="2" s="1"/>
  <c r="G1443" i="2"/>
  <c r="J1443" i="2"/>
  <c r="K1443" i="2" s="1"/>
  <c r="H1440" i="2"/>
  <c r="I1440" i="2" s="1"/>
  <c r="E1445" i="2" l="1" a="1"/>
  <c r="E1445" i="2" s="1"/>
  <c r="H1441" i="2"/>
  <c r="I1441" i="2" s="1"/>
  <c r="F1445" i="2"/>
  <c r="A1446" i="2"/>
  <c r="B1445" i="2"/>
  <c r="C1445" i="2" s="1"/>
  <c r="D1445" i="2" s="1"/>
  <c r="G1444" i="2"/>
  <c r="J1444" i="2"/>
  <c r="K1444" i="2" s="1"/>
  <c r="E1446" i="2" l="1" a="1"/>
  <c r="E1446" i="2" s="1"/>
  <c r="A1447" i="2"/>
  <c r="B1446" i="2"/>
  <c r="C1446" i="2" s="1"/>
  <c r="D1446" i="2" s="1"/>
  <c r="F1446" i="2"/>
  <c r="J1445" i="2"/>
  <c r="K1445" i="2" s="1"/>
  <c r="G1445" i="2"/>
  <c r="H1442" i="2"/>
  <c r="I1442" i="2" s="1"/>
  <c r="E1447" i="2" l="1" a="1"/>
  <c r="E1447" i="2" s="1"/>
  <c r="H1443" i="2"/>
  <c r="I1443" i="2" s="1"/>
  <c r="J1446" i="2"/>
  <c r="K1446" i="2" s="1"/>
  <c r="G1446" i="2"/>
  <c r="A1448" i="2"/>
  <c r="B1447" i="2"/>
  <c r="C1447" i="2" s="1"/>
  <c r="D1447" i="2" s="1"/>
  <c r="F1447" i="2"/>
  <c r="E1448" i="2" l="1" a="1"/>
  <c r="E1448" i="2" s="1"/>
  <c r="J1447" i="2"/>
  <c r="K1447" i="2" s="1"/>
  <c r="G1447" i="2"/>
  <c r="A1449" i="2"/>
  <c r="B1448" i="2"/>
  <c r="C1448" i="2" s="1"/>
  <c r="D1448" i="2" s="1"/>
  <c r="F1448" i="2"/>
  <c r="H1444" i="2"/>
  <c r="I1444" i="2" s="1"/>
  <c r="E1449" i="2" l="1" a="1"/>
  <c r="E1449" i="2" s="1"/>
  <c r="H1445" i="2"/>
  <c r="I1445" i="2" s="1"/>
  <c r="J1448" i="2"/>
  <c r="K1448" i="2" s="1"/>
  <c r="G1448" i="2"/>
  <c r="A1450" i="2"/>
  <c r="B1449" i="2"/>
  <c r="C1449" i="2" s="1"/>
  <c r="D1449" i="2" s="1"/>
  <c r="F1449" i="2"/>
  <c r="E1450" i="2" l="1" a="1"/>
  <c r="E1450" i="2" s="1"/>
  <c r="J1449" i="2"/>
  <c r="K1449" i="2" s="1"/>
  <c r="G1449" i="2"/>
  <c r="A1451" i="2"/>
  <c r="B1450" i="2"/>
  <c r="C1450" i="2" s="1"/>
  <c r="D1450" i="2" s="1"/>
  <c r="F1450" i="2"/>
  <c r="H1446" i="2"/>
  <c r="I1446" i="2" s="1"/>
  <c r="E1451" i="2" l="1" a="1"/>
  <c r="E1451" i="2" s="1"/>
  <c r="H1447" i="2"/>
  <c r="I1447" i="2" s="1"/>
  <c r="J1450" i="2"/>
  <c r="K1450" i="2" s="1"/>
  <c r="G1450" i="2"/>
  <c r="F1451" i="2"/>
  <c r="B1451" i="2"/>
  <c r="C1451" i="2" s="1"/>
  <c r="D1451" i="2" s="1"/>
  <c r="A1452" i="2"/>
  <c r="E1452" i="2" l="1" a="1"/>
  <c r="E1452" i="2" s="1"/>
  <c r="F1452" i="2"/>
  <c r="A1453" i="2"/>
  <c r="B1452" i="2"/>
  <c r="C1452" i="2" s="1"/>
  <c r="D1452" i="2" s="1"/>
  <c r="J1451" i="2"/>
  <c r="K1451" i="2" s="1"/>
  <c r="G1451" i="2"/>
  <c r="H1448" i="2"/>
  <c r="I1448" i="2" s="1"/>
  <c r="E1453" i="2" l="1" a="1"/>
  <c r="E1453" i="2" s="1"/>
  <c r="H1449" i="2"/>
  <c r="I1449" i="2" s="1"/>
  <c r="F1453" i="2"/>
  <c r="A1454" i="2"/>
  <c r="B1453" i="2"/>
  <c r="C1453" i="2" s="1"/>
  <c r="D1453" i="2" s="1"/>
  <c r="J1452" i="2"/>
  <c r="K1452" i="2" s="1"/>
  <c r="G1452" i="2"/>
  <c r="E1454" i="2" l="1" a="1"/>
  <c r="E1454" i="2" s="1"/>
  <c r="F1454" i="2"/>
  <c r="A1455" i="2"/>
  <c r="B1454" i="2"/>
  <c r="C1454" i="2" s="1"/>
  <c r="D1454" i="2" s="1"/>
  <c r="J1453" i="2"/>
  <c r="K1453" i="2" s="1"/>
  <c r="G1453" i="2"/>
  <c r="H1450" i="2"/>
  <c r="I1450" i="2" s="1"/>
  <c r="E1455" i="2" l="1" a="1"/>
  <c r="E1455" i="2" s="1"/>
  <c r="H1451" i="2"/>
  <c r="I1451" i="2" s="1"/>
  <c r="F1455" i="2"/>
  <c r="A1456" i="2"/>
  <c r="B1455" i="2"/>
  <c r="C1455" i="2" s="1"/>
  <c r="D1455" i="2" s="1"/>
  <c r="J1454" i="2"/>
  <c r="K1454" i="2" s="1"/>
  <c r="G1454" i="2"/>
  <c r="E1456" i="2" l="1" a="1"/>
  <c r="E1456" i="2" s="1"/>
  <c r="F1456" i="2"/>
  <c r="A1457" i="2"/>
  <c r="B1456" i="2"/>
  <c r="C1456" i="2" s="1"/>
  <c r="D1456" i="2" s="1"/>
  <c r="J1455" i="2"/>
  <c r="K1455" i="2" s="1"/>
  <c r="G1455" i="2"/>
  <c r="H1452" i="2"/>
  <c r="I1452" i="2" s="1"/>
  <c r="E1457" i="2" l="1" a="1"/>
  <c r="E1457" i="2" s="1"/>
  <c r="H1453" i="2"/>
  <c r="I1453" i="2" s="1"/>
  <c r="F1457" i="2"/>
  <c r="A1458" i="2"/>
  <c r="B1457" i="2"/>
  <c r="C1457" i="2" s="1"/>
  <c r="D1457" i="2" s="1"/>
  <c r="J1456" i="2"/>
  <c r="K1456" i="2" s="1"/>
  <c r="G1456" i="2"/>
  <c r="E1458" i="2" l="1" a="1"/>
  <c r="E1458" i="2" s="1"/>
  <c r="F1458" i="2"/>
  <c r="A1459" i="2"/>
  <c r="B1458" i="2"/>
  <c r="C1458" i="2" s="1"/>
  <c r="D1458" i="2" s="1"/>
  <c r="J1457" i="2"/>
  <c r="K1457" i="2" s="1"/>
  <c r="G1457" i="2"/>
  <c r="H1454" i="2"/>
  <c r="I1454" i="2" s="1"/>
  <c r="E1459" i="2" l="1" a="1"/>
  <c r="E1459" i="2" s="1"/>
  <c r="H1455" i="2"/>
  <c r="I1455" i="2" s="1"/>
  <c r="F1459" i="2"/>
  <c r="A1460" i="2"/>
  <c r="B1459" i="2"/>
  <c r="C1459" i="2" s="1"/>
  <c r="D1459" i="2" s="1"/>
  <c r="G1458" i="2"/>
  <c r="J1458" i="2"/>
  <c r="K1458" i="2" s="1"/>
  <c r="E1460" i="2" l="1" a="1"/>
  <c r="E1460" i="2" s="1"/>
  <c r="F1460" i="2"/>
  <c r="A1461" i="2"/>
  <c r="B1460" i="2"/>
  <c r="C1460" i="2" s="1"/>
  <c r="D1460" i="2" s="1"/>
  <c r="G1459" i="2"/>
  <c r="J1459" i="2"/>
  <c r="K1459" i="2" s="1"/>
  <c r="H1456" i="2"/>
  <c r="I1456" i="2" s="1"/>
  <c r="E1461" i="2" l="1" a="1"/>
  <c r="E1461" i="2" s="1"/>
  <c r="H1457" i="2"/>
  <c r="I1457" i="2" s="1"/>
  <c r="F1461" i="2"/>
  <c r="B1461" i="2"/>
  <c r="C1461" i="2" s="1"/>
  <c r="D1461" i="2" s="1"/>
  <c r="A1462" i="2"/>
  <c r="G1460" i="2"/>
  <c r="J1460" i="2"/>
  <c r="K1460" i="2" s="1"/>
  <c r="E1462" i="2" l="1" a="1"/>
  <c r="E1462" i="2" s="1"/>
  <c r="A1463" i="2"/>
  <c r="B1462" i="2"/>
  <c r="C1462" i="2" s="1"/>
  <c r="D1462" i="2" s="1"/>
  <c r="F1462" i="2"/>
  <c r="G1461" i="2"/>
  <c r="J1461" i="2"/>
  <c r="K1461" i="2" s="1"/>
  <c r="H1458" i="2"/>
  <c r="I1458" i="2" s="1"/>
  <c r="E1463" i="2" l="1" a="1"/>
  <c r="E1463" i="2" s="1"/>
  <c r="H1459" i="2"/>
  <c r="I1459" i="2" s="1"/>
  <c r="G1462" i="2"/>
  <c r="J1462" i="2"/>
  <c r="K1462" i="2" s="1"/>
  <c r="F1463" i="2"/>
  <c r="B1463" i="2"/>
  <c r="C1463" i="2" s="1"/>
  <c r="D1463" i="2" s="1"/>
  <c r="A1464" i="2"/>
  <c r="E1464" i="2" l="1" a="1"/>
  <c r="E1464" i="2" s="1"/>
  <c r="F1464" i="2"/>
  <c r="B1464" i="2"/>
  <c r="C1464" i="2" s="1"/>
  <c r="D1464" i="2" s="1"/>
  <c r="A1465" i="2"/>
  <c r="J1463" i="2"/>
  <c r="K1463" i="2" s="1"/>
  <c r="G1463" i="2"/>
  <c r="H1460" i="2"/>
  <c r="I1460" i="2" s="1"/>
  <c r="E1465" i="2" l="1" a="1"/>
  <c r="E1465" i="2" s="1"/>
  <c r="H1461" i="2"/>
  <c r="I1461" i="2" s="1"/>
  <c r="A1466" i="2"/>
  <c r="B1465" i="2"/>
  <c r="C1465" i="2" s="1"/>
  <c r="D1465" i="2" s="1"/>
  <c r="F1465" i="2"/>
  <c r="J1464" i="2"/>
  <c r="K1464" i="2" s="1"/>
  <c r="G1464" i="2"/>
  <c r="E1466" i="2" l="1" a="1"/>
  <c r="E1466" i="2" s="1"/>
  <c r="J1465" i="2"/>
  <c r="K1465" i="2" s="1"/>
  <c r="G1465" i="2"/>
  <c r="B1466" i="2"/>
  <c r="C1466" i="2" s="1"/>
  <c r="D1466" i="2" s="1"/>
  <c r="A1467" i="2"/>
  <c r="F1466" i="2"/>
  <c r="H1462" i="2"/>
  <c r="I1462" i="2" s="1"/>
  <c r="E1467" i="2" l="1" a="1"/>
  <c r="E1467" i="2" s="1"/>
  <c r="H1463" i="2"/>
  <c r="I1463" i="2" s="1"/>
  <c r="J1466" i="2"/>
  <c r="K1466" i="2" s="1"/>
  <c r="G1466" i="2"/>
  <c r="A1468" i="2"/>
  <c r="B1467" i="2"/>
  <c r="C1467" i="2" s="1"/>
  <c r="D1467" i="2" s="1"/>
  <c r="F1467" i="2"/>
  <c r="E1468" i="2" l="1" a="1"/>
  <c r="E1468" i="2" s="1"/>
  <c r="J1467" i="2"/>
  <c r="K1467" i="2" s="1"/>
  <c r="G1467" i="2"/>
  <c r="F1468" i="2"/>
  <c r="B1468" i="2"/>
  <c r="C1468" i="2" s="1"/>
  <c r="D1468" i="2" s="1"/>
  <c r="A1469" i="2"/>
  <c r="H1464" i="2"/>
  <c r="I1464" i="2" s="1"/>
  <c r="E1469" i="2" l="1" a="1"/>
  <c r="E1469" i="2" s="1"/>
  <c r="H1465" i="2"/>
  <c r="I1465" i="2" s="1"/>
  <c r="A1470" i="2"/>
  <c r="B1469" i="2"/>
  <c r="C1469" i="2" s="1"/>
  <c r="D1469" i="2" s="1"/>
  <c r="F1469" i="2"/>
  <c r="G1468" i="2"/>
  <c r="J1468" i="2"/>
  <c r="K1468" i="2" s="1"/>
  <c r="E1470" i="2" l="1" a="1"/>
  <c r="E1470" i="2" s="1"/>
  <c r="J1469" i="2"/>
  <c r="K1469" i="2" s="1"/>
  <c r="G1469" i="2"/>
  <c r="A1471" i="2"/>
  <c r="F1470" i="2"/>
  <c r="B1470" i="2"/>
  <c r="C1470" i="2" s="1"/>
  <c r="D1470" i="2" s="1"/>
  <c r="H1466" i="2"/>
  <c r="I1466" i="2" s="1"/>
  <c r="E1471" i="2" l="1" a="1"/>
  <c r="E1471" i="2" s="1"/>
  <c r="H1467" i="2"/>
  <c r="I1467" i="2" s="1"/>
  <c r="J1470" i="2"/>
  <c r="K1470" i="2" s="1"/>
  <c r="G1470" i="2"/>
  <c r="B1471" i="2"/>
  <c r="C1471" i="2" s="1"/>
  <c r="D1471" i="2" s="1"/>
  <c r="A1472" i="2"/>
  <c r="F1471" i="2"/>
  <c r="E1472" i="2" l="1" a="1"/>
  <c r="E1472" i="2" s="1"/>
  <c r="J1471" i="2"/>
  <c r="K1471" i="2" s="1"/>
  <c r="G1471" i="2"/>
  <c r="B1472" i="2"/>
  <c r="C1472" i="2" s="1"/>
  <c r="D1472" i="2" s="1"/>
  <c r="A1473" i="2"/>
  <c r="F1472" i="2"/>
  <c r="H1468" i="2"/>
  <c r="I1468" i="2" s="1"/>
  <c r="E1473" i="2" l="1" a="1"/>
  <c r="E1473" i="2" s="1"/>
  <c r="H1469" i="2"/>
  <c r="I1469" i="2" s="1"/>
  <c r="J1472" i="2"/>
  <c r="K1472" i="2" s="1"/>
  <c r="G1472" i="2"/>
  <c r="F1473" i="2"/>
  <c r="B1473" i="2"/>
  <c r="C1473" i="2" s="1"/>
  <c r="D1473" i="2" s="1"/>
  <c r="A1474" i="2"/>
  <c r="E1474" i="2" l="1" a="1"/>
  <c r="E1474" i="2" s="1"/>
  <c r="A1475" i="2"/>
  <c r="F1474" i="2"/>
  <c r="B1474" i="2"/>
  <c r="C1474" i="2" s="1"/>
  <c r="D1474" i="2" s="1"/>
  <c r="J1473" i="2"/>
  <c r="K1473" i="2" s="1"/>
  <c r="G1473" i="2"/>
  <c r="H1470" i="2"/>
  <c r="I1470" i="2" s="1"/>
  <c r="E1475" i="2" l="1" a="1"/>
  <c r="E1475" i="2" s="1"/>
  <c r="H1471" i="2"/>
  <c r="I1471" i="2" s="1"/>
  <c r="J1474" i="2"/>
  <c r="K1474" i="2" s="1"/>
  <c r="G1474" i="2"/>
  <c r="A1476" i="2"/>
  <c r="F1475" i="2"/>
  <c r="B1475" i="2"/>
  <c r="C1475" i="2" s="1"/>
  <c r="D1475" i="2" s="1"/>
  <c r="E1476" i="2" l="1" a="1"/>
  <c r="E1476" i="2" s="1"/>
  <c r="G1475" i="2"/>
  <c r="J1475" i="2"/>
  <c r="K1475" i="2" s="1"/>
  <c r="F1476" i="2"/>
  <c r="B1476" i="2"/>
  <c r="C1476" i="2" s="1"/>
  <c r="D1476" i="2" s="1"/>
  <c r="A1477" i="2"/>
  <c r="H1472" i="2"/>
  <c r="I1472" i="2" s="1"/>
  <c r="E1477" i="2" l="1" a="1"/>
  <c r="E1477" i="2" s="1"/>
  <c r="H1473" i="2"/>
  <c r="I1473" i="2" s="1"/>
  <c r="A1478" i="2"/>
  <c r="B1477" i="2"/>
  <c r="C1477" i="2" s="1"/>
  <c r="D1477" i="2" s="1"/>
  <c r="F1477" i="2"/>
  <c r="J1476" i="2"/>
  <c r="K1476" i="2" s="1"/>
  <c r="G1476" i="2"/>
  <c r="E1478" i="2" l="1" a="1"/>
  <c r="E1478" i="2" s="1"/>
  <c r="G1477" i="2"/>
  <c r="J1477" i="2"/>
  <c r="K1477" i="2" s="1"/>
  <c r="F1478" i="2"/>
  <c r="A1479" i="2"/>
  <c r="B1478" i="2"/>
  <c r="C1478" i="2" s="1"/>
  <c r="D1478" i="2" s="1"/>
  <c r="H1474" i="2"/>
  <c r="I1474" i="2" s="1"/>
  <c r="E1479" i="2" l="1" a="1"/>
  <c r="E1479" i="2" s="1"/>
  <c r="H1475" i="2"/>
  <c r="I1475" i="2" s="1"/>
  <c r="A1480" i="2"/>
  <c r="B1479" i="2"/>
  <c r="C1479" i="2" s="1"/>
  <c r="D1479" i="2" s="1"/>
  <c r="F1479" i="2"/>
  <c r="J1478" i="2"/>
  <c r="K1478" i="2" s="1"/>
  <c r="G1478" i="2"/>
  <c r="E1480" i="2" l="1" a="1"/>
  <c r="E1480" i="2" s="1"/>
  <c r="G1479" i="2"/>
  <c r="J1479" i="2"/>
  <c r="K1479" i="2" s="1"/>
  <c r="F1480" i="2"/>
  <c r="A1481" i="2"/>
  <c r="B1480" i="2"/>
  <c r="C1480" i="2" s="1"/>
  <c r="D1480" i="2" s="1"/>
  <c r="H1476" i="2"/>
  <c r="I1476" i="2" s="1"/>
  <c r="E1481" i="2" l="1" a="1"/>
  <c r="E1481" i="2" s="1"/>
  <c r="H1477" i="2"/>
  <c r="I1477" i="2" s="1"/>
  <c r="A1482" i="2"/>
  <c r="B1481" i="2"/>
  <c r="C1481" i="2" s="1"/>
  <c r="D1481" i="2" s="1"/>
  <c r="F1481" i="2"/>
  <c r="J1480" i="2"/>
  <c r="K1480" i="2" s="1"/>
  <c r="G1480" i="2"/>
  <c r="E1482" i="2" l="1" a="1"/>
  <c r="E1482" i="2" s="1"/>
  <c r="J1481" i="2"/>
  <c r="K1481" i="2" s="1"/>
  <c r="G1481" i="2"/>
  <c r="A1483" i="2"/>
  <c r="F1482" i="2"/>
  <c r="B1482" i="2"/>
  <c r="C1482" i="2" s="1"/>
  <c r="D1482" i="2" s="1"/>
  <c r="H1478" i="2"/>
  <c r="I1478" i="2" s="1"/>
  <c r="E1483" i="2" l="1" a="1"/>
  <c r="E1483" i="2" s="1"/>
  <c r="H1479" i="2"/>
  <c r="I1479" i="2" s="1"/>
  <c r="J1482" i="2"/>
  <c r="K1482" i="2" s="1"/>
  <c r="G1482" i="2"/>
  <c r="A1484" i="2"/>
  <c r="B1483" i="2"/>
  <c r="C1483" i="2" s="1"/>
  <c r="D1483" i="2" s="1"/>
  <c r="F1483" i="2"/>
  <c r="E1484" i="2" l="1" a="1"/>
  <c r="E1484" i="2" s="1"/>
  <c r="J1483" i="2"/>
  <c r="K1483" i="2" s="1"/>
  <c r="G1483" i="2"/>
  <c r="A1485" i="2"/>
  <c r="B1484" i="2"/>
  <c r="C1484" i="2" s="1"/>
  <c r="D1484" i="2" s="1"/>
  <c r="F1484" i="2"/>
  <c r="H1480" i="2"/>
  <c r="I1480" i="2" s="1"/>
  <c r="E1485" i="2" l="1" a="1"/>
  <c r="E1485" i="2" s="1"/>
  <c r="H1481" i="2"/>
  <c r="I1481" i="2" s="1"/>
  <c r="J1484" i="2"/>
  <c r="K1484" i="2" s="1"/>
  <c r="G1484" i="2"/>
  <c r="A1486" i="2"/>
  <c r="B1485" i="2"/>
  <c r="C1485" i="2" s="1"/>
  <c r="D1485" i="2" s="1"/>
  <c r="F1485" i="2"/>
  <c r="E1486" i="2" l="1" a="1"/>
  <c r="E1486" i="2" s="1"/>
  <c r="J1485" i="2"/>
  <c r="K1485" i="2" s="1"/>
  <c r="G1485" i="2"/>
  <c r="A1487" i="2"/>
  <c r="B1486" i="2"/>
  <c r="C1486" i="2" s="1"/>
  <c r="D1486" i="2" s="1"/>
  <c r="F1486" i="2"/>
  <c r="H1482" i="2"/>
  <c r="I1482" i="2" s="1"/>
  <c r="E1487" i="2" l="1" a="1"/>
  <c r="E1487" i="2" s="1"/>
  <c r="H1483" i="2"/>
  <c r="I1483" i="2" s="1"/>
  <c r="J1486" i="2"/>
  <c r="K1486" i="2" s="1"/>
  <c r="G1486" i="2"/>
  <c r="A1488" i="2"/>
  <c r="F1487" i="2"/>
  <c r="B1487" i="2"/>
  <c r="C1487" i="2" s="1"/>
  <c r="D1487" i="2" s="1"/>
  <c r="E1488" i="2" l="1" a="1"/>
  <c r="E1488" i="2" s="1"/>
  <c r="G1487" i="2"/>
  <c r="J1487" i="2"/>
  <c r="K1487" i="2" s="1"/>
  <c r="F1488" i="2"/>
  <c r="A1489" i="2"/>
  <c r="B1488" i="2"/>
  <c r="C1488" i="2" s="1"/>
  <c r="D1488" i="2" s="1"/>
  <c r="H1484" i="2"/>
  <c r="I1484" i="2" s="1"/>
  <c r="E1489" i="2" l="1" a="1"/>
  <c r="E1489" i="2" s="1"/>
  <c r="H1485" i="2"/>
  <c r="I1485" i="2" s="1"/>
  <c r="A1490" i="2"/>
  <c r="B1489" i="2"/>
  <c r="C1489" i="2" s="1"/>
  <c r="D1489" i="2" s="1"/>
  <c r="F1489" i="2"/>
  <c r="J1488" i="2"/>
  <c r="K1488" i="2" s="1"/>
  <c r="G1488" i="2"/>
  <c r="E1490" i="2" l="1" a="1"/>
  <c r="E1490" i="2" s="1"/>
  <c r="G1489" i="2"/>
  <c r="J1489" i="2"/>
  <c r="K1489" i="2" s="1"/>
  <c r="A1491" i="2"/>
  <c r="B1490" i="2"/>
  <c r="C1490" i="2" s="1"/>
  <c r="D1490" i="2" s="1"/>
  <c r="F1490" i="2"/>
  <c r="H1486" i="2"/>
  <c r="I1486" i="2" s="1"/>
  <c r="E1491" i="2" l="1" a="1"/>
  <c r="E1491" i="2" s="1"/>
  <c r="H1487" i="2"/>
  <c r="I1487" i="2" s="1"/>
  <c r="J1490" i="2"/>
  <c r="K1490" i="2" s="1"/>
  <c r="G1490" i="2"/>
  <c r="F1491" i="2"/>
  <c r="B1491" i="2"/>
  <c r="C1491" i="2" s="1"/>
  <c r="D1491" i="2" s="1"/>
  <c r="A1492" i="2"/>
  <c r="E1492" i="2" l="1" a="1"/>
  <c r="E1492" i="2" s="1"/>
  <c r="A1493" i="2"/>
  <c r="B1492" i="2"/>
  <c r="C1492" i="2" s="1"/>
  <c r="D1492" i="2" s="1"/>
  <c r="F1492" i="2"/>
  <c r="J1491" i="2"/>
  <c r="K1491" i="2" s="1"/>
  <c r="G1491" i="2"/>
  <c r="H1488" i="2"/>
  <c r="I1488" i="2" s="1"/>
  <c r="E1493" i="2" l="1" a="1"/>
  <c r="E1493" i="2" s="1"/>
  <c r="H1489" i="2"/>
  <c r="I1489" i="2" s="1"/>
  <c r="J1492" i="2"/>
  <c r="K1492" i="2" s="1"/>
  <c r="G1492" i="2"/>
  <c r="A1494" i="2"/>
  <c r="B1493" i="2"/>
  <c r="C1493" i="2" s="1"/>
  <c r="D1493" i="2" s="1"/>
  <c r="F1493" i="2"/>
  <c r="E1494" i="2" l="1" a="1"/>
  <c r="E1494" i="2" s="1"/>
  <c r="J1493" i="2"/>
  <c r="K1493" i="2" s="1"/>
  <c r="G1493" i="2"/>
  <c r="F1494" i="2"/>
  <c r="A1495" i="2"/>
  <c r="B1494" i="2"/>
  <c r="C1494" i="2" s="1"/>
  <c r="D1494" i="2" s="1"/>
  <c r="H1490" i="2"/>
  <c r="I1490" i="2" s="1"/>
  <c r="E1495" i="2" l="1" a="1"/>
  <c r="E1495" i="2" s="1"/>
  <c r="H1491" i="2"/>
  <c r="I1491" i="2" s="1"/>
  <c r="F1495" i="2"/>
  <c r="A1496" i="2"/>
  <c r="B1495" i="2"/>
  <c r="C1495" i="2" s="1"/>
  <c r="D1495" i="2" s="1"/>
  <c r="G1494" i="2"/>
  <c r="J1494" i="2"/>
  <c r="K1494" i="2" s="1"/>
  <c r="E1496" i="2" l="1" a="1"/>
  <c r="E1496" i="2" s="1"/>
  <c r="F1496" i="2"/>
  <c r="B1496" i="2"/>
  <c r="C1496" i="2" s="1"/>
  <c r="D1496" i="2" s="1"/>
  <c r="A1497" i="2"/>
  <c r="J1495" i="2"/>
  <c r="K1495" i="2" s="1"/>
  <c r="G1495" i="2"/>
  <c r="H1492" i="2"/>
  <c r="I1492" i="2" s="1"/>
  <c r="E1497" i="2" l="1" a="1"/>
  <c r="E1497" i="2" s="1"/>
  <c r="H1493" i="2"/>
  <c r="I1493" i="2" s="1"/>
  <c r="F1497" i="2"/>
  <c r="A1498" i="2"/>
  <c r="B1497" i="2"/>
  <c r="C1497" i="2" s="1"/>
  <c r="D1497" i="2" s="1"/>
  <c r="J1496" i="2"/>
  <c r="K1496" i="2" s="1"/>
  <c r="G1496" i="2"/>
  <c r="E1498" i="2" l="1" a="1"/>
  <c r="E1498" i="2" s="1"/>
  <c r="A1499" i="2"/>
  <c r="B1498" i="2"/>
  <c r="C1498" i="2" s="1"/>
  <c r="D1498" i="2" s="1"/>
  <c r="F1498" i="2"/>
  <c r="J1497" i="2"/>
  <c r="K1497" i="2" s="1"/>
  <c r="G1497" i="2"/>
  <c r="H1494" i="2"/>
  <c r="I1494" i="2" s="1"/>
  <c r="E1499" i="2" l="1" a="1"/>
  <c r="E1499" i="2" s="1"/>
  <c r="H1495" i="2"/>
  <c r="I1495" i="2" s="1"/>
  <c r="G1498" i="2"/>
  <c r="J1498" i="2"/>
  <c r="K1498" i="2" s="1"/>
  <c r="F1499" i="2"/>
  <c r="A1500" i="2"/>
  <c r="B1499" i="2"/>
  <c r="C1499" i="2" s="1"/>
  <c r="D1499" i="2" s="1"/>
  <c r="E1500" i="2" l="1" a="1"/>
  <c r="E1500" i="2" s="1"/>
  <c r="F1500" i="2"/>
  <c r="A1501" i="2"/>
  <c r="B1500" i="2"/>
  <c r="C1500" i="2" s="1"/>
  <c r="D1500" i="2" s="1"/>
  <c r="J1499" i="2"/>
  <c r="K1499" i="2" s="1"/>
  <c r="G1499" i="2"/>
  <c r="H1496" i="2"/>
  <c r="I1496" i="2" s="1"/>
  <c r="E1501" i="2" l="1" a="1"/>
  <c r="E1501" i="2" s="1"/>
  <c r="H1497" i="2"/>
  <c r="I1497" i="2" s="1"/>
  <c r="F1501" i="2"/>
  <c r="A1502" i="2"/>
  <c r="B1501" i="2"/>
  <c r="C1501" i="2" s="1"/>
  <c r="D1501" i="2" s="1"/>
  <c r="J1500" i="2"/>
  <c r="K1500" i="2" s="1"/>
  <c r="G1500" i="2"/>
  <c r="E1502" i="2" l="1" a="1"/>
  <c r="E1502" i="2" s="1"/>
  <c r="A1503" i="2"/>
  <c r="B1502" i="2"/>
  <c r="C1502" i="2" s="1"/>
  <c r="D1502" i="2" s="1"/>
  <c r="F1502" i="2"/>
  <c r="J1501" i="2"/>
  <c r="K1501" i="2" s="1"/>
  <c r="G1501" i="2"/>
  <c r="H1498" i="2"/>
  <c r="I1498" i="2" s="1"/>
  <c r="E1503" i="2" l="1" a="1"/>
  <c r="E1503" i="2" s="1"/>
  <c r="H1499" i="2"/>
  <c r="I1499" i="2" s="1"/>
  <c r="G1502" i="2"/>
  <c r="J1502" i="2"/>
  <c r="K1502" i="2" s="1"/>
  <c r="F1503" i="2"/>
  <c r="A1504" i="2"/>
  <c r="B1503" i="2"/>
  <c r="C1503" i="2" s="1"/>
  <c r="D1503" i="2" s="1"/>
  <c r="E1504" i="2" l="1" a="1"/>
  <c r="E1504" i="2" s="1"/>
  <c r="F1504" i="2"/>
  <c r="A1505" i="2"/>
  <c r="B1504" i="2"/>
  <c r="C1504" i="2" s="1"/>
  <c r="D1504" i="2" s="1"/>
  <c r="G1503" i="2"/>
  <c r="J1503" i="2"/>
  <c r="K1503" i="2" s="1"/>
  <c r="H1500" i="2"/>
  <c r="I1500" i="2" s="1"/>
  <c r="E1505" i="2" l="1" a="1"/>
  <c r="E1505" i="2" s="1"/>
  <c r="H1501" i="2"/>
  <c r="I1501" i="2" s="1"/>
  <c r="A1506" i="2"/>
  <c r="B1505" i="2"/>
  <c r="C1505" i="2" s="1"/>
  <c r="D1505" i="2" s="1"/>
  <c r="F1505" i="2"/>
  <c r="J1504" i="2"/>
  <c r="K1504" i="2" s="1"/>
  <c r="G1504" i="2"/>
  <c r="E1506" i="2" l="1" a="1"/>
  <c r="E1506" i="2" s="1"/>
  <c r="J1505" i="2"/>
  <c r="K1505" i="2" s="1"/>
  <c r="G1505" i="2"/>
  <c r="A1507" i="2"/>
  <c r="B1506" i="2"/>
  <c r="C1506" i="2" s="1"/>
  <c r="D1506" i="2" s="1"/>
  <c r="F1506" i="2"/>
  <c r="H1502" i="2"/>
  <c r="I1502" i="2" s="1"/>
  <c r="E1507" i="2" l="1" a="1"/>
  <c r="E1507" i="2" s="1"/>
  <c r="H1503" i="2"/>
  <c r="I1503" i="2" s="1"/>
  <c r="J1506" i="2"/>
  <c r="K1506" i="2" s="1"/>
  <c r="G1506" i="2"/>
  <c r="G2" i="2" a="1"/>
  <c r="G2" i="2" s="1"/>
  <c r="O1507" i="2" s="1"/>
  <c r="A1508" i="2"/>
  <c r="B1507" i="2"/>
  <c r="C1507" i="2" s="1"/>
  <c r="D1507" i="2" s="1"/>
  <c r="F1507" i="2"/>
  <c r="E1508" i="2" l="1" a="1"/>
  <c r="E1508" i="2" s="1"/>
  <c r="L1507" i="2"/>
  <c r="M1507" i="2"/>
  <c r="O1369" i="2"/>
  <c r="P1369" i="2" s="1"/>
  <c r="M1369" i="2"/>
  <c r="L1369" i="2"/>
  <c r="O1370" i="2"/>
  <c r="P1370" i="2" s="1"/>
  <c r="M1370" i="2"/>
  <c r="L1370" i="2"/>
  <c r="O1371" i="2"/>
  <c r="P1371" i="2" s="1"/>
  <c r="L1371" i="2"/>
  <c r="M1371" i="2"/>
  <c r="L1372" i="2"/>
  <c r="O1372" i="2"/>
  <c r="P1372" i="2" s="1"/>
  <c r="M1372" i="2"/>
  <c r="M1373" i="2"/>
  <c r="L1373" i="2"/>
  <c r="O1373" i="2"/>
  <c r="P1373" i="2" s="1"/>
  <c r="O1374" i="2"/>
  <c r="P1374" i="2" s="1"/>
  <c r="M1374" i="2"/>
  <c r="L1374" i="2"/>
  <c r="M1375" i="2"/>
  <c r="L1375" i="2"/>
  <c r="O1375" i="2"/>
  <c r="P1375" i="2" s="1"/>
  <c r="L1376" i="2"/>
  <c r="O1376" i="2"/>
  <c r="P1376" i="2" s="1"/>
  <c r="M1376" i="2"/>
  <c r="O1377" i="2"/>
  <c r="P1377" i="2" s="1"/>
  <c r="L1377" i="2"/>
  <c r="M1377" i="2"/>
  <c r="O1378" i="2"/>
  <c r="P1378" i="2" s="1"/>
  <c r="M1378" i="2"/>
  <c r="L1378" i="2"/>
  <c r="L1379" i="2"/>
  <c r="M1379" i="2"/>
  <c r="O1379" i="2"/>
  <c r="P1379" i="2" s="1"/>
  <c r="O1380" i="2"/>
  <c r="P1380" i="2" s="1"/>
  <c r="M1380" i="2"/>
  <c r="L1380" i="2"/>
  <c r="L1381" i="2"/>
  <c r="O1381" i="2"/>
  <c r="P1381" i="2" s="1"/>
  <c r="M1381" i="2"/>
  <c r="O1382" i="2"/>
  <c r="P1382" i="2" s="1"/>
  <c r="M1382" i="2"/>
  <c r="L1382" i="2"/>
  <c r="O1383" i="2"/>
  <c r="P1383" i="2" s="1"/>
  <c r="M1383" i="2"/>
  <c r="L1383" i="2"/>
  <c r="M1384" i="2"/>
  <c r="O1384" i="2"/>
  <c r="P1384" i="2" s="1"/>
  <c r="L1384" i="2"/>
  <c r="O1385" i="2"/>
  <c r="P1385" i="2" s="1"/>
  <c r="L1385" i="2"/>
  <c r="M1385" i="2"/>
  <c r="M1386" i="2"/>
  <c r="O1386" i="2"/>
  <c r="P1386" i="2" s="1"/>
  <c r="L1386" i="2"/>
  <c r="O1387" i="2"/>
  <c r="P1387" i="2" s="1"/>
  <c r="M1387" i="2"/>
  <c r="L1387" i="2"/>
  <c r="O1388" i="2"/>
  <c r="P1388" i="2" s="1"/>
  <c r="L1388" i="2"/>
  <c r="M1388" i="2"/>
  <c r="M1389" i="2"/>
  <c r="L1389" i="2"/>
  <c r="O1389" i="2"/>
  <c r="P1389" i="2" s="1"/>
  <c r="M1390" i="2"/>
  <c r="L1390" i="2"/>
  <c r="O1390" i="2"/>
  <c r="P1390" i="2" s="1"/>
  <c r="L1391" i="2"/>
  <c r="O1391" i="2"/>
  <c r="P1391" i="2" s="1"/>
  <c r="M1391" i="2"/>
  <c r="M1392" i="2"/>
  <c r="L1392" i="2"/>
  <c r="O1392" i="2"/>
  <c r="P1392" i="2" s="1"/>
  <c r="O1393" i="2"/>
  <c r="P1393" i="2" s="1"/>
  <c r="L1393" i="2"/>
  <c r="M1393" i="2"/>
  <c r="O1394" i="2"/>
  <c r="P1394" i="2" s="1"/>
  <c r="M1394" i="2"/>
  <c r="L1394" i="2"/>
  <c r="M1395" i="2"/>
  <c r="O1395" i="2"/>
  <c r="P1395" i="2" s="1"/>
  <c r="L1395" i="2"/>
  <c r="O1396" i="2"/>
  <c r="P1396" i="2" s="1"/>
  <c r="M1396" i="2"/>
  <c r="L1396" i="2"/>
  <c r="O1397" i="2"/>
  <c r="P1397" i="2" s="1"/>
  <c r="M1397" i="2"/>
  <c r="L1397" i="2"/>
  <c r="O1398" i="2"/>
  <c r="P1398" i="2" s="1"/>
  <c r="M1398" i="2"/>
  <c r="L1398" i="2"/>
  <c r="L1399" i="2"/>
  <c r="M1399" i="2"/>
  <c r="O1399" i="2"/>
  <c r="P1399" i="2" s="1"/>
  <c r="O1400" i="2"/>
  <c r="P1400" i="2" s="1"/>
  <c r="M1400" i="2"/>
  <c r="L1400" i="2"/>
  <c r="M1401" i="2"/>
  <c r="L1401" i="2"/>
  <c r="O1401" i="2"/>
  <c r="P1401" i="2" s="1"/>
  <c r="O1402" i="2"/>
  <c r="P1402" i="2" s="1"/>
  <c r="M1402" i="2"/>
  <c r="L1402" i="2"/>
  <c r="O1403" i="2"/>
  <c r="P1403" i="2" s="1"/>
  <c r="M1403" i="2"/>
  <c r="L1403" i="2"/>
  <c r="M1404" i="2"/>
  <c r="O1404" i="2"/>
  <c r="P1404" i="2" s="1"/>
  <c r="L1404" i="2"/>
  <c r="L1405" i="2"/>
  <c r="O1405" i="2"/>
  <c r="P1405" i="2" s="1"/>
  <c r="M1405" i="2"/>
  <c r="M1406" i="2"/>
  <c r="L1406" i="2"/>
  <c r="O1406" i="2"/>
  <c r="P1406" i="2" s="1"/>
  <c r="O1407" i="2"/>
  <c r="P1407" i="2" s="1"/>
  <c r="M1407" i="2"/>
  <c r="L1407" i="2"/>
  <c r="O1408" i="2"/>
  <c r="P1408" i="2" s="1"/>
  <c r="L1408" i="2"/>
  <c r="M1408" i="2"/>
  <c r="O1409" i="2"/>
  <c r="P1409" i="2" s="1"/>
  <c r="L1409" i="2"/>
  <c r="M1409" i="2"/>
  <c r="O1410" i="2"/>
  <c r="P1410" i="2" s="1"/>
  <c r="M1410" i="2"/>
  <c r="L1410" i="2"/>
  <c r="O1411" i="2"/>
  <c r="P1411" i="2" s="1"/>
  <c r="L1411" i="2"/>
  <c r="M1411" i="2"/>
  <c r="O1412" i="2"/>
  <c r="P1412" i="2" s="1"/>
  <c r="M1412" i="2"/>
  <c r="L1412" i="2"/>
  <c r="O1413" i="2"/>
  <c r="P1413" i="2" s="1"/>
  <c r="M1413" i="2"/>
  <c r="L1413" i="2"/>
  <c r="O1414" i="2"/>
  <c r="P1414" i="2" s="1"/>
  <c r="L1414" i="2"/>
  <c r="M1414" i="2"/>
  <c r="O1415" i="2"/>
  <c r="P1415" i="2" s="1"/>
  <c r="M1415" i="2"/>
  <c r="L1415" i="2"/>
  <c r="M1416" i="2"/>
  <c r="L1416" i="2"/>
  <c r="O1416" i="2"/>
  <c r="P1416" i="2" s="1"/>
  <c r="O1417" i="2"/>
  <c r="P1417" i="2" s="1"/>
  <c r="M1417" i="2"/>
  <c r="L1417" i="2"/>
  <c r="M1418" i="2"/>
  <c r="L1418" i="2"/>
  <c r="O1418" i="2"/>
  <c r="P1418" i="2" s="1"/>
  <c r="O1419" i="2"/>
  <c r="P1419" i="2" s="1"/>
  <c r="M1419" i="2"/>
  <c r="L1419" i="2"/>
  <c r="M1420" i="2"/>
  <c r="L1420" i="2"/>
  <c r="O1420" i="2"/>
  <c r="P1420" i="2" s="1"/>
  <c r="L1421" i="2"/>
  <c r="M1421" i="2"/>
  <c r="O1421" i="2"/>
  <c r="P1421" i="2" s="1"/>
  <c r="O1422" i="2"/>
  <c r="P1422" i="2" s="1"/>
  <c r="L1422" i="2"/>
  <c r="M1422" i="2"/>
  <c r="L1423" i="2"/>
  <c r="M1423" i="2"/>
  <c r="O1423" i="2"/>
  <c r="P1423" i="2" s="1"/>
  <c r="M1424" i="2"/>
  <c r="O1424" i="2"/>
  <c r="P1424" i="2" s="1"/>
  <c r="L1424" i="2"/>
  <c r="O1425" i="2"/>
  <c r="P1425" i="2" s="1"/>
  <c r="M1425" i="2"/>
  <c r="L1425" i="2"/>
  <c r="O1426" i="2"/>
  <c r="P1426" i="2" s="1"/>
  <c r="M1426" i="2"/>
  <c r="L1426" i="2"/>
  <c r="O1427" i="2"/>
  <c r="P1427" i="2" s="1"/>
  <c r="M1427" i="2"/>
  <c r="L1427" i="2"/>
  <c r="O1428" i="2"/>
  <c r="P1428" i="2" s="1"/>
  <c r="M1428" i="2"/>
  <c r="L1428" i="2"/>
  <c r="L1429" i="2"/>
  <c r="O1429" i="2"/>
  <c r="P1429" i="2" s="1"/>
  <c r="M1429" i="2"/>
  <c r="O1430" i="2"/>
  <c r="P1430" i="2" s="1"/>
  <c r="M1430" i="2"/>
  <c r="L1430" i="2"/>
  <c r="O1431" i="2"/>
  <c r="P1431" i="2" s="1"/>
  <c r="L1431" i="2"/>
  <c r="M1431" i="2"/>
  <c r="M1432" i="2"/>
  <c r="L1432" i="2"/>
  <c r="O1432" i="2"/>
  <c r="P1432" i="2" s="1"/>
  <c r="O1433" i="2"/>
  <c r="P1433" i="2" s="1"/>
  <c r="M1433" i="2"/>
  <c r="L1433" i="2"/>
  <c r="O1434" i="2"/>
  <c r="P1434" i="2" s="1"/>
  <c r="L1434" i="2"/>
  <c r="M1434" i="2"/>
  <c r="O1435" i="2"/>
  <c r="P1435" i="2" s="1"/>
  <c r="L1435" i="2"/>
  <c r="M1435" i="2"/>
  <c r="M1436" i="2"/>
  <c r="L1436" i="2"/>
  <c r="O1436" i="2"/>
  <c r="P1436" i="2" s="1"/>
  <c r="L1437" i="2"/>
  <c r="O1437" i="2"/>
  <c r="P1437" i="2" s="1"/>
  <c r="M1437" i="2"/>
  <c r="M1438" i="2"/>
  <c r="L1438" i="2"/>
  <c r="O1438" i="2"/>
  <c r="P1438" i="2" s="1"/>
  <c r="O1439" i="2"/>
  <c r="P1439" i="2" s="1"/>
  <c r="M1439" i="2"/>
  <c r="L1439" i="2"/>
  <c r="L1440" i="2"/>
  <c r="O1440" i="2"/>
  <c r="P1440" i="2" s="1"/>
  <c r="M1440" i="2"/>
  <c r="O1441" i="2"/>
  <c r="P1441" i="2" s="1"/>
  <c r="L1441" i="2"/>
  <c r="M1441" i="2"/>
  <c r="O1442" i="2"/>
  <c r="P1442" i="2" s="1"/>
  <c r="M1442" i="2"/>
  <c r="L1442" i="2"/>
  <c r="L1443" i="2"/>
  <c r="O1443" i="2"/>
  <c r="P1443" i="2" s="1"/>
  <c r="M1443" i="2"/>
  <c r="O1444" i="2"/>
  <c r="P1444" i="2" s="1"/>
  <c r="M1444" i="2"/>
  <c r="L1444" i="2"/>
  <c r="O1445" i="2"/>
  <c r="P1445" i="2" s="1"/>
  <c r="M1445" i="2"/>
  <c r="L1445" i="2"/>
  <c r="M1446" i="2"/>
  <c r="O1446" i="2"/>
  <c r="P1446" i="2" s="1"/>
  <c r="L1446" i="2"/>
  <c r="O1447" i="2"/>
  <c r="P1447" i="2" s="1"/>
  <c r="M1447" i="2"/>
  <c r="L1447" i="2"/>
  <c r="M1448" i="2"/>
  <c r="L1448" i="2"/>
  <c r="O1448" i="2"/>
  <c r="P1448" i="2" s="1"/>
  <c r="L1449" i="2"/>
  <c r="O1449" i="2"/>
  <c r="P1449" i="2" s="1"/>
  <c r="M1449" i="2"/>
  <c r="O1450" i="2"/>
  <c r="P1450" i="2" s="1"/>
  <c r="M1450" i="2"/>
  <c r="L1450" i="2"/>
  <c r="O1451" i="2"/>
  <c r="P1451" i="2" s="1"/>
  <c r="M1451" i="2"/>
  <c r="L1451" i="2"/>
  <c r="M1452" i="2"/>
  <c r="O1452" i="2"/>
  <c r="P1452" i="2" s="1"/>
  <c r="L1452" i="2"/>
  <c r="O1453" i="2"/>
  <c r="P1453" i="2" s="1"/>
  <c r="L1453" i="2"/>
  <c r="M1453" i="2"/>
  <c r="M1454" i="2"/>
  <c r="L1454" i="2"/>
  <c r="O1454" i="2"/>
  <c r="P1454" i="2" s="1"/>
  <c r="L1455" i="2"/>
  <c r="M1455" i="2"/>
  <c r="O1455" i="2"/>
  <c r="P1455" i="2" s="1"/>
  <c r="L1456" i="2"/>
  <c r="O1456" i="2"/>
  <c r="P1456" i="2" s="1"/>
  <c r="M1456" i="2"/>
  <c r="O1457" i="2"/>
  <c r="P1457" i="2" s="1"/>
  <c r="L1457" i="2"/>
  <c r="M1457" i="2"/>
  <c r="O1458" i="2"/>
  <c r="P1458" i="2" s="1"/>
  <c r="M1458" i="2"/>
  <c r="L1458" i="2"/>
  <c r="M1459" i="2"/>
  <c r="L1459" i="2"/>
  <c r="O1459" i="2"/>
  <c r="P1459" i="2" s="1"/>
  <c r="O1460" i="2"/>
  <c r="P1460" i="2" s="1"/>
  <c r="M1460" i="2"/>
  <c r="L1460" i="2"/>
  <c r="M1461" i="2"/>
  <c r="O1461" i="2"/>
  <c r="P1461" i="2" s="1"/>
  <c r="L1461" i="2"/>
  <c r="L1462" i="2"/>
  <c r="O1462" i="2"/>
  <c r="P1462" i="2" s="1"/>
  <c r="M1462" i="2"/>
  <c r="O1463" i="2"/>
  <c r="P1463" i="2" s="1"/>
  <c r="M1463" i="2"/>
  <c r="L1463" i="2"/>
  <c r="O1464" i="2"/>
  <c r="P1464" i="2" s="1"/>
  <c r="M1464" i="2"/>
  <c r="L1464" i="2"/>
  <c r="O1465" i="2"/>
  <c r="P1465" i="2" s="1"/>
  <c r="M1465" i="2"/>
  <c r="L1465" i="2"/>
  <c r="O1466" i="2"/>
  <c r="P1466" i="2" s="1"/>
  <c r="M1466" i="2"/>
  <c r="L1466" i="2"/>
  <c r="M1467" i="2"/>
  <c r="O1467" i="2"/>
  <c r="P1467" i="2" s="1"/>
  <c r="L1467" i="2"/>
  <c r="L1468" i="2"/>
  <c r="M1468" i="2"/>
  <c r="O1468" i="2"/>
  <c r="P1468" i="2" s="1"/>
  <c r="O1469" i="2"/>
  <c r="P1469" i="2" s="1"/>
  <c r="M1469" i="2"/>
  <c r="L1469" i="2"/>
  <c r="L1470" i="2"/>
  <c r="O1470" i="2"/>
  <c r="P1470" i="2" s="1"/>
  <c r="M1470" i="2"/>
  <c r="O1471" i="2"/>
  <c r="P1471" i="2" s="1"/>
  <c r="M1471" i="2"/>
  <c r="L1471" i="2"/>
  <c r="O1472" i="2"/>
  <c r="P1472" i="2" s="1"/>
  <c r="M1472" i="2"/>
  <c r="L1472" i="2"/>
  <c r="L1473" i="2"/>
  <c r="M1473" i="2"/>
  <c r="O1473" i="2"/>
  <c r="P1473" i="2" s="1"/>
  <c r="O1474" i="2"/>
  <c r="P1474" i="2" s="1"/>
  <c r="M1474" i="2"/>
  <c r="L1474" i="2"/>
  <c r="O1475" i="2"/>
  <c r="P1475" i="2" s="1"/>
  <c r="M1475" i="2"/>
  <c r="L1475" i="2"/>
  <c r="O1476" i="2"/>
  <c r="P1476" i="2" s="1"/>
  <c r="M1476" i="2"/>
  <c r="L1476" i="2"/>
  <c r="O1477" i="2"/>
  <c r="P1477" i="2" s="1"/>
  <c r="M1477" i="2"/>
  <c r="L1477" i="2"/>
  <c r="O1478" i="2"/>
  <c r="P1478" i="2" s="1"/>
  <c r="M1478" i="2"/>
  <c r="L1478" i="2"/>
  <c r="M1479" i="2"/>
  <c r="O1479" i="2"/>
  <c r="P1479" i="2" s="1"/>
  <c r="L1479" i="2"/>
  <c r="O1480" i="2"/>
  <c r="P1480" i="2" s="1"/>
  <c r="M1480" i="2"/>
  <c r="L1480" i="2"/>
  <c r="M1481" i="2"/>
  <c r="O1481" i="2"/>
  <c r="P1481" i="2" s="1"/>
  <c r="L1481" i="2"/>
  <c r="L1482" i="2"/>
  <c r="M1482" i="2"/>
  <c r="O1482" i="2"/>
  <c r="P1482" i="2" s="1"/>
  <c r="M1483" i="2"/>
  <c r="O1483" i="2"/>
  <c r="P1483" i="2" s="1"/>
  <c r="L1483" i="2"/>
  <c r="M1484" i="2"/>
  <c r="L1484" i="2"/>
  <c r="O1484" i="2"/>
  <c r="P1484" i="2" s="1"/>
  <c r="O1485" i="2"/>
  <c r="P1485" i="2" s="1"/>
  <c r="M1485" i="2"/>
  <c r="L1485" i="2"/>
  <c r="L1486" i="2"/>
  <c r="M1486" i="2"/>
  <c r="O1486" i="2"/>
  <c r="P1486" i="2" s="1"/>
  <c r="L1487" i="2"/>
  <c r="O1487" i="2"/>
  <c r="P1487" i="2" s="1"/>
  <c r="M1487" i="2"/>
  <c r="L1488" i="2"/>
  <c r="O1488" i="2"/>
  <c r="P1488" i="2" s="1"/>
  <c r="M1488" i="2"/>
  <c r="M1489" i="2"/>
  <c r="L1489" i="2"/>
  <c r="O1489" i="2"/>
  <c r="P1489" i="2" s="1"/>
  <c r="O1490" i="2"/>
  <c r="P1490" i="2" s="1"/>
  <c r="M1490" i="2"/>
  <c r="L1490" i="2"/>
  <c r="M1491" i="2"/>
  <c r="O1491" i="2"/>
  <c r="P1491" i="2" s="1"/>
  <c r="L1491" i="2"/>
  <c r="O1492" i="2"/>
  <c r="P1492" i="2" s="1"/>
  <c r="M1492" i="2"/>
  <c r="L1492" i="2"/>
  <c r="O1493" i="2"/>
  <c r="P1493" i="2" s="1"/>
  <c r="M1493" i="2"/>
  <c r="L1493" i="2"/>
  <c r="O1494" i="2"/>
  <c r="P1494" i="2" s="1"/>
  <c r="M1494" i="2"/>
  <c r="L1494" i="2"/>
  <c r="O1495" i="2"/>
  <c r="P1495" i="2" s="1"/>
  <c r="M1495" i="2"/>
  <c r="L1495" i="2"/>
  <c r="O1496" i="2"/>
  <c r="P1496" i="2" s="1"/>
  <c r="L1496" i="2"/>
  <c r="M1496" i="2"/>
  <c r="L1497" i="2"/>
  <c r="M1497" i="2"/>
  <c r="O1497" i="2"/>
  <c r="P1497" i="2" s="1"/>
  <c r="O1498" i="2"/>
  <c r="P1498" i="2" s="1"/>
  <c r="L1498" i="2"/>
  <c r="M1498" i="2"/>
  <c r="L1499" i="2"/>
  <c r="O1499" i="2"/>
  <c r="P1499" i="2" s="1"/>
  <c r="M1499" i="2"/>
  <c r="O1500" i="2"/>
  <c r="P1500" i="2" s="1"/>
  <c r="L1500" i="2"/>
  <c r="M1500" i="2"/>
  <c r="M1501" i="2"/>
  <c r="L1501" i="2"/>
  <c r="O1501" i="2"/>
  <c r="P1501" i="2" s="1"/>
  <c r="O1502" i="2"/>
  <c r="P1502" i="2" s="1"/>
  <c r="M1502" i="2"/>
  <c r="L1502" i="2"/>
  <c r="O1503" i="2"/>
  <c r="P1503" i="2" s="1"/>
  <c r="L1503" i="2"/>
  <c r="M1503" i="2"/>
  <c r="O1504" i="2"/>
  <c r="M1504" i="2"/>
  <c r="L1504" i="2"/>
  <c r="O1505" i="2"/>
  <c r="M1505" i="2"/>
  <c r="L1505" i="2"/>
  <c r="M1506" i="2"/>
  <c r="O1506" i="2"/>
  <c r="L1506" i="2"/>
  <c r="O1253" i="2"/>
  <c r="P1253" i="2" s="1"/>
  <c r="M1253" i="2"/>
  <c r="L1253" i="2"/>
  <c r="M1254" i="2"/>
  <c r="O1254" i="2"/>
  <c r="P1254" i="2" s="1"/>
  <c r="L1254" i="2"/>
  <c r="O1255" i="2"/>
  <c r="P1255" i="2" s="1"/>
  <c r="L1255" i="2"/>
  <c r="M1255" i="2"/>
  <c r="M1256" i="2"/>
  <c r="O1256" i="2"/>
  <c r="P1256" i="2" s="1"/>
  <c r="L1256" i="2"/>
  <c r="O1257" i="2"/>
  <c r="P1257" i="2" s="1"/>
  <c r="M1257" i="2"/>
  <c r="L1257" i="2"/>
  <c r="O1258" i="2"/>
  <c r="P1258" i="2" s="1"/>
  <c r="M1258" i="2"/>
  <c r="L1258" i="2"/>
  <c r="O1259" i="2"/>
  <c r="P1259" i="2" s="1"/>
  <c r="M1259" i="2"/>
  <c r="L1259" i="2"/>
  <c r="O1260" i="2"/>
  <c r="P1260" i="2" s="1"/>
  <c r="M1260" i="2"/>
  <c r="L1260" i="2"/>
  <c r="O1261" i="2"/>
  <c r="P1261" i="2" s="1"/>
  <c r="L1261" i="2"/>
  <c r="M1261" i="2"/>
  <c r="O1262" i="2"/>
  <c r="P1262" i="2" s="1"/>
  <c r="M1262" i="2"/>
  <c r="L1262" i="2"/>
  <c r="O1263" i="2"/>
  <c r="P1263" i="2" s="1"/>
  <c r="M1263" i="2"/>
  <c r="L1263" i="2"/>
  <c r="M1264" i="2"/>
  <c r="O1264" i="2"/>
  <c r="P1264" i="2" s="1"/>
  <c r="L1264" i="2"/>
  <c r="M1265" i="2"/>
  <c r="O1265" i="2"/>
  <c r="P1265" i="2" s="1"/>
  <c r="L1265" i="2"/>
  <c r="O1266" i="2"/>
  <c r="P1266" i="2" s="1"/>
  <c r="M1266" i="2"/>
  <c r="L1266" i="2"/>
  <c r="L1267" i="2"/>
  <c r="M1267" i="2"/>
  <c r="O1267" i="2"/>
  <c r="P1267" i="2" s="1"/>
  <c r="O1268" i="2"/>
  <c r="P1268" i="2" s="1"/>
  <c r="M1268" i="2"/>
  <c r="L1268" i="2"/>
  <c r="O1269" i="2"/>
  <c r="P1269" i="2" s="1"/>
  <c r="M1269" i="2"/>
  <c r="L1269" i="2"/>
  <c r="O1270" i="2"/>
  <c r="P1270" i="2" s="1"/>
  <c r="L1270" i="2"/>
  <c r="M1270" i="2"/>
  <c r="M1271" i="2"/>
  <c r="L1271" i="2"/>
  <c r="O1271" i="2"/>
  <c r="P1271" i="2" s="1"/>
  <c r="L1272" i="2"/>
  <c r="M1272" i="2"/>
  <c r="O1272" i="2"/>
  <c r="P1272" i="2" s="1"/>
  <c r="O1273" i="2"/>
  <c r="P1273" i="2" s="1"/>
  <c r="M1273" i="2"/>
  <c r="L1273" i="2"/>
  <c r="M1274" i="2"/>
  <c r="O1274" i="2"/>
  <c r="P1274" i="2" s="1"/>
  <c r="L1274" i="2"/>
  <c r="O1275" i="2"/>
  <c r="P1275" i="2" s="1"/>
  <c r="M1275" i="2"/>
  <c r="L1275" i="2"/>
  <c r="O1276" i="2"/>
  <c r="P1276" i="2" s="1"/>
  <c r="M1276" i="2"/>
  <c r="L1276" i="2"/>
  <c r="L1277" i="2"/>
  <c r="O1277" i="2"/>
  <c r="P1277" i="2" s="1"/>
  <c r="M1277" i="2"/>
  <c r="O1278" i="2"/>
  <c r="P1278" i="2" s="1"/>
  <c r="M1278" i="2"/>
  <c r="L1278" i="2"/>
  <c r="M1279" i="2"/>
  <c r="L1279" i="2"/>
  <c r="O1279" i="2"/>
  <c r="P1279" i="2" s="1"/>
  <c r="L1280" i="2"/>
  <c r="O1280" i="2"/>
  <c r="P1280" i="2" s="1"/>
  <c r="M1280" i="2"/>
  <c r="O1281" i="2"/>
  <c r="P1281" i="2" s="1"/>
  <c r="M1281" i="2"/>
  <c r="L1281" i="2"/>
  <c r="M1282" i="2"/>
  <c r="L1282" i="2"/>
  <c r="O1282" i="2"/>
  <c r="P1282" i="2" s="1"/>
  <c r="O1283" i="2"/>
  <c r="P1283" i="2" s="1"/>
  <c r="L1283" i="2"/>
  <c r="M1283" i="2"/>
  <c r="O1284" i="2"/>
  <c r="P1284" i="2" s="1"/>
  <c r="M1284" i="2"/>
  <c r="L1284" i="2"/>
  <c r="M1285" i="2"/>
  <c r="L1285" i="2"/>
  <c r="O1285" i="2"/>
  <c r="P1285" i="2" s="1"/>
  <c r="O1286" i="2"/>
  <c r="P1286" i="2" s="1"/>
  <c r="M1286" i="2"/>
  <c r="L1286" i="2"/>
  <c r="O1287" i="2"/>
  <c r="P1287" i="2" s="1"/>
  <c r="M1287" i="2"/>
  <c r="L1287" i="2"/>
  <c r="O1288" i="2"/>
  <c r="P1288" i="2" s="1"/>
  <c r="M1288" i="2"/>
  <c r="L1288" i="2"/>
  <c r="O1289" i="2"/>
  <c r="P1289" i="2" s="1"/>
  <c r="M1289" i="2"/>
  <c r="L1289" i="2"/>
  <c r="O1290" i="2"/>
  <c r="P1290" i="2" s="1"/>
  <c r="L1290" i="2"/>
  <c r="M1290" i="2"/>
  <c r="O1291" i="2"/>
  <c r="P1291" i="2" s="1"/>
  <c r="M1291" i="2"/>
  <c r="L1291" i="2"/>
  <c r="L1292" i="2"/>
  <c r="O1292" i="2"/>
  <c r="P1292" i="2" s="1"/>
  <c r="M1292" i="2"/>
  <c r="O1293" i="2"/>
  <c r="P1293" i="2" s="1"/>
  <c r="M1293" i="2"/>
  <c r="L1293" i="2"/>
  <c r="O1294" i="2"/>
  <c r="P1294" i="2" s="1"/>
  <c r="M1294" i="2"/>
  <c r="L1294" i="2"/>
  <c r="L1295" i="2"/>
  <c r="M1295" i="2"/>
  <c r="O1295" i="2"/>
  <c r="P1295" i="2" s="1"/>
  <c r="O1296" i="2"/>
  <c r="P1296" i="2" s="1"/>
  <c r="M1296" i="2"/>
  <c r="L1296" i="2"/>
  <c r="O1297" i="2"/>
  <c r="P1297" i="2" s="1"/>
  <c r="M1297" i="2"/>
  <c r="L1297" i="2"/>
  <c r="L1298" i="2"/>
  <c r="O1298" i="2"/>
  <c r="P1298" i="2" s="1"/>
  <c r="M1298" i="2"/>
  <c r="O1299" i="2"/>
  <c r="P1299" i="2" s="1"/>
  <c r="M1299" i="2"/>
  <c r="L1299" i="2"/>
  <c r="L1300" i="2"/>
  <c r="O1300" i="2"/>
  <c r="P1300" i="2" s="1"/>
  <c r="M1300" i="2"/>
  <c r="O1301" i="2"/>
  <c r="P1301" i="2" s="1"/>
  <c r="M1301" i="2"/>
  <c r="L1301" i="2"/>
  <c r="O1302" i="2"/>
  <c r="P1302" i="2" s="1"/>
  <c r="M1302" i="2"/>
  <c r="L1302" i="2"/>
  <c r="O1303" i="2"/>
  <c r="P1303" i="2" s="1"/>
  <c r="M1303" i="2"/>
  <c r="L1303" i="2"/>
  <c r="M1304" i="2"/>
  <c r="O1304" i="2"/>
  <c r="P1304" i="2" s="1"/>
  <c r="L1304" i="2"/>
  <c r="L1305" i="2"/>
  <c r="O1305" i="2"/>
  <c r="P1305" i="2" s="1"/>
  <c r="M1305" i="2"/>
  <c r="O1306" i="2"/>
  <c r="P1306" i="2" s="1"/>
  <c r="M1306" i="2"/>
  <c r="L1306" i="2"/>
  <c r="O1307" i="2"/>
  <c r="P1307" i="2" s="1"/>
  <c r="M1307" i="2"/>
  <c r="L1307" i="2"/>
  <c r="O1308" i="2"/>
  <c r="P1308" i="2" s="1"/>
  <c r="L1308" i="2"/>
  <c r="M1308" i="2"/>
  <c r="O1309" i="2"/>
  <c r="P1309" i="2" s="1"/>
  <c r="M1309" i="2"/>
  <c r="L1309" i="2"/>
  <c r="O1310" i="2"/>
  <c r="P1310" i="2" s="1"/>
  <c r="M1310" i="2"/>
  <c r="L1310" i="2"/>
  <c r="O1311" i="2"/>
  <c r="P1311" i="2" s="1"/>
  <c r="M1311" i="2"/>
  <c r="L1311" i="2"/>
  <c r="O1312" i="2"/>
  <c r="P1312" i="2" s="1"/>
  <c r="M1312" i="2"/>
  <c r="L1312" i="2"/>
  <c r="O1313" i="2"/>
  <c r="P1313" i="2" s="1"/>
  <c r="M1313" i="2"/>
  <c r="L1313" i="2"/>
  <c r="M1314" i="2"/>
  <c r="L1314" i="2"/>
  <c r="O1314" i="2"/>
  <c r="P1314" i="2" s="1"/>
  <c r="M1315" i="2"/>
  <c r="L1315" i="2"/>
  <c r="O1315" i="2"/>
  <c r="P1315" i="2" s="1"/>
  <c r="L1316" i="2"/>
  <c r="O1316" i="2"/>
  <c r="P1316" i="2" s="1"/>
  <c r="M1316" i="2"/>
  <c r="O1317" i="2"/>
  <c r="P1317" i="2" s="1"/>
  <c r="L1317" i="2"/>
  <c r="M1317" i="2"/>
  <c r="O1318" i="2"/>
  <c r="P1318" i="2" s="1"/>
  <c r="M1318" i="2"/>
  <c r="L1318" i="2"/>
  <c r="O1319" i="2"/>
  <c r="P1319" i="2" s="1"/>
  <c r="M1319" i="2"/>
  <c r="L1319" i="2"/>
  <c r="O1320" i="2"/>
  <c r="P1320" i="2" s="1"/>
  <c r="M1320" i="2"/>
  <c r="L1320" i="2"/>
  <c r="O1321" i="2"/>
  <c r="P1321" i="2" s="1"/>
  <c r="M1321" i="2"/>
  <c r="L1321" i="2"/>
  <c r="M1322" i="2"/>
  <c r="L1322" i="2"/>
  <c r="O1322" i="2"/>
  <c r="P1322" i="2" s="1"/>
  <c r="M1323" i="2"/>
  <c r="L1323" i="2"/>
  <c r="O1323" i="2"/>
  <c r="P1323" i="2" s="1"/>
  <c r="M1324" i="2"/>
  <c r="L1324" i="2"/>
  <c r="O1324" i="2"/>
  <c r="P1324" i="2" s="1"/>
  <c r="L1325" i="2"/>
  <c r="M1325" i="2"/>
  <c r="O1325" i="2"/>
  <c r="P1325" i="2" s="1"/>
  <c r="L1326" i="2"/>
  <c r="O1326" i="2"/>
  <c r="P1326" i="2" s="1"/>
  <c r="M1326" i="2"/>
  <c r="O1327" i="2"/>
  <c r="P1327" i="2" s="1"/>
  <c r="M1327" i="2"/>
  <c r="L1327" i="2"/>
  <c r="L1328" i="2"/>
  <c r="O1328" i="2"/>
  <c r="P1328" i="2" s="1"/>
  <c r="M1328" i="2"/>
  <c r="O1329" i="2"/>
  <c r="P1329" i="2" s="1"/>
  <c r="L1329" i="2"/>
  <c r="M1329" i="2"/>
  <c r="O1330" i="2"/>
  <c r="P1330" i="2" s="1"/>
  <c r="L1330" i="2"/>
  <c r="M1330" i="2"/>
  <c r="O1331" i="2"/>
  <c r="P1331" i="2" s="1"/>
  <c r="L1331" i="2"/>
  <c r="M1331" i="2"/>
  <c r="O1332" i="2"/>
  <c r="P1332" i="2" s="1"/>
  <c r="L1332" i="2"/>
  <c r="M1332" i="2"/>
  <c r="O1333" i="2"/>
  <c r="P1333" i="2" s="1"/>
  <c r="M1333" i="2"/>
  <c r="L1333" i="2"/>
  <c r="L1334" i="2"/>
  <c r="O1334" i="2"/>
  <c r="P1334" i="2" s="1"/>
  <c r="M1334" i="2"/>
  <c r="O1335" i="2"/>
  <c r="P1335" i="2" s="1"/>
  <c r="L1335" i="2"/>
  <c r="M1335" i="2"/>
  <c r="M1336" i="2"/>
  <c r="O1336" i="2"/>
  <c r="P1336" i="2" s="1"/>
  <c r="L1336" i="2"/>
  <c r="L1337" i="2"/>
  <c r="O1337" i="2"/>
  <c r="P1337" i="2" s="1"/>
  <c r="M1337" i="2"/>
  <c r="O1338" i="2"/>
  <c r="P1338" i="2" s="1"/>
  <c r="L1338" i="2"/>
  <c r="M1338" i="2"/>
  <c r="M1339" i="2"/>
  <c r="L1339" i="2"/>
  <c r="O1339" i="2"/>
  <c r="P1339" i="2" s="1"/>
  <c r="O1340" i="2"/>
  <c r="P1340" i="2" s="1"/>
  <c r="L1340" i="2"/>
  <c r="M1340" i="2"/>
  <c r="M1341" i="2"/>
  <c r="L1341" i="2"/>
  <c r="O1341" i="2"/>
  <c r="P1341" i="2" s="1"/>
  <c r="M1342" i="2"/>
  <c r="O1342" i="2"/>
  <c r="P1342" i="2" s="1"/>
  <c r="L1342" i="2"/>
  <c r="O1343" i="2"/>
  <c r="P1343" i="2" s="1"/>
  <c r="L1343" i="2"/>
  <c r="M1343" i="2"/>
  <c r="O1344" i="2"/>
  <c r="P1344" i="2" s="1"/>
  <c r="M1344" i="2"/>
  <c r="L1344" i="2"/>
  <c r="O1345" i="2"/>
  <c r="P1345" i="2" s="1"/>
  <c r="M1345" i="2"/>
  <c r="L1345" i="2"/>
  <c r="O1346" i="2"/>
  <c r="P1346" i="2" s="1"/>
  <c r="L1346" i="2"/>
  <c r="M1346" i="2"/>
  <c r="M1347" i="2"/>
  <c r="L1347" i="2"/>
  <c r="O1347" i="2"/>
  <c r="P1347" i="2" s="1"/>
  <c r="L1348" i="2"/>
  <c r="O1348" i="2"/>
  <c r="P1348" i="2" s="1"/>
  <c r="M1348" i="2"/>
  <c r="L1349" i="2"/>
  <c r="O1349" i="2"/>
  <c r="P1349" i="2" s="1"/>
  <c r="M1349" i="2"/>
  <c r="O1350" i="2"/>
  <c r="P1350" i="2" s="1"/>
  <c r="M1350" i="2"/>
  <c r="L1350" i="2"/>
  <c r="M1351" i="2"/>
  <c r="L1351" i="2"/>
  <c r="O1351" i="2"/>
  <c r="P1351" i="2" s="1"/>
  <c r="M1352" i="2"/>
  <c r="L1352" i="2"/>
  <c r="O1352" i="2"/>
  <c r="P1352" i="2" s="1"/>
  <c r="O1353" i="2"/>
  <c r="P1353" i="2" s="1"/>
  <c r="L1353" i="2"/>
  <c r="M1353" i="2"/>
  <c r="O1354" i="2"/>
  <c r="P1354" i="2" s="1"/>
  <c r="L1354" i="2"/>
  <c r="M1354" i="2"/>
  <c r="M1355" i="2"/>
  <c r="O1355" i="2"/>
  <c r="P1355" i="2" s="1"/>
  <c r="L1355" i="2"/>
  <c r="M1356" i="2"/>
  <c r="O1356" i="2"/>
  <c r="P1356" i="2" s="1"/>
  <c r="L1356" i="2"/>
  <c r="M1357" i="2"/>
  <c r="L1357" i="2"/>
  <c r="O1357" i="2"/>
  <c r="P1357" i="2" s="1"/>
  <c r="L1358" i="2"/>
  <c r="O1358" i="2"/>
  <c r="P1358" i="2" s="1"/>
  <c r="M1358" i="2"/>
  <c r="L1359" i="2"/>
  <c r="M1359" i="2"/>
  <c r="O1359" i="2"/>
  <c r="P1359" i="2" s="1"/>
  <c r="O1360" i="2"/>
  <c r="P1360" i="2" s="1"/>
  <c r="M1360" i="2"/>
  <c r="L1360" i="2"/>
  <c r="O1361" i="2"/>
  <c r="P1361" i="2" s="1"/>
  <c r="M1361" i="2"/>
  <c r="L1361" i="2"/>
  <c r="L1362" i="2"/>
  <c r="O1362" i="2"/>
  <c r="P1362" i="2" s="1"/>
  <c r="M1362" i="2"/>
  <c r="O1363" i="2"/>
  <c r="P1363" i="2" s="1"/>
  <c r="M1363" i="2"/>
  <c r="L1363" i="2"/>
  <c r="M1364" i="2"/>
  <c r="L1364" i="2"/>
  <c r="O1364" i="2"/>
  <c r="P1364" i="2" s="1"/>
  <c r="O1365" i="2"/>
  <c r="P1365" i="2" s="1"/>
  <c r="M1365" i="2"/>
  <c r="L1365" i="2"/>
  <c r="L1366" i="2"/>
  <c r="O1366" i="2"/>
  <c r="P1366" i="2" s="1"/>
  <c r="M1366" i="2"/>
  <c r="M1367" i="2"/>
  <c r="O1367" i="2"/>
  <c r="P1367" i="2" s="1"/>
  <c r="L1367" i="2"/>
  <c r="M1368" i="2"/>
  <c r="L1368" i="2"/>
  <c r="O1368" i="2"/>
  <c r="P1368" i="2" s="1"/>
  <c r="M797" i="2"/>
  <c r="L797" i="2"/>
  <c r="O797" i="2"/>
  <c r="P797" i="2" s="1"/>
  <c r="O798" i="2"/>
  <c r="P798" i="2" s="1"/>
  <c r="L798" i="2"/>
  <c r="M798" i="2"/>
  <c r="O799" i="2"/>
  <c r="P799" i="2" s="1"/>
  <c r="M799" i="2"/>
  <c r="L799" i="2"/>
  <c r="M800" i="2"/>
  <c r="O800" i="2"/>
  <c r="P800" i="2" s="1"/>
  <c r="L800" i="2"/>
  <c r="O801" i="2"/>
  <c r="P801" i="2" s="1"/>
  <c r="M801" i="2"/>
  <c r="L801" i="2"/>
  <c r="M802" i="2"/>
  <c r="L802" i="2"/>
  <c r="O802" i="2"/>
  <c r="P802" i="2" s="1"/>
  <c r="O803" i="2"/>
  <c r="P803" i="2" s="1"/>
  <c r="M803" i="2"/>
  <c r="L803" i="2"/>
  <c r="M804" i="2"/>
  <c r="O804" i="2"/>
  <c r="P804" i="2" s="1"/>
  <c r="L804" i="2"/>
  <c r="M805" i="2"/>
  <c r="L805" i="2"/>
  <c r="O805" i="2"/>
  <c r="P805" i="2" s="1"/>
  <c r="O806" i="2"/>
  <c r="P806" i="2" s="1"/>
  <c r="L806" i="2"/>
  <c r="M806" i="2"/>
  <c r="M807" i="2"/>
  <c r="O807" i="2"/>
  <c r="P807" i="2" s="1"/>
  <c r="L807" i="2"/>
  <c r="O808" i="2"/>
  <c r="P808" i="2" s="1"/>
  <c r="M808" i="2"/>
  <c r="L808" i="2"/>
  <c r="L809" i="2"/>
  <c r="O809" i="2"/>
  <c r="P809" i="2" s="1"/>
  <c r="M809" i="2"/>
  <c r="M810" i="2"/>
  <c r="O810" i="2"/>
  <c r="P810" i="2" s="1"/>
  <c r="L810" i="2"/>
  <c r="L811" i="2"/>
  <c r="O811" i="2"/>
  <c r="P811" i="2" s="1"/>
  <c r="M811" i="2"/>
  <c r="O812" i="2"/>
  <c r="P812" i="2" s="1"/>
  <c r="L812" i="2"/>
  <c r="M812" i="2"/>
  <c r="O813" i="2"/>
  <c r="P813" i="2" s="1"/>
  <c r="M813" i="2"/>
  <c r="L813" i="2"/>
  <c r="O814" i="2"/>
  <c r="P814" i="2" s="1"/>
  <c r="M814" i="2"/>
  <c r="L814" i="2"/>
  <c r="O815" i="2"/>
  <c r="P815" i="2" s="1"/>
  <c r="L815" i="2"/>
  <c r="M815" i="2"/>
  <c r="O816" i="2"/>
  <c r="P816" i="2" s="1"/>
  <c r="M816" i="2"/>
  <c r="L816" i="2"/>
  <c r="L817" i="2"/>
  <c r="O817" i="2"/>
  <c r="P817" i="2" s="1"/>
  <c r="M817" i="2"/>
  <c r="O818" i="2"/>
  <c r="P818" i="2" s="1"/>
  <c r="M818" i="2"/>
  <c r="L818" i="2"/>
  <c r="M819" i="2"/>
  <c r="L819" i="2"/>
  <c r="O819" i="2"/>
  <c r="P819" i="2" s="1"/>
  <c r="L820" i="2"/>
  <c r="M820" i="2"/>
  <c r="O820" i="2"/>
  <c r="P820" i="2" s="1"/>
  <c r="O821" i="2"/>
  <c r="P821" i="2" s="1"/>
  <c r="M821" i="2"/>
  <c r="L821" i="2"/>
  <c r="O822" i="2"/>
  <c r="P822" i="2" s="1"/>
  <c r="L822" i="2"/>
  <c r="M822" i="2"/>
  <c r="O823" i="2"/>
  <c r="P823" i="2" s="1"/>
  <c r="M823" i="2"/>
  <c r="L823" i="2"/>
  <c r="O824" i="2"/>
  <c r="P824" i="2" s="1"/>
  <c r="M824" i="2"/>
  <c r="L824" i="2"/>
  <c r="L825" i="2"/>
  <c r="O825" i="2"/>
  <c r="P825" i="2" s="1"/>
  <c r="M825" i="2"/>
  <c r="M826" i="2"/>
  <c r="O826" i="2"/>
  <c r="P826" i="2" s="1"/>
  <c r="L826" i="2"/>
  <c r="L827" i="2"/>
  <c r="O827" i="2"/>
  <c r="P827" i="2" s="1"/>
  <c r="M827" i="2"/>
  <c r="O828" i="2"/>
  <c r="P828" i="2" s="1"/>
  <c r="M828" i="2"/>
  <c r="L828" i="2"/>
  <c r="O829" i="2"/>
  <c r="P829" i="2" s="1"/>
  <c r="M829" i="2"/>
  <c r="L829" i="2"/>
  <c r="O830" i="2"/>
  <c r="P830" i="2" s="1"/>
  <c r="M830" i="2"/>
  <c r="L830" i="2"/>
  <c r="L831" i="2"/>
  <c r="O831" i="2"/>
  <c r="P831" i="2" s="1"/>
  <c r="M831" i="2"/>
  <c r="O832" i="2"/>
  <c r="P832" i="2" s="1"/>
  <c r="L832" i="2"/>
  <c r="M832" i="2"/>
  <c r="M833" i="2"/>
  <c r="O833" i="2"/>
  <c r="P833" i="2" s="1"/>
  <c r="L833" i="2"/>
  <c r="O834" i="2"/>
  <c r="P834" i="2" s="1"/>
  <c r="L834" i="2"/>
  <c r="M834" i="2"/>
  <c r="O835" i="2"/>
  <c r="P835" i="2" s="1"/>
  <c r="L835" i="2"/>
  <c r="M835" i="2"/>
  <c r="O836" i="2"/>
  <c r="P836" i="2" s="1"/>
  <c r="M836" i="2"/>
  <c r="L836" i="2"/>
  <c r="O837" i="2"/>
  <c r="P837" i="2" s="1"/>
  <c r="M837" i="2"/>
  <c r="L837" i="2"/>
  <c r="O838" i="2"/>
  <c r="P838" i="2" s="1"/>
  <c r="M838" i="2"/>
  <c r="L838" i="2"/>
  <c r="M839" i="2"/>
  <c r="L839" i="2"/>
  <c r="O839" i="2"/>
  <c r="P839" i="2" s="1"/>
  <c r="M840" i="2"/>
  <c r="L840" i="2"/>
  <c r="O840" i="2"/>
  <c r="P840" i="2" s="1"/>
  <c r="O841" i="2"/>
  <c r="P841" i="2" s="1"/>
  <c r="L841" i="2"/>
  <c r="M841" i="2"/>
  <c r="M842" i="2"/>
  <c r="O842" i="2"/>
  <c r="P842" i="2" s="1"/>
  <c r="L842" i="2"/>
  <c r="O843" i="2"/>
  <c r="P843" i="2" s="1"/>
  <c r="M843" i="2"/>
  <c r="L843" i="2"/>
  <c r="O844" i="2"/>
  <c r="P844" i="2" s="1"/>
  <c r="L844" i="2"/>
  <c r="M844" i="2"/>
  <c r="L845" i="2"/>
  <c r="M845" i="2"/>
  <c r="O845" i="2"/>
  <c r="P845" i="2" s="1"/>
  <c r="M846" i="2"/>
  <c r="O846" i="2"/>
  <c r="P846" i="2" s="1"/>
  <c r="L846" i="2"/>
  <c r="M847" i="2"/>
  <c r="L847" i="2"/>
  <c r="O847" i="2"/>
  <c r="P847" i="2" s="1"/>
  <c r="O848" i="2"/>
  <c r="P848" i="2" s="1"/>
  <c r="M848" i="2"/>
  <c r="L848" i="2"/>
  <c r="L849" i="2"/>
  <c r="O849" i="2"/>
  <c r="P849" i="2" s="1"/>
  <c r="M849" i="2"/>
  <c r="O850" i="2"/>
  <c r="P850" i="2" s="1"/>
  <c r="M850" i="2"/>
  <c r="L850" i="2"/>
  <c r="M851" i="2"/>
  <c r="L851" i="2"/>
  <c r="O851" i="2"/>
  <c r="P851" i="2" s="1"/>
  <c r="O852" i="2"/>
  <c r="P852" i="2" s="1"/>
  <c r="M852" i="2"/>
  <c r="L852" i="2"/>
  <c r="M853" i="2"/>
  <c r="O853" i="2"/>
  <c r="P853" i="2" s="1"/>
  <c r="L853" i="2"/>
  <c r="O854" i="2"/>
  <c r="P854" i="2" s="1"/>
  <c r="M854" i="2"/>
  <c r="L854" i="2"/>
  <c r="O855" i="2"/>
  <c r="P855" i="2" s="1"/>
  <c r="M855" i="2"/>
  <c r="L855" i="2"/>
  <c r="M856" i="2"/>
  <c r="L856" i="2"/>
  <c r="O856" i="2"/>
  <c r="P856" i="2" s="1"/>
  <c r="O857" i="2"/>
  <c r="P857" i="2" s="1"/>
  <c r="M857" i="2"/>
  <c r="L857" i="2"/>
  <c r="M858" i="2"/>
  <c r="L858" i="2"/>
  <c r="O858" i="2"/>
  <c r="P858" i="2" s="1"/>
  <c r="L859" i="2"/>
  <c r="O859" i="2"/>
  <c r="P859" i="2" s="1"/>
  <c r="M859" i="2"/>
  <c r="M860" i="2"/>
  <c r="O860" i="2"/>
  <c r="P860" i="2" s="1"/>
  <c r="L860" i="2"/>
  <c r="M861" i="2"/>
  <c r="O861" i="2"/>
  <c r="P861" i="2" s="1"/>
  <c r="L861" i="2"/>
  <c r="M862" i="2"/>
  <c r="L862" i="2"/>
  <c r="O862" i="2"/>
  <c r="P862" i="2" s="1"/>
  <c r="O863" i="2"/>
  <c r="P863" i="2" s="1"/>
  <c r="L863" i="2"/>
  <c r="M863" i="2"/>
  <c r="O864" i="2"/>
  <c r="P864" i="2" s="1"/>
  <c r="M864" i="2"/>
  <c r="L864" i="2"/>
  <c r="L865" i="2"/>
  <c r="O865" i="2"/>
  <c r="P865" i="2" s="1"/>
  <c r="M865" i="2"/>
  <c r="L866" i="2"/>
  <c r="O866" i="2"/>
  <c r="P866" i="2" s="1"/>
  <c r="M866" i="2"/>
  <c r="O867" i="2"/>
  <c r="P867" i="2" s="1"/>
  <c r="L867" i="2"/>
  <c r="M867" i="2"/>
  <c r="O868" i="2"/>
  <c r="P868" i="2" s="1"/>
  <c r="M868" i="2"/>
  <c r="L868" i="2"/>
  <c r="O869" i="2"/>
  <c r="P869" i="2" s="1"/>
  <c r="L869" i="2"/>
  <c r="M869" i="2"/>
  <c r="O870" i="2"/>
  <c r="P870" i="2" s="1"/>
  <c r="M870" i="2"/>
  <c r="L870" i="2"/>
  <c r="O871" i="2"/>
  <c r="P871" i="2" s="1"/>
  <c r="M871" i="2"/>
  <c r="L871" i="2"/>
  <c r="O872" i="2"/>
  <c r="P872" i="2" s="1"/>
  <c r="M872" i="2"/>
  <c r="L872" i="2"/>
  <c r="O873" i="2"/>
  <c r="P873" i="2" s="1"/>
  <c r="M873" i="2"/>
  <c r="L873" i="2"/>
  <c r="O874" i="2"/>
  <c r="P874" i="2" s="1"/>
  <c r="M874" i="2"/>
  <c r="L874" i="2"/>
  <c r="M875" i="2"/>
  <c r="O875" i="2"/>
  <c r="P875" i="2" s="1"/>
  <c r="L875" i="2"/>
  <c r="O876" i="2"/>
  <c r="P876" i="2" s="1"/>
  <c r="M876" i="2"/>
  <c r="L876" i="2"/>
  <c r="L877" i="2"/>
  <c r="O877" i="2"/>
  <c r="P877" i="2" s="1"/>
  <c r="M877" i="2"/>
  <c r="M878" i="2"/>
  <c r="L878" i="2"/>
  <c r="O878" i="2"/>
  <c r="P878" i="2" s="1"/>
  <c r="L879" i="2"/>
  <c r="O879" i="2"/>
  <c r="P879" i="2" s="1"/>
  <c r="M879" i="2"/>
  <c r="M880" i="2"/>
  <c r="L880" i="2"/>
  <c r="O880" i="2"/>
  <c r="P880" i="2" s="1"/>
  <c r="O881" i="2"/>
  <c r="P881" i="2" s="1"/>
  <c r="M881" i="2"/>
  <c r="L881" i="2"/>
  <c r="M882" i="2"/>
  <c r="L882" i="2"/>
  <c r="O882" i="2"/>
  <c r="P882" i="2" s="1"/>
  <c r="O883" i="2"/>
  <c r="P883" i="2" s="1"/>
  <c r="M883" i="2"/>
  <c r="L883" i="2"/>
  <c r="O884" i="2"/>
  <c r="P884" i="2" s="1"/>
  <c r="M884" i="2"/>
  <c r="L884" i="2"/>
  <c r="M885" i="2"/>
  <c r="O885" i="2"/>
  <c r="P885" i="2" s="1"/>
  <c r="L885" i="2"/>
  <c r="L886" i="2"/>
  <c r="O886" i="2"/>
  <c r="P886" i="2" s="1"/>
  <c r="M886" i="2"/>
  <c r="L887" i="2"/>
  <c r="M887" i="2"/>
  <c r="O887" i="2"/>
  <c r="P887" i="2" s="1"/>
  <c r="L888" i="2"/>
  <c r="M888" i="2"/>
  <c r="O888" i="2"/>
  <c r="P888" i="2" s="1"/>
  <c r="O889" i="2"/>
  <c r="P889" i="2" s="1"/>
  <c r="M889" i="2"/>
  <c r="L889" i="2"/>
  <c r="O890" i="2"/>
  <c r="P890" i="2" s="1"/>
  <c r="M890" i="2"/>
  <c r="L890" i="2"/>
  <c r="O891" i="2"/>
  <c r="P891" i="2" s="1"/>
  <c r="M891" i="2"/>
  <c r="L891" i="2"/>
  <c r="O892" i="2"/>
  <c r="P892" i="2" s="1"/>
  <c r="M892" i="2"/>
  <c r="L892" i="2"/>
  <c r="M893" i="2"/>
  <c r="L893" i="2"/>
  <c r="O893" i="2"/>
  <c r="P893" i="2" s="1"/>
  <c r="O894" i="2"/>
  <c r="P894" i="2" s="1"/>
  <c r="M894" i="2"/>
  <c r="L894" i="2"/>
  <c r="O895" i="2"/>
  <c r="P895" i="2" s="1"/>
  <c r="M895" i="2"/>
  <c r="L895" i="2"/>
  <c r="L896" i="2"/>
  <c r="M896" i="2"/>
  <c r="O896" i="2"/>
  <c r="P896" i="2" s="1"/>
  <c r="L897" i="2"/>
  <c r="O897" i="2"/>
  <c r="P897" i="2" s="1"/>
  <c r="M897" i="2"/>
  <c r="O898" i="2"/>
  <c r="P898" i="2" s="1"/>
  <c r="M898" i="2"/>
  <c r="L898" i="2"/>
  <c r="L899" i="2"/>
  <c r="O899" i="2"/>
  <c r="P899" i="2" s="1"/>
  <c r="M899" i="2"/>
  <c r="M900" i="2"/>
  <c r="L900" i="2"/>
  <c r="O900" i="2"/>
  <c r="P900" i="2" s="1"/>
  <c r="M901" i="2"/>
  <c r="O901" i="2"/>
  <c r="P901" i="2" s="1"/>
  <c r="L901" i="2"/>
  <c r="M902" i="2"/>
  <c r="L902" i="2"/>
  <c r="O902" i="2"/>
  <c r="P902" i="2" s="1"/>
  <c r="L903" i="2"/>
  <c r="M903" i="2"/>
  <c r="O903" i="2"/>
  <c r="P903" i="2" s="1"/>
  <c r="O904" i="2"/>
  <c r="P904" i="2" s="1"/>
  <c r="M904" i="2"/>
  <c r="L904" i="2"/>
  <c r="O905" i="2"/>
  <c r="P905" i="2" s="1"/>
  <c r="M905" i="2"/>
  <c r="L905" i="2"/>
  <c r="M906" i="2"/>
  <c r="O906" i="2"/>
  <c r="P906" i="2" s="1"/>
  <c r="L906" i="2"/>
  <c r="M907" i="2"/>
  <c r="O907" i="2"/>
  <c r="P907" i="2" s="1"/>
  <c r="L907" i="2"/>
  <c r="O908" i="2"/>
  <c r="P908" i="2" s="1"/>
  <c r="M908" i="2"/>
  <c r="L908" i="2"/>
  <c r="O909" i="2"/>
  <c r="P909" i="2" s="1"/>
  <c r="M909" i="2"/>
  <c r="L909" i="2"/>
  <c r="L910" i="2"/>
  <c r="M910" i="2"/>
  <c r="O910" i="2"/>
  <c r="P910" i="2" s="1"/>
  <c r="L911" i="2"/>
  <c r="M911" i="2"/>
  <c r="O911" i="2"/>
  <c r="P911" i="2" s="1"/>
  <c r="M912" i="2"/>
  <c r="L912" i="2"/>
  <c r="O912" i="2"/>
  <c r="P912" i="2" s="1"/>
  <c r="M913" i="2"/>
  <c r="L913" i="2"/>
  <c r="O913" i="2"/>
  <c r="P913" i="2" s="1"/>
  <c r="O914" i="2"/>
  <c r="P914" i="2" s="1"/>
  <c r="M914" i="2"/>
  <c r="L914" i="2"/>
  <c r="L915" i="2"/>
  <c r="M915" i="2"/>
  <c r="O915" i="2"/>
  <c r="P915" i="2" s="1"/>
  <c r="O916" i="2"/>
  <c r="P916" i="2" s="1"/>
  <c r="L916" i="2"/>
  <c r="M916" i="2"/>
  <c r="O917" i="2"/>
  <c r="P917" i="2" s="1"/>
  <c r="M917" i="2"/>
  <c r="L917" i="2"/>
  <c r="O918" i="2"/>
  <c r="P918" i="2" s="1"/>
  <c r="M918" i="2"/>
  <c r="L918" i="2"/>
  <c r="O919" i="2"/>
  <c r="P919" i="2" s="1"/>
  <c r="M919" i="2"/>
  <c r="L919" i="2"/>
  <c r="M920" i="2"/>
  <c r="L920" i="2"/>
  <c r="O920" i="2"/>
  <c r="P920" i="2" s="1"/>
  <c r="O921" i="2"/>
  <c r="P921" i="2" s="1"/>
  <c r="M921" i="2"/>
  <c r="L921" i="2"/>
  <c r="O922" i="2"/>
  <c r="P922" i="2" s="1"/>
  <c r="M922" i="2"/>
  <c r="L922" i="2"/>
  <c r="M923" i="2"/>
  <c r="L923" i="2"/>
  <c r="O923" i="2"/>
  <c r="P923" i="2" s="1"/>
  <c r="O924" i="2"/>
  <c r="P924" i="2" s="1"/>
  <c r="M924" i="2"/>
  <c r="L924" i="2"/>
  <c r="O925" i="2"/>
  <c r="P925" i="2" s="1"/>
  <c r="M925" i="2"/>
  <c r="L925" i="2"/>
  <c r="O926" i="2"/>
  <c r="P926" i="2" s="1"/>
  <c r="L926" i="2"/>
  <c r="M926" i="2"/>
  <c r="M927" i="2"/>
  <c r="O927" i="2"/>
  <c r="P927" i="2" s="1"/>
  <c r="L927" i="2"/>
  <c r="O928" i="2"/>
  <c r="P928" i="2" s="1"/>
  <c r="M928" i="2"/>
  <c r="L928" i="2"/>
  <c r="L929" i="2"/>
  <c r="O929" i="2"/>
  <c r="P929" i="2" s="1"/>
  <c r="M929" i="2"/>
  <c r="O930" i="2"/>
  <c r="P930" i="2" s="1"/>
  <c r="M930" i="2"/>
  <c r="L930" i="2"/>
  <c r="O931" i="2"/>
  <c r="P931" i="2" s="1"/>
  <c r="L931" i="2"/>
  <c r="M931" i="2"/>
  <c r="L932" i="2"/>
  <c r="O932" i="2"/>
  <c r="P932" i="2" s="1"/>
  <c r="M932" i="2"/>
  <c r="M933" i="2"/>
  <c r="L933" i="2"/>
  <c r="O933" i="2"/>
  <c r="P933" i="2" s="1"/>
  <c r="L934" i="2"/>
  <c r="M934" i="2"/>
  <c r="O934" i="2"/>
  <c r="P934" i="2" s="1"/>
  <c r="O935" i="2"/>
  <c r="P935" i="2" s="1"/>
  <c r="M935" i="2"/>
  <c r="L935" i="2"/>
  <c r="O936" i="2"/>
  <c r="P936" i="2" s="1"/>
  <c r="M936" i="2"/>
  <c r="L936" i="2"/>
  <c r="O937" i="2"/>
  <c r="P937" i="2" s="1"/>
  <c r="M937" i="2"/>
  <c r="L937" i="2"/>
  <c r="L938" i="2"/>
  <c r="O938" i="2"/>
  <c r="P938" i="2" s="1"/>
  <c r="M938" i="2"/>
  <c r="O939" i="2"/>
  <c r="P939" i="2" s="1"/>
  <c r="M939" i="2"/>
  <c r="L939" i="2"/>
  <c r="O940" i="2"/>
  <c r="P940" i="2" s="1"/>
  <c r="M940" i="2"/>
  <c r="L940" i="2"/>
  <c r="L941" i="2"/>
  <c r="O941" i="2"/>
  <c r="P941" i="2" s="1"/>
  <c r="M941" i="2"/>
  <c r="O942" i="2"/>
  <c r="P942" i="2" s="1"/>
  <c r="M942" i="2"/>
  <c r="L942" i="2"/>
  <c r="O943" i="2"/>
  <c r="P943" i="2" s="1"/>
  <c r="M943" i="2"/>
  <c r="L943" i="2"/>
  <c r="O944" i="2"/>
  <c r="P944" i="2" s="1"/>
  <c r="M944" i="2"/>
  <c r="L944" i="2"/>
  <c r="O945" i="2"/>
  <c r="P945" i="2" s="1"/>
  <c r="M945" i="2"/>
  <c r="L945" i="2"/>
  <c r="O946" i="2"/>
  <c r="P946" i="2" s="1"/>
  <c r="M946" i="2"/>
  <c r="L946" i="2"/>
  <c r="O947" i="2"/>
  <c r="P947" i="2" s="1"/>
  <c r="M947" i="2"/>
  <c r="L947" i="2"/>
  <c r="O948" i="2"/>
  <c r="P948" i="2" s="1"/>
  <c r="M948" i="2"/>
  <c r="L948" i="2"/>
  <c r="O949" i="2"/>
  <c r="P949" i="2" s="1"/>
  <c r="M949" i="2"/>
  <c r="L949" i="2"/>
  <c r="O950" i="2"/>
  <c r="P950" i="2" s="1"/>
  <c r="M950" i="2"/>
  <c r="L950" i="2"/>
  <c r="M951" i="2"/>
  <c r="O951" i="2"/>
  <c r="P951" i="2" s="1"/>
  <c r="L951" i="2"/>
  <c r="L952" i="2"/>
  <c r="O952" i="2"/>
  <c r="P952" i="2" s="1"/>
  <c r="M952" i="2"/>
  <c r="O953" i="2"/>
  <c r="P953" i="2" s="1"/>
  <c r="M953" i="2"/>
  <c r="L953" i="2"/>
  <c r="O954" i="2"/>
  <c r="P954" i="2" s="1"/>
  <c r="M954" i="2"/>
  <c r="L954" i="2"/>
  <c r="O955" i="2"/>
  <c r="P955" i="2" s="1"/>
  <c r="L955" i="2"/>
  <c r="M955" i="2"/>
  <c r="O956" i="2"/>
  <c r="P956" i="2" s="1"/>
  <c r="M956" i="2"/>
  <c r="L956" i="2"/>
  <c r="M957" i="2"/>
  <c r="O957" i="2"/>
  <c r="P957" i="2" s="1"/>
  <c r="L957" i="2"/>
  <c r="O958" i="2"/>
  <c r="P958" i="2" s="1"/>
  <c r="M958" i="2"/>
  <c r="L958" i="2"/>
  <c r="O959" i="2"/>
  <c r="P959" i="2" s="1"/>
  <c r="M959" i="2"/>
  <c r="L959" i="2"/>
  <c r="O960" i="2"/>
  <c r="P960" i="2" s="1"/>
  <c r="M960" i="2"/>
  <c r="L960" i="2"/>
  <c r="O961" i="2"/>
  <c r="P961" i="2" s="1"/>
  <c r="L961" i="2"/>
  <c r="M961" i="2"/>
  <c r="L962" i="2"/>
  <c r="M962" i="2"/>
  <c r="O962" i="2"/>
  <c r="P962" i="2" s="1"/>
  <c r="O963" i="2"/>
  <c r="P963" i="2" s="1"/>
  <c r="L963" i="2"/>
  <c r="M963" i="2"/>
  <c r="O964" i="2"/>
  <c r="P964" i="2" s="1"/>
  <c r="M964" i="2"/>
  <c r="L964" i="2"/>
  <c r="O965" i="2"/>
  <c r="P965" i="2" s="1"/>
  <c r="M965" i="2"/>
  <c r="L965" i="2"/>
  <c r="L966" i="2"/>
  <c r="O966" i="2"/>
  <c r="P966" i="2" s="1"/>
  <c r="M966" i="2"/>
  <c r="L967" i="2"/>
  <c r="M967" i="2"/>
  <c r="O967" i="2"/>
  <c r="P967" i="2" s="1"/>
  <c r="L968" i="2"/>
  <c r="O968" i="2"/>
  <c r="P968" i="2" s="1"/>
  <c r="M968" i="2"/>
  <c r="O969" i="2"/>
  <c r="P969" i="2" s="1"/>
  <c r="M969" i="2"/>
  <c r="L969" i="2"/>
  <c r="O970" i="2"/>
  <c r="P970" i="2" s="1"/>
  <c r="M970" i="2"/>
  <c r="L970" i="2"/>
  <c r="L971" i="2"/>
  <c r="M971" i="2"/>
  <c r="O971" i="2"/>
  <c r="P971" i="2" s="1"/>
  <c r="O972" i="2"/>
  <c r="P972" i="2" s="1"/>
  <c r="M972" i="2"/>
  <c r="L972" i="2"/>
  <c r="M973" i="2"/>
  <c r="L973" i="2"/>
  <c r="O973" i="2"/>
  <c r="P973" i="2" s="1"/>
  <c r="L974" i="2"/>
  <c r="M974" i="2"/>
  <c r="O974" i="2"/>
  <c r="P974" i="2" s="1"/>
  <c r="L975" i="2"/>
  <c r="O975" i="2"/>
  <c r="P975" i="2" s="1"/>
  <c r="M975" i="2"/>
  <c r="O976" i="2"/>
  <c r="P976" i="2" s="1"/>
  <c r="M976" i="2"/>
  <c r="L976" i="2"/>
  <c r="L977" i="2"/>
  <c r="O977" i="2"/>
  <c r="P977" i="2" s="1"/>
  <c r="M977" i="2"/>
  <c r="M978" i="2"/>
  <c r="L978" i="2"/>
  <c r="O978" i="2"/>
  <c r="P978" i="2" s="1"/>
  <c r="O979" i="2"/>
  <c r="P979" i="2" s="1"/>
  <c r="M979" i="2"/>
  <c r="L979" i="2"/>
  <c r="O980" i="2"/>
  <c r="P980" i="2" s="1"/>
  <c r="M980" i="2"/>
  <c r="L980" i="2"/>
  <c r="O981" i="2"/>
  <c r="P981" i="2" s="1"/>
  <c r="M981" i="2"/>
  <c r="L981" i="2"/>
  <c r="M982" i="2"/>
  <c r="L982" i="2"/>
  <c r="O982" i="2"/>
  <c r="P982" i="2" s="1"/>
  <c r="L983" i="2"/>
  <c r="O983" i="2"/>
  <c r="P983" i="2" s="1"/>
  <c r="M983" i="2"/>
  <c r="O984" i="2"/>
  <c r="P984" i="2" s="1"/>
  <c r="M984" i="2"/>
  <c r="L984" i="2"/>
  <c r="O985" i="2"/>
  <c r="P985" i="2" s="1"/>
  <c r="M985" i="2"/>
  <c r="L985" i="2"/>
  <c r="O986" i="2"/>
  <c r="P986" i="2" s="1"/>
  <c r="M986" i="2"/>
  <c r="L986" i="2"/>
  <c r="M987" i="2"/>
  <c r="L987" i="2"/>
  <c r="O987" i="2"/>
  <c r="P987" i="2" s="1"/>
  <c r="M988" i="2"/>
  <c r="L988" i="2"/>
  <c r="O988" i="2"/>
  <c r="P988" i="2" s="1"/>
  <c r="L989" i="2"/>
  <c r="M989" i="2"/>
  <c r="O989" i="2"/>
  <c r="P989" i="2" s="1"/>
  <c r="O990" i="2"/>
  <c r="P990" i="2" s="1"/>
  <c r="M990" i="2"/>
  <c r="L990" i="2"/>
  <c r="O991" i="2"/>
  <c r="P991" i="2" s="1"/>
  <c r="M991" i="2"/>
  <c r="L991" i="2"/>
  <c r="O992" i="2"/>
  <c r="P992" i="2" s="1"/>
  <c r="L992" i="2"/>
  <c r="M992" i="2"/>
  <c r="O993" i="2"/>
  <c r="P993" i="2" s="1"/>
  <c r="L993" i="2"/>
  <c r="M993" i="2"/>
  <c r="M994" i="2"/>
  <c r="L994" i="2"/>
  <c r="O994" i="2"/>
  <c r="P994" i="2" s="1"/>
  <c r="M995" i="2"/>
  <c r="L995" i="2"/>
  <c r="O995" i="2"/>
  <c r="P995" i="2" s="1"/>
  <c r="L996" i="2"/>
  <c r="M996" i="2"/>
  <c r="O996" i="2"/>
  <c r="P996" i="2" s="1"/>
  <c r="O997" i="2"/>
  <c r="P997" i="2" s="1"/>
  <c r="M997" i="2"/>
  <c r="L997" i="2"/>
  <c r="L998" i="2"/>
  <c r="M998" i="2"/>
  <c r="O998" i="2"/>
  <c r="P998" i="2" s="1"/>
  <c r="M999" i="2"/>
  <c r="O999" i="2"/>
  <c r="P999" i="2" s="1"/>
  <c r="L999" i="2"/>
  <c r="O1000" i="2"/>
  <c r="P1000" i="2" s="1"/>
  <c r="M1000" i="2"/>
  <c r="L1000" i="2"/>
  <c r="O1001" i="2"/>
  <c r="P1001" i="2" s="1"/>
  <c r="M1001" i="2"/>
  <c r="L1001" i="2"/>
  <c r="O1002" i="2"/>
  <c r="P1002" i="2" s="1"/>
  <c r="M1002" i="2"/>
  <c r="L1002" i="2"/>
  <c r="L1003" i="2"/>
  <c r="O1003" i="2"/>
  <c r="P1003" i="2" s="1"/>
  <c r="M1003" i="2"/>
  <c r="L1004" i="2"/>
  <c r="O1004" i="2"/>
  <c r="P1004" i="2" s="1"/>
  <c r="M1004" i="2"/>
  <c r="O1005" i="2"/>
  <c r="P1005" i="2" s="1"/>
  <c r="M1005" i="2"/>
  <c r="L1005" i="2"/>
  <c r="O1006" i="2"/>
  <c r="P1006" i="2" s="1"/>
  <c r="M1006" i="2"/>
  <c r="L1006" i="2"/>
  <c r="O1007" i="2"/>
  <c r="P1007" i="2" s="1"/>
  <c r="L1007" i="2"/>
  <c r="M1007" i="2"/>
  <c r="O1008" i="2"/>
  <c r="P1008" i="2" s="1"/>
  <c r="M1008" i="2"/>
  <c r="L1008" i="2"/>
  <c r="O1009" i="2"/>
  <c r="P1009" i="2" s="1"/>
  <c r="M1009" i="2"/>
  <c r="L1009" i="2"/>
  <c r="O1010" i="2"/>
  <c r="P1010" i="2" s="1"/>
  <c r="L1010" i="2"/>
  <c r="M1010" i="2"/>
  <c r="O1011" i="2"/>
  <c r="P1011" i="2" s="1"/>
  <c r="M1011" i="2"/>
  <c r="L1011" i="2"/>
  <c r="M1012" i="2"/>
  <c r="O1012" i="2"/>
  <c r="P1012" i="2" s="1"/>
  <c r="L1012" i="2"/>
  <c r="M1013" i="2"/>
  <c r="O1013" i="2"/>
  <c r="P1013" i="2" s="1"/>
  <c r="L1013" i="2"/>
  <c r="L1014" i="2"/>
  <c r="M1014" i="2"/>
  <c r="O1014" i="2"/>
  <c r="P1014" i="2" s="1"/>
  <c r="M1015" i="2"/>
  <c r="L1015" i="2"/>
  <c r="O1015" i="2"/>
  <c r="P1015" i="2" s="1"/>
  <c r="O1016" i="2"/>
  <c r="P1016" i="2" s="1"/>
  <c r="M1016" i="2"/>
  <c r="L1016" i="2"/>
  <c r="O1017" i="2"/>
  <c r="P1017" i="2" s="1"/>
  <c r="M1017" i="2"/>
  <c r="L1017" i="2"/>
  <c r="O1018" i="2"/>
  <c r="P1018" i="2" s="1"/>
  <c r="M1018" i="2"/>
  <c r="L1018" i="2"/>
  <c r="O1019" i="2"/>
  <c r="P1019" i="2" s="1"/>
  <c r="L1019" i="2"/>
  <c r="M1019" i="2"/>
  <c r="L1020" i="2"/>
  <c r="O1020" i="2"/>
  <c r="P1020" i="2" s="1"/>
  <c r="M1020" i="2"/>
  <c r="M1021" i="2"/>
  <c r="O1021" i="2"/>
  <c r="P1021" i="2" s="1"/>
  <c r="L1021" i="2"/>
  <c r="M1022" i="2"/>
  <c r="O1022" i="2"/>
  <c r="P1022" i="2" s="1"/>
  <c r="L1022" i="2"/>
  <c r="L1023" i="2"/>
  <c r="M1023" i="2"/>
  <c r="O1023" i="2"/>
  <c r="P1023" i="2" s="1"/>
  <c r="O1024" i="2"/>
  <c r="P1024" i="2" s="1"/>
  <c r="M1024" i="2"/>
  <c r="L1024" i="2"/>
  <c r="O1025" i="2"/>
  <c r="P1025" i="2" s="1"/>
  <c r="L1025" i="2"/>
  <c r="M1025" i="2"/>
  <c r="M1026" i="2"/>
  <c r="L1026" i="2"/>
  <c r="O1026" i="2"/>
  <c r="P1026" i="2" s="1"/>
  <c r="M1027" i="2"/>
  <c r="O1027" i="2"/>
  <c r="P1027" i="2" s="1"/>
  <c r="L1027" i="2"/>
  <c r="O1028" i="2"/>
  <c r="P1028" i="2" s="1"/>
  <c r="L1028" i="2"/>
  <c r="M1028" i="2"/>
  <c r="L1029" i="2"/>
  <c r="M1029" i="2"/>
  <c r="O1029" i="2"/>
  <c r="P1029" i="2" s="1"/>
  <c r="M1030" i="2"/>
  <c r="L1030" i="2"/>
  <c r="O1030" i="2"/>
  <c r="P1030" i="2" s="1"/>
  <c r="O1031" i="2"/>
  <c r="P1031" i="2" s="1"/>
  <c r="M1031" i="2"/>
  <c r="L1031" i="2"/>
  <c r="L1032" i="2"/>
  <c r="O1032" i="2"/>
  <c r="P1032" i="2" s="1"/>
  <c r="M1032" i="2"/>
  <c r="L1033" i="2"/>
  <c r="O1033" i="2"/>
  <c r="P1033" i="2" s="1"/>
  <c r="M1033" i="2"/>
  <c r="O1034" i="2"/>
  <c r="P1034" i="2" s="1"/>
  <c r="M1034" i="2"/>
  <c r="L1034" i="2"/>
  <c r="O1035" i="2"/>
  <c r="P1035" i="2" s="1"/>
  <c r="M1035" i="2"/>
  <c r="L1035" i="2"/>
  <c r="L1036" i="2"/>
  <c r="O1036" i="2"/>
  <c r="P1036" i="2" s="1"/>
  <c r="M1036" i="2"/>
  <c r="O1037" i="2"/>
  <c r="P1037" i="2" s="1"/>
  <c r="M1037" i="2"/>
  <c r="L1037" i="2"/>
  <c r="O1038" i="2"/>
  <c r="P1038" i="2" s="1"/>
  <c r="M1038" i="2"/>
  <c r="L1038" i="2"/>
  <c r="O1039" i="2"/>
  <c r="P1039" i="2" s="1"/>
  <c r="L1039" i="2"/>
  <c r="M1039" i="2"/>
  <c r="O1040" i="2"/>
  <c r="P1040" i="2" s="1"/>
  <c r="M1040" i="2"/>
  <c r="L1040" i="2"/>
  <c r="O1041" i="2"/>
  <c r="P1041" i="2" s="1"/>
  <c r="M1041" i="2"/>
  <c r="L1041" i="2"/>
  <c r="O1042" i="2"/>
  <c r="P1042" i="2" s="1"/>
  <c r="M1042" i="2"/>
  <c r="L1042" i="2"/>
  <c r="O1043" i="2"/>
  <c r="P1043" i="2" s="1"/>
  <c r="L1043" i="2"/>
  <c r="M1043" i="2"/>
  <c r="O1044" i="2"/>
  <c r="P1044" i="2" s="1"/>
  <c r="L1044" i="2"/>
  <c r="M1044" i="2"/>
  <c r="L1045" i="2"/>
  <c r="M1045" i="2"/>
  <c r="O1045" i="2"/>
  <c r="P1045" i="2" s="1"/>
  <c r="M1046" i="2"/>
  <c r="L1046" i="2"/>
  <c r="O1046" i="2"/>
  <c r="P1046" i="2" s="1"/>
  <c r="M1047" i="2"/>
  <c r="O1047" i="2"/>
  <c r="P1047" i="2" s="1"/>
  <c r="L1047" i="2"/>
  <c r="M1048" i="2"/>
  <c r="L1048" i="2"/>
  <c r="O1048" i="2"/>
  <c r="P1048" i="2" s="1"/>
  <c r="O1049" i="2"/>
  <c r="P1049" i="2" s="1"/>
  <c r="M1049" i="2"/>
  <c r="L1049" i="2"/>
  <c r="L1050" i="2"/>
  <c r="O1050" i="2"/>
  <c r="P1050" i="2" s="1"/>
  <c r="M1050" i="2"/>
  <c r="O1051" i="2"/>
  <c r="P1051" i="2" s="1"/>
  <c r="M1051" i="2"/>
  <c r="L1051" i="2"/>
  <c r="O1052" i="2"/>
  <c r="P1052" i="2" s="1"/>
  <c r="L1052" i="2"/>
  <c r="M1052" i="2"/>
  <c r="O1053" i="2"/>
  <c r="P1053" i="2" s="1"/>
  <c r="M1053" i="2"/>
  <c r="L1053" i="2"/>
  <c r="O1054" i="2"/>
  <c r="P1054" i="2" s="1"/>
  <c r="M1054" i="2"/>
  <c r="L1054" i="2"/>
  <c r="M1055" i="2"/>
  <c r="O1055" i="2"/>
  <c r="P1055" i="2" s="1"/>
  <c r="L1055" i="2"/>
  <c r="O1056" i="2"/>
  <c r="P1056" i="2" s="1"/>
  <c r="M1056" i="2"/>
  <c r="L1056" i="2"/>
  <c r="M1057" i="2"/>
  <c r="L1057" i="2"/>
  <c r="O1057" i="2"/>
  <c r="P1057" i="2" s="1"/>
  <c r="O1058" i="2"/>
  <c r="P1058" i="2" s="1"/>
  <c r="M1058" i="2"/>
  <c r="L1058" i="2"/>
  <c r="O1059" i="2"/>
  <c r="P1059" i="2" s="1"/>
  <c r="M1059" i="2"/>
  <c r="L1059" i="2"/>
  <c r="O1060" i="2"/>
  <c r="P1060" i="2" s="1"/>
  <c r="M1060" i="2"/>
  <c r="L1060" i="2"/>
  <c r="O1061" i="2"/>
  <c r="P1061" i="2" s="1"/>
  <c r="M1061" i="2"/>
  <c r="L1061" i="2"/>
  <c r="M1062" i="2"/>
  <c r="L1062" i="2"/>
  <c r="O1062" i="2"/>
  <c r="P1062" i="2" s="1"/>
  <c r="O1063" i="2"/>
  <c r="P1063" i="2" s="1"/>
  <c r="L1063" i="2"/>
  <c r="M1063" i="2"/>
  <c r="L1064" i="2"/>
  <c r="M1064" i="2"/>
  <c r="O1064" i="2"/>
  <c r="P1064" i="2" s="1"/>
  <c r="O1065" i="2"/>
  <c r="P1065" i="2" s="1"/>
  <c r="M1065" i="2"/>
  <c r="L1065" i="2"/>
  <c r="M1066" i="2"/>
  <c r="L1066" i="2"/>
  <c r="O1066" i="2"/>
  <c r="P1066" i="2" s="1"/>
  <c r="O1067" i="2"/>
  <c r="P1067" i="2" s="1"/>
  <c r="M1067" i="2"/>
  <c r="L1067" i="2"/>
  <c r="O1068" i="2"/>
  <c r="P1068" i="2" s="1"/>
  <c r="L1068" i="2"/>
  <c r="M1068" i="2"/>
  <c r="L1069" i="2"/>
  <c r="O1069" i="2"/>
  <c r="P1069" i="2" s="1"/>
  <c r="M1069" i="2"/>
  <c r="O1070" i="2"/>
  <c r="P1070" i="2" s="1"/>
  <c r="M1070" i="2"/>
  <c r="L1070" i="2"/>
  <c r="M1071" i="2"/>
  <c r="L1071" i="2"/>
  <c r="O1071" i="2"/>
  <c r="P1071" i="2" s="1"/>
  <c r="O1072" i="2"/>
  <c r="P1072" i="2" s="1"/>
  <c r="L1072" i="2"/>
  <c r="M1072" i="2"/>
  <c r="O1073" i="2"/>
  <c r="P1073" i="2" s="1"/>
  <c r="M1073" i="2"/>
  <c r="L1073" i="2"/>
  <c r="L1074" i="2"/>
  <c r="O1074" i="2"/>
  <c r="P1074" i="2" s="1"/>
  <c r="M1074" i="2"/>
  <c r="L1075" i="2"/>
  <c r="O1075" i="2"/>
  <c r="P1075" i="2" s="1"/>
  <c r="M1075" i="2"/>
  <c r="O1076" i="2"/>
  <c r="P1076" i="2" s="1"/>
  <c r="M1076" i="2"/>
  <c r="L1076" i="2"/>
  <c r="O1077" i="2"/>
  <c r="P1077" i="2" s="1"/>
  <c r="M1077" i="2"/>
  <c r="L1077" i="2"/>
  <c r="M1078" i="2"/>
  <c r="L1078" i="2"/>
  <c r="O1078" i="2"/>
  <c r="P1078" i="2" s="1"/>
  <c r="M1079" i="2"/>
  <c r="L1079" i="2"/>
  <c r="O1079" i="2"/>
  <c r="P1079" i="2" s="1"/>
  <c r="M1080" i="2"/>
  <c r="O1080" i="2"/>
  <c r="P1080" i="2" s="1"/>
  <c r="L1080" i="2"/>
  <c r="O1081" i="2"/>
  <c r="P1081" i="2" s="1"/>
  <c r="M1081" i="2"/>
  <c r="L1081" i="2"/>
  <c r="L1082" i="2"/>
  <c r="M1082" i="2"/>
  <c r="O1082" i="2"/>
  <c r="P1082" i="2" s="1"/>
  <c r="M1083" i="2"/>
  <c r="L1083" i="2"/>
  <c r="O1083" i="2"/>
  <c r="P1083" i="2" s="1"/>
  <c r="O1084" i="2"/>
  <c r="P1084" i="2" s="1"/>
  <c r="M1084" i="2"/>
  <c r="L1084" i="2"/>
  <c r="L1085" i="2"/>
  <c r="M1085" i="2"/>
  <c r="O1085" i="2"/>
  <c r="P1085" i="2" s="1"/>
  <c r="O1086" i="2"/>
  <c r="P1086" i="2" s="1"/>
  <c r="M1086" i="2"/>
  <c r="L1086" i="2"/>
  <c r="M1087" i="2"/>
  <c r="O1087" i="2"/>
  <c r="P1087" i="2" s="1"/>
  <c r="L1087" i="2"/>
  <c r="L1088" i="2"/>
  <c r="O1088" i="2"/>
  <c r="P1088" i="2" s="1"/>
  <c r="M1088" i="2"/>
  <c r="O1089" i="2"/>
  <c r="P1089" i="2" s="1"/>
  <c r="M1089" i="2"/>
  <c r="L1089" i="2"/>
  <c r="L1090" i="2"/>
  <c r="O1090" i="2"/>
  <c r="P1090" i="2" s="1"/>
  <c r="M1090" i="2"/>
  <c r="O1091" i="2"/>
  <c r="P1091" i="2" s="1"/>
  <c r="M1091" i="2"/>
  <c r="L1091" i="2"/>
  <c r="L1092" i="2"/>
  <c r="O1092" i="2"/>
  <c r="P1092" i="2" s="1"/>
  <c r="M1092" i="2"/>
  <c r="M1093" i="2"/>
  <c r="O1093" i="2"/>
  <c r="P1093" i="2" s="1"/>
  <c r="L1093" i="2"/>
  <c r="O1094" i="2"/>
  <c r="P1094" i="2" s="1"/>
  <c r="M1094" i="2"/>
  <c r="L1094" i="2"/>
  <c r="L1095" i="2"/>
  <c r="O1095" i="2"/>
  <c r="P1095" i="2" s="1"/>
  <c r="M1095" i="2"/>
  <c r="O1096" i="2"/>
  <c r="P1096" i="2" s="1"/>
  <c r="M1096" i="2"/>
  <c r="L1096" i="2"/>
  <c r="M1097" i="2"/>
  <c r="L1097" i="2"/>
  <c r="O1097" i="2"/>
  <c r="P1097" i="2" s="1"/>
  <c r="M1098" i="2"/>
  <c r="L1098" i="2"/>
  <c r="O1098" i="2"/>
  <c r="P1098" i="2" s="1"/>
  <c r="O1099" i="2"/>
  <c r="P1099" i="2" s="1"/>
  <c r="L1099" i="2"/>
  <c r="M1099" i="2"/>
  <c r="O1100" i="2"/>
  <c r="P1100" i="2" s="1"/>
  <c r="M1100" i="2"/>
  <c r="L1100" i="2"/>
  <c r="O1101" i="2"/>
  <c r="P1101" i="2" s="1"/>
  <c r="M1101" i="2"/>
  <c r="L1101" i="2"/>
  <c r="O1102" i="2"/>
  <c r="P1102" i="2" s="1"/>
  <c r="M1102" i="2"/>
  <c r="L1102" i="2"/>
  <c r="M1103" i="2"/>
  <c r="L1103" i="2"/>
  <c r="O1103" i="2"/>
  <c r="P1103" i="2" s="1"/>
  <c r="L1104" i="2"/>
  <c r="O1104" i="2"/>
  <c r="P1104" i="2" s="1"/>
  <c r="M1104" i="2"/>
  <c r="L1105" i="2"/>
  <c r="O1105" i="2"/>
  <c r="P1105" i="2" s="1"/>
  <c r="M1105" i="2"/>
  <c r="L1106" i="2"/>
  <c r="O1106" i="2"/>
  <c r="P1106" i="2" s="1"/>
  <c r="M1106" i="2"/>
  <c r="M1107" i="2"/>
  <c r="O1107" i="2"/>
  <c r="P1107" i="2" s="1"/>
  <c r="L1107" i="2"/>
  <c r="M1108" i="2"/>
  <c r="L1108" i="2"/>
  <c r="O1108" i="2"/>
  <c r="P1108" i="2" s="1"/>
  <c r="O1109" i="2"/>
  <c r="P1109" i="2" s="1"/>
  <c r="M1109" i="2"/>
  <c r="L1109" i="2"/>
  <c r="M1110" i="2"/>
  <c r="L1110" i="2"/>
  <c r="O1110" i="2"/>
  <c r="P1110" i="2" s="1"/>
  <c r="M1111" i="2"/>
  <c r="L1111" i="2"/>
  <c r="O1111" i="2"/>
  <c r="P1111" i="2" s="1"/>
  <c r="O1112" i="2"/>
  <c r="P1112" i="2" s="1"/>
  <c r="L1112" i="2"/>
  <c r="M1112" i="2"/>
  <c r="M1113" i="2"/>
  <c r="L1113" i="2"/>
  <c r="O1113" i="2"/>
  <c r="P1113" i="2" s="1"/>
  <c r="O1114" i="2"/>
  <c r="P1114" i="2" s="1"/>
  <c r="M1114" i="2"/>
  <c r="L1114" i="2"/>
  <c r="M1115" i="2"/>
  <c r="O1115" i="2"/>
  <c r="P1115" i="2" s="1"/>
  <c r="L1115" i="2"/>
  <c r="L1116" i="2"/>
  <c r="O1116" i="2"/>
  <c r="P1116" i="2" s="1"/>
  <c r="M1116" i="2"/>
  <c r="O1117" i="2"/>
  <c r="P1117" i="2" s="1"/>
  <c r="M1117" i="2"/>
  <c r="L1117" i="2"/>
  <c r="L1118" i="2"/>
  <c r="M1118" i="2"/>
  <c r="O1118" i="2"/>
  <c r="P1118" i="2" s="1"/>
  <c r="M1119" i="2"/>
  <c r="O1119" i="2"/>
  <c r="P1119" i="2" s="1"/>
  <c r="L1119" i="2"/>
  <c r="M1120" i="2"/>
  <c r="L1120" i="2"/>
  <c r="O1120" i="2"/>
  <c r="P1120" i="2" s="1"/>
  <c r="L1121" i="2"/>
  <c r="O1121" i="2"/>
  <c r="P1121" i="2" s="1"/>
  <c r="M1121" i="2"/>
  <c r="L1122" i="2"/>
  <c r="O1122" i="2"/>
  <c r="P1122" i="2" s="1"/>
  <c r="M1122" i="2"/>
  <c r="O1123" i="2"/>
  <c r="P1123" i="2" s="1"/>
  <c r="M1123" i="2"/>
  <c r="L1123" i="2"/>
  <c r="O1124" i="2"/>
  <c r="P1124" i="2" s="1"/>
  <c r="M1124" i="2"/>
  <c r="L1124" i="2"/>
  <c r="M1125" i="2"/>
  <c r="L1125" i="2"/>
  <c r="O1125" i="2"/>
  <c r="P1125" i="2" s="1"/>
  <c r="M1126" i="2"/>
  <c r="O1126" i="2"/>
  <c r="P1126" i="2" s="1"/>
  <c r="L1126" i="2"/>
  <c r="M1127" i="2"/>
  <c r="L1127" i="2"/>
  <c r="O1127" i="2"/>
  <c r="P1127" i="2" s="1"/>
  <c r="M1128" i="2"/>
  <c r="L1128" i="2"/>
  <c r="O1128" i="2"/>
  <c r="P1128" i="2" s="1"/>
  <c r="M1129" i="2"/>
  <c r="O1129" i="2"/>
  <c r="P1129" i="2" s="1"/>
  <c r="L1129" i="2"/>
  <c r="M1130" i="2"/>
  <c r="O1130" i="2"/>
  <c r="P1130" i="2" s="1"/>
  <c r="L1130" i="2"/>
  <c r="L1131" i="2"/>
  <c r="O1131" i="2"/>
  <c r="P1131" i="2" s="1"/>
  <c r="M1131" i="2"/>
  <c r="M1132" i="2"/>
  <c r="L1132" i="2"/>
  <c r="O1132" i="2"/>
  <c r="P1132" i="2" s="1"/>
  <c r="O1133" i="2"/>
  <c r="P1133" i="2" s="1"/>
  <c r="M1133" i="2"/>
  <c r="L1133" i="2"/>
  <c r="O1134" i="2"/>
  <c r="P1134" i="2" s="1"/>
  <c r="M1134" i="2"/>
  <c r="L1134" i="2"/>
  <c r="O1135" i="2"/>
  <c r="P1135" i="2" s="1"/>
  <c r="M1135" i="2"/>
  <c r="L1135" i="2"/>
  <c r="O1136" i="2"/>
  <c r="P1136" i="2" s="1"/>
  <c r="M1136" i="2"/>
  <c r="L1136" i="2"/>
  <c r="O1137" i="2"/>
  <c r="P1137" i="2" s="1"/>
  <c r="L1137" i="2"/>
  <c r="M1137" i="2"/>
  <c r="O1138" i="2"/>
  <c r="P1138" i="2" s="1"/>
  <c r="M1138" i="2"/>
  <c r="L1138" i="2"/>
  <c r="M1139" i="2"/>
  <c r="L1139" i="2"/>
  <c r="O1139" i="2"/>
  <c r="P1139" i="2" s="1"/>
  <c r="M1140" i="2"/>
  <c r="O1140" i="2"/>
  <c r="P1140" i="2" s="1"/>
  <c r="L1140" i="2"/>
  <c r="M1141" i="2"/>
  <c r="L1141" i="2"/>
  <c r="O1141" i="2"/>
  <c r="P1141" i="2" s="1"/>
  <c r="L1142" i="2"/>
  <c r="O1142" i="2"/>
  <c r="P1142" i="2" s="1"/>
  <c r="M1142" i="2"/>
  <c r="L1143" i="2"/>
  <c r="O1143" i="2"/>
  <c r="P1143" i="2" s="1"/>
  <c r="M1143" i="2"/>
  <c r="O1144" i="2"/>
  <c r="P1144" i="2" s="1"/>
  <c r="M1144" i="2"/>
  <c r="L1144" i="2"/>
  <c r="L1145" i="2"/>
  <c r="M1145" i="2"/>
  <c r="O1145" i="2"/>
  <c r="P1145" i="2" s="1"/>
  <c r="L1146" i="2"/>
  <c r="M1146" i="2"/>
  <c r="O1146" i="2"/>
  <c r="P1146" i="2" s="1"/>
  <c r="L1147" i="2"/>
  <c r="O1147" i="2"/>
  <c r="P1147" i="2" s="1"/>
  <c r="M1147" i="2"/>
  <c r="M1148" i="2"/>
  <c r="L1148" i="2"/>
  <c r="O1148" i="2"/>
  <c r="P1148" i="2" s="1"/>
  <c r="O1149" i="2"/>
  <c r="P1149" i="2" s="1"/>
  <c r="M1149" i="2"/>
  <c r="L1149" i="2"/>
  <c r="O1150" i="2"/>
  <c r="P1150" i="2" s="1"/>
  <c r="M1150" i="2"/>
  <c r="L1150" i="2"/>
  <c r="M1151" i="2"/>
  <c r="O1151" i="2"/>
  <c r="P1151" i="2" s="1"/>
  <c r="L1151" i="2"/>
  <c r="L1152" i="2"/>
  <c r="M1152" i="2"/>
  <c r="O1152" i="2"/>
  <c r="P1152" i="2" s="1"/>
  <c r="O1153" i="2"/>
  <c r="P1153" i="2" s="1"/>
  <c r="M1153" i="2"/>
  <c r="L1153" i="2"/>
  <c r="O1154" i="2"/>
  <c r="P1154" i="2" s="1"/>
  <c r="M1154" i="2"/>
  <c r="L1154" i="2"/>
  <c r="O1155" i="2"/>
  <c r="P1155" i="2" s="1"/>
  <c r="M1155" i="2"/>
  <c r="L1155" i="2"/>
  <c r="M1156" i="2"/>
  <c r="O1156" i="2"/>
  <c r="P1156" i="2" s="1"/>
  <c r="L1156" i="2"/>
  <c r="L1157" i="2"/>
  <c r="M1157" i="2"/>
  <c r="O1157" i="2"/>
  <c r="P1157" i="2" s="1"/>
  <c r="M1158" i="2"/>
  <c r="O1158" i="2"/>
  <c r="P1158" i="2" s="1"/>
  <c r="L1158" i="2"/>
  <c r="O1159" i="2"/>
  <c r="P1159" i="2" s="1"/>
  <c r="L1159" i="2"/>
  <c r="M1159" i="2"/>
  <c r="L1160" i="2"/>
  <c r="O1160" i="2"/>
  <c r="P1160" i="2" s="1"/>
  <c r="M1160" i="2"/>
  <c r="M1161" i="2"/>
  <c r="O1161" i="2"/>
  <c r="P1161" i="2" s="1"/>
  <c r="L1161" i="2"/>
  <c r="O1162" i="2"/>
  <c r="P1162" i="2" s="1"/>
  <c r="M1162" i="2"/>
  <c r="L1162" i="2"/>
  <c r="L1163" i="2"/>
  <c r="O1163" i="2"/>
  <c r="P1163" i="2" s="1"/>
  <c r="M1163" i="2"/>
  <c r="O1164" i="2"/>
  <c r="P1164" i="2" s="1"/>
  <c r="M1164" i="2"/>
  <c r="L1164" i="2"/>
  <c r="M1165" i="2"/>
  <c r="L1165" i="2"/>
  <c r="O1165" i="2"/>
  <c r="P1165" i="2" s="1"/>
  <c r="M1166" i="2"/>
  <c r="O1166" i="2"/>
  <c r="P1166" i="2" s="1"/>
  <c r="L1166" i="2"/>
  <c r="O1167" i="2"/>
  <c r="P1167" i="2" s="1"/>
  <c r="M1167" i="2"/>
  <c r="L1167" i="2"/>
  <c r="O1168" i="2"/>
  <c r="P1168" i="2" s="1"/>
  <c r="M1168" i="2"/>
  <c r="L1168" i="2"/>
  <c r="L1169" i="2"/>
  <c r="O1169" i="2"/>
  <c r="P1169" i="2" s="1"/>
  <c r="M1169" i="2"/>
  <c r="O1170" i="2"/>
  <c r="P1170" i="2" s="1"/>
  <c r="M1170" i="2"/>
  <c r="L1170" i="2"/>
  <c r="M1171" i="2"/>
  <c r="O1171" i="2"/>
  <c r="P1171" i="2" s="1"/>
  <c r="L1171" i="2"/>
  <c r="L1172" i="2"/>
  <c r="M1172" i="2"/>
  <c r="O1172" i="2"/>
  <c r="P1172" i="2" s="1"/>
  <c r="O1173" i="2"/>
  <c r="P1173" i="2" s="1"/>
  <c r="M1173" i="2"/>
  <c r="L1173" i="2"/>
  <c r="O1174" i="2"/>
  <c r="P1174" i="2" s="1"/>
  <c r="M1174" i="2"/>
  <c r="L1174" i="2"/>
  <c r="O1175" i="2"/>
  <c r="P1175" i="2" s="1"/>
  <c r="M1175" i="2"/>
  <c r="L1175" i="2"/>
  <c r="M1176" i="2"/>
  <c r="L1176" i="2"/>
  <c r="O1176" i="2"/>
  <c r="P1176" i="2" s="1"/>
  <c r="O1177" i="2"/>
  <c r="P1177" i="2" s="1"/>
  <c r="M1177" i="2"/>
  <c r="L1177" i="2"/>
  <c r="O1178" i="2"/>
  <c r="P1178" i="2" s="1"/>
  <c r="L1178" i="2"/>
  <c r="M1178" i="2"/>
  <c r="L1179" i="2"/>
  <c r="O1179" i="2"/>
  <c r="P1179" i="2" s="1"/>
  <c r="M1179" i="2"/>
  <c r="O1180" i="2"/>
  <c r="P1180" i="2" s="1"/>
  <c r="M1180" i="2"/>
  <c r="L1180" i="2"/>
  <c r="M1181" i="2"/>
  <c r="O1181" i="2"/>
  <c r="P1181" i="2" s="1"/>
  <c r="L1181" i="2"/>
  <c r="O1182" i="2"/>
  <c r="P1182" i="2" s="1"/>
  <c r="M1182" i="2"/>
  <c r="L1182" i="2"/>
  <c r="M1183" i="2"/>
  <c r="L1183" i="2"/>
  <c r="O1183" i="2"/>
  <c r="P1183" i="2" s="1"/>
  <c r="O1184" i="2"/>
  <c r="P1184" i="2" s="1"/>
  <c r="M1184" i="2"/>
  <c r="L1184" i="2"/>
  <c r="M1185" i="2"/>
  <c r="O1185" i="2"/>
  <c r="P1185" i="2" s="1"/>
  <c r="L1185" i="2"/>
  <c r="O1186" i="2"/>
  <c r="P1186" i="2" s="1"/>
  <c r="M1186" i="2"/>
  <c r="L1186" i="2"/>
  <c r="O1187" i="2"/>
  <c r="P1187" i="2" s="1"/>
  <c r="L1187" i="2"/>
  <c r="M1187" i="2"/>
  <c r="O1188" i="2"/>
  <c r="P1188" i="2" s="1"/>
  <c r="M1188" i="2"/>
  <c r="L1188" i="2"/>
  <c r="O1189" i="2"/>
  <c r="P1189" i="2" s="1"/>
  <c r="M1189" i="2"/>
  <c r="L1189" i="2"/>
  <c r="M1190" i="2"/>
  <c r="O1190" i="2"/>
  <c r="P1190" i="2" s="1"/>
  <c r="L1190" i="2"/>
  <c r="O1191" i="2"/>
  <c r="P1191" i="2" s="1"/>
  <c r="M1191" i="2"/>
  <c r="L1191" i="2"/>
  <c r="O1192" i="2"/>
  <c r="P1192" i="2" s="1"/>
  <c r="M1192" i="2"/>
  <c r="L1192" i="2"/>
  <c r="O1193" i="2"/>
  <c r="P1193" i="2" s="1"/>
  <c r="M1193" i="2"/>
  <c r="L1193" i="2"/>
  <c r="O1194" i="2"/>
  <c r="P1194" i="2" s="1"/>
  <c r="M1194" i="2"/>
  <c r="L1194" i="2"/>
  <c r="O1195" i="2"/>
  <c r="P1195" i="2" s="1"/>
  <c r="M1195" i="2"/>
  <c r="L1195" i="2"/>
  <c r="M1196" i="2"/>
  <c r="O1196" i="2"/>
  <c r="P1196" i="2" s="1"/>
  <c r="L1196" i="2"/>
  <c r="L1197" i="2"/>
  <c r="O1197" i="2"/>
  <c r="P1197" i="2" s="1"/>
  <c r="M1197" i="2"/>
  <c r="O1198" i="2"/>
  <c r="P1198" i="2" s="1"/>
  <c r="M1198" i="2"/>
  <c r="L1198" i="2"/>
  <c r="O1199" i="2"/>
  <c r="P1199" i="2" s="1"/>
  <c r="L1199" i="2"/>
  <c r="M1199" i="2"/>
  <c r="O1200" i="2"/>
  <c r="P1200" i="2" s="1"/>
  <c r="L1200" i="2"/>
  <c r="M1200" i="2"/>
  <c r="O1201" i="2"/>
  <c r="P1201" i="2" s="1"/>
  <c r="M1201" i="2"/>
  <c r="L1201" i="2"/>
  <c r="M1202" i="2"/>
  <c r="O1202" i="2"/>
  <c r="P1202" i="2" s="1"/>
  <c r="L1202" i="2"/>
  <c r="L1203" i="2"/>
  <c r="O1203" i="2"/>
  <c r="P1203" i="2" s="1"/>
  <c r="M1203" i="2"/>
  <c r="O1204" i="2"/>
  <c r="P1204" i="2" s="1"/>
  <c r="M1204" i="2"/>
  <c r="L1204" i="2"/>
  <c r="O1205" i="2"/>
  <c r="P1205" i="2" s="1"/>
  <c r="M1205" i="2"/>
  <c r="L1205" i="2"/>
  <c r="L1206" i="2"/>
  <c r="M1206" i="2"/>
  <c r="O1206" i="2"/>
  <c r="P1206" i="2" s="1"/>
  <c r="L1207" i="2"/>
  <c r="O1207" i="2"/>
  <c r="P1207" i="2" s="1"/>
  <c r="M1207" i="2"/>
  <c r="O1208" i="2"/>
  <c r="P1208" i="2" s="1"/>
  <c r="M1208" i="2"/>
  <c r="L1208" i="2"/>
  <c r="M1209" i="2"/>
  <c r="L1209" i="2"/>
  <c r="O1209" i="2"/>
  <c r="P1209" i="2" s="1"/>
  <c r="L1210" i="2"/>
  <c r="O1210" i="2"/>
  <c r="P1210" i="2" s="1"/>
  <c r="M1210" i="2"/>
  <c r="L1211" i="2"/>
  <c r="M1211" i="2"/>
  <c r="O1211" i="2"/>
  <c r="P1211" i="2" s="1"/>
  <c r="O1212" i="2"/>
  <c r="P1212" i="2" s="1"/>
  <c r="M1212" i="2"/>
  <c r="L1212" i="2"/>
  <c r="O1213" i="2"/>
  <c r="P1213" i="2" s="1"/>
  <c r="M1213" i="2"/>
  <c r="L1213" i="2"/>
  <c r="L1214" i="2"/>
  <c r="O1214" i="2"/>
  <c r="P1214" i="2" s="1"/>
  <c r="M1214" i="2"/>
  <c r="O1215" i="2"/>
  <c r="P1215" i="2" s="1"/>
  <c r="M1215" i="2"/>
  <c r="L1215" i="2"/>
  <c r="O1216" i="2"/>
  <c r="P1216" i="2" s="1"/>
  <c r="M1216" i="2"/>
  <c r="L1216" i="2"/>
  <c r="O1217" i="2"/>
  <c r="P1217" i="2" s="1"/>
  <c r="M1217" i="2"/>
  <c r="L1217" i="2"/>
  <c r="M1218" i="2"/>
  <c r="O1218" i="2"/>
  <c r="P1218" i="2" s="1"/>
  <c r="L1218" i="2"/>
  <c r="L1219" i="2"/>
  <c r="O1219" i="2"/>
  <c r="P1219" i="2" s="1"/>
  <c r="M1219" i="2"/>
  <c r="L1220" i="2"/>
  <c r="M1220" i="2"/>
  <c r="O1220" i="2"/>
  <c r="P1220" i="2" s="1"/>
  <c r="O1221" i="2"/>
  <c r="P1221" i="2" s="1"/>
  <c r="M1221" i="2"/>
  <c r="L1221" i="2"/>
  <c r="L1222" i="2"/>
  <c r="M1222" i="2"/>
  <c r="O1222" i="2"/>
  <c r="P1222" i="2" s="1"/>
  <c r="M1223" i="2"/>
  <c r="L1223" i="2"/>
  <c r="O1223" i="2"/>
  <c r="P1223" i="2" s="1"/>
  <c r="O1224" i="2"/>
  <c r="P1224" i="2" s="1"/>
  <c r="M1224" i="2"/>
  <c r="L1224" i="2"/>
  <c r="O1225" i="2"/>
  <c r="P1225" i="2" s="1"/>
  <c r="M1225" i="2"/>
  <c r="L1225" i="2"/>
  <c r="O1226" i="2"/>
  <c r="P1226" i="2" s="1"/>
  <c r="M1226" i="2"/>
  <c r="L1226" i="2"/>
  <c r="L1227" i="2"/>
  <c r="O1227" i="2"/>
  <c r="P1227" i="2" s="1"/>
  <c r="M1227" i="2"/>
  <c r="O1228" i="2"/>
  <c r="P1228" i="2" s="1"/>
  <c r="M1228" i="2"/>
  <c r="L1228" i="2"/>
  <c r="M1229" i="2"/>
  <c r="L1229" i="2"/>
  <c r="O1229" i="2"/>
  <c r="P1229" i="2" s="1"/>
  <c r="O1230" i="2"/>
  <c r="P1230" i="2" s="1"/>
  <c r="M1230" i="2"/>
  <c r="L1230" i="2"/>
  <c r="M1231" i="2"/>
  <c r="L1231" i="2"/>
  <c r="O1231" i="2"/>
  <c r="P1231" i="2" s="1"/>
  <c r="O1232" i="2"/>
  <c r="P1232" i="2" s="1"/>
  <c r="M1232" i="2"/>
  <c r="L1232" i="2"/>
  <c r="L1233" i="2"/>
  <c r="O1233" i="2"/>
  <c r="P1233" i="2" s="1"/>
  <c r="M1233" i="2"/>
  <c r="M1234" i="2"/>
  <c r="O1234" i="2"/>
  <c r="P1234" i="2" s="1"/>
  <c r="L1234" i="2"/>
  <c r="M1235" i="2"/>
  <c r="L1235" i="2"/>
  <c r="O1235" i="2"/>
  <c r="P1235" i="2" s="1"/>
  <c r="L1236" i="2"/>
  <c r="O1236" i="2"/>
  <c r="P1236" i="2" s="1"/>
  <c r="M1236" i="2"/>
  <c r="L1237" i="2"/>
  <c r="O1237" i="2"/>
  <c r="P1237" i="2" s="1"/>
  <c r="M1237" i="2"/>
  <c r="M1238" i="2"/>
  <c r="O1238" i="2"/>
  <c r="P1238" i="2" s="1"/>
  <c r="L1238" i="2"/>
  <c r="L1239" i="2"/>
  <c r="O1239" i="2"/>
  <c r="P1239" i="2" s="1"/>
  <c r="M1239" i="2"/>
  <c r="O1240" i="2"/>
  <c r="P1240" i="2" s="1"/>
  <c r="L1240" i="2"/>
  <c r="M1240" i="2"/>
  <c r="O1241" i="2"/>
  <c r="P1241" i="2" s="1"/>
  <c r="M1241" i="2"/>
  <c r="L1241" i="2"/>
  <c r="L1242" i="2"/>
  <c r="M1242" i="2"/>
  <c r="O1242" i="2"/>
  <c r="P1242" i="2" s="1"/>
  <c r="L1243" i="2"/>
  <c r="O1243" i="2"/>
  <c r="P1243" i="2" s="1"/>
  <c r="M1243" i="2"/>
  <c r="M1244" i="2"/>
  <c r="L1244" i="2"/>
  <c r="O1244" i="2"/>
  <c r="P1244" i="2" s="1"/>
  <c r="O1245" i="2"/>
  <c r="P1245" i="2" s="1"/>
  <c r="M1245" i="2"/>
  <c r="L1245" i="2"/>
  <c r="M1246" i="2"/>
  <c r="O1246" i="2"/>
  <c r="P1246" i="2" s="1"/>
  <c r="L1246" i="2"/>
  <c r="O1247" i="2"/>
  <c r="P1247" i="2" s="1"/>
  <c r="L1247" i="2"/>
  <c r="M1247" i="2"/>
  <c r="M1248" i="2"/>
  <c r="L1248" i="2"/>
  <c r="O1248" i="2"/>
  <c r="P1248" i="2" s="1"/>
  <c r="M1249" i="2"/>
  <c r="O1249" i="2"/>
  <c r="P1249" i="2" s="1"/>
  <c r="L1249" i="2"/>
  <c r="M1250" i="2"/>
  <c r="L1250" i="2"/>
  <c r="O1250" i="2"/>
  <c r="P1250" i="2" s="1"/>
  <c r="M1251" i="2"/>
  <c r="O1251" i="2"/>
  <c r="P1251" i="2" s="1"/>
  <c r="L1251" i="2"/>
  <c r="L1252" i="2"/>
  <c r="O1252" i="2"/>
  <c r="P1252" i="2" s="1"/>
  <c r="M1252" i="2"/>
  <c r="M689" i="2"/>
  <c r="L689" i="2"/>
  <c r="O689" i="2"/>
  <c r="P689" i="2" s="1"/>
  <c r="L690" i="2"/>
  <c r="O690" i="2"/>
  <c r="P690" i="2" s="1"/>
  <c r="M690" i="2"/>
  <c r="O691" i="2"/>
  <c r="P691" i="2" s="1"/>
  <c r="M691" i="2"/>
  <c r="L691" i="2"/>
  <c r="O692" i="2"/>
  <c r="P692" i="2" s="1"/>
  <c r="L692" i="2"/>
  <c r="M692" i="2"/>
  <c r="L693" i="2"/>
  <c r="O693" i="2"/>
  <c r="P693" i="2" s="1"/>
  <c r="M693" i="2"/>
  <c r="M694" i="2"/>
  <c r="L694" i="2"/>
  <c r="O694" i="2"/>
  <c r="P694" i="2" s="1"/>
  <c r="O695" i="2"/>
  <c r="P695" i="2" s="1"/>
  <c r="M695" i="2"/>
  <c r="L695" i="2"/>
  <c r="O696" i="2"/>
  <c r="P696" i="2" s="1"/>
  <c r="M696" i="2"/>
  <c r="L696" i="2"/>
  <c r="O697" i="2"/>
  <c r="P697" i="2" s="1"/>
  <c r="M697" i="2"/>
  <c r="L697" i="2"/>
  <c r="O698" i="2"/>
  <c r="P698" i="2" s="1"/>
  <c r="M698" i="2"/>
  <c r="L698" i="2"/>
  <c r="M699" i="2"/>
  <c r="L699" i="2"/>
  <c r="O699" i="2"/>
  <c r="P699" i="2" s="1"/>
  <c r="L700" i="2"/>
  <c r="O700" i="2"/>
  <c r="P700" i="2" s="1"/>
  <c r="M700" i="2"/>
  <c r="O701" i="2"/>
  <c r="P701" i="2" s="1"/>
  <c r="M701" i="2"/>
  <c r="L701" i="2"/>
  <c r="O702" i="2"/>
  <c r="P702" i="2" s="1"/>
  <c r="M702" i="2"/>
  <c r="L702" i="2"/>
  <c r="L703" i="2"/>
  <c r="M703" i="2"/>
  <c r="O703" i="2"/>
  <c r="P703" i="2" s="1"/>
  <c r="M704" i="2"/>
  <c r="L704" i="2"/>
  <c r="O704" i="2"/>
  <c r="P704" i="2" s="1"/>
  <c r="M705" i="2"/>
  <c r="L705" i="2"/>
  <c r="O705" i="2"/>
  <c r="P705" i="2" s="1"/>
  <c r="M706" i="2"/>
  <c r="O706" i="2"/>
  <c r="P706" i="2" s="1"/>
  <c r="L706" i="2"/>
  <c r="O707" i="2"/>
  <c r="P707" i="2" s="1"/>
  <c r="M707" i="2"/>
  <c r="L707" i="2"/>
  <c r="M708" i="2"/>
  <c r="O708" i="2"/>
  <c r="P708" i="2" s="1"/>
  <c r="L708" i="2"/>
  <c r="M709" i="2"/>
  <c r="O709" i="2"/>
  <c r="P709" i="2" s="1"/>
  <c r="L709" i="2"/>
  <c r="O710" i="2"/>
  <c r="P710" i="2" s="1"/>
  <c r="M710" i="2"/>
  <c r="L710" i="2"/>
  <c r="O711" i="2"/>
  <c r="P711" i="2" s="1"/>
  <c r="M711" i="2"/>
  <c r="L711" i="2"/>
  <c r="M712" i="2"/>
  <c r="O712" i="2"/>
  <c r="P712" i="2" s="1"/>
  <c r="L712" i="2"/>
  <c r="O713" i="2"/>
  <c r="P713" i="2" s="1"/>
  <c r="L713" i="2"/>
  <c r="M713" i="2"/>
  <c r="M714" i="2"/>
  <c r="L714" i="2"/>
  <c r="O714" i="2"/>
  <c r="P714" i="2" s="1"/>
  <c r="L715" i="2"/>
  <c r="O715" i="2"/>
  <c r="P715" i="2" s="1"/>
  <c r="M715" i="2"/>
  <c r="O716" i="2"/>
  <c r="P716" i="2" s="1"/>
  <c r="L716" i="2"/>
  <c r="M716" i="2"/>
  <c r="O717" i="2"/>
  <c r="P717" i="2" s="1"/>
  <c r="L717" i="2"/>
  <c r="M717" i="2"/>
  <c r="L718" i="2"/>
  <c r="O718" i="2"/>
  <c r="P718" i="2" s="1"/>
  <c r="M718" i="2"/>
  <c r="O719" i="2"/>
  <c r="P719" i="2" s="1"/>
  <c r="M719" i="2"/>
  <c r="L719" i="2"/>
  <c r="M720" i="2"/>
  <c r="L720" i="2"/>
  <c r="O720" i="2"/>
  <c r="P720" i="2" s="1"/>
  <c r="O721" i="2"/>
  <c r="P721" i="2" s="1"/>
  <c r="L721" i="2"/>
  <c r="M721" i="2"/>
  <c r="M722" i="2"/>
  <c r="L722" i="2"/>
  <c r="O722" i="2"/>
  <c r="P722" i="2" s="1"/>
  <c r="O723" i="2"/>
  <c r="P723" i="2" s="1"/>
  <c r="M723" i="2"/>
  <c r="L723" i="2"/>
  <c r="O724" i="2"/>
  <c r="P724" i="2" s="1"/>
  <c r="M724" i="2"/>
  <c r="L724" i="2"/>
  <c r="M725" i="2"/>
  <c r="O725" i="2"/>
  <c r="P725" i="2" s="1"/>
  <c r="L725" i="2"/>
  <c r="O726" i="2"/>
  <c r="P726" i="2" s="1"/>
  <c r="M726" i="2"/>
  <c r="L726" i="2"/>
  <c r="O727" i="2"/>
  <c r="P727" i="2" s="1"/>
  <c r="L727" i="2"/>
  <c r="M727" i="2"/>
  <c r="O728" i="2"/>
  <c r="P728" i="2" s="1"/>
  <c r="M728" i="2"/>
  <c r="L728" i="2"/>
  <c r="O729" i="2"/>
  <c r="P729" i="2" s="1"/>
  <c r="M729" i="2"/>
  <c r="L729" i="2"/>
  <c r="O730" i="2"/>
  <c r="P730" i="2" s="1"/>
  <c r="M730" i="2"/>
  <c r="L730" i="2"/>
  <c r="M731" i="2"/>
  <c r="O731" i="2"/>
  <c r="P731" i="2" s="1"/>
  <c r="L731" i="2"/>
  <c r="O732" i="2"/>
  <c r="P732" i="2" s="1"/>
  <c r="M732" i="2"/>
  <c r="L732" i="2"/>
  <c r="O733" i="2"/>
  <c r="P733" i="2" s="1"/>
  <c r="M733" i="2"/>
  <c r="L733" i="2"/>
  <c r="L734" i="2"/>
  <c r="O734" i="2"/>
  <c r="P734" i="2" s="1"/>
  <c r="M734" i="2"/>
  <c r="O735" i="2"/>
  <c r="P735" i="2" s="1"/>
  <c r="L735" i="2"/>
  <c r="M735" i="2"/>
  <c r="M736" i="2"/>
  <c r="O736" i="2"/>
  <c r="P736" i="2" s="1"/>
  <c r="L736" i="2"/>
  <c r="M737" i="2"/>
  <c r="L737" i="2"/>
  <c r="O737" i="2"/>
  <c r="P737" i="2" s="1"/>
  <c r="L738" i="2"/>
  <c r="O738" i="2"/>
  <c r="P738" i="2" s="1"/>
  <c r="M738" i="2"/>
  <c r="L739" i="2"/>
  <c r="O739" i="2"/>
  <c r="P739" i="2" s="1"/>
  <c r="M739" i="2"/>
  <c r="O740" i="2"/>
  <c r="P740" i="2" s="1"/>
  <c r="M740" i="2"/>
  <c r="L740" i="2"/>
  <c r="M741" i="2"/>
  <c r="L741" i="2"/>
  <c r="O741" i="2"/>
  <c r="P741" i="2" s="1"/>
  <c r="O742" i="2"/>
  <c r="P742" i="2" s="1"/>
  <c r="M742" i="2"/>
  <c r="L742" i="2"/>
  <c r="L743" i="2"/>
  <c r="M743" i="2"/>
  <c r="O743" i="2"/>
  <c r="P743" i="2" s="1"/>
  <c r="M744" i="2"/>
  <c r="L744" i="2"/>
  <c r="O744" i="2"/>
  <c r="P744" i="2" s="1"/>
  <c r="O745" i="2"/>
  <c r="P745" i="2" s="1"/>
  <c r="M745" i="2"/>
  <c r="L745" i="2"/>
  <c r="L746" i="2"/>
  <c r="M746" i="2"/>
  <c r="O746" i="2"/>
  <c r="P746" i="2" s="1"/>
  <c r="M747" i="2"/>
  <c r="L747" i="2"/>
  <c r="O747" i="2"/>
  <c r="P747" i="2" s="1"/>
  <c r="O748" i="2"/>
  <c r="P748" i="2" s="1"/>
  <c r="L748" i="2"/>
  <c r="M748" i="2"/>
  <c r="O749" i="2"/>
  <c r="P749" i="2" s="1"/>
  <c r="M749" i="2"/>
  <c r="L749" i="2"/>
  <c r="L750" i="2"/>
  <c r="O750" i="2"/>
  <c r="P750" i="2" s="1"/>
  <c r="M750" i="2"/>
  <c r="O751" i="2"/>
  <c r="P751" i="2" s="1"/>
  <c r="M751" i="2"/>
  <c r="L751" i="2"/>
  <c r="O752" i="2"/>
  <c r="P752" i="2" s="1"/>
  <c r="M752" i="2"/>
  <c r="L752" i="2"/>
  <c r="O753" i="2"/>
  <c r="P753" i="2" s="1"/>
  <c r="M753" i="2"/>
  <c r="L753" i="2"/>
  <c r="M754" i="2"/>
  <c r="L754" i="2"/>
  <c r="O754" i="2"/>
  <c r="P754" i="2" s="1"/>
  <c r="M755" i="2"/>
  <c r="O755" i="2"/>
  <c r="P755" i="2" s="1"/>
  <c r="L755" i="2"/>
  <c r="M756" i="2"/>
  <c r="O756" i="2"/>
  <c r="P756" i="2" s="1"/>
  <c r="L756" i="2"/>
  <c r="L757" i="2"/>
  <c r="M757" i="2"/>
  <c r="O757" i="2"/>
  <c r="P757" i="2" s="1"/>
  <c r="M758" i="2"/>
  <c r="O758" i="2"/>
  <c r="P758" i="2" s="1"/>
  <c r="L758" i="2"/>
  <c r="O759" i="2"/>
  <c r="P759" i="2" s="1"/>
  <c r="M759" i="2"/>
  <c r="L759" i="2"/>
  <c r="O760" i="2"/>
  <c r="P760" i="2" s="1"/>
  <c r="M760" i="2"/>
  <c r="L760" i="2"/>
  <c r="O761" i="2"/>
  <c r="P761" i="2" s="1"/>
  <c r="M761" i="2"/>
  <c r="L761" i="2"/>
  <c r="M762" i="2"/>
  <c r="O762" i="2"/>
  <c r="P762" i="2" s="1"/>
  <c r="L762" i="2"/>
  <c r="M763" i="2"/>
  <c r="L763" i="2"/>
  <c r="O763" i="2"/>
  <c r="P763" i="2" s="1"/>
  <c r="O764" i="2"/>
  <c r="P764" i="2" s="1"/>
  <c r="M764" i="2"/>
  <c r="L764" i="2"/>
  <c r="O765" i="2"/>
  <c r="P765" i="2" s="1"/>
  <c r="M765" i="2"/>
  <c r="L765" i="2"/>
  <c r="O766" i="2"/>
  <c r="P766" i="2" s="1"/>
  <c r="M766" i="2"/>
  <c r="L766" i="2"/>
  <c r="M767" i="2"/>
  <c r="L767" i="2"/>
  <c r="O767" i="2"/>
  <c r="P767" i="2" s="1"/>
  <c r="O768" i="2"/>
  <c r="P768" i="2" s="1"/>
  <c r="M768" i="2"/>
  <c r="L768" i="2"/>
  <c r="O769" i="2"/>
  <c r="P769" i="2" s="1"/>
  <c r="M769" i="2"/>
  <c r="L769" i="2"/>
  <c r="O770" i="2"/>
  <c r="P770" i="2" s="1"/>
  <c r="M770" i="2"/>
  <c r="L770" i="2"/>
  <c r="O771" i="2"/>
  <c r="P771" i="2" s="1"/>
  <c r="M771" i="2"/>
  <c r="L771" i="2"/>
  <c r="M772" i="2"/>
  <c r="L772" i="2"/>
  <c r="O772" i="2"/>
  <c r="P772" i="2" s="1"/>
  <c r="O773" i="2"/>
  <c r="P773" i="2" s="1"/>
  <c r="M773" i="2"/>
  <c r="L773" i="2"/>
  <c r="O774" i="2"/>
  <c r="P774" i="2" s="1"/>
  <c r="M774" i="2"/>
  <c r="L774" i="2"/>
  <c r="L775" i="2"/>
  <c r="M775" i="2"/>
  <c r="O775" i="2"/>
  <c r="P775" i="2" s="1"/>
  <c r="O776" i="2"/>
  <c r="P776" i="2" s="1"/>
  <c r="M776" i="2"/>
  <c r="L776" i="2"/>
  <c r="M777" i="2"/>
  <c r="O777" i="2"/>
  <c r="P777" i="2" s="1"/>
  <c r="L777" i="2"/>
  <c r="O778" i="2"/>
  <c r="P778" i="2" s="1"/>
  <c r="M778" i="2"/>
  <c r="L778" i="2"/>
  <c r="O779" i="2"/>
  <c r="P779" i="2" s="1"/>
  <c r="L779" i="2"/>
  <c r="M779" i="2"/>
  <c r="O780" i="2"/>
  <c r="P780" i="2" s="1"/>
  <c r="M780" i="2"/>
  <c r="L780" i="2"/>
  <c r="M781" i="2"/>
  <c r="L781" i="2"/>
  <c r="O781" i="2"/>
  <c r="P781" i="2" s="1"/>
  <c r="M782" i="2"/>
  <c r="O782" i="2"/>
  <c r="P782" i="2" s="1"/>
  <c r="L782" i="2"/>
  <c r="L783" i="2"/>
  <c r="O783" i="2"/>
  <c r="P783" i="2" s="1"/>
  <c r="M783" i="2"/>
  <c r="O784" i="2"/>
  <c r="P784" i="2" s="1"/>
  <c r="M784" i="2"/>
  <c r="L784" i="2"/>
  <c r="M785" i="2"/>
  <c r="L785" i="2"/>
  <c r="O785" i="2"/>
  <c r="P785" i="2" s="1"/>
  <c r="O786" i="2"/>
  <c r="P786" i="2" s="1"/>
  <c r="M786" i="2"/>
  <c r="L786" i="2"/>
  <c r="O787" i="2"/>
  <c r="P787" i="2" s="1"/>
  <c r="L787" i="2"/>
  <c r="M787" i="2"/>
  <c r="M788" i="2"/>
  <c r="O788" i="2"/>
  <c r="P788" i="2" s="1"/>
  <c r="L788" i="2"/>
  <c r="M789" i="2"/>
  <c r="L789" i="2"/>
  <c r="O789" i="2"/>
  <c r="P789" i="2" s="1"/>
  <c r="L790" i="2"/>
  <c r="O790" i="2"/>
  <c r="P790" i="2" s="1"/>
  <c r="M790" i="2"/>
  <c r="M791" i="2"/>
  <c r="L791" i="2"/>
  <c r="O791" i="2"/>
  <c r="P791" i="2" s="1"/>
  <c r="O792" i="2"/>
  <c r="P792" i="2" s="1"/>
  <c r="M792" i="2"/>
  <c r="L792" i="2"/>
  <c r="O793" i="2"/>
  <c r="P793" i="2" s="1"/>
  <c r="M793" i="2"/>
  <c r="L793" i="2"/>
  <c r="M794" i="2"/>
  <c r="O794" i="2"/>
  <c r="P794" i="2" s="1"/>
  <c r="L794" i="2"/>
  <c r="L795" i="2"/>
  <c r="O795" i="2"/>
  <c r="P795" i="2" s="1"/>
  <c r="M795" i="2"/>
  <c r="M796" i="2"/>
  <c r="L796" i="2"/>
  <c r="O796" i="2"/>
  <c r="P796" i="2" s="1"/>
  <c r="M614" i="2"/>
  <c r="O614" i="2"/>
  <c r="P614" i="2" s="1"/>
  <c r="L614" i="2"/>
  <c r="O615" i="2"/>
  <c r="P615" i="2" s="1"/>
  <c r="M615" i="2"/>
  <c r="L615" i="2"/>
  <c r="O616" i="2"/>
  <c r="P616" i="2" s="1"/>
  <c r="M616" i="2"/>
  <c r="L616" i="2"/>
  <c r="O617" i="2"/>
  <c r="P617" i="2" s="1"/>
  <c r="M617" i="2"/>
  <c r="L617" i="2"/>
  <c r="L618" i="2"/>
  <c r="O618" i="2"/>
  <c r="P618" i="2" s="1"/>
  <c r="M618" i="2"/>
  <c r="O619" i="2"/>
  <c r="P619" i="2" s="1"/>
  <c r="L619" i="2"/>
  <c r="M619" i="2"/>
  <c r="O620" i="2"/>
  <c r="P620" i="2" s="1"/>
  <c r="M620" i="2"/>
  <c r="L620" i="2"/>
  <c r="M621" i="2"/>
  <c r="L621" i="2"/>
  <c r="O621" i="2"/>
  <c r="P621" i="2" s="1"/>
  <c r="O622" i="2"/>
  <c r="P622" i="2" s="1"/>
  <c r="M622" i="2"/>
  <c r="L622" i="2"/>
  <c r="O623" i="2"/>
  <c r="P623" i="2" s="1"/>
  <c r="M623" i="2"/>
  <c r="L623" i="2"/>
  <c r="O624" i="2"/>
  <c r="P624" i="2" s="1"/>
  <c r="L624" i="2"/>
  <c r="M624" i="2"/>
  <c r="L625" i="2"/>
  <c r="O625" i="2"/>
  <c r="P625" i="2" s="1"/>
  <c r="M625" i="2"/>
  <c r="L626" i="2"/>
  <c r="O626" i="2"/>
  <c r="P626" i="2" s="1"/>
  <c r="M626" i="2"/>
  <c r="M627" i="2"/>
  <c r="O627" i="2"/>
  <c r="P627" i="2" s="1"/>
  <c r="L627" i="2"/>
  <c r="M628" i="2"/>
  <c r="O628" i="2"/>
  <c r="P628" i="2" s="1"/>
  <c r="L628" i="2"/>
  <c r="O629" i="2"/>
  <c r="P629" i="2" s="1"/>
  <c r="L629" i="2"/>
  <c r="M629" i="2"/>
  <c r="L630" i="2"/>
  <c r="O630" i="2"/>
  <c r="P630" i="2" s="1"/>
  <c r="M630" i="2"/>
  <c r="O631" i="2"/>
  <c r="P631" i="2" s="1"/>
  <c r="M631" i="2"/>
  <c r="L631" i="2"/>
  <c r="M632" i="2"/>
  <c r="O632" i="2"/>
  <c r="P632" i="2" s="1"/>
  <c r="L632" i="2"/>
  <c r="M633" i="2"/>
  <c r="O633" i="2"/>
  <c r="P633" i="2" s="1"/>
  <c r="L633" i="2"/>
  <c r="O634" i="2"/>
  <c r="P634" i="2" s="1"/>
  <c r="M634" i="2"/>
  <c r="L634" i="2"/>
  <c r="M635" i="2"/>
  <c r="O635" i="2"/>
  <c r="P635" i="2" s="1"/>
  <c r="L635" i="2"/>
  <c r="M636" i="2"/>
  <c r="O636" i="2"/>
  <c r="P636" i="2" s="1"/>
  <c r="L636" i="2"/>
  <c r="M637" i="2"/>
  <c r="L637" i="2"/>
  <c r="O637" i="2"/>
  <c r="P637" i="2" s="1"/>
  <c r="O638" i="2"/>
  <c r="P638" i="2" s="1"/>
  <c r="M638" i="2"/>
  <c r="L638" i="2"/>
  <c r="O639" i="2"/>
  <c r="P639" i="2" s="1"/>
  <c r="M639" i="2"/>
  <c r="L639" i="2"/>
  <c r="M640" i="2"/>
  <c r="L640" i="2"/>
  <c r="O640" i="2"/>
  <c r="P640" i="2" s="1"/>
  <c r="M641" i="2"/>
  <c r="L641" i="2"/>
  <c r="O641" i="2"/>
  <c r="P641" i="2" s="1"/>
  <c r="O642" i="2"/>
  <c r="P642" i="2" s="1"/>
  <c r="L642" i="2"/>
  <c r="M642" i="2"/>
  <c r="L643" i="2"/>
  <c r="O643" i="2"/>
  <c r="P643" i="2" s="1"/>
  <c r="M643" i="2"/>
  <c r="O644" i="2"/>
  <c r="P644" i="2" s="1"/>
  <c r="M644" i="2"/>
  <c r="L644" i="2"/>
  <c r="M645" i="2"/>
  <c r="O645" i="2"/>
  <c r="P645" i="2" s="1"/>
  <c r="L645" i="2"/>
  <c r="M646" i="2"/>
  <c r="L646" i="2"/>
  <c r="O646" i="2"/>
  <c r="P646" i="2" s="1"/>
  <c r="M647" i="2"/>
  <c r="L647" i="2"/>
  <c r="O647" i="2"/>
  <c r="P647" i="2" s="1"/>
  <c r="O648" i="2"/>
  <c r="P648" i="2" s="1"/>
  <c r="M648" i="2"/>
  <c r="L648" i="2"/>
  <c r="O649" i="2"/>
  <c r="P649" i="2" s="1"/>
  <c r="M649" i="2"/>
  <c r="L649" i="2"/>
  <c r="O650" i="2"/>
  <c r="P650" i="2" s="1"/>
  <c r="M650" i="2"/>
  <c r="L650" i="2"/>
  <c r="O651" i="2"/>
  <c r="P651" i="2" s="1"/>
  <c r="L651" i="2"/>
  <c r="M651" i="2"/>
  <c r="M652" i="2"/>
  <c r="O652" i="2"/>
  <c r="P652" i="2" s="1"/>
  <c r="L652" i="2"/>
  <c r="M653" i="2"/>
  <c r="O653" i="2"/>
  <c r="P653" i="2" s="1"/>
  <c r="L653" i="2"/>
  <c r="M654" i="2"/>
  <c r="L654" i="2"/>
  <c r="O654" i="2"/>
  <c r="P654" i="2" s="1"/>
  <c r="M655" i="2"/>
  <c r="O655" i="2"/>
  <c r="P655" i="2" s="1"/>
  <c r="L655" i="2"/>
  <c r="M656" i="2"/>
  <c r="L656" i="2"/>
  <c r="O656" i="2"/>
  <c r="P656" i="2" s="1"/>
  <c r="M657" i="2"/>
  <c r="L657" i="2"/>
  <c r="O657" i="2"/>
  <c r="P657" i="2" s="1"/>
  <c r="L658" i="2"/>
  <c r="M658" i="2"/>
  <c r="O658" i="2"/>
  <c r="P658" i="2" s="1"/>
  <c r="L659" i="2"/>
  <c r="M659" i="2"/>
  <c r="O659" i="2"/>
  <c r="P659" i="2" s="1"/>
  <c r="L660" i="2"/>
  <c r="O660" i="2"/>
  <c r="P660" i="2" s="1"/>
  <c r="M660" i="2"/>
  <c r="M661" i="2"/>
  <c r="L661" i="2"/>
  <c r="O661" i="2"/>
  <c r="P661" i="2" s="1"/>
  <c r="M662" i="2"/>
  <c r="O662" i="2"/>
  <c r="P662" i="2" s="1"/>
  <c r="L662" i="2"/>
  <c r="O663" i="2"/>
  <c r="P663" i="2" s="1"/>
  <c r="M663" i="2"/>
  <c r="L663" i="2"/>
  <c r="O664" i="2"/>
  <c r="P664" i="2" s="1"/>
  <c r="M664" i="2"/>
  <c r="L664" i="2"/>
  <c r="O665" i="2"/>
  <c r="P665" i="2" s="1"/>
  <c r="M665" i="2"/>
  <c r="L665" i="2"/>
  <c r="O666" i="2"/>
  <c r="P666" i="2" s="1"/>
  <c r="M666" i="2"/>
  <c r="L666" i="2"/>
  <c r="L667" i="2"/>
  <c r="M667" i="2"/>
  <c r="O667" i="2"/>
  <c r="P667" i="2" s="1"/>
  <c r="O668" i="2"/>
  <c r="P668" i="2" s="1"/>
  <c r="M668" i="2"/>
  <c r="L668" i="2"/>
  <c r="O669" i="2"/>
  <c r="P669" i="2" s="1"/>
  <c r="L669" i="2"/>
  <c r="M669" i="2"/>
  <c r="O670" i="2"/>
  <c r="P670" i="2" s="1"/>
  <c r="M670" i="2"/>
  <c r="L670" i="2"/>
  <c r="O671" i="2"/>
  <c r="P671" i="2" s="1"/>
  <c r="M671" i="2"/>
  <c r="L671" i="2"/>
  <c r="M672" i="2"/>
  <c r="L672" i="2"/>
  <c r="O672" i="2"/>
  <c r="P672" i="2" s="1"/>
  <c r="O673" i="2"/>
  <c r="P673" i="2" s="1"/>
  <c r="L673" i="2"/>
  <c r="M673" i="2"/>
  <c r="L674" i="2"/>
  <c r="O674" i="2"/>
  <c r="P674" i="2" s="1"/>
  <c r="M674" i="2"/>
  <c r="O675" i="2"/>
  <c r="P675" i="2" s="1"/>
  <c r="M675" i="2"/>
  <c r="L675" i="2"/>
  <c r="O676" i="2"/>
  <c r="P676" i="2" s="1"/>
  <c r="M676" i="2"/>
  <c r="L676" i="2"/>
  <c r="O677" i="2"/>
  <c r="P677" i="2" s="1"/>
  <c r="M677" i="2"/>
  <c r="L677" i="2"/>
  <c r="M678" i="2"/>
  <c r="L678" i="2"/>
  <c r="O678" i="2"/>
  <c r="P678" i="2" s="1"/>
  <c r="O679" i="2"/>
  <c r="P679" i="2" s="1"/>
  <c r="M679" i="2"/>
  <c r="L679" i="2"/>
  <c r="O680" i="2"/>
  <c r="P680" i="2" s="1"/>
  <c r="M680" i="2"/>
  <c r="L680" i="2"/>
  <c r="M681" i="2"/>
  <c r="L681" i="2"/>
  <c r="O681" i="2"/>
  <c r="P681" i="2" s="1"/>
  <c r="M682" i="2"/>
  <c r="O682" i="2"/>
  <c r="P682" i="2" s="1"/>
  <c r="L682" i="2"/>
  <c r="O683" i="2"/>
  <c r="P683" i="2" s="1"/>
  <c r="M683" i="2"/>
  <c r="L683" i="2"/>
  <c r="O684" i="2"/>
  <c r="P684" i="2" s="1"/>
  <c r="M684" i="2"/>
  <c r="L684" i="2"/>
  <c r="O685" i="2"/>
  <c r="P685" i="2" s="1"/>
  <c r="L685" i="2"/>
  <c r="M685" i="2"/>
  <c r="O686" i="2"/>
  <c r="P686" i="2" s="1"/>
  <c r="M686" i="2"/>
  <c r="L686" i="2"/>
  <c r="M687" i="2"/>
  <c r="O687" i="2"/>
  <c r="P687" i="2" s="1"/>
  <c r="L687" i="2"/>
  <c r="L688" i="2"/>
  <c r="M688" i="2"/>
  <c r="O688" i="2"/>
  <c r="P688" i="2" s="1"/>
  <c r="M575" i="2"/>
  <c r="L575" i="2"/>
  <c r="O575" i="2"/>
  <c r="P575" i="2" s="1"/>
  <c r="M576" i="2"/>
  <c r="L576" i="2"/>
  <c r="O576" i="2"/>
  <c r="P576" i="2" s="1"/>
  <c r="O577" i="2"/>
  <c r="P577" i="2" s="1"/>
  <c r="M577" i="2"/>
  <c r="L577" i="2"/>
  <c r="L578" i="2"/>
  <c r="O578" i="2"/>
  <c r="P578" i="2" s="1"/>
  <c r="M578" i="2"/>
  <c r="M579" i="2"/>
  <c r="L579" i="2"/>
  <c r="O579" i="2"/>
  <c r="P579" i="2" s="1"/>
  <c r="L580" i="2"/>
  <c r="O580" i="2"/>
  <c r="P580" i="2" s="1"/>
  <c r="M580" i="2"/>
  <c r="O581" i="2"/>
  <c r="P581" i="2" s="1"/>
  <c r="M581" i="2"/>
  <c r="L581" i="2"/>
  <c r="M582" i="2"/>
  <c r="L582" i="2"/>
  <c r="O582" i="2"/>
  <c r="P582" i="2" s="1"/>
  <c r="L583" i="2"/>
  <c r="O583" i="2"/>
  <c r="P583" i="2" s="1"/>
  <c r="M583" i="2"/>
  <c r="O584" i="2"/>
  <c r="P584" i="2" s="1"/>
  <c r="M584" i="2"/>
  <c r="L584" i="2"/>
  <c r="L585" i="2"/>
  <c r="O585" i="2"/>
  <c r="P585" i="2" s="1"/>
  <c r="M585" i="2"/>
  <c r="O586" i="2"/>
  <c r="P586" i="2" s="1"/>
  <c r="M586" i="2"/>
  <c r="L586" i="2"/>
  <c r="L587" i="2"/>
  <c r="M587" i="2"/>
  <c r="O587" i="2"/>
  <c r="P587" i="2" s="1"/>
  <c r="O588" i="2"/>
  <c r="P588" i="2" s="1"/>
  <c r="M588" i="2"/>
  <c r="L588" i="2"/>
  <c r="L589" i="2"/>
  <c r="M589" i="2"/>
  <c r="O589" i="2"/>
  <c r="P589" i="2" s="1"/>
  <c r="O590" i="2"/>
  <c r="P590" i="2" s="1"/>
  <c r="M590" i="2"/>
  <c r="L590" i="2"/>
  <c r="O591" i="2"/>
  <c r="P591" i="2" s="1"/>
  <c r="L591" i="2"/>
  <c r="M591" i="2"/>
  <c r="M592" i="2"/>
  <c r="O592" i="2"/>
  <c r="P592" i="2" s="1"/>
  <c r="L592" i="2"/>
  <c r="M593" i="2"/>
  <c r="L593" i="2"/>
  <c r="O593" i="2"/>
  <c r="P593" i="2" s="1"/>
  <c r="M594" i="2"/>
  <c r="L594" i="2"/>
  <c r="O594" i="2"/>
  <c r="P594" i="2" s="1"/>
  <c r="O595" i="2"/>
  <c r="P595" i="2" s="1"/>
  <c r="M595" i="2"/>
  <c r="L595" i="2"/>
  <c r="O596" i="2"/>
  <c r="P596" i="2" s="1"/>
  <c r="M596" i="2"/>
  <c r="L596" i="2"/>
  <c r="L597" i="2"/>
  <c r="O597" i="2"/>
  <c r="P597" i="2" s="1"/>
  <c r="M597" i="2"/>
  <c r="O598" i="2"/>
  <c r="P598" i="2" s="1"/>
  <c r="L598" i="2"/>
  <c r="M598" i="2"/>
  <c r="O599" i="2"/>
  <c r="P599" i="2" s="1"/>
  <c r="L599" i="2"/>
  <c r="M599" i="2"/>
  <c r="O600" i="2"/>
  <c r="P600" i="2" s="1"/>
  <c r="M600" i="2"/>
  <c r="L600" i="2"/>
  <c r="O601" i="2"/>
  <c r="P601" i="2" s="1"/>
  <c r="M601" i="2"/>
  <c r="L601" i="2"/>
  <c r="O602" i="2"/>
  <c r="P602" i="2" s="1"/>
  <c r="M602" i="2"/>
  <c r="L602" i="2"/>
  <c r="O603" i="2"/>
  <c r="P603" i="2" s="1"/>
  <c r="M603" i="2"/>
  <c r="L603" i="2"/>
  <c r="O604" i="2"/>
  <c r="P604" i="2" s="1"/>
  <c r="M604" i="2"/>
  <c r="L604" i="2"/>
  <c r="M605" i="2"/>
  <c r="L605" i="2"/>
  <c r="O605" i="2"/>
  <c r="P605" i="2" s="1"/>
  <c r="M606" i="2"/>
  <c r="L606" i="2"/>
  <c r="O606" i="2"/>
  <c r="P606" i="2" s="1"/>
  <c r="M607" i="2"/>
  <c r="O607" i="2"/>
  <c r="P607" i="2" s="1"/>
  <c r="L607" i="2"/>
  <c r="M608" i="2"/>
  <c r="O608" i="2"/>
  <c r="P608" i="2" s="1"/>
  <c r="L608" i="2"/>
  <c r="O609" i="2"/>
  <c r="P609" i="2" s="1"/>
  <c r="M609" i="2"/>
  <c r="L609" i="2"/>
  <c r="O610" i="2"/>
  <c r="P610" i="2" s="1"/>
  <c r="M610" i="2"/>
  <c r="L610" i="2"/>
  <c r="O611" i="2"/>
  <c r="P611" i="2" s="1"/>
  <c r="L611" i="2"/>
  <c r="M611" i="2"/>
  <c r="O612" i="2"/>
  <c r="P612" i="2" s="1"/>
  <c r="M612" i="2"/>
  <c r="L612" i="2"/>
  <c r="L613" i="2"/>
  <c r="M613" i="2"/>
  <c r="O613" i="2"/>
  <c r="P613" i="2" s="1"/>
  <c r="O572" i="2"/>
  <c r="P572" i="2" s="1"/>
  <c r="M572" i="2"/>
  <c r="L572" i="2"/>
  <c r="M573" i="2"/>
  <c r="L573" i="2"/>
  <c r="O573" i="2"/>
  <c r="P573" i="2" s="1"/>
  <c r="M574" i="2"/>
  <c r="L574" i="2"/>
  <c r="O574" i="2"/>
  <c r="P574" i="2" s="1"/>
  <c r="L568" i="2"/>
  <c r="O568" i="2"/>
  <c r="P568" i="2" s="1"/>
  <c r="M568" i="2"/>
  <c r="O569" i="2"/>
  <c r="P569" i="2" s="1"/>
  <c r="M569" i="2"/>
  <c r="L569" i="2"/>
  <c r="M570" i="2"/>
  <c r="O570" i="2"/>
  <c r="P570" i="2" s="1"/>
  <c r="L570" i="2"/>
  <c r="L571" i="2"/>
  <c r="O571" i="2"/>
  <c r="P571" i="2" s="1"/>
  <c r="M571" i="2"/>
  <c r="J1507" i="2"/>
  <c r="K1507" i="2" s="1"/>
  <c r="G1507" i="2"/>
  <c r="A1509" i="2"/>
  <c r="B1508" i="2"/>
  <c r="C1508" i="2" s="1"/>
  <c r="D1508" i="2" s="1"/>
  <c r="L1508" i="2" s="1"/>
  <c r="O1508" i="2"/>
  <c r="M1508" i="2"/>
  <c r="F1508" i="2"/>
  <c r="O9" i="2"/>
  <c r="P9" i="2" s="1"/>
  <c r="L9" i="2"/>
  <c r="M9" i="2"/>
  <c r="O10" i="2"/>
  <c r="P10" i="2" s="1"/>
  <c r="M10" i="2"/>
  <c r="L10" i="2"/>
  <c r="O11" i="2"/>
  <c r="P11" i="2" s="1"/>
  <c r="M11" i="2"/>
  <c r="L11" i="2"/>
  <c r="O12" i="2"/>
  <c r="P12" i="2" s="1"/>
  <c r="M12" i="2"/>
  <c r="L12" i="2"/>
  <c r="O13" i="2"/>
  <c r="P13" i="2" s="1"/>
  <c r="M13" i="2"/>
  <c r="L13" i="2"/>
  <c r="L14" i="2"/>
  <c r="O14" i="2"/>
  <c r="P14" i="2" s="1"/>
  <c r="M14" i="2"/>
  <c r="M15" i="2"/>
  <c r="L15" i="2"/>
  <c r="O15" i="2"/>
  <c r="P15" i="2" s="1"/>
  <c r="M16" i="2"/>
  <c r="L16" i="2"/>
  <c r="O16" i="2"/>
  <c r="P16" i="2" s="1"/>
  <c r="L17" i="2"/>
  <c r="O17" i="2"/>
  <c r="P17" i="2" s="1"/>
  <c r="M17" i="2"/>
  <c r="M18" i="2"/>
  <c r="O18" i="2"/>
  <c r="P18" i="2" s="1"/>
  <c r="L18" i="2"/>
  <c r="O19" i="2"/>
  <c r="P19" i="2" s="1"/>
  <c r="M19" i="2"/>
  <c r="L19" i="2"/>
  <c r="O20" i="2"/>
  <c r="P20" i="2" s="1"/>
  <c r="L20" i="2"/>
  <c r="M20" i="2"/>
  <c r="O21" i="2"/>
  <c r="P21" i="2" s="1"/>
  <c r="M21" i="2"/>
  <c r="L21" i="2"/>
  <c r="O22" i="2"/>
  <c r="P22" i="2" s="1"/>
  <c r="M22" i="2"/>
  <c r="L22" i="2"/>
  <c r="M23" i="2"/>
  <c r="L23" i="2"/>
  <c r="O23" i="2"/>
  <c r="P23" i="2" s="1"/>
  <c r="M24" i="2"/>
  <c r="O24" i="2"/>
  <c r="P24" i="2" s="1"/>
  <c r="L24" i="2"/>
  <c r="O25" i="2"/>
  <c r="P25" i="2" s="1"/>
  <c r="L25" i="2"/>
  <c r="M25" i="2"/>
  <c r="O26" i="2"/>
  <c r="P26" i="2" s="1"/>
  <c r="M26" i="2"/>
  <c r="L26" i="2"/>
  <c r="O27" i="2"/>
  <c r="P27" i="2" s="1"/>
  <c r="M27" i="2"/>
  <c r="L27" i="2"/>
  <c r="O28" i="2"/>
  <c r="P28" i="2" s="1"/>
  <c r="M28" i="2"/>
  <c r="L28" i="2"/>
  <c r="O29" i="2"/>
  <c r="P29" i="2" s="1"/>
  <c r="L29" i="2"/>
  <c r="M29" i="2"/>
  <c r="M30" i="2"/>
  <c r="L30" i="2"/>
  <c r="O30" i="2"/>
  <c r="P30" i="2" s="1"/>
  <c r="M31" i="2"/>
  <c r="L31" i="2"/>
  <c r="O31" i="2"/>
  <c r="P31" i="2" s="1"/>
  <c r="L32" i="2"/>
  <c r="O32" i="2"/>
  <c r="P32" i="2" s="1"/>
  <c r="M32" i="2"/>
  <c r="L33" i="2"/>
  <c r="O33" i="2"/>
  <c r="P33" i="2" s="1"/>
  <c r="M33" i="2"/>
  <c r="L34" i="2"/>
  <c r="M34" i="2"/>
  <c r="O34" i="2"/>
  <c r="P34" i="2" s="1"/>
  <c r="O35" i="2"/>
  <c r="P35" i="2" s="1"/>
  <c r="M35" i="2"/>
  <c r="L35" i="2"/>
  <c r="O36" i="2"/>
  <c r="P36" i="2" s="1"/>
  <c r="L36" i="2"/>
  <c r="M36" i="2"/>
  <c r="L37" i="2"/>
  <c r="O37" i="2"/>
  <c r="P37" i="2" s="1"/>
  <c r="M37" i="2"/>
  <c r="O38" i="2"/>
  <c r="P38" i="2" s="1"/>
  <c r="M38" i="2"/>
  <c r="L38" i="2"/>
  <c r="M39" i="2"/>
  <c r="L39" i="2"/>
  <c r="O39" i="2"/>
  <c r="P39" i="2" s="1"/>
  <c r="O40" i="2"/>
  <c r="P40" i="2" s="1"/>
  <c r="M40" i="2"/>
  <c r="L40" i="2"/>
  <c r="L41" i="2"/>
  <c r="M41" i="2"/>
  <c r="O41" i="2"/>
  <c r="P41" i="2" s="1"/>
  <c r="O42" i="2"/>
  <c r="P42" i="2" s="1"/>
  <c r="M42" i="2"/>
  <c r="L42" i="2"/>
  <c r="O43" i="2"/>
  <c r="P43" i="2" s="1"/>
  <c r="M43" i="2"/>
  <c r="L43" i="2"/>
  <c r="M44" i="2"/>
  <c r="L44" i="2"/>
  <c r="O44" i="2"/>
  <c r="P44" i="2" s="1"/>
  <c r="O45" i="2"/>
  <c r="P45" i="2" s="1"/>
  <c r="M45" i="2"/>
  <c r="L45" i="2"/>
  <c r="O46" i="2"/>
  <c r="P46" i="2" s="1"/>
  <c r="M46" i="2"/>
  <c r="L46" i="2"/>
  <c r="M47" i="2"/>
  <c r="L47" i="2"/>
  <c r="O47" i="2"/>
  <c r="P47" i="2" s="1"/>
  <c r="M48" i="2"/>
  <c r="L48" i="2"/>
  <c r="O48" i="2"/>
  <c r="P48" i="2" s="1"/>
  <c r="O49" i="2"/>
  <c r="P49" i="2" s="1"/>
  <c r="M49" i="2"/>
  <c r="L49" i="2"/>
  <c r="M50" i="2"/>
  <c r="O50" i="2"/>
  <c r="P50" i="2" s="1"/>
  <c r="L50" i="2"/>
  <c r="O51" i="2"/>
  <c r="P51" i="2" s="1"/>
  <c r="M51" i="2"/>
  <c r="L51" i="2"/>
  <c r="O52" i="2"/>
  <c r="P52" i="2" s="1"/>
  <c r="L52" i="2"/>
  <c r="M52" i="2"/>
  <c r="O53" i="2"/>
  <c r="P53" i="2" s="1"/>
  <c r="M53" i="2"/>
  <c r="L53" i="2"/>
  <c r="L54" i="2"/>
  <c r="M54" i="2"/>
  <c r="O54" i="2"/>
  <c r="P54" i="2" s="1"/>
  <c r="M55" i="2"/>
  <c r="L55" i="2"/>
  <c r="O55" i="2"/>
  <c r="P55" i="2" s="1"/>
  <c r="O56" i="2"/>
  <c r="P56" i="2" s="1"/>
  <c r="M56" i="2"/>
  <c r="L56" i="2"/>
  <c r="O57" i="2"/>
  <c r="P57" i="2" s="1"/>
  <c r="L57" i="2"/>
  <c r="M57" i="2"/>
  <c r="O58" i="2"/>
  <c r="P58" i="2" s="1"/>
  <c r="M58" i="2"/>
  <c r="L58" i="2"/>
  <c r="L59" i="2"/>
  <c r="M59" i="2"/>
  <c r="O59" i="2"/>
  <c r="P59" i="2" s="1"/>
  <c r="O60" i="2"/>
  <c r="P60" i="2" s="1"/>
  <c r="M60" i="2"/>
  <c r="L60" i="2"/>
  <c r="O61" i="2"/>
  <c r="P61" i="2" s="1"/>
  <c r="M61" i="2"/>
  <c r="L61" i="2"/>
  <c r="O62" i="2"/>
  <c r="P62" i="2" s="1"/>
  <c r="M62" i="2"/>
  <c r="L62" i="2"/>
  <c r="M63" i="2"/>
  <c r="L63" i="2"/>
  <c r="O63" i="2"/>
  <c r="P63" i="2" s="1"/>
  <c r="M64" i="2"/>
  <c r="L64" i="2"/>
  <c r="O64" i="2"/>
  <c r="P64" i="2" s="1"/>
  <c r="O65" i="2"/>
  <c r="P65" i="2" s="1"/>
  <c r="M65" i="2"/>
  <c r="L65" i="2"/>
  <c r="M66" i="2"/>
  <c r="O66" i="2"/>
  <c r="P66" i="2" s="1"/>
  <c r="L66" i="2"/>
  <c r="O67" i="2"/>
  <c r="P67" i="2" s="1"/>
  <c r="M67" i="2"/>
  <c r="L67" i="2"/>
  <c r="M68" i="2"/>
  <c r="L68" i="2"/>
  <c r="O68" i="2"/>
  <c r="P68" i="2" s="1"/>
  <c r="L69" i="2"/>
  <c r="O69" i="2"/>
  <c r="P69" i="2" s="1"/>
  <c r="M69" i="2"/>
  <c r="O70" i="2"/>
  <c r="P70" i="2" s="1"/>
  <c r="M70" i="2"/>
  <c r="L70" i="2"/>
  <c r="M71" i="2"/>
  <c r="L71" i="2"/>
  <c r="O71" i="2"/>
  <c r="P71" i="2" s="1"/>
  <c r="O72" i="2"/>
  <c r="P72" i="2" s="1"/>
  <c r="M72" i="2"/>
  <c r="L72" i="2"/>
  <c r="M73" i="2"/>
  <c r="O73" i="2"/>
  <c r="P73" i="2" s="1"/>
  <c r="L73" i="2"/>
  <c r="O74" i="2"/>
  <c r="P74" i="2" s="1"/>
  <c r="M74" i="2"/>
  <c r="L74" i="2"/>
  <c r="M75" i="2"/>
  <c r="L75" i="2"/>
  <c r="O75" i="2"/>
  <c r="P75" i="2" s="1"/>
  <c r="O76" i="2"/>
  <c r="P76" i="2" s="1"/>
  <c r="M76" i="2"/>
  <c r="L76" i="2"/>
  <c r="O77" i="2"/>
  <c r="P77" i="2" s="1"/>
  <c r="M77" i="2"/>
  <c r="L77" i="2"/>
  <c r="O78" i="2"/>
  <c r="P78" i="2" s="1"/>
  <c r="M78" i="2"/>
  <c r="L78" i="2"/>
  <c r="O79" i="2"/>
  <c r="P79" i="2" s="1"/>
  <c r="L79" i="2"/>
  <c r="M79" i="2"/>
  <c r="M80" i="2"/>
  <c r="L80" i="2"/>
  <c r="O80" i="2"/>
  <c r="P80" i="2" s="1"/>
  <c r="L81" i="2"/>
  <c r="O81" i="2"/>
  <c r="P81" i="2" s="1"/>
  <c r="M81" i="2"/>
  <c r="O82" i="2"/>
  <c r="P82" i="2" s="1"/>
  <c r="L82" i="2"/>
  <c r="M82" i="2"/>
  <c r="O83" i="2"/>
  <c r="P83" i="2" s="1"/>
  <c r="M83" i="2"/>
  <c r="L83" i="2"/>
  <c r="O84" i="2"/>
  <c r="P84" i="2" s="1"/>
  <c r="L84" i="2"/>
  <c r="M84" i="2"/>
  <c r="O85" i="2"/>
  <c r="P85" i="2" s="1"/>
  <c r="M85" i="2"/>
  <c r="L85" i="2"/>
  <c r="M86" i="2"/>
  <c r="L86" i="2"/>
  <c r="O86" i="2"/>
  <c r="P86" i="2" s="1"/>
  <c r="O87" i="2"/>
  <c r="P87" i="2" s="1"/>
  <c r="M87" i="2"/>
  <c r="L87" i="2"/>
  <c r="O88" i="2"/>
  <c r="P88" i="2" s="1"/>
  <c r="M88" i="2"/>
  <c r="L88" i="2"/>
  <c r="O89" i="2"/>
  <c r="P89" i="2" s="1"/>
  <c r="M89" i="2"/>
  <c r="L89" i="2"/>
  <c r="O90" i="2"/>
  <c r="P90" i="2" s="1"/>
  <c r="M90" i="2"/>
  <c r="L90" i="2"/>
  <c r="L91" i="2"/>
  <c r="M91" i="2"/>
  <c r="O91" i="2"/>
  <c r="P91" i="2" s="1"/>
  <c r="O92" i="2"/>
  <c r="P92" i="2" s="1"/>
  <c r="M92" i="2"/>
  <c r="L92" i="2"/>
  <c r="O93" i="2"/>
  <c r="P93" i="2" s="1"/>
  <c r="L93" i="2"/>
  <c r="M93" i="2"/>
  <c r="M94" i="2"/>
  <c r="L94" i="2"/>
  <c r="O94" i="2"/>
  <c r="P94" i="2" s="1"/>
  <c r="M95" i="2"/>
  <c r="L95" i="2"/>
  <c r="O95" i="2"/>
  <c r="P95" i="2" s="1"/>
  <c r="O96" i="2"/>
  <c r="P96" i="2" s="1"/>
  <c r="M96" i="2"/>
  <c r="L96" i="2"/>
  <c r="L97" i="2"/>
  <c r="M97" i="2"/>
  <c r="O97" i="2"/>
  <c r="P97" i="2" s="1"/>
  <c r="M98" i="2"/>
  <c r="O98" i="2"/>
  <c r="P98" i="2" s="1"/>
  <c r="L98" i="2"/>
  <c r="O99" i="2"/>
  <c r="P99" i="2" s="1"/>
  <c r="M99" i="2"/>
  <c r="L99" i="2"/>
  <c r="L100" i="2"/>
  <c r="O100" i="2"/>
  <c r="P100" i="2" s="1"/>
  <c r="M100" i="2"/>
  <c r="O101" i="2"/>
  <c r="P101" i="2" s="1"/>
  <c r="M101" i="2"/>
  <c r="L101" i="2"/>
  <c r="O102" i="2"/>
  <c r="P102" i="2" s="1"/>
  <c r="M102" i="2"/>
  <c r="L102" i="2"/>
  <c r="O103" i="2"/>
  <c r="P103" i="2" s="1"/>
  <c r="M103" i="2"/>
  <c r="L103" i="2"/>
  <c r="O104" i="2"/>
  <c r="P104" i="2" s="1"/>
  <c r="M104" i="2"/>
  <c r="L104" i="2"/>
  <c r="L105" i="2"/>
  <c r="M105" i="2"/>
  <c r="O105" i="2"/>
  <c r="P105" i="2" s="1"/>
  <c r="O106" i="2"/>
  <c r="P106" i="2" s="1"/>
  <c r="M106" i="2"/>
  <c r="L106" i="2"/>
  <c r="O107" i="2"/>
  <c r="P107" i="2" s="1"/>
  <c r="M107" i="2"/>
  <c r="L107" i="2"/>
  <c r="O108" i="2"/>
  <c r="P108" i="2" s="1"/>
  <c r="M108" i="2"/>
  <c r="L108" i="2"/>
  <c r="O109" i="2"/>
  <c r="P109" i="2" s="1"/>
  <c r="M109" i="2"/>
  <c r="L109" i="2"/>
  <c r="O110" i="2"/>
  <c r="P110" i="2" s="1"/>
  <c r="M110" i="2"/>
  <c r="L110" i="2"/>
  <c r="M111" i="2"/>
  <c r="L111" i="2"/>
  <c r="O111" i="2"/>
  <c r="P111" i="2" s="1"/>
  <c r="M112" i="2"/>
  <c r="L112" i="2"/>
  <c r="O112" i="2"/>
  <c r="P112" i="2" s="1"/>
  <c r="O113" i="2"/>
  <c r="P113" i="2" s="1"/>
  <c r="M113" i="2"/>
  <c r="L113" i="2"/>
  <c r="M114" i="2"/>
  <c r="O114" i="2"/>
  <c r="P114" i="2" s="1"/>
  <c r="L114" i="2"/>
  <c r="O115" i="2"/>
  <c r="P115" i="2" s="1"/>
  <c r="M115" i="2"/>
  <c r="L115" i="2"/>
  <c r="O116" i="2"/>
  <c r="P116" i="2" s="1"/>
  <c r="L116" i="2"/>
  <c r="M116" i="2"/>
  <c r="O117" i="2"/>
  <c r="P117" i="2" s="1"/>
  <c r="M117" i="2"/>
  <c r="L117" i="2"/>
  <c r="O118" i="2"/>
  <c r="P118" i="2" s="1"/>
  <c r="M118" i="2"/>
  <c r="L118" i="2"/>
  <c r="O119" i="2"/>
  <c r="P119" i="2" s="1"/>
  <c r="M119" i="2"/>
  <c r="L119" i="2"/>
  <c r="O120" i="2"/>
  <c r="P120" i="2" s="1"/>
  <c r="M120" i="2"/>
  <c r="L120" i="2"/>
  <c r="O121" i="2"/>
  <c r="P121" i="2" s="1"/>
  <c r="M121" i="2"/>
  <c r="L121" i="2"/>
  <c r="O122" i="2"/>
  <c r="P122" i="2" s="1"/>
  <c r="M122" i="2"/>
  <c r="L122" i="2"/>
  <c r="M123" i="2"/>
  <c r="O123" i="2"/>
  <c r="P123" i="2" s="1"/>
  <c r="L123" i="2"/>
  <c r="M124" i="2"/>
  <c r="L124" i="2"/>
  <c r="O124" i="2"/>
  <c r="P124" i="2" s="1"/>
  <c r="O125" i="2"/>
  <c r="P125" i="2" s="1"/>
  <c r="M125" i="2"/>
  <c r="L125" i="2"/>
  <c r="O126" i="2"/>
  <c r="P126" i="2" s="1"/>
  <c r="M126" i="2"/>
  <c r="L126" i="2"/>
  <c r="M127" i="2"/>
  <c r="L127" i="2"/>
  <c r="O127" i="2"/>
  <c r="P127" i="2" s="1"/>
  <c r="M128" i="2"/>
  <c r="L128" i="2"/>
  <c r="O128" i="2"/>
  <c r="P128" i="2" s="1"/>
  <c r="O129" i="2"/>
  <c r="P129" i="2" s="1"/>
  <c r="M129" i="2"/>
  <c r="L129" i="2"/>
  <c r="M130" i="2"/>
  <c r="O130" i="2"/>
  <c r="P130" i="2" s="1"/>
  <c r="L130" i="2"/>
  <c r="M131" i="2"/>
  <c r="L131" i="2"/>
  <c r="O131" i="2"/>
  <c r="P131" i="2" s="1"/>
  <c r="O132" i="2"/>
  <c r="P132" i="2" s="1"/>
  <c r="L132" i="2"/>
  <c r="M132" i="2"/>
  <c r="O133" i="2"/>
  <c r="P133" i="2" s="1"/>
  <c r="M133" i="2"/>
  <c r="L133" i="2"/>
  <c r="O134" i="2"/>
  <c r="P134" i="2" s="1"/>
  <c r="M134" i="2"/>
  <c r="L134" i="2"/>
  <c r="O135" i="2"/>
  <c r="P135" i="2" s="1"/>
  <c r="M135" i="2"/>
  <c r="L135" i="2"/>
  <c r="O136" i="2"/>
  <c r="P136" i="2" s="1"/>
  <c r="M136" i="2"/>
  <c r="L136" i="2"/>
  <c r="O137" i="2"/>
  <c r="P137" i="2" s="1"/>
  <c r="M137" i="2"/>
  <c r="L137" i="2"/>
  <c r="O138" i="2"/>
  <c r="P138" i="2" s="1"/>
  <c r="M138" i="2"/>
  <c r="L138" i="2"/>
  <c r="O139" i="2"/>
  <c r="P139" i="2" s="1"/>
  <c r="M139" i="2"/>
  <c r="L139" i="2"/>
  <c r="O140" i="2"/>
  <c r="P140" i="2" s="1"/>
  <c r="M140" i="2"/>
  <c r="L140" i="2"/>
  <c r="O141" i="2"/>
  <c r="P141" i="2" s="1"/>
  <c r="M141" i="2"/>
  <c r="L141" i="2"/>
  <c r="O142" i="2"/>
  <c r="P142" i="2" s="1"/>
  <c r="M142" i="2"/>
  <c r="L142" i="2"/>
  <c r="M143" i="2"/>
  <c r="L143" i="2"/>
  <c r="O143" i="2"/>
  <c r="P143" i="2" s="1"/>
  <c r="M144" i="2"/>
  <c r="L144" i="2"/>
  <c r="O144" i="2"/>
  <c r="P144" i="2" s="1"/>
  <c r="L145" i="2"/>
  <c r="O145" i="2"/>
  <c r="P145" i="2" s="1"/>
  <c r="M145" i="2"/>
  <c r="O146" i="2"/>
  <c r="P146" i="2" s="1"/>
  <c r="M146" i="2"/>
  <c r="L146" i="2"/>
  <c r="O147" i="2"/>
  <c r="P147" i="2" s="1"/>
  <c r="M147" i="2"/>
  <c r="L147" i="2"/>
  <c r="O148" i="2"/>
  <c r="P148" i="2" s="1"/>
  <c r="M148" i="2"/>
  <c r="L148" i="2"/>
  <c r="O149" i="2"/>
  <c r="P149" i="2" s="1"/>
  <c r="M149" i="2"/>
  <c r="L149" i="2"/>
  <c r="O150" i="2"/>
  <c r="P150" i="2" s="1"/>
  <c r="M150" i="2"/>
  <c r="L150" i="2"/>
  <c r="O151" i="2"/>
  <c r="P151" i="2" s="1"/>
  <c r="M151" i="2"/>
  <c r="L151" i="2"/>
  <c r="O152" i="2"/>
  <c r="P152" i="2" s="1"/>
  <c r="M152" i="2"/>
  <c r="L152" i="2"/>
  <c r="O153" i="2"/>
  <c r="P153" i="2" s="1"/>
  <c r="M153" i="2"/>
  <c r="L153" i="2"/>
  <c r="O154" i="2"/>
  <c r="P154" i="2" s="1"/>
  <c r="M154" i="2"/>
  <c r="L154" i="2"/>
  <c r="O155" i="2"/>
  <c r="P155" i="2" s="1"/>
  <c r="M155" i="2"/>
  <c r="L155" i="2"/>
  <c r="O156" i="2"/>
  <c r="P156" i="2" s="1"/>
  <c r="M156" i="2"/>
  <c r="L156" i="2"/>
  <c r="O157" i="2"/>
  <c r="P157" i="2" s="1"/>
  <c r="M157" i="2"/>
  <c r="L157" i="2"/>
  <c r="O158" i="2"/>
  <c r="P158" i="2" s="1"/>
  <c r="M158" i="2"/>
  <c r="L158" i="2"/>
  <c r="M159" i="2"/>
  <c r="L159" i="2"/>
  <c r="O159" i="2"/>
  <c r="P159" i="2" s="1"/>
  <c r="M160" i="2"/>
  <c r="L160" i="2"/>
  <c r="O160" i="2"/>
  <c r="P160" i="2" s="1"/>
  <c r="L161" i="2"/>
  <c r="O161" i="2"/>
  <c r="P161" i="2" s="1"/>
  <c r="M161" i="2"/>
  <c r="O162" i="2"/>
  <c r="P162" i="2" s="1"/>
  <c r="M162" i="2"/>
  <c r="L162" i="2"/>
  <c r="O163" i="2"/>
  <c r="P163" i="2" s="1"/>
  <c r="M163" i="2"/>
  <c r="L163" i="2"/>
  <c r="M164" i="2"/>
  <c r="L164" i="2"/>
  <c r="O164" i="2"/>
  <c r="P164" i="2" s="1"/>
  <c r="O165" i="2"/>
  <c r="P165" i="2" s="1"/>
  <c r="M165" i="2"/>
  <c r="L165" i="2"/>
  <c r="O166" i="2"/>
  <c r="P166" i="2" s="1"/>
  <c r="M166" i="2"/>
  <c r="L166" i="2"/>
  <c r="L167" i="2"/>
  <c r="O167" i="2"/>
  <c r="P167" i="2" s="1"/>
  <c r="M167" i="2"/>
  <c r="M168" i="2"/>
  <c r="L168" i="2"/>
  <c r="O168" i="2"/>
  <c r="P168" i="2" s="1"/>
  <c r="O169" i="2"/>
  <c r="P169" i="2" s="1"/>
  <c r="M169" i="2"/>
  <c r="L169" i="2"/>
  <c r="M170" i="2"/>
  <c r="L170" i="2"/>
  <c r="O170" i="2"/>
  <c r="P170" i="2" s="1"/>
  <c r="O171" i="2"/>
  <c r="P171" i="2" s="1"/>
  <c r="M171" i="2"/>
  <c r="L171" i="2"/>
  <c r="L172" i="2"/>
  <c r="O172" i="2"/>
  <c r="P172" i="2" s="1"/>
  <c r="M172" i="2"/>
  <c r="L173" i="2"/>
  <c r="O173" i="2"/>
  <c r="P173" i="2" s="1"/>
  <c r="M173" i="2"/>
  <c r="O174" i="2"/>
  <c r="P174" i="2" s="1"/>
  <c r="M174" i="2"/>
  <c r="L174" i="2"/>
  <c r="M175" i="2"/>
  <c r="L175" i="2"/>
  <c r="O175" i="2"/>
  <c r="P175" i="2" s="1"/>
  <c r="M176" i="2"/>
  <c r="L176" i="2"/>
  <c r="O176" i="2"/>
  <c r="P176" i="2" s="1"/>
  <c r="L177" i="2"/>
  <c r="O177" i="2"/>
  <c r="P177" i="2" s="1"/>
  <c r="M177" i="2"/>
  <c r="O178" i="2"/>
  <c r="P178" i="2" s="1"/>
  <c r="M178" i="2"/>
  <c r="L178" i="2"/>
  <c r="L179" i="2"/>
  <c r="O179" i="2"/>
  <c r="P179" i="2" s="1"/>
  <c r="M179" i="2"/>
  <c r="M180" i="2"/>
  <c r="L180" i="2"/>
  <c r="O180" i="2"/>
  <c r="P180" i="2" s="1"/>
  <c r="L181" i="2"/>
  <c r="O181" i="2"/>
  <c r="P181" i="2" s="1"/>
  <c r="M181" i="2"/>
  <c r="O182" i="2"/>
  <c r="P182" i="2" s="1"/>
  <c r="M182" i="2"/>
  <c r="L182" i="2"/>
  <c r="O183" i="2"/>
  <c r="P183" i="2" s="1"/>
  <c r="M183" i="2"/>
  <c r="L183" i="2"/>
  <c r="O184" i="2"/>
  <c r="P184" i="2" s="1"/>
  <c r="M184" i="2"/>
  <c r="L184" i="2"/>
  <c r="O185" i="2"/>
  <c r="P185" i="2" s="1"/>
  <c r="M185" i="2"/>
  <c r="L185" i="2"/>
  <c r="O186" i="2"/>
  <c r="P186" i="2" s="1"/>
  <c r="M186" i="2"/>
  <c r="L186" i="2"/>
  <c r="O187" i="2"/>
  <c r="P187" i="2" s="1"/>
  <c r="M187" i="2"/>
  <c r="L187" i="2"/>
  <c r="O188" i="2"/>
  <c r="P188" i="2" s="1"/>
  <c r="M188" i="2"/>
  <c r="L188" i="2"/>
  <c r="O189" i="2"/>
  <c r="P189" i="2" s="1"/>
  <c r="M189" i="2"/>
  <c r="L189" i="2"/>
  <c r="O190" i="2"/>
  <c r="P190" i="2" s="1"/>
  <c r="M190" i="2"/>
  <c r="L190" i="2"/>
  <c r="M191" i="2"/>
  <c r="L191" i="2"/>
  <c r="O191" i="2"/>
  <c r="P191" i="2" s="1"/>
  <c r="O192" i="2"/>
  <c r="P192" i="2" s="1"/>
  <c r="M192" i="2"/>
  <c r="L192" i="2"/>
  <c r="L193" i="2"/>
  <c r="O193" i="2"/>
  <c r="P193" i="2" s="1"/>
  <c r="M193" i="2"/>
  <c r="O194" i="2"/>
  <c r="P194" i="2" s="1"/>
  <c r="M194" i="2"/>
  <c r="L194" i="2"/>
  <c r="O195" i="2"/>
  <c r="P195" i="2" s="1"/>
  <c r="M195" i="2"/>
  <c r="L195" i="2"/>
  <c r="L196" i="2"/>
  <c r="O196" i="2"/>
  <c r="P196" i="2" s="1"/>
  <c r="M196" i="2"/>
  <c r="O197" i="2"/>
  <c r="P197" i="2" s="1"/>
  <c r="M197" i="2"/>
  <c r="L197" i="2"/>
  <c r="O198" i="2"/>
  <c r="P198" i="2" s="1"/>
  <c r="M198" i="2"/>
  <c r="L198" i="2"/>
  <c r="M199" i="2"/>
  <c r="O199" i="2"/>
  <c r="P199" i="2" s="1"/>
  <c r="L199" i="2"/>
  <c r="O200" i="2"/>
  <c r="P200" i="2" s="1"/>
  <c r="M200" i="2"/>
  <c r="L200" i="2"/>
  <c r="O201" i="2"/>
  <c r="P201" i="2" s="1"/>
  <c r="M201" i="2"/>
  <c r="L201" i="2"/>
  <c r="O202" i="2"/>
  <c r="P202" i="2" s="1"/>
  <c r="M202" i="2"/>
  <c r="L202" i="2"/>
  <c r="O203" i="2"/>
  <c r="P203" i="2" s="1"/>
  <c r="M203" i="2"/>
  <c r="L203" i="2"/>
  <c r="O204" i="2"/>
  <c r="P204" i="2" s="1"/>
  <c r="M204" i="2"/>
  <c r="L204" i="2"/>
  <c r="O205" i="2"/>
  <c r="P205" i="2" s="1"/>
  <c r="M205" i="2"/>
  <c r="L205" i="2"/>
  <c r="L206" i="2"/>
  <c r="O206" i="2"/>
  <c r="P206" i="2" s="1"/>
  <c r="M206" i="2"/>
  <c r="O207" i="2"/>
  <c r="P207" i="2" s="1"/>
  <c r="M207" i="2"/>
  <c r="L207" i="2"/>
  <c r="M208" i="2"/>
  <c r="L208" i="2"/>
  <c r="O208" i="2"/>
  <c r="P208" i="2" s="1"/>
  <c r="M209" i="2"/>
  <c r="O209" i="2"/>
  <c r="P209" i="2" s="1"/>
  <c r="L209" i="2"/>
  <c r="O210" i="2"/>
  <c r="P210" i="2" s="1"/>
  <c r="M210" i="2"/>
  <c r="L210" i="2"/>
  <c r="O211" i="2"/>
  <c r="P211" i="2" s="1"/>
  <c r="M211" i="2"/>
  <c r="L211" i="2"/>
  <c r="M212" i="2"/>
  <c r="L212" i="2"/>
  <c r="O212" i="2"/>
  <c r="P212" i="2" s="1"/>
  <c r="O213" i="2"/>
  <c r="P213" i="2" s="1"/>
  <c r="M213" i="2"/>
  <c r="L213" i="2"/>
  <c r="O214" i="2"/>
  <c r="P214" i="2" s="1"/>
  <c r="M214" i="2"/>
  <c r="L214" i="2"/>
  <c r="O215" i="2"/>
  <c r="P215" i="2" s="1"/>
  <c r="M215" i="2"/>
  <c r="L215" i="2"/>
  <c r="O216" i="2"/>
  <c r="P216" i="2" s="1"/>
  <c r="M216" i="2"/>
  <c r="L216" i="2"/>
  <c r="M217" i="2"/>
  <c r="O217" i="2"/>
  <c r="P217" i="2" s="1"/>
  <c r="L217" i="2"/>
  <c r="O218" i="2"/>
  <c r="P218" i="2" s="1"/>
  <c r="M218" i="2"/>
  <c r="L218" i="2"/>
  <c r="O219" i="2"/>
  <c r="P219" i="2" s="1"/>
  <c r="M219" i="2"/>
  <c r="L219" i="2"/>
  <c r="L220" i="2"/>
  <c r="O220" i="2"/>
  <c r="P220" i="2" s="1"/>
  <c r="M220" i="2"/>
  <c r="M221" i="2"/>
  <c r="O221" i="2"/>
  <c r="P221" i="2" s="1"/>
  <c r="L221" i="2"/>
  <c r="L222" i="2"/>
  <c r="O222" i="2"/>
  <c r="P222" i="2" s="1"/>
  <c r="M222" i="2"/>
  <c r="M223" i="2"/>
  <c r="L223" i="2"/>
  <c r="O223" i="2"/>
  <c r="P223" i="2" s="1"/>
  <c r="M224" i="2"/>
  <c r="L224" i="2"/>
  <c r="O224" i="2"/>
  <c r="P224" i="2" s="1"/>
  <c r="L225" i="2"/>
  <c r="O225" i="2"/>
  <c r="P225" i="2" s="1"/>
  <c r="M225" i="2"/>
  <c r="O226" i="2"/>
  <c r="P226" i="2" s="1"/>
  <c r="M226" i="2"/>
  <c r="L226" i="2"/>
  <c r="O227" i="2"/>
  <c r="P227" i="2" s="1"/>
  <c r="M227" i="2"/>
  <c r="L227" i="2"/>
  <c r="O228" i="2"/>
  <c r="P228" i="2" s="1"/>
  <c r="M228" i="2"/>
  <c r="L228" i="2"/>
  <c r="L229" i="2"/>
  <c r="O229" i="2"/>
  <c r="P229" i="2" s="1"/>
  <c r="M229" i="2"/>
  <c r="O230" i="2"/>
  <c r="P230" i="2" s="1"/>
  <c r="L230" i="2"/>
  <c r="M230" i="2"/>
  <c r="O231" i="2"/>
  <c r="P231" i="2" s="1"/>
  <c r="M231" i="2"/>
  <c r="L231" i="2"/>
  <c r="O232" i="2"/>
  <c r="P232" i="2" s="1"/>
  <c r="M232" i="2"/>
  <c r="L232" i="2"/>
  <c r="O233" i="2"/>
  <c r="P233" i="2" s="1"/>
  <c r="L233" i="2"/>
  <c r="M233" i="2"/>
  <c r="O234" i="2"/>
  <c r="P234" i="2" s="1"/>
  <c r="M234" i="2"/>
  <c r="L234" i="2"/>
  <c r="O235" i="2"/>
  <c r="P235" i="2" s="1"/>
  <c r="M235" i="2"/>
  <c r="L235" i="2"/>
  <c r="O236" i="2"/>
  <c r="P236" i="2" s="1"/>
  <c r="M236" i="2"/>
  <c r="L236" i="2"/>
  <c r="O237" i="2"/>
  <c r="P237" i="2" s="1"/>
  <c r="M237" i="2"/>
  <c r="L237" i="2"/>
  <c r="O238" i="2"/>
  <c r="P238" i="2" s="1"/>
  <c r="M238" i="2"/>
  <c r="L238" i="2"/>
  <c r="M239" i="2"/>
  <c r="L239" i="2"/>
  <c r="O239" i="2"/>
  <c r="P239" i="2" s="1"/>
  <c r="M240" i="2"/>
  <c r="L240" i="2"/>
  <c r="O240" i="2"/>
  <c r="P240" i="2" s="1"/>
  <c r="O241" i="2"/>
  <c r="P241" i="2" s="1"/>
  <c r="M241" i="2"/>
  <c r="L241" i="2"/>
  <c r="L242" i="2"/>
  <c r="O242" i="2"/>
  <c r="P242" i="2" s="1"/>
  <c r="M242" i="2"/>
  <c r="O243" i="2"/>
  <c r="P243" i="2" s="1"/>
  <c r="M243" i="2"/>
  <c r="L243" i="2"/>
  <c r="O244" i="2"/>
  <c r="P244" i="2" s="1"/>
  <c r="M244" i="2"/>
  <c r="L244" i="2"/>
  <c r="O245" i="2"/>
  <c r="P245" i="2" s="1"/>
  <c r="M245" i="2"/>
  <c r="L245" i="2"/>
  <c r="L246" i="2"/>
  <c r="O246" i="2"/>
  <c r="P246" i="2" s="1"/>
  <c r="M246" i="2"/>
  <c r="O247" i="2"/>
  <c r="P247" i="2" s="1"/>
  <c r="M247" i="2"/>
  <c r="L247" i="2"/>
  <c r="L248" i="2"/>
  <c r="O248" i="2"/>
  <c r="P248" i="2" s="1"/>
  <c r="M248" i="2"/>
  <c r="O249" i="2"/>
  <c r="P249" i="2" s="1"/>
  <c r="M249" i="2"/>
  <c r="L249" i="2"/>
  <c r="O250" i="2"/>
  <c r="P250" i="2" s="1"/>
  <c r="M250" i="2"/>
  <c r="L250" i="2"/>
  <c r="O251" i="2"/>
  <c r="P251" i="2" s="1"/>
  <c r="M251" i="2"/>
  <c r="L251" i="2"/>
  <c r="O252" i="2"/>
  <c r="P252" i="2" s="1"/>
  <c r="M252" i="2"/>
  <c r="L252" i="2"/>
  <c r="L253" i="2"/>
  <c r="O253" i="2"/>
  <c r="P253" i="2" s="1"/>
  <c r="M253" i="2"/>
  <c r="M254" i="2"/>
  <c r="O254" i="2"/>
  <c r="P254" i="2" s="1"/>
  <c r="L254" i="2"/>
  <c r="O255" i="2"/>
  <c r="P255" i="2" s="1"/>
  <c r="M255" i="2"/>
  <c r="L255" i="2"/>
  <c r="L256" i="2"/>
  <c r="M256" i="2"/>
  <c r="O256" i="2"/>
  <c r="P256" i="2" s="1"/>
  <c r="M257" i="2"/>
  <c r="L257" i="2"/>
  <c r="O257" i="2"/>
  <c r="P257" i="2" s="1"/>
  <c r="O258" i="2"/>
  <c r="P258" i="2" s="1"/>
  <c r="M258" i="2"/>
  <c r="L258" i="2"/>
  <c r="O259" i="2"/>
  <c r="P259" i="2" s="1"/>
  <c r="M259" i="2"/>
  <c r="L259" i="2"/>
  <c r="M260" i="2"/>
  <c r="O260" i="2"/>
  <c r="P260" i="2" s="1"/>
  <c r="L260" i="2"/>
  <c r="L261" i="2"/>
  <c r="O261" i="2"/>
  <c r="P261" i="2" s="1"/>
  <c r="M261" i="2"/>
  <c r="O262" i="2"/>
  <c r="P262" i="2" s="1"/>
  <c r="M262" i="2"/>
  <c r="L262" i="2"/>
  <c r="O263" i="2"/>
  <c r="P263" i="2" s="1"/>
  <c r="M263" i="2"/>
  <c r="L263" i="2"/>
  <c r="O264" i="2"/>
  <c r="P264" i="2" s="1"/>
  <c r="M264" i="2"/>
  <c r="L264" i="2"/>
  <c r="O265" i="2"/>
  <c r="P265" i="2" s="1"/>
  <c r="M265" i="2"/>
  <c r="L265" i="2"/>
  <c r="O266" i="2"/>
  <c r="P266" i="2" s="1"/>
  <c r="M266" i="2"/>
  <c r="L266" i="2"/>
  <c r="O267" i="2"/>
  <c r="P267" i="2" s="1"/>
  <c r="M267" i="2"/>
  <c r="L267" i="2"/>
  <c r="M268" i="2"/>
  <c r="O268" i="2"/>
  <c r="P268" i="2" s="1"/>
  <c r="L268" i="2"/>
  <c r="L269" i="2"/>
  <c r="M269" i="2"/>
  <c r="O269" i="2"/>
  <c r="P269" i="2" s="1"/>
  <c r="L270" i="2"/>
  <c r="M270" i="2"/>
  <c r="O270" i="2"/>
  <c r="P270" i="2" s="1"/>
  <c r="M271" i="2"/>
  <c r="O271" i="2"/>
  <c r="P271" i="2" s="1"/>
  <c r="L271" i="2"/>
  <c r="L272" i="2"/>
  <c r="M272" i="2"/>
  <c r="O272" i="2"/>
  <c r="P272" i="2" s="1"/>
  <c r="L273" i="2"/>
  <c r="O273" i="2"/>
  <c r="P273" i="2" s="1"/>
  <c r="M273" i="2"/>
  <c r="M274" i="2"/>
  <c r="L274" i="2"/>
  <c r="O274" i="2"/>
  <c r="P274" i="2" s="1"/>
  <c r="O275" i="2"/>
  <c r="P275" i="2" s="1"/>
  <c r="M275" i="2"/>
  <c r="L275" i="2"/>
  <c r="L276" i="2"/>
  <c r="M276" i="2"/>
  <c r="O276" i="2"/>
  <c r="P276" i="2" s="1"/>
  <c r="O277" i="2"/>
  <c r="P277" i="2" s="1"/>
  <c r="M277" i="2"/>
  <c r="L277" i="2"/>
  <c r="L278" i="2"/>
  <c r="M278" i="2"/>
  <c r="O278" i="2"/>
  <c r="P278" i="2" s="1"/>
  <c r="M279" i="2"/>
  <c r="O279" i="2"/>
  <c r="P279" i="2" s="1"/>
  <c r="L279" i="2"/>
  <c r="M280" i="2"/>
  <c r="L280" i="2"/>
  <c r="O280" i="2"/>
  <c r="P280" i="2" s="1"/>
  <c r="L281" i="2"/>
  <c r="O281" i="2"/>
  <c r="P281" i="2" s="1"/>
  <c r="M281" i="2"/>
  <c r="O282" i="2"/>
  <c r="P282" i="2" s="1"/>
  <c r="M282" i="2"/>
  <c r="L282" i="2"/>
  <c r="O283" i="2"/>
  <c r="P283" i="2" s="1"/>
  <c r="M283" i="2"/>
  <c r="L283" i="2"/>
  <c r="O284" i="2"/>
  <c r="P284" i="2" s="1"/>
  <c r="M284" i="2"/>
  <c r="L284" i="2"/>
  <c r="O285" i="2"/>
  <c r="P285" i="2" s="1"/>
  <c r="L285" i="2"/>
  <c r="M285" i="2"/>
  <c r="O286" i="2"/>
  <c r="P286" i="2" s="1"/>
  <c r="M286" i="2"/>
  <c r="L286" i="2"/>
  <c r="O287" i="2"/>
  <c r="P287" i="2" s="1"/>
  <c r="L287" i="2"/>
  <c r="M287" i="2"/>
  <c r="O288" i="2"/>
  <c r="P288" i="2" s="1"/>
  <c r="M288" i="2"/>
  <c r="L288" i="2"/>
  <c r="O289" i="2"/>
  <c r="P289" i="2" s="1"/>
  <c r="M289" i="2"/>
  <c r="L289" i="2"/>
  <c r="O290" i="2"/>
  <c r="P290" i="2" s="1"/>
  <c r="M290" i="2"/>
  <c r="L290" i="2"/>
  <c r="O291" i="2"/>
  <c r="P291" i="2" s="1"/>
  <c r="M291" i="2"/>
  <c r="L291" i="2"/>
  <c r="M292" i="2"/>
  <c r="L292" i="2"/>
  <c r="O292" i="2"/>
  <c r="P292" i="2" s="1"/>
  <c r="M293" i="2"/>
  <c r="L293" i="2"/>
  <c r="O293" i="2"/>
  <c r="P293" i="2" s="1"/>
  <c r="O294" i="2"/>
  <c r="P294" i="2" s="1"/>
  <c r="L294" i="2"/>
  <c r="M294" i="2"/>
  <c r="O295" i="2"/>
  <c r="P295" i="2" s="1"/>
  <c r="L295" i="2"/>
  <c r="M295" i="2"/>
  <c r="M296" i="2"/>
  <c r="L296" i="2"/>
  <c r="O296" i="2"/>
  <c r="P296" i="2" s="1"/>
  <c r="L297" i="2"/>
  <c r="M297" i="2"/>
  <c r="O297" i="2"/>
  <c r="P297" i="2" s="1"/>
  <c r="O298" i="2"/>
  <c r="P298" i="2" s="1"/>
  <c r="M298" i="2"/>
  <c r="L298" i="2"/>
  <c r="M299" i="2"/>
  <c r="O299" i="2"/>
  <c r="P299" i="2" s="1"/>
  <c r="L299" i="2"/>
  <c r="O300" i="2"/>
  <c r="P300" i="2" s="1"/>
  <c r="M300" i="2"/>
  <c r="L300" i="2"/>
  <c r="O301" i="2"/>
  <c r="P301" i="2" s="1"/>
  <c r="L301" i="2"/>
  <c r="M301" i="2"/>
  <c r="O302" i="2"/>
  <c r="P302" i="2" s="1"/>
  <c r="M302" i="2"/>
  <c r="L302" i="2"/>
  <c r="O303" i="2"/>
  <c r="P303" i="2" s="1"/>
  <c r="M303" i="2"/>
  <c r="L303" i="2"/>
  <c r="O304" i="2"/>
  <c r="P304" i="2" s="1"/>
  <c r="M304" i="2"/>
  <c r="L304" i="2"/>
  <c r="L305" i="2"/>
  <c r="O305" i="2"/>
  <c r="P305" i="2" s="1"/>
  <c r="M305" i="2"/>
  <c r="O306" i="2"/>
  <c r="P306" i="2" s="1"/>
  <c r="M306" i="2"/>
  <c r="L306" i="2"/>
  <c r="O307" i="2"/>
  <c r="P307" i="2" s="1"/>
  <c r="M307" i="2"/>
  <c r="L307" i="2"/>
  <c r="M308" i="2"/>
  <c r="L308" i="2"/>
  <c r="O308" i="2"/>
  <c r="P308" i="2" s="1"/>
  <c r="O309" i="2"/>
  <c r="P309" i="2" s="1"/>
  <c r="M309" i="2"/>
  <c r="L309" i="2"/>
  <c r="L310" i="2"/>
  <c r="M310" i="2"/>
  <c r="O310" i="2"/>
  <c r="P310" i="2" s="1"/>
  <c r="O311" i="2"/>
  <c r="P311" i="2" s="1"/>
  <c r="L311" i="2"/>
  <c r="M311" i="2"/>
  <c r="M312" i="2"/>
  <c r="L312" i="2"/>
  <c r="O312" i="2"/>
  <c r="P312" i="2" s="1"/>
  <c r="L313" i="2"/>
  <c r="O313" i="2"/>
  <c r="P313" i="2" s="1"/>
  <c r="M313" i="2"/>
  <c r="M314" i="2"/>
  <c r="O314" i="2"/>
  <c r="P314" i="2" s="1"/>
  <c r="L314" i="2"/>
  <c r="M315" i="2"/>
  <c r="L315" i="2"/>
  <c r="O315" i="2"/>
  <c r="P315" i="2" s="1"/>
  <c r="O316" i="2"/>
  <c r="P316" i="2" s="1"/>
  <c r="M316" i="2"/>
  <c r="L316" i="2"/>
  <c r="M317" i="2"/>
  <c r="O317" i="2"/>
  <c r="P317" i="2" s="1"/>
  <c r="L317" i="2"/>
  <c r="O318" i="2"/>
  <c r="P318" i="2" s="1"/>
  <c r="M318" i="2"/>
  <c r="L318" i="2"/>
  <c r="L319" i="2"/>
  <c r="O319" i="2"/>
  <c r="P319" i="2" s="1"/>
  <c r="M319" i="2"/>
  <c r="O320" i="2"/>
  <c r="P320" i="2" s="1"/>
  <c r="M320" i="2"/>
  <c r="L320" i="2"/>
  <c r="O321" i="2"/>
  <c r="P321" i="2" s="1"/>
  <c r="M321" i="2"/>
  <c r="L321" i="2"/>
  <c r="O322" i="2"/>
  <c r="P322" i="2" s="1"/>
  <c r="M322" i="2"/>
  <c r="L322" i="2"/>
  <c r="O323" i="2"/>
  <c r="P323" i="2" s="1"/>
  <c r="M323" i="2"/>
  <c r="L323" i="2"/>
  <c r="M324" i="2"/>
  <c r="L324" i="2"/>
  <c r="O324" i="2"/>
  <c r="P324" i="2" s="1"/>
  <c r="O325" i="2"/>
  <c r="P325" i="2" s="1"/>
  <c r="M325" i="2"/>
  <c r="L325" i="2"/>
  <c r="O326" i="2"/>
  <c r="P326" i="2" s="1"/>
  <c r="L326" i="2"/>
  <c r="M326" i="2"/>
  <c r="M327" i="2"/>
  <c r="O327" i="2"/>
  <c r="P327" i="2" s="1"/>
  <c r="L327" i="2"/>
  <c r="M328" i="2"/>
  <c r="L328" i="2"/>
  <c r="O328" i="2"/>
  <c r="P328" i="2" s="1"/>
  <c r="L329" i="2"/>
  <c r="O329" i="2"/>
  <c r="P329" i="2" s="1"/>
  <c r="M329" i="2"/>
  <c r="O330" i="2"/>
  <c r="P330" i="2" s="1"/>
  <c r="M330" i="2"/>
  <c r="L330" i="2"/>
  <c r="O331" i="2"/>
  <c r="P331" i="2" s="1"/>
  <c r="M331" i="2"/>
  <c r="L331" i="2"/>
  <c r="O332" i="2"/>
  <c r="P332" i="2" s="1"/>
  <c r="M332" i="2"/>
  <c r="L332" i="2"/>
  <c r="O333" i="2"/>
  <c r="P333" i="2" s="1"/>
  <c r="M333" i="2"/>
  <c r="L333" i="2"/>
  <c r="M334" i="2"/>
  <c r="L334" i="2"/>
  <c r="O334" i="2"/>
  <c r="P334" i="2" s="1"/>
  <c r="O335" i="2"/>
  <c r="P335" i="2" s="1"/>
  <c r="M335" i="2"/>
  <c r="L335" i="2"/>
  <c r="M336" i="2"/>
  <c r="L336" i="2"/>
  <c r="O336" i="2"/>
  <c r="P336" i="2" s="1"/>
  <c r="O337" i="2"/>
  <c r="P337" i="2" s="1"/>
  <c r="M337" i="2"/>
  <c r="L337" i="2"/>
  <c r="O338" i="2"/>
  <c r="P338" i="2" s="1"/>
  <c r="M338" i="2"/>
  <c r="L338" i="2"/>
  <c r="M339" i="2"/>
  <c r="L339" i="2"/>
  <c r="O339" i="2"/>
  <c r="P339" i="2" s="1"/>
  <c r="O340" i="2"/>
  <c r="P340" i="2" s="1"/>
  <c r="M340" i="2"/>
  <c r="L340" i="2"/>
  <c r="O341" i="2"/>
  <c r="P341" i="2" s="1"/>
  <c r="M341" i="2"/>
  <c r="L341" i="2"/>
  <c r="O342" i="2"/>
  <c r="P342" i="2" s="1"/>
  <c r="M342" i="2"/>
  <c r="L342" i="2"/>
  <c r="M343" i="2"/>
  <c r="L343" i="2"/>
  <c r="O343" i="2"/>
  <c r="P343" i="2" s="1"/>
  <c r="M344" i="2"/>
  <c r="L344" i="2"/>
  <c r="O344" i="2"/>
  <c r="P344" i="2" s="1"/>
  <c r="L345" i="2"/>
  <c r="O345" i="2"/>
  <c r="P345" i="2" s="1"/>
  <c r="M345" i="2"/>
  <c r="O346" i="2"/>
  <c r="P346" i="2" s="1"/>
  <c r="L346" i="2"/>
  <c r="M346" i="2"/>
  <c r="O347" i="2"/>
  <c r="P347" i="2" s="1"/>
  <c r="M347" i="2"/>
  <c r="L347" i="2"/>
  <c r="O348" i="2"/>
  <c r="P348" i="2" s="1"/>
  <c r="M348" i="2"/>
  <c r="L348" i="2"/>
  <c r="O349" i="2"/>
  <c r="P349" i="2" s="1"/>
  <c r="M349" i="2"/>
  <c r="L349" i="2"/>
  <c r="O350" i="2"/>
  <c r="P350" i="2" s="1"/>
  <c r="M350" i="2"/>
  <c r="L350" i="2"/>
  <c r="M351" i="2"/>
  <c r="L351" i="2"/>
  <c r="O351" i="2"/>
  <c r="P351" i="2" s="1"/>
  <c r="O352" i="2"/>
  <c r="P352" i="2" s="1"/>
  <c r="M352" i="2"/>
  <c r="L352" i="2"/>
  <c r="M353" i="2"/>
  <c r="L353" i="2"/>
  <c r="O353" i="2"/>
  <c r="P353" i="2" s="1"/>
  <c r="O354" i="2"/>
  <c r="P354" i="2" s="1"/>
  <c r="M354" i="2"/>
  <c r="L354" i="2"/>
  <c r="O355" i="2"/>
  <c r="P355" i="2" s="1"/>
  <c r="M355" i="2"/>
  <c r="L355" i="2"/>
  <c r="O356" i="2"/>
  <c r="P356" i="2" s="1"/>
  <c r="M356" i="2"/>
  <c r="L356" i="2"/>
  <c r="O357" i="2"/>
  <c r="P357" i="2" s="1"/>
  <c r="M357" i="2"/>
  <c r="L357" i="2"/>
  <c r="O358" i="2"/>
  <c r="P358" i="2" s="1"/>
  <c r="M358" i="2"/>
  <c r="L358" i="2"/>
  <c r="M359" i="2"/>
  <c r="L359" i="2"/>
  <c r="O359" i="2"/>
  <c r="P359" i="2" s="1"/>
  <c r="M360" i="2"/>
  <c r="L360" i="2"/>
  <c r="O360" i="2"/>
  <c r="P360" i="2" s="1"/>
  <c r="L361" i="2"/>
  <c r="O361" i="2"/>
  <c r="P361" i="2" s="1"/>
  <c r="M361" i="2"/>
  <c r="M362" i="2"/>
  <c r="L362" i="2"/>
  <c r="O362" i="2"/>
  <c r="P362" i="2" s="1"/>
  <c r="O363" i="2"/>
  <c r="P363" i="2" s="1"/>
  <c r="M363" i="2"/>
  <c r="L363" i="2"/>
  <c r="O364" i="2"/>
  <c r="P364" i="2" s="1"/>
  <c r="M364" i="2"/>
  <c r="L364" i="2"/>
  <c r="O365" i="2"/>
  <c r="P365" i="2" s="1"/>
  <c r="M365" i="2"/>
  <c r="L365" i="2"/>
  <c r="O366" i="2"/>
  <c r="P366" i="2" s="1"/>
  <c r="M366" i="2"/>
  <c r="L366" i="2"/>
  <c r="O367" i="2"/>
  <c r="P367" i="2" s="1"/>
  <c r="M367" i="2"/>
  <c r="L367" i="2"/>
  <c r="O368" i="2"/>
  <c r="P368" i="2" s="1"/>
  <c r="M368" i="2"/>
  <c r="L368" i="2"/>
  <c r="O369" i="2"/>
  <c r="P369" i="2" s="1"/>
  <c r="M369" i="2"/>
  <c r="L369" i="2"/>
  <c r="M370" i="2"/>
  <c r="L370" i="2"/>
  <c r="O370" i="2"/>
  <c r="P370" i="2" s="1"/>
  <c r="O371" i="2"/>
  <c r="P371" i="2" s="1"/>
  <c r="M371" i="2"/>
  <c r="L371" i="2"/>
  <c r="O372" i="2"/>
  <c r="P372" i="2" s="1"/>
  <c r="M372" i="2"/>
  <c r="L372" i="2"/>
  <c r="O373" i="2"/>
  <c r="P373" i="2" s="1"/>
  <c r="M373" i="2"/>
  <c r="L373" i="2"/>
  <c r="O374" i="2"/>
  <c r="P374" i="2" s="1"/>
  <c r="M374" i="2"/>
  <c r="L374" i="2"/>
  <c r="M375" i="2"/>
  <c r="L375" i="2"/>
  <c r="O375" i="2"/>
  <c r="P375" i="2" s="1"/>
  <c r="O376" i="2"/>
  <c r="P376" i="2" s="1"/>
  <c r="M376" i="2"/>
  <c r="L376" i="2"/>
  <c r="L377" i="2"/>
  <c r="M377" i="2"/>
  <c r="O377" i="2"/>
  <c r="P377" i="2" s="1"/>
  <c r="O378" i="2"/>
  <c r="P378" i="2" s="1"/>
  <c r="M378" i="2"/>
  <c r="L378" i="2"/>
  <c r="O379" i="2"/>
  <c r="P379" i="2" s="1"/>
  <c r="M379" i="2"/>
  <c r="L379" i="2"/>
  <c r="O380" i="2"/>
  <c r="P380" i="2" s="1"/>
  <c r="M380" i="2"/>
  <c r="L380" i="2"/>
  <c r="O381" i="2"/>
  <c r="P381" i="2" s="1"/>
  <c r="M381" i="2"/>
  <c r="L381" i="2"/>
  <c r="O382" i="2"/>
  <c r="P382" i="2" s="1"/>
  <c r="M382" i="2"/>
  <c r="L382" i="2"/>
  <c r="M383" i="2"/>
  <c r="O383" i="2"/>
  <c r="P383" i="2" s="1"/>
  <c r="L383" i="2"/>
  <c r="O384" i="2"/>
  <c r="P384" i="2" s="1"/>
  <c r="M384" i="2"/>
  <c r="L384" i="2"/>
  <c r="O385" i="2"/>
  <c r="P385" i="2" s="1"/>
  <c r="M385" i="2"/>
  <c r="L385" i="2"/>
  <c r="O386" i="2"/>
  <c r="P386" i="2" s="1"/>
  <c r="M386" i="2"/>
  <c r="L386" i="2"/>
  <c r="O387" i="2"/>
  <c r="P387" i="2" s="1"/>
  <c r="M387" i="2"/>
  <c r="L387" i="2"/>
  <c r="O388" i="2"/>
  <c r="P388" i="2" s="1"/>
  <c r="M388" i="2"/>
  <c r="L388" i="2"/>
  <c r="L389" i="2"/>
  <c r="O389" i="2"/>
  <c r="P389" i="2" s="1"/>
  <c r="M389" i="2"/>
  <c r="O390" i="2"/>
  <c r="P390" i="2" s="1"/>
  <c r="M390" i="2"/>
  <c r="L390" i="2"/>
  <c r="M391" i="2"/>
  <c r="L391" i="2"/>
  <c r="O391" i="2"/>
  <c r="P391" i="2" s="1"/>
  <c r="M392" i="2"/>
  <c r="L392" i="2"/>
  <c r="O392" i="2"/>
  <c r="P392" i="2" s="1"/>
  <c r="O393" i="2"/>
  <c r="P393" i="2" s="1"/>
  <c r="M393" i="2"/>
  <c r="L393" i="2"/>
  <c r="O394" i="2"/>
  <c r="P394" i="2" s="1"/>
  <c r="M394" i="2"/>
  <c r="L394" i="2"/>
  <c r="M395" i="2"/>
  <c r="O395" i="2"/>
  <c r="P395" i="2" s="1"/>
  <c r="L395" i="2"/>
  <c r="O396" i="2"/>
  <c r="P396" i="2" s="1"/>
  <c r="M396" i="2"/>
  <c r="L396" i="2"/>
  <c r="O397" i="2"/>
  <c r="P397" i="2" s="1"/>
  <c r="M397" i="2"/>
  <c r="L397" i="2"/>
  <c r="O398" i="2"/>
  <c r="P398" i="2" s="1"/>
  <c r="M398" i="2"/>
  <c r="L398" i="2"/>
  <c r="O399" i="2"/>
  <c r="P399" i="2" s="1"/>
  <c r="M399" i="2"/>
  <c r="L399" i="2"/>
  <c r="M400" i="2"/>
  <c r="L400" i="2"/>
  <c r="O400" i="2"/>
  <c r="P400" i="2" s="1"/>
  <c r="O401" i="2"/>
  <c r="P401" i="2" s="1"/>
  <c r="M401" i="2"/>
  <c r="L401" i="2"/>
  <c r="O402" i="2"/>
  <c r="P402" i="2" s="1"/>
  <c r="M402" i="2"/>
  <c r="L402" i="2"/>
  <c r="O403" i="2"/>
  <c r="P403" i="2" s="1"/>
  <c r="M403" i="2"/>
  <c r="L403" i="2"/>
  <c r="O404" i="2"/>
  <c r="P404" i="2" s="1"/>
  <c r="M404" i="2"/>
  <c r="L404" i="2"/>
  <c r="M405" i="2"/>
  <c r="O405" i="2"/>
  <c r="P405" i="2" s="1"/>
  <c r="L405" i="2"/>
  <c r="O406" i="2"/>
  <c r="P406" i="2" s="1"/>
  <c r="M406" i="2"/>
  <c r="L406" i="2"/>
  <c r="M407" i="2"/>
  <c r="L407" i="2"/>
  <c r="O407" i="2"/>
  <c r="P407" i="2" s="1"/>
  <c r="L408" i="2"/>
  <c r="O408" i="2"/>
  <c r="P408" i="2" s="1"/>
  <c r="M408" i="2"/>
  <c r="O409" i="2"/>
  <c r="P409" i="2" s="1"/>
  <c r="M409" i="2"/>
  <c r="L409" i="2"/>
  <c r="O410" i="2"/>
  <c r="P410" i="2" s="1"/>
  <c r="M410" i="2"/>
  <c r="L410" i="2"/>
  <c r="O411" i="2"/>
  <c r="P411" i="2" s="1"/>
  <c r="M411" i="2"/>
  <c r="L411" i="2"/>
  <c r="O412" i="2"/>
  <c r="P412" i="2" s="1"/>
  <c r="M412" i="2"/>
  <c r="L412" i="2"/>
  <c r="O413" i="2"/>
  <c r="P413" i="2" s="1"/>
  <c r="M413" i="2"/>
  <c r="L413" i="2"/>
  <c r="O414" i="2"/>
  <c r="P414" i="2" s="1"/>
  <c r="M414" i="2"/>
  <c r="L414" i="2"/>
  <c r="O415" i="2"/>
  <c r="P415" i="2" s="1"/>
  <c r="M415" i="2"/>
  <c r="L415" i="2"/>
  <c r="O416" i="2"/>
  <c r="P416" i="2" s="1"/>
  <c r="M416" i="2"/>
  <c r="L416" i="2"/>
  <c r="O417" i="2"/>
  <c r="P417" i="2" s="1"/>
  <c r="M417" i="2"/>
  <c r="L417" i="2"/>
  <c r="O418" i="2"/>
  <c r="P418" i="2" s="1"/>
  <c r="M418" i="2"/>
  <c r="L418" i="2"/>
  <c r="O419" i="2"/>
  <c r="P419" i="2" s="1"/>
  <c r="M419" i="2"/>
  <c r="L419" i="2"/>
  <c r="O420" i="2"/>
  <c r="P420" i="2" s="1"/>
  <c r="M420" i="2"/>
  <c r="L420" i="2"/>
  <c r="O421" i="2"/>
  <c r="P421" i="2" s="1"/>
  <c r="M421" i="2"/>
  <c r="L421" i="2"/>
  <c r="O422" i="2"/>
  <c r="P422" i="2" s="1"/>
  <c r="M422" i="2"/>
  <c r="L422" i="2"/>
  <c r="M423" i="2"/>
  <c r="L423" i="2"/>
  <c r="O423" i="2"/>
  <c r="P423" i="2" s="1"/>
  <c r="L424" i="2"/>
  <c r="M424" i="2"/>
  <c r="O424" i="2"/>
  <c r="P424" i="2" s="1"/>
  <c r="L425" i="2"/>
  <c r="O425" i="2"/>
  <c r="P425" i="2" s="1"/>
  <c r="M425" i="2"/>
  <c r="O426" i="2"/>
  <c r="P426" i="2" s="1"/>
  <c r="M426" i="2"/>
  <c r="L426" i="2"/>
  <c r="O427" i="2"/>
  <c r="P427" i="2" s="1"/>
  <c r="M427" i="2"/>
  <c r="L427" i="2"/>
  <c r="O428" i="2"/>
  <c r="P428" i="2" s="1"/>
  <c r="M428" i="2"/>
  <c r="L428" i="2"/>
  <c r="O429" i="2"/>
  <c r="P429" i="2" s="1"/>
  <c r="M429" i="2"/>
  <c r="L429" i="2"/>
  <c r="L430" i="2"/>
  <c r="M430" i="2"/>
  <c r="O430" i="2"/>
  <c r="P430" i="2" s="1"/>
  <c r="L431" i="2"/>
  <c r="O431" i="2"/>
  <c r="P431" i="2" s="1"/>
  <c r="M431" i="2"/>
  <c r="O432" i="2"/>
  <c r="P432" i="2" s="1"/>
  <c r="M432" i="2"/>
  <c r="L432" i="2"/>
  <c r="O433" i="2"/>
  <c r="P433" i="2" s="1"/>
  <c r="M433" i="2"/>
  <c r="L433" i="2"/>
  <c r="L434" i="2"/>
  <c r="M434" i="2"/>
  <c r="O434" i="2"/>
  <c r="P434" i="2" s="1"/>
  <c r="O435" i="2"/>
  <c r="P435" i="2" s="1"/>
  <c r="M435" i="2"/>
  <c r="L435" i="2"/>
  <c r="O436" i="2"/>
  <c r="P436" i="2" s="1"/>
  <c r="M436" i="2"/>
  <c r="L436" i="2"/>
  <c r="O437" i="2"/>
  <c r="P437" i="2" s="1"/>
  <c r="M437" i="2"/>
  <c r="L437" i="2"/>
  <c r="L438" i="2"/>
  <c r="O438" i="2"/>
  <c r="P438" i="2" s="1"/>
  <c r="M438" i="2"/>
  <c r="M439" i="2"/>
  <c r="L439" i="2"/>
  <c r="O439" i="2"/>
  <c r="P439" i="2" s="1"/>
  <c r="O440" i="2"/>
  <c r="P440" i="2" s="1"/>
  <c r="M440" i="2"/>
  <c r="L440" i="2"/>
  <c r="L441" i="2"/>
  <c r="O441" i="2"/>
  <c r="P441" i="2" s="1"/>
  <c r="M441" i="2"/>
  <c r="M442" i="2"/>
  <c r="O442" i="2"/>
  <c r="P442" i="2" s="1"/>
  <c r="L442" i="2"/>
  <c r="O443" i="2"/>
  <c r="P443" i="2" s="1"/>
  <c r="M443" i="2"/>
  <c r="L443" i="2"/>
  <c r="L444" i="2"/>
  <c r="M444" i="2"/>
  <c r="O444" i="2"/>
  <c r="P444" i="2" s="1"/>
  <c r="O445" i="2"/>
  <c r="P445" i="2" s="1"/>
  <c r="M445" i="2"/>
  <c r="L445" i="2"/>
  <c r="M446" i="2"/>
  <c r="L446" i="2"/>
  <c r="O446" i="2"/>
  <c r="P446" i="2" s="1"/>
  <c r="O447" i="2"/>
  <c r="P447" i="2" s="1"/>
  <c r="M447" i="2"/>
  <c r="L447" i="2"/>
  <c r="O448" i="2"/>
  <c r="P448" i="2" s="1"/>
  <c r="M448" i="2"/>
  <c r="L448" i="2"/>
  <c r="L449" i="2"/>
  <c r="O449" i="2"/>
  <c r="P449" i="2" s="1"/>
  <c r="M449" i="2"/>
  <c r="M450" i="2"/>
  <c r="L450" i="2"/>
  <c r="O450" i="2"/>
  <c r="P450" i="2" s="1"/>
  <c r="M451" i="2"/>
  <c r="L451" i="2"/>
  <c r="O451" i="2"/>
  <c r="P451" i="2" s="1"/>
  <c r="O452" i="2"/>
  <c r="P452" i="2" s="1"/>
  <c r="M452" i="2"/>
  <c r="L452" i="2"/>
  <c r="O453" i="2"/>
  <c r="P453" i="2" s="1"/>
  <c r="M453" i="2"/>
  <c r="L453" i="2"/>
  <c r="O454" i="2"/>
  <c r="P454" i="2" s="1"/>
  <c r="M454" i="2"/>
  <c r="L454" i="2"/>
  <c r="M455" i="2"/>
  <c r="L455" i="2"/>
  <c r="O455" i="2"/>
  <c r="P455" i="2" s="1"/>
  <c r="O456" i="2"/>
  <c r="P456" i="2" s="1"/>
  <c r="M456" i="2"/>
  <c r="L456" i="2"/>
  <c r="L457" i="2"/>
  <c r="O457" i="2"/>
  <c r="P457" i="2" s="1"/>
  <c r="M457" i="2"/>
  <c r="O458" i="2"/>
  <c r="P458" i="2" s="1"/>
  <c r="M458" i="2"/>
  <c r="L458" i="2"/>
  <c r="L459" i="2"/>
  <c r="O459" i="2"/>
  <c r="P459" i="2" s="1"/>
  <c r="M459" i="2"/>
  <c r="O460" i="2"/>
  <c r="P460" i="2" s="1"/>
  <c r="M460" i="2"/>
  <c r="L460" i="2"/>
  <c r="L461" i="2"/>
  <c r="O461" i="2"/>
  <c r="P461" i="2" s="1"/>
  <c r="M461" i="2"/>
  <c r="L462" i="2"/>
  <c r="M462" i="2"/>
  <c r="O462" i="2"/>
  <c r="P462" i="2" s="1"/>
  <c r="O463" i="2"/>
  <c r="P463" i="2" s="1"/>
  <c r="M463" i="2"/>
  <c r="L463" i="2"/>
  <c r="L464" i="2"/>
  <c r="M464" i="2"/>
  <c r="O464" i="2"/>
  <c r="P464" i="2" s="1"/>
  <c r="O465" i="2"/>
  <c r="P465" i="2" s="1"/>
  <c r="M465" i="2"/>
  <c r="L465" i="2"/>
  <c r="O466" i="2"/>
  <c r="P466" i="2" s="1"/>
  <c r="M466" i="2"/>
  <c r="L466" i="2"/>
  <c r="O467" i="2"/>
  <c r="P467" i="2" s="1"/>
  <c r="M467" i="2"/>
  <c r="L467" i="2"/>
  <c r="O468" i="2"/>
  <c r="P468" i="2" s="1"/>
  <c r="M468" i="2"/>
  <c r="L468" i="2"/>
  <c r="O469" i="2"/>
  <c r="P469" i="2" s="1"/>
  <c r="M469" i="2"/>
  <c r="L469" i="2"/>
  <c r="O470" i="2"/>
  <c r="P470" i="2" s="1"/>
  <c r="M470" i="2"/>
  <c r="L470" i="2"/>
  <c r="M471" i="2"/>
  <c r="L471" i="2"/>
  <c r="O471" i="2"/>
  <c r="P471" i="2" s="1"/>
  <c r="M472" i="2"/>
  <c r="L472" i="2"/>
  <c r="O472" i="2"/>
  <c r="P472" i="2" s="1"/>
  <c r="L473" i="2"/>
  <c r="O473" i="2"/>
  <c r="P473" i="2" s="1"/>
  <c r="M473" i="2"/>
  <c r="O474" i="2"/>
  <c r="P474" i="2" s="1"/>
  <c r="M474" i="2"/>
  <c r="L474" i="2"/>
  <c r="O475" i="2"/>
  <c r="P475" i="2" s="1"/>
  <c r="M475" i="2"/>
  <c r="L475" i="2"/>
  <c r="O476" i="2"/>
  <c r="P476" i="2" s="1"/>
  <c r="M476" i="2"/>
  <c r="L476" i="2"/>
  <c r="M477" i="2"/>
  <c r="O477" i="2"/>
  <c r="P477" i="2" s="1"/>
  <c r="L477" i="2"/>
  <c r="O478" i="2"/>
  <c r="P478" i="2" s="1"/>
  <c r="M478" i="2"/>
  <c r="L478" i="2"/>
  <c r="O479" i="2"/>
  <c r="P479" i="2" s="1"/>
  <c r="M479" i="2"/>
  <c r="L479" i="2"/>
  <c r="O480" i="2"/>
  <c r="P480" i="2" s="1"/>
  <c r="M480" i="2"/>
  <c r="L480" i="2"/>
  <c r="M481" i="2"/>
  <c r="L481" i="2"/>
  <c r="O481" i="2"/>
  <c r="P481" i="2" s="1"/>
  <c r="M482" i="2"/>
  <c r="L482" i="2"/>
  <c r="O482" i="2"/>
  <c r="P482" i="2" s="1"/>
  <c r="O483" i="2"/>
  <c r="P483" i="2" s="1"/>
  <c r="M483" i="2"/>
  <c r="L483" i="2"/>
  <c r="O484" i="2"/>
  <c r="P484" i="2" s="1"/>
  <c r="M484" i="2"/>
  <c r="L484" i="2"/>
  <c r="M485" i="2"/>
  <c r="L485" i="2"/>
  <c r="O485" i="2"/>
  <c r="P485" i="2" s="1"/>
  <c r="O486" i="2"/>
  <c r="P486" i="2" s="1"/>
  <c r="M486" i="2"/>
  <c r="L486" i="2"/>
  <c r="M487" i="2"/>
  <c r="L487" i="2"/>
  <c r="O487" i="2"/>
  <c r="P487" i="2" s="1"/>
  <c r="M488" i="2"/>
  <c r="L488" i="2"/>
  <c r="O488" i="2"/>
  <c r="P488" i="2" s="1"/>
  <c r="L489" i="2"/>
  <c r="O489" i="2"/>
  <c r="P489" i="2" s="1"/>
  <c r="M489" i="2"/>
  <c r="M490" i="2"/>
  <c r="O490" i="2"/>
  <c r="P490" i="2" s="1"/>
  <c r="L490" i="2"/>
  <c r="O491" i="2"/>
  <c r="P491" i="2" s="1"/>
  <c r="L491" i="2"/>
  <c r="M491" i="2"/>
  <c r="O492" i="2"/>
  <c r="P492" i="2" s="1"/>
  <c r="M492" i="2"/>
  <c r="L492" i="2"/>
  <c r="M493" i="2"/>
  <c r="O493" i="2"/>
  <c r="P493" i="2" s="1"/>
  <c r="L493" i="2"/>
  <c r="O494" i="2"/>
  <c r="P494" i="2" s="1"/>
  <c r="M494" i="2"/>
  <c r="L494" i="2"/>
  <c r="O495" i="2"/>
  <c r="P495" i="2" s="1"/>
  <c r="M495" i="2"/>
  <c r="L495" i="2"/>
  <c r="O496" i="2"/>
  <c r="P496" i="2" s="1"/>
  <c r="M496" i="2"/>
  <c r="L496" i="2"/>
  <c r="L497" i="2"/>
  <c r="M497" i="2"/>
  <c r="O497" i="2"/>
  <c r="P497" i="2" s="1"/>
  <c r="O498" i="2"/>
  <c r="P498" i="2" s="1"/>
  <c r="M498" i="2"/>
  <c r="L498" i="2"/>
  <c r="O499" i="2"/>
  <c r="P499" i="2" s="1"/>
  <c r="M499" i="2"/>
  <c r="L499" i="2"/>
  <c r="O500" i="2"/>
  <c r="P500" i="2" s="1"/>
  <c r="M500" i="2"/>
  <c r="L500" i="2"/>
  <c r="O501" i="2"/>
  <c r="P501" i="2" s="1"/>
  <c r="M501" i="2"/>
  <c r="L501" i="2"/>
  <c r="O502" i="2"/>
  <c r="P502" i="2" s="1"/>
  <c r="M502" i="2"/>
  <c r="L502" i="2"/>
  <c r="O503" i="2"/>
  <c r="P503" i="2" s="1"/>
  <c r="M503" i="2"/>
  <c r="L503" i="2"/>
  <c r="M504" i="2"/>
  <c r="L504" i="2"/>
  <c r="O504" i="2"/>
  <c r="P504" i="2" s="1"/>
  <c r="L505" i="2"/>
  <c r="O505" i="2"/>
  <c r="P505" i="2" s="1"/>
  <c r="M505" i="2"/>
  <c r="O506" i="2"/>
  <c r="P506" i="2" s="1"/>
  <c r="M506" i="2"/>
  <c r="L506" i="2"/>
  <c r="O507" i="2"/>
  <c r="P507" i="2" s="1"/>
  <c r="M507" i="2"/>
  <c r="L507" i="2"/>
  <c r="O508" i="2"/>
  <c r="P508" i="2" s="1"/>
  <c r="M508" i="2"/>
  <c r="L508" i="2"/>
  <c r="O509" i="2"/>
  <c r="P509" i="2" s="1"/>
  <c r="M509" i="2"/>
  <c r="L509" i="2"/>
  <c r="O510" i="2"/>
  <c r="P510" i="2" s="1"/>
  <c r="M510" i="2"/>
  <c r="L510" i="2"/>
  <c r="O511" i="2"/>
  <c r="P511" i="2" s="1"/>
  <c r="M511" i="2"/>
  <c r="L511" i="2"/>
  <c r="O512" i="2"/>
  <c r="P512" i="2" s="1"/>
  <c r="L512" i="2"/>
  <c r="M512" i="2"/>
  <c r="O513" i="2"/>
  <c r="P513" i="2" s="1"/>
  <c r="M513" i="2"/>
  <c r="L513" i="2"/>
  <c r="L514" i="2"/>
  <c r="O514" i="2"/>
  <c r="P514" i="2" s="1"/>
  <c r="M514" i="2"/>
  <c r="O515" i="2"/>
  <c r="P515" i="2" s="1"/>
  <c r="M515" i="2"/>
  <c r="L515" i="2"/>
  <c r="O516" i="2"/>
  <c r="P516" i="2" s="1"/>
  <c r="M516" i="2"/>
  <c r="L516" i="2"/>
  <c r="O517" i="2"/>
  <c r="P517" i="2" s="1"/>
  <c r="M517" i="2"/>
  <c r="L517" i="2"/>
  <c r="M518" i="2"/>
  <c r="L518" i="2"/>
  <c r="O518" i="2"/>
  <c r="P518" i="2" s="1"/>
  <c r="L519" i="2"/>
  <c r="O519" i="2"/>
  <c r="P519" i="2" s="1"/>
  <c r="M519" i="2"/>
  <c r="O520" i="2"/>
  <c r="P520" i="2" s="1"/>
  <c r="L520" i="2"/>
  <c r="M520" i="2"/>
  <c r="L521" i="2"/>
  <c r="O521" i="2"/>
  <c r="P521" i="2" s="1"/>
  <c r="M521" i="2"/>
  <c r="O522" i="2"/>
  <c r="P522" i="2" s="1"/>
  <c r="M522" i="2"/>
  <c r="L522" i="2"/>
  <c r="O523" i="2"/>
  <c r="P523" i="2" s="1"/>
  <c r="M523" i="2"/>
  <c r="L523" i="2"/>
  <c r="O524" i="2"/>
  <c r="P524" i="2" s="1"/>
  <c r="M524" i="2"/>
  <c r="L524" i="2"/>
  <c r="M525" i="2"/>
  <c r="L525" i="2"/>
  <c r="O525" i="2"/>
  <c r="P525" i="2" s="1"/>
  <c r="M526" i="2"/>
  <c r="L526" i="2"/>
  <c r="O526" i="2"/>
  <c r="P526" i="2" s="1"/>
  <c r="O527" i="2"/>
  <c r="P527" i="2" s="1"/>
  <c r="L527" i="2"/>
  <c r="M527" i="2"/>
  <c r="M528" i="2"/>
  <c r="L528" i="2"/>
  <c r="O528" i="2"/>
  <c r="P528" i="2" s="1"/>
  <c r="M529" i="2"/>
  <c r="L529" i="2"/>
  <c r="O529" i="2"/>
  <c r="P529" i="2" s="1"/>
  <c r="L530" i="2"/>
  <c r="O530" i="2"/>
  <c r="P530" i="2" s="1"/>
  <c r="M530" i="2"/>
  <c r="O531" i="2"/>
  <c r="P531" i="2" s="1"/>
  <c r="M531" i="2"/>
  <c r="L531" i="2"/>
  <c r="L532" i="2"/>
  <c r="M532" i="2"/>
  <c r="O532" i="2"/>
  <c r="P532" i="2" s="1"/>
  <c r="O533" i="2"/>
  <c r="P533" i="2" s="1"/>
  <c r="M533" i="2"/>
  <c r="L533" i="2"/>
  <c r="O534" i="2"/>
  <c r="P534" i="2" s="1"/>
  <c r="M534" i="2"/>
  <c r="L534" i="2"/>
  <c r="O535" i="2"/>
  <c r="P535" i="2" s="1"/>
  <c r="M535" i="2"/>
  <c r="L535" i="2"/>
  <c r="M536" i="2"/>
  <c r="L536" i="2"/>
  <c r="O536" i="2"/>
  <c r="P536" i="2" s="1"/>
  <c r="L537" i="2"/>
  <c r="M537" i="2"/>
  <c r="O537" i="2"/>
  <c r="P537" i="2" s="1"/>
  <c r="O538" i="2"/>
  <c r="P538" i="2" s="1"/>
  <c r="M538" i="2"/>
  <c r="L538" i="2"/>
  <c r="O539" i="2"/>
  <c r="P539" i="2" s="1"/>
  <c r="M539" i="2"/>
  <c r="L539" i="2"/>
  <c r="O540" i="2"/>
  <c r="P540" i="2" s="1"/>
  <c r="M540" i="2"/>
  <c r="L540" i="2"/>
  <c r="M541" i="2"/>
  <c r="L541" i="2"/>
  <c r="O541" i="2"/>
  <c r="P541" i="2" s="1"/>
  <c r="O542" i="2"/>
  <c r="P542" i="2" s="1"/>
  <c r="M542" i="2"/>
  <c r="L542" i="2"/>
  <c r="O543" i="2"/>
  <c r="P543" i="2" s="1"/>
  <c r="L543" i="2"/>
  <c r="M543" i="2"/>
  <c r="M544" i="2"/>
  <c r="O544" i="2"/>
  <c r="P544" i="2" s="1"/>
  <c r="L544" i="2"/>
  <c r="M545" i="2"/>
  <c r="L545" i="2"/>
  <c r="O545" i="2"/>
  <c r="P545" i="2" s="1"/>
  <c r="M546" i="2"/>
  <c r="L546" i="2"/>
  <c r="O546" i="2"/>
  <c r="P546" i="2" s="1"/>
  <c r="O547" i="2"/>
  <c r="P547" i="2" s="1"/>
  <c r="M547" i="2"/>
  <c r="L547" i="2"/>
  <c r="L548" i="2"/>
  <c r="O548" i="2"/>
  <c r="P548" i="2" s="1"/>
  <c r="M548" i="2"/>
  <c r="L549" i="2"/>
  <c r="O549" i="2"/>
  <c r="P549" i="2" s="1"/>
  <c r="M549" i="2"/>
  <c r="O550" i="2"/>
  <c r="P550" i="2" s="1"/>
  <c r="M550" i="2"/>
  <c r="L550" i="2"/>
  <c r="L551" i="2"/>
  <c r="O551" i="2"/>
  <c r="P551" i="2" s="1"/>
  <c r="M551" i="2"/>
  <c r="O552" i="2"/>
  <c r="P552" i="2" s="1"/>
  <c r="M552" i="2"/>
  <c r="L552" i="2"/>
  <c r="O553" i="2"/>
  <c r="P553" i="2" s="1"/>
  <c r="M553" i="2"/>
  <c r="L553" i="2"/>
  <c r="M554" i="2"/>
  <c r="O554" i="2"/>
  <c r="P554" i="2" s="1"/>
  <c r="L554" i="2"/>
  <c r="O555" i="2"/>
  <c r="P555" i="2" s="1"/>
  <c r="M555" i="2"/>
  <c r="L555" i="2"/>
  <c r="O556" i="2"/>
  <c r="P556" i="2" s="1"/>
  <c r="M556" i="2"/>
  <c r="L556" i="2"/>
  <c r="M557" i="2"/>
  <c r="L557" i="2"/>
  <c r="O557" i="2"/>
  <c r="P557" i="2" s="1"/>
  <c r="O558" i="2"/>
  <c r="P558" i="2" s="1"/>
  <c r="L558" i="2"/>
  <c r="M558" i="2"/>
  <c r="O559" i="2"/>
  <c r="P559" i="2" s="1"/>
  <c r="L559" i="2"/>
  <c r="M559" i="2"/>
  <c r="M560" i="2"/>
  <c r="O560" i="2"/>
  <c r="P560" i="2" s="1"/>
  <c r="L560" i="2"/>
  <c r="L561" i="2"/>
  <c r="O561" i="2"/>
  <c r="P561" i="2" s="1"/>
  <c r="M561" i="2"/>
  <c r="L562" i="2"/>
  <c r="O562" i="2"/>
  <c r="P562" i="2" s="1"/>
  <c r="M562" i="2"/>
  <c r="O563" i="2"/>
  <c r="P563" i="2" s="1"/>
  <c r="M563" i="2"/>
  <c r="L563" i="2"/>
  <c r="L564" i="2"/>
  <c r="M564" i="2"/>
  <c r="O564" i="2"/>
  <c r="P564" i="2" s="1"/>
  <c r="M565" i="2"/>
  <c r="L565" i="2"/>
  <c r="O565" i="2"/>
  <c r="P565" i="2" s="1"/>
  <c r="M566" i="2"/>
  <c r="L566" i="2"/>
  <c r="O566" i="2"/>
  <c r="P566" i="2" s="1"/>
  <c r="O567" i="2"/>
  <c r="P567" i="2" s="1"/>
  <c r="M567" i="2"/>
  <c r="L567" i="2"/>
  <c r="H1504" i="2"/>
  <c r="I1504" i="2" s="1"/>
  <c r="N1481" i="2" l="1"/>
  <c r="N1342" i="2"/>
  <c r="N1452" i="2"/>
  <c r="N73" i="2"/>
  <c r="N1365" i="2"/>
  <c r="N1483" i="2"/>
  <c r="N1335" i="2"/>
  <c r="N1304" i="2"/>
  <c r="N1368" i="2"/>
  <c r="N1352" i="2"/>
  <c r="N78" i="2"/>
  <c r="N1369" i="2"/>
  <c r="N1436" i="2"/>
  <c r="N1433" i="2"/>
  <c r="N1338" i="2"/>
  <c r="N1009" i="2"/>
  <c r="N1130" i="2"/>
  <c r="N1486" i="2"/>
  <c r="N1464" i="2"/>
  <c r="N1459" i="2"/>
  <c r="N1400" i="2"/>
  <c r="N1453" i="2"/>
  <c r="N1333" i="2"/>
  <c r="N1302" i="2"/>
  <c r="N1446" i="2"/>
  <c r="N268" i="2"/>
  <c r="N782" i="2"/>
  <c r="N11" i="2"/>
  <c r="N1013" i="2"/>
  <c r="N556" i="2"/>
  <c r="N492" i="2"/>
  <c r="N471" i="2"/>
  <c r="N201" i="2"/>
  <c r="N327" i="2"/>
  <c r="N602" i="2"/>
  <c r="N1041" i="2"/>
  <c r="N1480" i="2"/>
  <c r="N576" i="2"/>
  <c r="N687" i="2"/>
  <c r="N842" i="2"/>
  <c r="N1465" i="2"/>
  <c r="N736" i="2"/>
  <c r="N749" i="2"/>
  <c r="N1093" i="2"/>
  <c r="N682" i="2"/>
  <c r="N1141" i="2"/>
  <c r="N899" i="2"/>
  <c r="N478" i="2"/>
  <c r="N350" i="2"/>
  <c r="N113" i="2"/>
  <c r="N802" i="2"/>
  <c r="N1467" i="2"/>
  <c r="N199" i="2"/>
  <c r="N826" i="2"/>
  <c r="N612" i="2"/>
  <c r="N508" i="2"/>
  <c r="N573" i="2"/>
  <c r="N744" i="2"/>
  <c r="N1244" i="2"/>
  <c r="N339" i="2"/>
  <c r="N260" i="2"/>
  <c r="N217" i="2"/>
  <c r="N466" i="2"/>
  <c r="N1186" i="2"/>
  <c r="N460" i="2"/>
  <c r="N623" i="2"/>
  <c r="N75" i="2"/>
  <c r="N212" i="2"/>
  <c r="N286" i="2"/>
  <c r="N1417" i="2"/>
  <c r="N123" i="2"/>
  <c r="N1363" i="2"/>
  <c r="N804" i="2"/>
  <c r="N96" i="2"/>
  <c r="N973" i="2"/>
  <c r="N510" i="2"/>
  <c r="N52" i="2"/>
  <c r="N302" i="2"/>
  <c r="N679" i="2"/>
  <c r="N631" i="2"/>
  <c r="N1132" i="2"/>
  <c r="N801" i="2"/>
  <c r="N850" i="2"/>
  <c r="N818" i="2"/>
  <c r="N797" i="2"/>
  <c r="N1310" i="2"/>
  <c r="N292" i="2"/>
  <c r="N500" i="2"/>
  <c r="N108" i="2"/>
  <c r="N241" i="2"/>
  <c r="N315" i="2"/>
  <c r="N1165" i="2"/>
  <c r="N914" i="2"/>
  <c r="N1278" i="2"/>
  <c r="N487" i="2"/>
  <c r="N366" i="2"/>
  <c r="N1309" i="2"/>
  <c r="N1293" i="2"/>
  <c r="N1451" i="2"/>
  <c r="N1419" i="2"/>
  <c r="N1403" i="2"/>
  <c r="N901" i="2"/>
  <c r="N853" i="2"/>
  <c r="N805" i="2"/>
  <c r="N1012" i="2"/>
  <c r="N1264" i="2"/>
  <c r="N1241" i="2"/>
  <c r="N1225" i="2"/>
  <c r="N1017" i="2"/>
  <c r="N969" i="2"/>
  <c r="N937" i="2"/>
  <c r="N46" i="2"/>
  <c r="N284" i="2"/>
  <c r="N203" i="2"/>
  <c r="N604" i="2"/>
  <c r="N681" i="2"/>
  <c r="N798" i="2"/>
  <c r="N642" i="2"/>
  <c r="N249" i="2"/>
  <c r="N164" i="2"/>
  <c r="N126" i="2"/>
  <c r="N885" i="2"/>
  <c r="N300" i="2"/>
  <c r="N204" i="2"/>
  <c r="N188" i="2"/>
  <c r="N523" i="2"/>
  <c r="N507" i="2"/>
  <c r="N443" i="2"/>
  <c r="N320" i="2"/>
  <c r="N185" i="2"/>
  <c r="N382" i="2"/>
  <c r="N905" i="2"/>
  <c r="N898" i="2"/>
  <c r="N265" i="2"/>
  <c r="N414" i="2"/>
  <c r="N318" i="2"/>
  <c r="N110" i="2"/>
  <c r="N40" i="2"/>
  <c r="N1125" i="2"/>
  <c r="N417" i="2"/>
  <c r="N283" i="2"/>
  <c r="N43" i="2"/>
  <c r="N516" i="2"/>
  <c r="N1229" i="2"/>
  <c r="N1042" i="2"/>
  <c r="N946" i="2"/>
  <c r="N494" i="2"/>
  <c r="N641" i="2"/>
  <c r="N1153" i="2"/>
  <c r="N120" i="2"/>
  <c r="N279" i="2"/>
  <c r="N524" i="2"/>
  <c r="N156" i="2"/>
  <c r="N71" i="2"/>
  <c r="N671" i="2"/>
  <c r="N758" i="2"/>
  <c r="N395" i="2"/>
  <c r="N304" i="2"/>
  <c r="N615" i="2"/>
  <c r="N893" i="2"/>
  <c r="N1431" i="2"/>
  <c r="N1404" i="2"/>
  <c r="N409" i="2"/>
  <c r="N180" i="2"/>
  <c r="N68" i="2"/>
  <c r="N823" i="2"/>
  <c r="N1299" i="2"/>
  <c r="N1484" i="2"/>
  <c r="N1425" i="2"/>
  <c r="N1420" i="2"/>
  <c r="N596" i="2"/>
  <c r="N844" i="2"/>
  <c r="N1387" i="2"/>
  <c r="N462" i="2"/>
  <c r="N440" i="2"/>
  <c r="N455" i="2"/>
  <c r="N428" i="2"/>
  <c r="N252" i="2"/>
  <c r="N574" i="2"/>
  <c r="N890" i="2"/>
  <c r="N555" i="2"/>
  <c r="N518" i="2"/>
  <c r="N475" i="2"/>
  <c r="N1001" i="2"/>
  <c r="N169" i="2"/>
  <c r="N190" i="2"/>
  <c r="N1148" i="2"/>
  <c r="N988" i="2"/>
  <c r="N833" i="2"/>
  <c r="N264" i="2"/>
  <c r="N136" i="2"/>
  <c r="N498" i="2"/>
  <c r="N423" i="2"/>
  <c r="N407" i="2"/>
  <c r="N380" i="2"/>
  <c r="N375" i="2"/>
  <c r="N364" i="2"/>
  <c r="N359" i="2"/>
  <c r="N1318" i="2"/>
  <c r="N1286" i="2"/>
  <c r="N433" i="2"/>
  <c r="N124" i="2"/>
  <c r="N539" i="2"/>
  <c r="N86" i="2"/>
  <c r="N599" i="2"/>
  <c r="N1193" i="2"/>
  <c r="N1108" i="2"/>
  <c r="N889" i="2"/>
  <c r="N857" i="2"/>
  <c r="N352" i="2"/>
  <c r="N926" i="2"/>
  <c r="N308" i="2"/>
  <c r="N153" i="2"/>
  <c r="N137" i="2"/>
  <c r="N36" i="2"/>
  <c r="N20" i="2"/>
  <c r="N569" i="2"/>
  <c r="N684" i="2"/>
  <c r="N575" i="2"/>
  <c r="N733" i="2"/>
  <c r="N1201" i="2"/>
  <c r="N1089" i="2"/>
  <c r="N88" i="2"/>
  <c r="N525" i="2"/>
  <c r="N568" i="2"/>
  <c r="N800" i="2"/>
  <c r="N1356" i="2"/>
  <c r="N546" i="2"/>
  <c r="N535" i="2"/>
  <c r="N370" i="2"/>
  <c r="N600" i="2"/>
  <c r="N666" i="2"/>
  <c r="N661" i="2"/>
  <c r="N650" i="2"/>
  <c r="N796" i="2"/>
  <c r="N1221" i="2"/>
  <c r="N1189" i="2"/>
  <c r="N1173" i="2"/>
  <c r="N1120" i="2"/>
  <c r="N1109" i="2"/>
  <c r="N1077" i="2"/>
  <c r="N1061" i="2"/>
  <c r="N997" i="2"/>
  <c r="N981" i="2"/>
  <c r="N949" i="2"/>
  <c r="N917" i="2"/>
  <c r="N912" i="2"/>
  <c r="N827" i="2"/>
  <c r="N1361" i="2"/>
  <c r="N1345" i="2"/>
  <c r="N1324" i="2"/>
  <c r="N1297" i="2"/>
  <c r="N1281" i="2"/>
  <c r="N1471" i="2"/>
  <c r="N1439" i="2"/>
  <c r="N1418" i="2"/>
  <c r="N863" i="2"/>
  <c r="N566" i="2"/>
  <c r="N251" i="2"/>
  <c r="N27" i="2"/>
  <c r="N1411" i="2"/>
  <c r="N1290" i="2"/>
  <c r="N663" i="2"/>
  <c r="N713" i="2"/>
  <c r="N1138" i="2"/>
  <c r="N132" i="2"/>
  <c r="N542" i="2"/>
  <c r="N238" i="2"/>
  <c r="N62" i="2"/>
  <c r="N591" i="2"/>
  <c r="N881" i="2"/>
  <c r="N1473" i="2"/>
  <c r="N430" i="2"/>
  <c r="N376" i="2"/>
  <c r="N232" i="2"/>
  <c r="N72" i="2"/>
  <c r="N317" i="2"/>
  <c r="N690" i="2"/>
  <c r="N584" i="2"/>
  <c r="N579" i="2"/>
  <c r="N769" i="2"/>
  <c r="N753" i="2"/>
  <c r="N1248" i="2"/>
  <c r="N1205" i="2"/>
  <c r="N965" i="2"/>
  <c r="N880" i="2"/>
  <c r="N837" i="2"/>
  <c r="N821" i="2"/>
  <c r="N811" i="2"/>
  <c r="N1313" i="2"/>
  <c r="N1265" i="2"/>
  <c r="N1429" i="2"/>
  <c r="N540" i="2"/>
  <c r="N140" i="2"/>
  <c r="N76" i="2"/>
  <c r="N60" i="2"/>
  <c r="N55" i="2"/>
  <c r="N39" i="2"/>
  <c r="N23" i="2"/>
  <c r="N1156" i="2"/>
  <c r="N497" i="2"/>
  <c r="N411" i="2"/>
  <c r="N294" i="2"/>
  <c r="N219" i="2"/>
  <c r="N171" i="2"/>
  <c r="N1049" i="2"/>
  <c r="N1028" i="2"/>
  <c r="N1023" i="2"/>
  <c r="N953" i="2"/>
  <c r="N921" i="2"/>
  <c r="N496" i="2"/>
  <c r="N480" i="2"/>
  <c r="N448" i="2"/>
  <c r="N32" i="2"/>
  <c r="N1501" i="2"/>
  <c r="N1490" i="2"/>
  <c r="N1474" i="2"/>
  <c r="N1458" i="2"/>
  <c r="N559" i="2"/>
  <c r="N527" i="2"/>
  <c r="N608" i="2"/>
  <c r="N685" i="2"/>
  <c r="N669" i="2"/>
  <c r="N777" i="2"/>
  <c r="N692" i="2"/>
  <c r="N1181" i="2"/>
  <c r="N1176" i="2"/>
  <c r="N1149" i="2"/>
  <c r="N1133" i="2"/>
  <c r="N1128" i="2"/>
  <c r="N1117" i="2"/>
  <c r="N1053" i="2"/>
  <c r="N1048" i="2"/>
  <c r="N1037" i="2"/>
  <c r="N1021" i="2"/>
  <c r="N957" i="2"/>
  <c r="N925" i="2"/>
  <c r="N920" i="2"/>
  <c r="N915" i="2"/>
  <c r="N909" i="2"/>
  <c r="N840" i="2"/>
  <c r="N813" i="2"/>
  <c r="N1364" i="2"/>
  <c r="N1359" i="2"/>
  <c r="N1332" i="2"/>
  <c r="N1295" i="2"/>
  <c r="N1289" i="2"/>
  <c r="N1273" i="2"/>
  <c r="N324" i="2"/>
  <c r="N121" i="2"/>
  <c r="N1316" i="2"/>
  <c r="N586" i="2"/>
  <c r="N647" i="2"/>
  <c r="N620" i="2"/>
  <c r="N771" i="2"/>
  <c r="N270" i="2"/>
  <c r="N216" i="2"/>
  <c r="N104" i="2"/>
  <c r="N673" i="2"/>
  <c r="N1239" i="2"/>
  <c r="N477" i="2"/>
  <c r="N179" i="2"/>
  <c r="N854" i="2"/>
  <c r="N838" i="2"/>
  <c r="N1341" i="2"/>
  <c r="N1472" i="2"/>
  <c r="N541" i="2"/>
  <c r="N418" i="2"/>
  <c r="N130" i="2"/>
  <c r="N98" i="2"/>
  <c r="N66" i="2"/>
  <c r="N50" i="2"/>
  <c r="N1493" i="2"/>
  <c r="N1477" i="2"/>
  <c r="N567" i="2"/>
  <c r="N450" i="2"/>
  <c r="N274" i="2"/>
  <c r="N263" i="2"/>
  <c r="N231" i="2"/>
  <c r="N215" i="2"/>
  <c r="N183" i="2"/>
  <c r="N645" i="2"/>
  <c r="N396" i="2"/>
  <c r="N1498" i="2"/>
  <c r="N385" i="2"/>
  <c r="N337" i="2"/>
  <c r="N289" i="2"/>
  <c r="N65" i="2"/>
  <c r="N785" i="2"/>
  <c r="N1455" i="2"/>
  <c r="N1423" i="2"/>
  <c r="N379" i="2"/>
  <c r="N347" i="2"/>
  <c r="N331" i="2"/>
  <c r="N235" i="2"/>
  <c r="N633" i="2"/>
  <c r="N779" i="2"/>
  <c r="N1199" i="2"/>
  <c r="N1140" i="2"/>
  <c r="N815" i="2"/>
  <c r="N368" i="2"/>
  <c r="N578" i="2"/>
  <c r="N670" i="2"/>
  <c r="N638" i="2"/>
  <c r="N622" i="2"/>
  <c r="N773" i="2"/>
  <c r="N720" i="2"/>
  <c r="N831" i="2"/>
  <c r="N1301" i="2"/>
  <c r="N1269" i="2"/>
  <c r="N1497" i="2"/>
  <c r="N1422" i="2"/>
  <c r="N405" i="2"/>
  <c r="N627" i="2"/>
  <c r="N794" i="2"/>
  <c r="N762" i="2"/>
  <c r="N1166" i="2"/>
  <c r="N846" i="2"/>
  <c r="N1274" i="2"/>
  <c r="N1470" i="2"/>
  <c r="N1384" i="2"/>
  <c r="N522" i="2"/>
  <c r="N485" i="2"/>
  <c r="N458" i="2"/>
  <c r="N426" i="2"/>
  <c r="N410" i="2"/>
  <c r="N394" i="2"/>
  <c r="N330" i="2"/>
  <c r="N298" i="2"/>
  <c r="N293" i="2"/>
  <c r="N282" i="2"/>
  <c r="N272" i="2"/>
  <c r="N266" i="2"/>
  <c r="N256" i="2"/>
  <c r="N250" i="2"/>
  <c r="N234" i="2"/>
  <c r="N218" i="2"/>
  <c r="N202" i="2"/>
  <c r="N186" i="2"/>
  <c r="N154" i="2"/>
  <c r="N138" i="2"/>
  <c r="N106" i="2"/>
  <c r="N90" i="2"/>
  <c r="N74" i="2"/>
  <c r="N58" i="2"/>
  <c r="N42" i="2"/>
  <c r="N26" i="2"/>
  <c r="N10" i="2"/>
  <c r="N593" i="2"/>
  <c r="N680" i="2"/>
  <c r="N664" i="2"/>
  <c r="N648" i="2"/>
  <c r="N751" i="2"/>
  <c r="N719" i="2"/>
  <c r="N714" i="2"/>
  <c r="N1155" i="2"/>
  <c r="N1123" i="2"/>
  <c r="N1091" i="2"/>
  <c r="N947" i="2"/>
  <c r="N883" i="2"/>
  <c r="N862" i="2"/>
  <c r="N803" i="2"/>
  <c r="N1327" i="2"/>
  <c r="N1322" i="2"/>
  <c r="N1311" i="2"/>
  <c r="N1263" i="2"/>
  <c r="N1443" i="2"/>
  <c r="N543" i="2"/>
  <c r="N287" i="2"/>
  <c r="N79" i="2"/>
  <c r="N783" i="2"/>
  <c r="N703" i="2"/>
  <c r="N1240" i="2"/>
  <c r="N1203" i="2"/>
  <c r="N861" i="2"/>
  <c r="N856" i="2"/>
  <c r="N1321" i="2"/>
  <c r="N393" i="2"/>
  <c r="N89" i="2"/>
  <c r="N84" i="2"/>
  <c r="N587" i="2"/>
  <c r="N581" i="2"/>
  <c r="N766" i="2"/>
  <c r="N702" i="2"/>
  <c r="N1234" i="2"/>
  <c r="N1218" i="2"/>
  <c r="N1202" i="2"/>
  <c r="N1170" i="2"/>
  <c r="N1160" i="2"/>
  <c r="N1058" i="2"/>
  <c r="N1032" i="2"/>
  <c r="N968" i="2"/>
  <c r="N398" i="2"/>
  <c r="N174" i="2"/>
  <c r="N142" i="2"/>
  <c r="N668" i="2"/>
  <c r="N723" i="2"/>
  <c r="N707" i="2"/>
  <c r="N691" i="2"/>
  <c r="N1250" i="2"/>
  <c r="N1191" i="2"/>
  <c r="N1175" i="2"/>
  <c r="N1031" i="2"/>
  <c r="N1026" i="2"/>
  <c r="N994" i="2"/>
  <c r="N978" i="2"/>
  <c r="N919" i="2"/>
  <c r="N882" i="2"/>
  <c r="N871" i="2"/>
  <c r="N855" i="2"/>
  <c r="N456" i="2"/>
  <c r="N222" i="2"/>
  <c r="N131" i="2"/>
  <c r="N662" i="2"/>
  <c r="N614" i="2"/>
  <c r="N739" i="2"/>
  <c r="N701" i="2"/>
  <c r="N1249" i="2"/>
  <c r="N1185" i="2"/>
  <c r="N1068" i="2"/>
  <c r="N1052" i="2"/>
  <c r="N983" i="2"/>
  <c r="N967" i="2"/>
  <c r="N903" i="2"/>
  <c r="N887" i="2"/>
  <c r="N812" i="2"/>
  <c r="N536" i="2"/>
  <c r="N509" i="2"/>
  <c r="N504" i="2"/>
  <c r="N493" i="2"/>
  <c r="N472" i="2"/>
  <c r="N445" i="2"/>
  <c r="N429" i="2"/>
  <c r="N397" i="2"/>
  <c r="N381" i="2"/>
  <c r="N365" i="2"/>
  <c r="N360" i="2"/>
  <c r="N349" i="2"/>
  <c r="N344" i="2"/>
  <c r="N333" i="2"/>
  <c r="N328" i="2"/>
  <c r="N312" i="2"/>
  <c r="N296" i="2"/>
  <c r="N280" i="2"/>
  <c r="N205" i="2"/>
  <c r="N189" i="2"/>
  <c r="N168" i="2"/>
  <c r="N157" i="2"/>
  <c r="N141" i="2"/>
  <c r="N125" i="2"/>
  <c r="N109" i="2"/>
  <c r="N77" i="2"/>
  <c r="N45" i="2"/>
  <c r="N13" i="2"/>
  <c r="N601" i="2"/>
  <c r="N683" i="2"/>
  <c r="N678" i="2"/>
  <c r="N646" i="2"/>
  <c r="N786" i="2"/>
  <c r="N781" i="2"/>
  <c r="N770" i="2"/>
  <c r="N1174" i="2"/>
  <c r="N1094" i="2"/>
  <c r="N1057" i="2"/>
  <c r="N1036" i="2"/>
  <c r="N918" i="2"/>
  <c r="N913" i="2"/>
  <c r="N870" i="2"/>
  <c r="N1357" i="2"/>
  <c r="N482" i="2"/>
  <c r="N253" i="2"/>
  <c r="N135" i="2"/>
  <c r="N119" i="2"/>
  <c r="N103" i="2"/>
  <c r="N87" i="2"/>
  <c r="N82" i="2"/>
  <c r="N595" i="2"/>
  <c r="N667" i="2"/>
  <c r="N640" i="2"/>
  <c r="N624" i="2"/>
  <c r="N791" i="2"/>
  <c r="N780" i="2"/>
  <c r="N764" i="2"/>
  <c r="N732" i="2"/>
  <c r="N1232" i="2"/>
  <c r="N1222" i="2"/>
  <c r="N1216" i="2"/>
  <c r="N1168" i="2"/>
  <c r="N1136" i="2"/>
  <c r="N1099" i="2"/>
  <c r="N1083" i="2"/>
  <c r="N1040" i="2"/>
  <c r="N1024" i="2"/>
  <c r="N1019" i="2"/>
  <c r="N1014" i="2"/>
  <c r="N1008" i="2"/>
  <c r="N987" i="2"/>
  <c r="N976" i="2"/>
  <c r="N960" i="2"/>
  <c r="N955" i="2"/>
  <c r="N944" i="2"/>
  <c r="N928" i="2"/>
  <c r="N923" i="2"/>
  <c r="N886" i="2"/>
  <c r="N864" i="2"/>
  <c r="N816" i="2"/>
  <c r="N1351" i="2"/>
  <c r="N1298" i="2"/>
  <c r="N1276" i="2"/>
  <c r="N1271" i="2"/>
  <c r="N1260" i="2"/>
  <c r="N439" i="2"/>
  <c r="N412" i="2"/>
  <c r="N391" i="2"/>
  <c r="N1243" i="2"/>
  <c r="N1227" i="2"/>
  <c r="N1179" i="2"/>
  <c r="N1147" i="2"/>
  <c r="N1003" i="2"/>
  <c r="N129" i="2"/>
  <c r="N49" i="2"/>
  <c r="N44" i="2"/>
  <c r="N774" i="2"/>
  <c r="N742" i="2"/>
  <c r="N726" i="2"/>
  <c r="N710" i="2"/>
  <c r="N705" i="2"/>
  <c r="N689" i="2"/>
  <c r="N1194" i="2"/>
  <c r="N1162" i="2"/>
  <c r="N1034" i="2"/>
  <c r="N1018" i="2"/>
  <c r="N1002" i="2"/>
  <c r="N986" i="2"/>
  <c r="N970" i="2"/>
  <c r="N954" i="2"/>
  <c r="N933" i="2"/>
  <c r="N922" i="2"/>
  <c r="N906" i="2"/>
  <c r="N326" i="2"/>
  <c r="N267" i="2"/>
  <c r="N155" i="2"/>
  <c r="N107" i="2"/>
  <c r="N1247" i="2"/>
  <c r="N1242" i="2"/>
  <c r="N1146" i="2"/>
  <c r="N1082" i="2"/>
  <c r="N1039" i="2"/>
  <c r="N1007" i="2"/>
  <c r="N384" i="2"/>
  <c r="N588" i="2"/>
  <c r="N686" i="2"/>
  <c r="N715" i="2"/>
  <c r="N704" i="2"/>
  <c r="N1161" i="2"/>
  <c r="N916" i="2"/>
  <c r="N873" i="2"/>
  <c r="N1246" i="2"/>
  <c r="N506" i="2"/>
  <c r="N378" i="2"/>
  <c r="N878" i="2"/>
  <c r="N825" i="2"/>
  <c r="N809" i="2"/>
  <c r="N1354" i="2"/>
  <c r="N592" i="2"/>
  <c r="N1219" i="2"/>
  <c r="N1213" i="2"/>
  <c r="N1112" i="2"/>
  <c r="N1101" i="2"/>
  <c r="N1075" i="2"/>
  <c r="N1005" i="2"/>
  <c r="N829" i="2"/>
  <c r="N1257" i="2"/>
  <c r="N553" i="2"/>
  <c r="N431" i="2"/>
  <c r="N319" i="2"/>
  <c r="N116" i="2"/>
  <c r="N1154" i="2"/>
  <c r="N952" i="2"/>
  <c r="N930" i="2"/>
  <c r="N1348" i="2"/>
  <c r="N1300" i="2"/>
  <c r="N1294" i="2"/>
  <c r="N1262" i="2"/>
  <c r="N158" i="2"/>
  <c r="N935" i="2"/>
  <c r="N1256" i="2"/>
  <c r="N552" i="2"/>
  <c r="N451" i="2"/>
  <c r="N206" i="2"/>
  <c r="N200" i="2"/>
  <c r="N184" i="2"/>
  <c r="N152" i="2"/>
  <c r="N56" i="2"/>
  <c r="N24" i="2"/>
  <c r="N14" i="2"/>
  <c r="N657" i="2"/>
  <c r="N765" i="2"/>
  <c r="N1217" i="2"/>
  <c r="N1207" i="2"/>
  <c r="N1143" i="2"/>
  <c r="N1095" i="2"/>
  <c r="N1073" i="2"/>
  <c r="N945" i="2"/>
  <c r="N1267" i="2"/>
  <c r="N1414" i="2"/>
  <c r="N488" i="2"/>
  <c r="N413" i="2"/>
  <c r="N392" i="2"/>
  <c r="N237" i="2"/>
  <c r="N61" i="2"/>
  <c r="N625" i="2"/>
  <c r="N1116" i="2"/>
  <c r="N1020" i="2"/>
  <c r="N1004" i="2"/>
  <c r="N950" i="2"/>
  <c r="N1424" i="2"/>
  <c r="N557" i="2"/>
  <c r="N114" i="2"/>
  <c r="N18" i="2"/>
  <c r="N1445" i="2"/>
  <c r="N1413" i="2"/>
  <c r="N1397" i="2"/>
  <c r="N1392" i="2"/>
  <c r="N503" i="2"/>
  <c r="N269" i="2"/>
  <c r="N247" i="2"/>
  <c r="N173" i="2"/>
  <c r="N151" i="2"/>
  <c r="N606" i="2"/>
  <c r="N585" i="2"/>
  <c r="N677" i="2"/>
  <c r="N672" i="2"/>
  <c r="N656" i="2"/>
  <c r="N738" i="2"/>
  <c r="N727" i="2"/>
  <c r="N1206" i="2"/>
  <c r="N1184" i="2"/>
  <c r="N1142" i="2"/>
  <c r="N1056" i="2"/>
  <c r="N998" i="2"/>
  <c r="N966" i="2"/>
  <c r="N934" i="2"/>
  <c r="N848" i="2"/>
  <c r="N1362" i="2"/>
  <c r="N1255" i="2"/>
  <c r="N476" i="2"/>
  <c r="N348" i="2"/>
  <c r="N343" i="2"/>
  <c r="N332" i="2"/>
  <c r="N316" i="2"/>
  <c r="N236" i="2"/>
  <c r="N92" i="2"/>
  <c r="N28" i="2"/>
  <c r="N12" i="2"/>
  <c r="N634" i="2"/>
  <c r="N1163" i="2"/>
  <c r="N1131" i="2"/>
  <c r="N859" i="2"/>
  <c r="N1434" i="2"/>
  <c r="N1407" i="2"/>
  <c r="N1381" i="2"/>
  <c r="N513" i="2"/>
  <c r="N465" i="2"/>
  <c r="N401" i="2"/>
  <c r="N369" i="2"/>
  <c r="N321" i="2"/>
  <c r="N209" i="2"/>
  <c r="N655" i="2"/>
  <c r="N639" i="2"/>
  <c r="N737" i="2"/>
  <c r="N1226" i="2"/>
  <c r="N1114" i="2"/>
  <c r="N874" i="2"/>
  <c r="N810" i="2"/>
  <c r="N1350" i="2"/>
  <c r="N1254" i="2"/>
  <c r="N427" i="2"/>
  <c r="N363" i="2"/>
  <c r="N299" i="2"/>
  <c r="N230" i="2"/>
  <c r="N187" i="2"/>
  <c r="N139" i="2"/>
  <c r="N97" i="2"/>
  <c r="N589" i="2"/>
  <c r="N438" i="2"/>
  <c r="N432" i="2"/>
  <c r="N416" i="2"/>
  <c r="N288" i="2"/>
  <c r="N246" i="2"/>
  <c r="N192" i="2"/>
  <c r="N660" i="2"/>
  <c r="N795" i="2"/>
  <c r="N1177" i="2"/>
  <c r="N1129" i="2"/>
  <c r="N1081" i="2"/>
  <c r="N1065" i="2"/>
  <c r="N1044" i="2"/>
  <c r="N985" i="2"/>
  <c r="N975" i="2"/>
  <c r="N911" i="2"/>
  <c r="N900" i="2"/>
  <c r="N879" i="2"/>
  <c r="N1253" i="2"/>
  <c r="N1022" i="2"/>
  <c r="N565" i="2"/>
  <c r="N538" i="2"/>
  <c r="N474" i="2"/>
  <c r="N464" i="2"/>
  <c r="N122" i="2"/>
  <c r="N571" i="2"/>
  <c r="N572" i="2"/>
  <c r="N616" i="2"/>
  <c r="N757" i="2"/>
  <c r="N1145" i="2"/>
  <c r="N1059" i="2"/>
  <c r="N1011" i="2"/>
  <c r="N979" i="2"/>
  <c r="N1349" i="2"/>
  <c r="N1442" i="2"/>
  <c r="N1426" i="2"/>
  <c r="N1410" i="2"/>
  <c r="N1394" i="2"/>
  <c r="N1389" i="2"/>
  <c r="N1378" i="2"/>
  <c r="N1373" i="2"/>
  <c r="N295" i="2"/>
  <c r="N1104" i="2"/>
  <c r="N1088" i="2"/>
  <c r="N896" i="2"/>
  <c r="N561" i="2"/>
  <c r="N310" i="2"/>
  <c r="N54" i="2"/>
  <c r="N725" i="2"/>
  <c r="N530" i="2"/>
  <c r="N434" i="2"/>
  <c r="N611" i="2"/>
  <c r="N992" i="2"/>
  <c r="N519" i="2"/>
  <c r="N167" i="2"/>
  <c r="N1329" i="2"/>
  <c r="N1292" i="2"/>
  <c r="N449" i="2"/>
  <c r="N560" i="2"/>
  <c r="N544" i="2"/>
  <c r="N491" i="2"/>
  <c r="N278" i="2"/>
  <c r="N709" i="2"/>
  <c r="N533" i="2"/>
  <c r="N528" i="2"/>
  <c r="N517" i="2"/>
  <c r="N512" i="2"/>
  <c r="N501" i="2"/>
  <c r="N469" i="2"/>
  <c r="N459" i="2"/>
  <c r="N453" i="2"/>
  <c r="N437" i="2"/>
  <c r="N562" i="2"/>
  <c r="N34" i="2"/>
  <c r="N688" i="2"/>
  <c r="N743" i="2"/>
  <c r="N1072" i="2"/>
  <c r="N721" i="2"/>
  <c r="N1152" i="2"/>
  <c r="N869" i="2"/>
  <c r="N554" i="2"/>
  <c r="N490" i="2"/>
  <c r="N442" i="2"/>
  <c r="N314" i="2"/>
  <c r="N632" i="2"/>
  <c r="N693" i="2"/>
  <c r="N1251" i="2"/>
  <c r="N1171" i="2"/>
  <c r="N1107" i="2"/>
  <c r="N1033" i="2"/>
  <c r="N1027" i="2"/>
  <c r="N484" i="2"/>
  <c r="N468" i="2"/>
  <c r="N452" i="2"/>
  <c r="N436" i="2"/>
  <c r="N420" i="2"/>
  <c r="N404" i="2"/>
  <c r="N388" i="2"/>
  <c r="N372" i="2"/>
  <c r="N356" i="2"/>
  <c r="N351" i="2"/>
  <c r="N340" i="2"/>
  <c r="N244" i="2"/>
  <c r="N239" i="2"/>
  <c r="N228" i="2"/>
  <c r="N223" i="2"/>
  <c r="N191" i="2"/>
  <c r="N175" i="2"/>
  <c r="N159" i="2"/>
  <c r="N148" i="2"/>
  <c r="N143" i="2"/>
  <c r="N127" i="2"/>
  <c r="N111" i="2"/>
  <c r="N95" i="2"/>
  <c r="N63" i="2"/>
  <c r="N47" i="2"/>
  <c r="N31" i="2"/>
  <c r="N15" i="2"/>
  <c r="N637" i="2"/>
  <c r="N621" i="2"/>
  <c r="N793" i="2"/>
  <c r="N772" i="2"/>
  <c r="N761" i="2"/>
  <c r="N745" i="2"/>
  <c r="N729" i="2"/>
  <c r="N697" i="2"/>
  <c r="N1245" i="2"/>
  <c r="N1064" i="2"/>
  <c r="N888" i="2"/>
  <c r="N1353" i="2"/>
  <c r="N548" i="2"/>
  <c r="N276" i="2"/>
  <c r="N254" i="2"/>
  <c r="N233" i="2"/>
  <c r="N196" i="2"/>
  <c r="N100" i="2"/>
  <c r="N57" i="2"/>
  <c r="N25" i="2"/>
  <c r="N9" i="2"/>
  <c r="N674" i="2"/>
  <c r="N658" i="2"/>
  <c r="N652" i="2"/>
  <c r="N636" i="2"/>
  <c r="N626" i="2"/>
  <c r="N755" i="2"/>
  <c r="N1197" i="2"/>
  <c r="N1085" i="2"/>
  <c r="N1069" i="2"/>
  <c r="N1047" i="2"/>
  <c r="N1010" i="2"/>
  <c r="N999" i="2"/>
  <c r="N989" i="2"/>
  <c r="N951" i="2"/>
  <c r="N941" i="2"/>
  <c r="N877" i="2"/>
  <c r="N845" i="2"/>
  <c r="N834" i="2"/>
  <c r="N807" i="2"/>
  <c r="N1337" i="2"/>
  <c r="N1305" i="2"/>
  <c r="N564" i="2"/>
  <c r="N532" i="2"/>
  <c r="N563" i="2"/>
  <c r="N558" i="2"/>
  <c r="N547" i="2"/>
  <c r="N537" i="2"/>
  <c r="N531" i="2"/>
  <c r="N526" i="2"/>
  <c r="N521" i="2"/>
  <c r="N515" i="2"/>
  <c r="N505" i="2"/>
  <c r="N499" i="2"/>
  <c r="N489" i="2"/>
  <c r="N483" i="2"/>
  <c r="N473" i="2"/>
  <c r="N467" i="2"/>
  <c r="N457" i="2"/>
  <c r="N446" i="2"/>
  <c r="N441" i="2"/>
  <c r="N435" i="2"/>
  <c r="N425" i="2"/>
  <c r="N419" i="2"/>
  <c r="N403" i="2"/>
  <c r="N387" i="2"/>
  <c r="N377" i="2"/>
  <c r="N371" i="2"/>
  <c r="N361" i="2"/>
  <c r="N355" i="2"/>
  <c r="N345" i="2"/>
  <c r="N334" i="2"/>
  <c r="N329" i="2"/>
  <c r="N323" i="2"/>
  <c r="N313" i="2"/>
  <c r="N307" i="2"/>
  <c r="N297" i="2"/>
  <c r="N291" i="2"/>
  <c r="N281" i="2"/>
  <c r="N275" i="2"/>
  <c r="N259" i="2"/>
  <c r="N243" i="2"/>
  <c r="N227" i="2"/>
  <c r="N211" i="2"/>
  <c r="N195" i="2"/>
  <c r="N163" i="2"/>
  <c r="N147" i="2"/>
  <c r="N115" i="2"/>
  <c r="N105" i="2"/>
  <c r="N99" i="2"/>
  <c r="N94" i="2"/>
  <c r="N83" i="2"/>
  <c r="N67" i="2"/>
  <c r="N51" i="2"/>
  <c r="N41" i="2"/>
  <c r="N35" i="2"/>
  <c r="N30" i="2"/>
  <c r="N19" i="2"/>
  <c r="N613" i="2"/>
  <c r="N607" i="2"/>
  <c r="N597" i="2"/>
  <c r="N792" i="2"/>
  <c r="N787" i="2"/>
  <c r="N776" i="2"/>
  <c r="N760" i="2"/>
  <c r="N750" i="2"/>
  <c r="N734" i="2"/>
  <c r="N728" i="2"/>
  <c r="N718" i="2"/>
  <c r="N712" i="2"/>
  <c r="N696" i="2"/>
  <c r="N1228" i="2"/>
  <c r="N1223" i="2"/>
  <c r="N1212" i="2"/>
  <c r="N1196" i="2"/>
  <c r="N1180" i="2"/>
  <c r="N1164" i="2"/>
  <c r="N1159" i="2"/>
  <c r="N1127" i="2"/>
  <c r="N1122" i="2"/>
  <c r="N1111" i="2"/>
  <c r="N1106" i="2"/>
  <c r="N1100" i="2"/>
  <c r="N1090" i="2"/>
  <c r="N1084" i="2"/>
  <c r="N1079" i="2"/>
  <c r="N1074" i="2"/>
  <c r="N1063" i="2"/>
  <c r="N1015" i="2"/>
  <c r="N972" i="2"/>
  <c r="N962" i="2"/>
  <c r="N956" i="2"/>
  <c r="N940" i="2"/>
  <c r="N924" i="2"/>
  <c r="N908" i="2"/>
  <c r="N892" i="2"/>
  <c r="N876" i="2"/>
  <c r="N866" i="2"/>
  <c r="N860" i="2"/>
  <c r="N839" i="2"/>
  <c r="N828" i="2"/>
  <c r="N1358" i="2"/>
  <c r="N1347" i="2"/>
  <c r="N1336" i="2"/>
  <c r="N1331" i="2"/>
  <c r="N1326" i="2"/>
  <c r="N1320" i="2"/>
  <c r="N1315" i="2"/>
  <c r="N1288" i="2"/>
  <c r="N1283" i="2"/>
  <c r="N221" i="2"/>
  <c r="N635" i="2"/>
  <c r="N717" i="2"/>
  <c r="N706" i="2"/>
  <c r="N1238" i="2"/>
  <c r="N1190" i="2"/>
  <c r="N1158" i="2"/>
  <c r="N1137" i="2"/>
  <c r="N1126" i="2"/>
  <c r="N1025" i="2"/>
  <c r="N993" i="2"/>
  <c r="N961" i="2"/>
  <c r="N424" i="2"/>
  <c r="N408" i="2"/>
  <c r="N402" i="2"/>
  <c r="N386" i="2"/>
  <c r="N354" i="2"/>
  <c r="N338" i="2"/>
  <c r="N322" i="2"/>
  <c r="N306" i="2"/>
  <c r="N301" i="2"/>
  <c r="N290" i="2"/>
  <c r="N285" i="2"/>
  <c r="N258" i="2"/>
  <c r="N248" i="2"/>
  <c r="N226" i="2"/>
  <c r="N210" i="2"/>
  <c r="N194" i="2"/>
  <c r="N178" i="2"/>
  <c r="N162" i="2"/>
  <c r="N146" i="2"/>
  <c r="N93" i="2"/>
  <c r="N29" i="2"/>
  <c r="N590" i="2"/>
  <c r="N580" i="2"/>
  <c r="N651" i="2"/>
  <c r="N630" i="2"/>
  <c r="N619" i="2"/>
  <c r="N759" i="2"/>
  <c r="N754" i="2"/>
  <c r="N722" i="2"/>
  <c r="N711" i="2"/>
  <c r="N695" i="2"/>
  <c r="N1233" i="2"/>
  <c r="N1195" i="2"/>
  <c r="N1169" i="2"/>
  <c r="N1121" i="2"/>
  <c r="N1115" i="2"/>
  <c r="N1110" i="2"/>
  <c r="N1105" i="2"/>
  <c r="N1078" i="2"/>
  <c r="N1067" i="2"/>
  <c r="N1062" i="2"/>
  <c r="N1051" i="2"/>
  <c r="N1046" i="2"/>
  <c r="N1035" i="2"/>
  <c r="N1030" i="2"/>
  <c r="N982" i="2"/>
  <c r="N977" i="2"/>
  <c r="N939" i="2"/>
  <c r="N929" i="2"/>
  <c r="N907" i="2"/>
  <c r="N902" i="2"/>
  <c r="N897" i="2"/>
  <c r="N891" i="2"/>
  <c r="N875" i="2"/>
  <c r="N865" i="2"/>
  <c r="N849" i="2"/>
  <c r="N843" i="2"/>
  <c r="N822" i="2"/>
  <c r="N817" i="2"/>
  <c r="N806" i="2"/>
  <c r="N1367" i="2"/>
  <c r="N1346" i="2"/>
  <c r="N1330" i="2"/>
  <c r="N1325" i="2"/>
  <c r="N1319" i="2"/>
  <c r="N1314" i="2"/>
  <c r="N1303" i="2"/>
  <c r="N1287" i="2"/>
  <c r="N1282" i="2"/>
  <c r="N1277" i="2"/>
  <c r="N520" i="2"/>
  <c r="N775" i="2"/>
  <c r="N748" i="2"/>
  <c r="N1200" i="2"/>
  <c r="N971" i="2"/>
  <c r="N832" i="2"/>
  <c r="N1340" i="2"/>
  <c r="N1308" i="2"/>
  <c r="N311" i="2"/>
  <c r="N242" i="2"/>
  <c r="N629" i="2"/>
  <c r="N461" i="2"/>
  <c r="N514" i="2"/>
  <c r="E1509" i="2" a="1"/>
  <c r="E1509" i="2" s="1"/>
  <c r="N716" i="2"/>
  <c r="N1211" i="2"/>
  <c r="N551" i="2"/>
  <c r="N700" i="2"/>
  <c r="N305" i="2"/>
  <c r="N273" i="2"/>
  <c r="N225" i="2"/>
  <c r="N193" i="2"/>
  <c r="N177" i="2"/>
  <c r="N161" i="2"/>
  <c r="N145" i="2"/>
  <c r="N81" i="2"/>
  <c r="N33" i="2"/>
  <c r="N17" i="2"/>
  <c r="N594" i="2"/>
  <c r="N665" i="2"/>
  <c r="N649" i="2"/>
  <c r="N617" i="2"/>
  <c r="N790" i="2"/>
  <c r="N784" i="2"/>
  <c r="N768" i="2"/>
  <c r="N763" i="2"/>
  <c r="N752" i="2"/>
  <c r="N747" i="2"/>
  <c r="N699" i="2"/>
  <c r="N1231" i="2"/>
  <c r="N1210" i="2"/>
  <c r="N1204" i="2"/>
  <c r="N1188" i="2"/>
  <c r="N1183" i="2"/>
  <c r="N1124" i="2"/>
  <c r="N1103" i="2"/>
  <c r="N1076" i="2"/>
  <c r="N1071" i="2"/>
  <c r="N1060" i="2"/>
  <c r="N1050" i="2"/>
  <c r="N980" i="2"/>
  <c r="N964" i="2"/>
  <c r="N948" i="2"/>
  <c r="N938" i="2"/>
  <c r="N884" i="2"/>
  <c r="N868" i="2"/>
  <c r="N852" i="2"/>
  <c r="N847" i="2"/>
  <c r="N836" i="2"/>
  <c r="N1366" i="2"/>
  <c r="N1360" i="2"/>
  <c r="N1344" i="2"/>
  <c r="N1339" i="2"/>
  <c r="N1334" i="2"/>
  <c r="N1323" i="2"/>
  <c r="N1312" i="2"/>
  <c r="N1296" i="2"/>
  <c r="N1496" i="2"/>
  <c r="N1485" i="2"/>
  <c r="N1469" i="2"/>
  <c r="N1448" i="2"/>
  <c r="N1432" i="2"/>
  <c r="N1416" i="2"/>
  <c r="N1379" i="2"/>
  <c r="N1495" i="2"/>
  <c r="N1479" i="2"/>
  <c r="N1463" i="2"/>
  <c r="N1447" i="2"/>
  <c r="N1437" i="2"/>
  <c r="N1421" i="2"/>
  <c r="N1415" i="2"/>
  <c r="N1405" i="2"/>
  <c r="N1383" i="2"/>
  <c r="N550" i="2"/>
  <c r="N545" i="2"/>
  <c r="N534" i="2"/>
  <c r="N529" i="2"/>
  <c r="N502" i="2"/>
  <c r="N486" i="2"/>
  <c r="N481" i="2"/>
  <c r="N470" i="2"/>
  <c r="N454" i="2"/>
  <c r="N444" i="2"/>
  <c r="N422" i="2"/>
  <c r="N406" i="2"/>
  <c r="N390" i="2"/>
  <c r="N374" i="2"/>
  <c r="N358" i="2"/>
  <c r="N353" i="2"/>
  <c r="N342" i="2"/>
  <c r="N262" i="2"/>
  <c r="N257" i="2"/>
  <c r="N220" i="2"/>
  <c r="N214" i="2"/>
  <c r="N198" i="2"/>
  <c r="N182" i="2"/>
  <c r="N172" i="2"/>
  <c r="N166" i="2"/>
  <c r="N150" i="2"/>
  <c r="N134" i="2"/>
  <c r="N118" i="2"/>
  <c r="N102" i="2"/>
  <c r="N70" i="2"/>
  <c r="N38" i="2"/>
  <c r="N22" i="2"/>
  <c r="N610" i="2"/>
  <c r="N605" i="2"/>
  <c r="N676" i="2"/>
  <c r="N644" i="2"/>
  <c r="N628" i="2"/>
  <c r="N618" i="2"/>
  <c r="N731" i="2"/>
  <c r="N694" i="2"/>
  <c r="N1237" i="2"/>
  <c r="N1215" i="2"/>
  <c r="N1178" i="2"/>
  <c r="N1167" i="2"/>
  <c r="N1157" i="2"/>
  <c r="N1151" i="2"/>
  <c r="N1135" i="2"/>
  <c r="N1119" i="2"/>
  <c r="N1098" i="2"/>
  <c r="N1087" i="2"/>
  <c r="N1066" i="2"/>
  <c r="N1055" i="2"/>
  <c r="N1045" i="2"/>
  <c r="N1029" i="2"/>
  <c r="N991" i="2"/>
  <c r="N959" i="2"/>
  <c r="N943" i="2"/>
  <c r="N927" i="2"/>
  <c r="N895" i="2"/>
  <c r="N858" i="2"/>
  <c r="N799" i="2"/>
  <c r="N1355" i="2"/>
  <c r="N1307" i="2"/>
  <c r="N1291" i="2"/>
  <c r="N1275" i="2"/>
  <c r="N1270" i="2"/>
  <c r="N1259" i="2"/>
  <c r="N1500" i="2"/>
  <c r="N1399" i="2"/>
  <c r="N1388" i="2"/>
  <c r="N1494" i="2"/>
  <c r="N1489" i="2"/>
  <c r="N1478" i="2"/>
  <c r="N1468" i="2"/>
  <c r="N1457" i="2"/>
  <c r="N1441" i="2"/>
  <c r="N1430" i="2"/>
  <c r="N1409" i="2"/>
  <c r="N1398" i="2"/>
  <c r="N1393" i="2"/>
  <c r="N1382" i="2"/>
  <c r="N1377" i="2"/>
  <c r="N1372" i="2"/>
  <c r="N421" i="2"/>
  <c r="N400" i="2"/>
  <c r="N373" i="2"/>
  <c r="N357" i="2"/>
  <c r="N341" i="2"/>
  <c r="N336" i="2"/>
  <c r="N325" i="2"/>
  <c r="N309" i="2"/>
  <c r="N277" i="2"/>
  <c r="N245" i="2"/>
  <c r="N240" i="2"/>
  <c r="N224" i="2"/>
  <c r="N213" i="2"/>
  <c r="N208" i="2"/>
  <c r="N197" i="2"/>
  <c r="N176" i="2"/>
  <c r="N165" i="2"/>
  <c r="N160" i="2"/>
  <c r="N149" i="2"/>
  <c r="N144" i="2"/>
  <c r="N133" i="2"/>
  <c r="N128" i="2"/>
  <c r="N117" i="2"/>
  <c r="N112" i="2"/>
  <c r="N101" i="2"/>
  <c r="N91" i="2"/>
  <c r="N85" i="2"/>
  <c r="N80" i="2"/>
  <c r="N64" i="2"/>
  <c r="N59" i="2"/>
  <c r="N53" i="2"/>
  <c r="N48" i="2"/>
  <c r="N21" i="2"/>
  <c r="N16" i="2"/>
  <c r="N609" i="2"/>
  <c r="N583" i="2"/>
  <c r="N577" i="2"/>
  <c r="N675" i="2"/>
  <c r="N654" i="2"/>
  <c r="N789" i="2"/>
  <c r="N778" i="2"/>
  <c r="N741" i="2"/>
  <c r="N730" i="2"/>
  <c r="N698" i="2"/>
  <c r="N1252" i="2"/>
  <c r="N1236" i="2"/>
  <c r="N1230" i="2"/>
  <c r="N1220" i="2"/>
  <c r="N1209" i="2"/>
  <c r="N1198" i="2"/>
  <c r="N1182" i="2"/>
  <c r="N1172" i="2"/>
  <c r="N1150" i="2"/>
  <c r="N1134" i="2"/>
  <c r="N1113" i="2"/>
  <c r="N1102" i="2"/>
  <c r="N1097" i="2"/>
  <c r="N1092" i="2"/>
  <c r="N1086" i="2"/>
  <c r="N1070" i="2"/>
  <c r="N1054" i="2"/>
  <c r="N1038" i="2"/>
  <c r="N1006" i="2"/>
  <c r="N996" i="2"/>
  <c r="N990" i="2"/>
  <c r="N958" i="2"/>
  <c r="N942" i="2"/>
  <c r="N932" i="2"/>
  <c r="N894" i="2"/>
  <c r="N841" i="2"/>
  <c r="N830" i="2"/>
  <c r="N820" i="2"/>
  <c r="N814" i="2"/>
  <c r="N1328" i="2"/>
  <c r="N1317" i="2"/>
  <c r="N1306" i="2"/>
  <c r="N1285" i="2"/>
  <c r="N1280" i="2"/>
  <c r="N1258" i="2"/>
  <c r="N1504" i="2"/>
  <c r="N1462" i="2"/>
  <c r="N1435" i="2"/>
  <c r="N1371" i="2"/>
  <c r="N549" i="2"/>
  <c r="N511" i="2"/>
  <c r="N495" i="2"/>
  <c r="N479" i="2"/>
  <c r="N463" i="2"/>
  <c r="N447" i="2"/>
  <c r="N415" i="2"/>
  <c r="N399" i="2"/>
  <c r="N389" i="2"/>
  <c r="N383" i="2"/>
  <c r="N367" i="2"/>
  <c r="N362" i="2"/>
  <c r="N346" i="2"/>
  <c r="N335" i="2"/>
  <c r="N303" i="2"/>
  <c r="N271" i="2"/>
  <c r="N261" i="2"/>
  <c r="N255" i="2"/>
  <c r="N229" i="2"/>
  <c r="N207" i="2"/>
  <c r="N181" i="2"/>
  <c r="N170" i="2"/>
  <c r="N69" i="2"/>
  <c r="N37" i="2"/>
  <c r="N570" i="2"/>
  <c r="N603" i="2"/>
  <c r="N598" i="2"/>
  <c r="N582" i="2"/>
  <c r="N659" i="2"/>
  <c r="N653" i="2"/>
  <c r="N643" i="2"/>
  <c r="N788" i="2"/>
  <c r="N767" i="2"/>
  <c r="N756" i="2"/>
  <c r="N746" i="2"/>
  <c r="N740" i="2"/>
  <c r="N735" i="2"/>
  <c r="N724" i="2"/>
  <c r="N708" i="2"/>
  <c r="N1235" i="2"/>
  <c r="N1224" i="2"/>
  <c r="N1214" i="2"/>
  <c r="N1208" i="2"/>
  <c r="N1192" i="2"/>
  <c r="N1187" i="2"/>
  <c r="N1144" i="2"/>
  <c r="N1139" i="2"/>
  <c r="N1118" i="2"/>
  <c r="N1096" i="2"/>
  <c r="N1080" i="2"/>
  <c r="N1043" i="2"/>
  <c r="N1016" i="2"/>
  <c r="N1000" i="2"/>
  <c r="N995" i="2"/>
  <c r="N984" i="2"/>
  <c r="N974" i="2"/>
  <c r="N963" i="2"/>
  <c r="N936" i="2"/>
  <c r="N931" i="2"/>
  <c r="N910" i="2"/>
  <c r="N904" i="2"/>
  <c r="N872" i="2"/>
  <c r="N867" i="2"/>
  <c r="N851" i="2"/>
  <c r="N835" i="2"/>
  <c r="N824" i="2"/>
  <c r="N819" i="2"/>
  <c r="N808" i="2"/>
  <c r="N1343" i="2"/>
  <c r="N1284" i="2"/>
  <c r="N1279" i="2"/>
  <c r="N1268" i="2"/>
  <c r="N1499" i="2"/>
  <c r="N1461" i="2"/>
  <c r="N1408" i="2"/>
  <c r="P1504" i="2"/>
  <c r="N1488" i="2"/>
  <c r="N1466" i="2"/>
  <c r="N1456" i="2"/>
  <c r="N1450" i="2"/>
  <c r="N1440" i="2"/>
  <c r="N1402" i="2"/>
  <c r="N1386" i="2"/>
  <c r="N1376" i="2"/>
  <c r="N1370" i="2"/>
  <c r="N1503" i="2"/>
  <c r="N1492" i="2"/>
  <c r="N1482" i="2"/>
  <c r="N1476" i="2"/>
  <c r="N1460" i="2"/>
  <c r="N1444" i="2"/>
  <c r="N1428" i="2"/>
  <c r="N1412" i="2"/>
  <c r="N1396" i="2"/>
  <c r="N1380" i="2"/>
  <c r="N1375" i="2"/>
  <c r="N1487" i="2"/>
  <c r="N1391" i="2"/>
  <c r="N1502" i="2"/>
  <c r="N1401" i="2"/>
  <c r="N1385" i="2"/>
  <c r="N1374" i="2"/>
  <c r="N1272" i="2"/>
  <c r="N1266" i="2"/>
  <c r="N1261" i="2"/>
  <c r="N1491" i="2"/>
  <c r="N1475" i="2"/>
  <c r="N1454" i="2"/>
  <c r="N1449" i="2"/>
  <c r="N1438" i="2"/>
  <c r="N1427" i="2"/>
  <c r="N1406" i="2"/>
  <c r="N1395" i="2"/>
  <c r="N1390" i="2"/>
  <c r="H1505" i="2"/>
  <c r="I1505" i="2" s="1"/>
  <c r="N1505" i="2" s="1"/>
  <c r="J1508" i="2"/>
  <c r="K1508" i="2" s="1"/>
  <c r="G1508" i="2"/>
  <c r="A1510" i="2"/>
  <c r="B1509" i="2"/>
  <c r="C1509" i="2" s="1"/>
  <c r="D1509" i="2" s="1"/>
  <c r="L1509" i="2" s="1"/>
  <c r="O1509" i="2"/>
  <c r="M1509" i="2"/>
  <c r="F1509" i="2"/>
  <c r="P1505" i="2" l="1"/>
  <c r="E1510" i="2" a="1"/>
  <c r="E1510" i="2" s="1"/>
  <c r="J1509" i="2"/>
  <c r="K1509" i="2" s="1"/>
  <c r="G1509" i="2"/>
  <c r="O1510" i="2"/>
  <c r="M1510" i="2"/>
  <c r="F1510" i="2"/>
  <c r="A1511" i="2"/>
  <c r="B1510" i="2"/>
  <c r="C1510" i="2" s="1"/>
  <c r="D1510" i="2" s="1"/>
  <c r="L1510" i="2" s="1"/>
  <c r="H1506" i="2"/>
  <c r="I1506" i="2" s="1"/>
  <c r="P1506" i="2" s="1"/>
  <c r="N1506" i="2" l="1"/>
  <c r="E1511" i="2" a="1"/>
  <c r="E1511" i="2" s="1"/>
  <c r="H1507" i="2"/>
  <c r="O1511" i="2"/>
  <c r="M1511" i="2"/>
  <c r="F1511" i="2"/>
  <c r="A1512" i="2"/>
  <c r="B1511" i="2"/>
  <c r="C1511" i="2" s="1"/>
  <c r="D1511" i="2" s="1"/>
  <c r="J1510" i="2"/>
  <c r="K1510" i="2" s="1"/>
  <c r="G1510" i="2"/>
  <c r="E1512" i="2" l="1" a="1"/>
  <c r="E1512" i="2" s="1"/>
  <c r="I1507" i="2"/>
  <c r="P1507" i="2" s="1"/>
  <c r="L1511" i="2"/>
  <c r="M1512" i="2"/>
  <c r="F1512" i="2"/>
  <c r="O1512" i="2"/>
  <c r="A1513" i="2"/>
  <c r="B1512" i="2"/>
  <c r="C1512" i="2" s="1"/>
  <c r="D1512" i="2" s="1"/>
  <c r="J1511" i="2"/>
  <c r="K1511" i="2" s="1"/>
  <c r="G1511" i="2"/>
  <c r="H1508" i="2"/>
  <c r="I1508" i="2" s="1"/>
  <c r="P1508" i="2" s="1"/>
  <c r="L1512" i="2" l="1"/>
  <c r="N1508" i="2"/>
  <c r="N1507" i="2"/>
  <c r="E1513" i="2" a="1"/>
  <c r="E1513" i="2" s="1"/>
  <c r="H1509" i="2"/>
  <c r="I1509" i="2" s="1"/>
  <c r="P1509" i="2" s="1"/>
  <c r="M1513" i="2"/>
  <c r="F1513" i="2"/>
  <c r="A1514" i="2"/>
  <c r="B1513" i="2"/>
  <c r="C1513" i="2" s="1"/>
  <c r="D1513" i="2" s="1"/>
  <c r="O1513" i="2"/>
  <c r="J1512" i="2"/>
  <c r="K1512" i="2" s="1"/>
  <c r="G1512" i="2"/>
  <c r="L1513" i="2" l="1"/>
  <c r="E1514" i="2" a="1"/>
  <c r="E1514" i="2" s="1"/>
  <c r="N1509" i="2"/>
  <c r="F1514" i="2"/>
  <c r="A1515" i="2"/>
  <c r="B1514" i="2"/>
  <c r="C1514" i="2" s="1"/>
  <c r="D1514" i="2" s="1"/>
  <c r="M1514" i="2"/>
  <c r="O1514" i="2"/>
  <c r="J1513" i="2"/>
  <c r="K1513" i="2" s="1"/>
  <c r="G1513" i="2"/>
  <c r="H1510" i="2"/>
  <c r="I1510" i="2" s="1"/>
  <c r="P1510" i="2" s="1"/>
  <c r="L1514" i="2" l="1"/>
  <c r="E1515" i="2" a="1"/>
  <c r="E1515" i="2" s="1"/>
  <c r="N1510" i="2"/>
  <c r="H1511" i="2"/>
  <c r="I1511" i="2" s="1"/>
  <c r="P1511" i="2" s="1"/>
  <c r="F1515" i="2"/>
  <c r="A1516" i="2"/>
  <c r="B1515" i="2"/>
  <c r="C1515" i="2" s="1"/>
  <c r="D1515" i="2" s="1"/>
  <c r="L1515" i="2" s="1"/>
  <c r="O1515" i="2"/>
  <c r="M1515" i="2"/>
  <c r="J1514" i="2"/>
  <c r="K1514" i="2" s="1"/>
  <c r="G1514" i="2"/>
  <c r="E1516" i="2" l="1" a="1"/>
  <c r="E1516" i="2" s="1"/>
  <c r="N1511" i="2"/>
  <c r="F1516" i="2"/>
  <c r="A1517" i="2"/>
  <c r="B1516" i="2"/>
  <c r="C1516" i="2" s="1"/>
  <c r="D1516" i="2" s="1"/>
  <c r="L1516" i="2" s="1"/>
  <c r="O1516" i="2"/>
  <c r="M1516" i="2"/>
  <c r="J1515" i="2"/>
  <c r="K1515" i="2" s="1"/>
  <c r="G1515" i="2"/>
  <c r="H1512" i="2"/>
  <c r="I1512" i="2" l="1"/>
  <c r="P1512" i="2" s="1"/>
  <c r="E1517" i="2" a="1"/>
  <c r="E1517" i="2" s="1"/>
  <c r="H1513" i="2"/>
  <c r="I1513" i="2" s="1"/>
  <c r="P1513" i="2" s="1"/>
  <c r="F1517" i="2"/>
  <c r="A1518" i="2"/>
  <c r="B1517" i="2"/>
  <c r="C1517" i="2" s="1"/>
  <c r="D1517" i="2" s="1"/>
  <c r="L1517" i="2" s="1"/>
  <c r="O1517" i="2"/>
  <c r="M1517" i="2"/>
  <c r="J1516" i="2"/>
  <c r="K1516" i="2" s="1"/>
  <c r="G1516" i="2"/>
  <c r="N1513" i="2" l="1"/>
  <c r="E1518" i="2" a="1"/>
  <c r="E1518" i="2" s="1"/>
  <c r="N1512" i="2"/>
  <c r="F1518" i="2"/>
  <c r="A1519" i="2"/>
  <c r="B1518" i="2"/>
  <c r="C1518" i="2" s="1"/>
  <c r="D1518" i="2" s="1"/>
  <c r="O1518" i="2"/>
  <c r="M1518" i="2"/>
  <c r="G1517" i="2"/>
  <c r="J1517" i="2"/>
  <c r="K1517" i="2" s="1"/>
  <c r="H1514" i="2"/>
  <c r="I1514" i="2" s="1"/>
  <c r="P1514" i="2" s="1"/>
  <c r="N1514" i="2" l="1"/>
  <c r="L1518" i="2"/>
  <c r="E1519" i="2" a="1"/>
  <c r="E1519" i="2" s="1"/>
  <c r="H1515" i="2"/>
  <c r="F1519" i="2"/>
  <c r="A1520" i="2"/>
  <c r="B1519" i="2"/>
  <c r="C1519" i="2" s="1"/>
  <c r="D1519" i="2" s="1"/>
  <c r="O1519" i="2"/>
  <c r="M1519" i="2"/>
  <c r="G1518" i="2"/>
  <c r="J1518" i="2"/>
  <c r="K1518" i="2" s="1"/>
  <c r="L1519" i="2" l="1"/>
  <c r="I1515" i="2"/>
  <c r="P1515" i="2" s="1"/>
  <c r="E1520" i="2" a="1"/>
  <c r="E1520" i="2" s="1"/>
  <c r="F1520" i="2"/>
  <c r="A1521" i="2"/>
  <c r="B1520" i="2"/>
  <c r="C1520" i="2" s="1"/>
  <c r="D1520" i="2" s="1"/>
  <c r="L1520" i="2" s="1"/>
  <c r="O1520" i="2"/>
  <c r="M1520" i="2"/>
  <c r="G1519" i="2"/>
  <c r="J1519" i="2"/>
  <c r="K1519" i="2" s="1"/>
  <c r="H1516" i="2"/>
  <c r="I1516" i="2" s="1"/>
  <c r="P1516" i="2" s="1"/>
  <c r="N1515" i="2" l="1"/>
  <c r="E1521" i="2" a="1"/>
  <c r="E1521" i="2" s="1"/>
  <c r="N1516" i="2"/>
  <c r="H1517" i="2"/>
  <c r="A1522" i="2"/>
  <c r="B1521" i="2"/>
  <c r="C1521" i="2" s="1"/>
  <c r="D1521" i="2" s="1"/>
  <c r="L1521" i="2" s="1"/>
  <c r="O1521" i="2"/>
  <c r="M1521" i="2"/>
  <c r="F1521" i="2"/>
  <c r="J1520" i="2"/>
  <c r="K1520" i="2" s="1"/>
  <c r="G1520" i="2"/>
  <c r="I1517" i="2" l="1"/>
  <c r="P1517" i="2" s="1"/>
  <c r="E1522" i="2" a="1"/>
  <c r="E1522" i="2" s="1"/>
  <c r="J1521" i="2"/>
  <c r="K1521" i="2" s="1"/>
  <c r="G1521" i="2"/>
  <c r="A1523" i="2"/>
  <c r="B1522" i="2"/>
  <c r="C1522" i="2" s="1"/>
  <c r="D1522" i="2" s="1"/>
  <c r="L1522" i="2" s="1"/>
  <c r="O1522" i="2"/>
  <c r="M1522" i="2"/>
  <c r="F1522" i="2"/>
  <c r="H1518" i="2"/>
  <c r="I1518" i="2" s="1"/>
  <c r="P1518" i="2" s="1"/>
  <c r="N1517" i="2" l="1"/>
  <c r="N1518" i="2"/>
  <c r="E1523" i="2" a="1"/>
  <c r="E1523" i="2" s="1"/>
  <c r="H1519" i="2"/>
  <c r="I1519" i="2" s="1"/>
  <c r="P1519" i="2" s="1"/>
  <c r="J1522" i="2"/>
  <c r="K1522" i="2" s="1"/>
  <c r="G1522" i="2"/>
  <c r="A1524" i="2"/>
  <c r="B1523" i="2"/>
  <c r="C1523" i="2" s="1"/>
  <c r="D1523" i="2" s="1"/>
  <c r="L1523" i="2" s="1"/>
  <c r="O1523" i="2"/>
  <c r="M1523" i="2"/>
  <c r="F1523" i="2"/>
  <c r="N1519" i="2" l="1"/>
  <c r="E1524" i="2" a="1"/>
  <c r="E1524" i="2" s="1"/>
  <c r="J1523" i="2"/>
  <c r="K1523" i="2" s="1"/>
  <c r="G1523" i="2"/>
  <c r="A1525" i="2"/>
  <c r="B1524" i="2"/>
  <c r="C1524" i="2" s="1"/>
  <c r="D1524" i="2" s="1"/>
  <c r="L1524" i="2" s="1"/>
  <c r="O1524" i="2"/>
  <c r="M1524" i="2"/>
  <c r="F1524" i="2"/>
  <c r="H1520" i="2"/>
  <c r="I1520" i="2" s="1"/>
  <c r="P1520" i="2" s="1"/>
  <c r="E1525" i="2" l="1" a="1"/>
  <c r="E1525" i="2" s="1"/>
  <c r="N1520" i="2"/>
  <c r="H1521" i="2"/>
  <c r="I1521" i="2" s="1"/>
  <c r="P1521" i="2" s="1"/>
  <c r="J1524" i="2"/>
  <c r="K1524" i="2" s="1"/>
  <c r="G1524" i="2"/>
  <c r="A1526" i="2"/>
  <c r="B1525" i="2"/>
  <c r="C1525" i="2" s="1"/>
  <c r="D1525" i="2" s="1"/>
  <c r="L1525" i="2" s="1"/>
  <c r="O1525" i="2"/>
  <c r="M1525" i="2"/>
  <c r="F1525" i="2"/>
  <c r="E1526" i="2" l="1" a="1"/>
  <c r="E1526" i="2" s="1"/>
  <c r="N1521" i="2"/>
  <c r="J1525" i="2"/>
  <c r="K1525" i="2" s="1"/>
  <c r="G1525" i="2"/>
  <c r="O1526" i="2"/>
  <c r="M1526" i="2"/>
  <c r="F1526" i="2"/>
  <c r="A1527" i="2"/>
  <c r="B1526" i="2"/>
  <c r="C1526" i="2" s="1"/>
  <c r="D1526" i="2" s="1"/>
  <c r="H1522" i="2"/>
  <c r="I1522" i="2" l="1"/>
  <c r="P1522" i="2" s="1"/>
  <c r="L1526" i="2"/>
  <c r="E1527" i="2" a="1"/>
  <c r="E1527" i="2" s="1"/>
  <c r="H1523" i="2"/>
  <c r="I1523" i="2" s="1"/>
  <c r="P1523" i="2" s="1"/>
  <c r="O1527" i="2"/>
  <c r="M1527" i="2"/>
  <c r="F1527" i="2"/>
  <c r="A1528" i="2"/>
  <c r="B1527" i="2"/>
  <c r="C1527" i="2" s="1"/>
  <c r="D1527" i="2" s="1"/>
  <c r="L1527" i="2" s="1"/>
  <c r="J1526" i="2"/>
  <c r="K1526" i="2" s="1"/>
  <c r="G1526" i="2"/>
  <c r="N1523" i="2" l="1"/>
  <c r="E1528" i="2" a="1"/>
  <c r="E1528" i="2" s="1"/>
  <c r="N1522" i="2"/>
  <c r="M1528" i="2"/>
  <c r="F1528" i="2"/>
  <c r="O1528" i="2"/>
  <c r="A1529" i="2"/>
  <c r="B1528" i="2"/>
  <c r="C1528" i="2" s="1"/>
  <c r="D1528" i="2" s="1"/>
  <c r="L1528" i="2" s="1"/>
  <c r="J1527" i="2"/>
  <c r="K1527" i="2" s="1"/>
  <c r="G1527" i="2"/>
  <c r="H1524" i="2"/>
  <c r="E1529" i="2" l="1" a="1"/>
  <c r="E1529" i="2" s="1"/>
  <c r="I1524" i="2"/>
  <c r="P1524" i="2" s="1"/>
  <c r="H1525" i="2"/>
  <c r="I1525" i="2" s="1"/>
  <c r="P1525" i="2" s="1"/>
  <c r="M1529" i="2"/>
  <c r="F1529" i="2"/>
  <c r="A1530" i="2"/>
  <c r="B1529" i="2"/>
  <c r="C1529" i="2" s="1"/>
  <c r="D1529" i="2" s="1"/>
  <c r="O1529" i="2"/>
  <c r="J1528" i="2"/>
  <c r="K1528" i="2" s="1"/>
  <c r="G1528" i="2"/>
  <c r="L1529" i="2" l="1"/>
  <c r="N1525" i="2"/>
  <c r="N1524" i="2"/>
  <c r="E1530" i="2" a="1"/>
  <c r="E1530" i="2" s="1"/>
  <c r="F1530" i="2"/>
  <c r="A1531" i="2"/>
  <c r="B1530" i="2"/>
  <c r="C1530" i="2" s="1"/>
  <c r="D1530" i="2" s="1"/>
  <c r="M1530" i="2"/>
  <c r="O1530" i="2"/>
  <c r="J1529" i="2"/>
  <c r="K1529" i="2" s="1"/>
  <c r="G1529" i="2"/>
  <c r="H1526" i="2"/>
  <c r="I1526" i="2" l="1"/>
  <c r="P1526" i="2" s="1"/>
  <c r="L1530" i="2"/>
  <c r="E1531" i="2" a="1"/>
  <c r="E1531" i="2" s="1"/>
  <c r="H1527" i="2"/>
  <c r="F1531" i="2"/>
  <c r="A1532" i="2"/>
  <c r="B1531" i="2"/>
  <c r="C1531" i="2" s="1"/>
  <c r="D1531" i="2" s="1"/>
  <c r="O1531" i="2"/>
  <c r="M1531" i="2"/>
  <c r="J1530" i="2"/>
  <c r="K1530" i="2" s="1"/>
  <c r="G1530" i="2"/>
  <c r="N1526" i="2" l="1"/>
  <c r="E1532" i="2" a="1"/>
  <c r="E1532" i="2" s="1"/>
  <c r="L1531" i="2"/>
  <c r="I1527" i="2"/>
  <c r="P1527" i="2" s="1"/>
  <c r="F1532" i="2"/>
  <c r="A1533" i="2"/>
  <c r="B1532" i="2"/>
  <c r="C1532" i="2" s="1"/>
  <c r="D1532" i="2" s="1"/>
  <c r="L1532" i="2" s="1"/>
  <c r="O1532" i="2"/>
  <c r="M1532" i="2"/>
  <c r="J1531" i="2"/>
  <c r="K1531" i="2" s="1"/>
  <c r="G1531" i="2"/>
  <c r="H1528" i="2"/>
  <c r="I1528" i="2" l="1"/>
  <c r="P1528" i="2" s="1"/>
  <c r="N1527" i="2"/>
  <c r="E1533" i="2" a="1"/>
  <c r="E1533" i="2" s="1"/>
  <c r="H1529" i="2"/>
  <c r="F1533" i="2"/>
  <c r="A1534" i="2"/>
  <c r="B1533" i="2"/>
  <c r="C1533" i="2" s="1"/>
  <c r="D1533" i="2" s="1"/>
  <c r="L1533" i="2" s="1"/>
  <c r="O1533" i="2"/>
  <c r="M1533" i="2"/>
  <c r="J1532" i="2"/>
  <c r="K1532" i="2" s="1"/>
  <c r="G1532" i="2"/>
  <c r="E1534" i="2" l="1" a="1"/>
  <c r="E1534" i="2" s="1"/>
  <c r="I1529" i="2"/>
  <c r="P1529" i="2" s="1"/>
  <c r="N1528" i="2"/>
  <c r="F1534" i="2"/>
  <c r="A1535" i="2"/>
  <c r="B1534" i="2"/>
  <c r="C1534" i="2" s="1"/>
  <c r="D1534" i="2" s="1"/>
  <c r="L1534" i="2" s="1"/>
  <c r="O1534" i="2"/>
  <c r="M1534" i="2"/>
  <c r="G1533" i="2"/>
  <c r="J1533" i="2"/>
  <c r="K1533" i="2" s="1"/>
  <c r="H1530" i="2"/>
  <c r="N1529" i="2" l="1"/>
  <c r="E1535" i="2" a="1"/>
  <c r="E1535" i="2" s="1"/>
  <c r="I1530" i="2"/>
  <c r="P1530" i="2" s="1"/>
  <c r="H1531" i="2"/>
  <c r="F1535" i="2"/>
  <c r="A1536" i="2"/>
  <c r="B1535" i="2"/>
  <c r="C1535" i="2" s="1"/>
  <c r="D1535" i="2" s="1"/>
  <c r="L1535" i="2" s="1"/>
  <c r="O1535" i="2"/>
  <c r="M1535" i="2"/>
  <c r="G1534" i="2"/>
  <c r="J1534" i="2"/>
  <c r="K1534" i="2" s="1"/>
  <c r="N1530" i="2" l="1"/>
  <c r="I1531" i="2"/>
  <c r="P1531" i="2" s="1"/>
  <c r="E1536" i="2" a="1"/>
  <c r="E1536" i="2" s="1"/>
  <c r="E1537" i="2" a="1"/>
  <c r="E1537" i="2" s="1"/>
  <c r="F1536" i="2"/>
  <c r="A1537" i="2"/>
  <c r="B1536" i="2"/>
  <c r="C1536" i="2" s="1"/>
  <c r="D1536" i="2" s="1"/>
  <c r="L1536" i="2" s="1"/>
  <c r="O1536" i="2"/>
  <c r="M1536" i="2"/>
  <c r="G1535" i="2"/>
  <c r="J1535" i="2"/>
  <c r="K1535" i="2" s="1"/>
  <c r="H1532" i="2"/>
  <c r="N1531" i="2" l="1"/>
  <c r="I1532" i="2"/>
  <c r="P1532" i="2" s="1"/>
  <c r="H1533" i="2"/>
  <c r="I1533" i="2" s="1"/>
  <c r="P1533" i="2" s="1"/>
  <c r="A1538" i="2"/>
  <c r="B1537" i="2"/>
  <c r="C1537" i="2" s="1"/>
  <c r="D1537" i="2" s="1"/>
  <c r="O1537" i="2"/>
  <c r="M1537" i="2"/>
  <c r="F1537" i="2"/>
  <c r="J1536" i="2"/>
  <c r="K1536" i="2" s="1"/>
  <c r="G1536" i="2"/>
  <c r="L1537" i="2" l="1"/>
  <c r="N1533" i="2"/>
  <c r="E1538" i="2" a="1"/>
  <c r="E1538" i="2" s="1"/>
  <c r="N1532" i="2"/>
  <c r="J1537" i="2"/>
  <c r="K1537" i="2" s="1"/>
  <c r="G1537" i="2"/>
  <c r="A1539" i="2"/>
  <c r="B1538" i="2"/>
  <c r="C1538" i="2" s="1"/>
  <c r="D1538" i="2" s="1"/>
  <c r="O1538" i="2"/>
  <c r="M1538" i="2"/>
  <c r="F1538" i="2"/>
  <c r="H1534" i="2"/>
  <c r="I1534" i="2" s="1"/>
  <c r="P1534" i="2" s="1"/>
  <c r="L1538" i="2" l="1"/>
  <c r="E1539" i="2" a="1"/>
  <c r="E1539" i="2" s="1"/>
  <c r="N1534" i="2"/>
  <c r="H1535" i="2"/>
  <c r="J1538" i="2"/>
  <c r="K1538" i="2" s="1"/>
  <c r="G1538" i="2"/>
  <c r="A1540" i="2"/>
  <c r="B1539" i="2"/>
  <c r="C1539" i="2" s="1"/>
  <c r="D1539" i="2" s="1"/>
  <c r="L1539" i="2" s="1"/>
  <c r="O1539" i="2"/>
  <c r="M1539" i="2"/>
  <c r="F1539" i="2"/>
  <c r="E1540" i="2" l="1" a="1"/>
  <c r="E1540" i="2" s="1"/>
  <c r="I1535" i="2"/>
  <c r="P1535" i="2" s="1"/>
  <c r="J1539" i="2"/>
  <c r="K1539" i="2" s="1"/>
  <c r="G1539" i="2"/>
  <c r="A1541" i="2"/>
  <c r="B1540" i="2"/>
  <c r="C1540" i="2" s="1"/>
  <c r="D1540" i="2" s="1"/>
  <c r="L1540" i="2" s="1"/>
  <c r="O1540" i="2"/>
  <c r="M1540" i="2"/>
  <c r="F1540" i="2"/>
  <c r="H1536" i="2"/>
  <c r="I1536" i="2" s="1"/>
  <c r="P1536" i="2" s="1"/>
  <c r="N1535" i="2" l="1"/>
  <c r="N1536" i="2"/>
  <c r="E1541" i="2" a="1"/>
  <c r="E1541" i="2" s="1"/>
  <c r="H1537" i="2"/>
  <c r="I1537" i="2" s="1"/>
  <c r="P1537" i="2" s="1"/>
  <c r="J1540" i="2"/>
  <c r="K1540" i="2" s="1"/>
  <c r="G1540" i="2"/>
  <c r="A1542" i="2"/>
  <c r="B1541" i="2"/>
  <c r="C1541" i="2" s="1"/>
  <c r="D1541" i="2" s="1"/>
  <c r="O1541" i="2"/>
  <c r="M1541" i="2"/>
  <c r="F1541" i="2"/>
  <c r="L1541" i="2" l="1"/>
  <c r="N1537" i="2"/>
  <c r="E1542" i="2" a="1"/>
  <c r="E1542" i="2" s="1"/>
  <c r="J1541" i="2"/>
  <c r="K1541" i="2" s="1"/>
  <c r="G1541" i="2"/>
  <c r="O1542" i="2"/>
  <c r="M1542" i="2"/>
  <c r="F1542" i="2"/>
  <c r="A1543" i="2"/>
  <c r="B1542" i="2"/>
  <c r="C1542" i="2" s="1"/>
  <c r="D1542" i="2" s="1"/>
  <c r="H1538" i="2"/>
  <c r="I1538" i="2" l="1"/>
  <c r="P1538" i="2" s="1"/>
  <c r="L1542" i="2"/>
  <c r="E1543" i="2" a="1"/>
  <c r="E1543" i="2" s="1"/>
  <c r="H1539" i="2"/>
  <c r="O1543" i="2"/>
  <c r="M1543" i="2"/>
  <c r="F1543" i="2"/>
  <c r="A1544" i="2"/>
  <c r="B1543" i="2"/>
  <c r="C1543" i="2" s="1"/>
  <c r="D1543" i="2" s="1"/>
  <c r="L1543" i="2" s="1"/>
  <c r="J1542" i="2"/>
  <c r="K1542" i="2" s="1"/>
  <c r="G1542" i="2"/>
  <c r="E1544" i="2" l="1" a="1"/>
  <c r="E1544" i="2" s="1"/>
  <c r="N1538" i="2"/>
  <c r="I1539" i="2"/>
  <c r="P1539" i="2" s="1"/>
  <c r="M1544" i="2"/>
  <c r="F1544" i="2"/>
  <c r="O1544" i="2"/>
  <c r="A1545" i="2"/>
  <c r="B1544" i="2"/>
  <c r="C1544" i="2" s="1"/>
  <c r="D1544" i="2" s="1"/>
  <c r="J1543" i="2"/>
  <c r="K1543" i="2" s="1"/>
  <c r="G1543" i="2"/>
  <c r="H1540" i="2"/>
  <c r="L1544" i="2" l="1"/>
  <c r="I1540" i="2"/>
  <c r="P1540" i="2" s="1"/>
  <c r="E1545" i="2" a="1"/>
  <c r="E1545" i="2" s="1"/>
  <c r="N1539" i="2"/>
  <c r="H1541" i="2"/>
  <c r="M1545" i="2"/>
  <c r="F1545" i="2"/>
  <c r="A1546" i="2"/>
  <c r="B1545" i="2"/>
  <c r="C1545" i="2" s="1"/>
  <c r="D1545" i="2" s="1"/>
  <c r="O1545" i="2"/>
  <c r="J1544" i="2"/>
  <c r="K1544" i="2" s="1"/>
  <c r="G1544" i="2"/>
  <c r="E1546" i="2" l="1" a="1"/>
  <c r="E1546" i="2" s="1"/>
  <c r="L1545" i="2"/>
  <c r="I1541" i="2"/>
  <c r="P1541" i="2" s="1"/>
  <c r="N1540" i="2"/>
  <c r="F1546" i="2"/>
  <c r="A1547" i="2"/>
  <c r="B1546" i="2"/>
  <c r="C1546" i="2" s="1"/>
  <c r="D1546" i="2" s="1"/>
  <c r="M1546" i="2"/>
  <c r="O1546" i="2"/>
  <c r="J1545" i="2"/>
  <c r="K1545" i="2" s="1"/>
  <c r="G1545" i="2"/>
  <c r="H1542" i="2"/>
  <c r="I1542" i="2" s="1"/>
  <c r="P1542" i="2" s="1"/>
  <c r="L1546" i="2" l="1"/>
  <c r="N1541" i="2"/>
  <c r="N1542" i="2"/>
  <c r="E1547" i="2" a="1"/>
  <c r="E1547" i="2" s="1"/>
  <c r="H1543" i="2"/>
  <c r="F1547" i="2"/>
  <c r="A1548" i="2"/>
  <c r="B1547" i="2"/>
  <c r="C1547" i="2" s="1"/>
  <c r="D1547" i="2" s="1"/>
  <c r="L1547" i="2" s="1"/>
  <c r="O1547" i="2"/>
  <c r="M1547" i="2"/>
  <c r="J1546" i="2"/>
  <c r="K1546" i="2" s="1"/>
  <c r="G1546" i="2"/>
  <c r="E1548" i="2" l="1" a="1"/>
  <c r="E1548" i="2" s="1"/>
  <c r="I1543" i="2"/>
  <c r="P1543" i="2" s="1"/>
  <c r="F1548" i="2"/>
  <c r="A1549" i="2"/>
  <c r="B1548" i="2"/>
  <c r="C1548" i="2" s="1"/>
  <c r="D1548" i="2" s="1"/>
  <c r="L1548" i="2" s="1"/>
  <c r="O1548" i="2"/>
  <c r="M1548" i="2"/>
  <c r="J1547" i="2"/>
  <c r="K1547" i="2" s="1"/>
  <c r="G1547" i="2"/>
  <c r="H1544" i="2"/>
  <c r="I1544" i="2" s="1"/>
  <c r="P1544" i="2" s="1"/>
  <c r="N1544" i="2" l="1"/>
  <c r="N1543" i="2"/>
  <c r="E1549" i="2" a="1"/>
  <c r="E1549" i="2" s="1"/>
  <c r="H1545" i="2"/>
  <c r="I1545" i="2" s="1"/>
  <c r="P1545" i="2" s="1"/>
  <c r="F1549" i="2"/>
  <c r="A1550" i="2"/>
  <c r="B1549" i="2"/>
  <c r="C1549" i="2" s="1"/>
  <c r="D1549" i="2" s="1"/>
  <c r="L1549" i="2" s="1"/>
  <c r="O1549" i="2"/>
  <c r="M1549" i="2"/>
  <c r="J1548" i="2"/>
  <c r="K1548" i="2" s="1"/>
  <c r="G1548" i="2"/>
  <c r="N1545" i="2" l="1"/>
  <c r="E1550" i="2" a="1"/>
  <c r="E1550" i="2" s="1"/>
  <c r="F1550" i="2"/>
  <c r="A1551" i="2"/>
  <c r="B1550" i="2"/>
  <c r="C1550" i="2" s="1"/>
  <c r="D1550" i="2" s="1"/>
  <c r="O1550" i="2"/>
  <c r="M1550" i="2"/>
  <c r="G1549" i="2"/>
  <c r="J1549" i="2"/>
  <c r="K1549" i="2" s="1"/>
  <c r="H1546" i="2"/>
  <c r="L1550" i="2" l="1"/>
  <c r="E1551" i="2" a="1"/>
  <c r="E1551" i="2" s="1"/>
  <c r="I1546" i="2"/>
  <c r="P1546" i="2" s="1"/>
  <c r="H1547" i="2"/>
  <c r="F1551" i="2"/>
  <c r="A1552" i="2"/>
  <c r="B1551" i="2"/>
  <c r="C1551" i="2" s="1"/>
  <c r="D1551" i="2" s="1"/>
  <c r="L1551" i="2" s="1"/>
  <c r="O1551" i="2"/>
  <c r="M1551" i="2"/>
  <c r="G1550" i="2"/>
  <c r="J1550" i="2"/>
  <c r="K1550" i="2" s="1"/>
  <c r="E1552" i="2" l="1" a="1"/>
  <c r="E1552" i="2" s="1"/>
  <c r="N1546" i="2"/>
  <c r="I1547" i="2"/>
  <c r="P1547" i="2" s="1"/>
  <c r="F1552" i="2"/>
  <c r="A1553" i="2"/>
  <c r="B1552" i="2"/>
  <c r="C1552" i="2" s="1"/>
  <c r="D1552" i="2" s="1"/>
  <c r="O1552" i="2"/>
  <c r="M1552" i="2"/>
  <c r="G1551" i="2"/>
  <c r="J1551" i="2"/>
  <c r="K1551" i="2" s="1"/>
  <c r="H1548" i="2"/>
  <c r="I1548" i="2" s="1"/>
  <c r="P1548" i="2" s="1"/>
  <c r="E1553" i="2" l="1" a="1"/>
  <c r="E1553" i="2" s="1"/>
  <c r="N1548" i="2"/>
  <c r="L1552" i="2"/>
  <c r="N1547" i="2"/>
  <c r="H1549" i="2"/>
  <c r="I1549" i="2" s="1"/>
  <c r="P1549" i="2" s="1"/>
  <c r="A1554" i="2"/>
  <c r="B1553" i="2"/>
  <c r="C1553" i="2" s="1"/>
  <c r="D1553" i="2" s="1"/>
  <c r="L1553" i="2" s="1"/>
  <c r="O1553" i="2"/>
  <c r="M1553" i="2"/>
  <c r="F1553" i="2"/>
  <c r="J1552" i="2"/>
  <c r="K1552" i="2" s="1"/>
  <c r="G1552" i="2"/>
  <c r="E1554" i="2" l="1" a="1"/>
  <c r="E1554" i="2" s="1"/>
  <c r="N1549" i="2"/>
  <c r="J1553" i="2"/>
  <c r="K1553" i="2" s="1"/>
  <c r="G1553" i="2"/>
  <c r="A1555" i="2"/>
  <c r="B1554" i="2"/>
  <c r="C1554" i="2" s="1"/>
  <c r="D1554" i="2" s="1"/>
  <c r="L1554" i="2" s="1"/>
  <c r="O1554" i="2"/>
  <c r="M1554" i="2"/>
  <c r="F1554" i="2"/>
  <c r="H1550" i="2"/>
  <c r="I1550" i="2" s="1"/>
  <c r="P1550" i="2" s="1"/>
  <c r="N1550" i="2" l="1"/>
  <c r="E1555" i="2" a="1"/>
  <c r="E1555" i="2" s="1"/>
  <c r="H1551" i="2"/>
  <c r="I1551" i="2" s="1"/>
  <c r="P1551" i="2" s="1"/>
  <c r="J1554" i="2"/>
  <c r="K1554" i="2" s="1"/>
  <c r="G1554" i="2"/>
  <c r="A1556" i="2"/>
  <c r="B1555" i="2"/>
  <c r="C1555" i="2" s="1"/>
  <c r="D1555" i="2" s="1"/>
  <c r="L1555" i="2" s="1"/>
  <c r="O1555" i="2"/>
  <c r="M1555" i="2"/>
  <c r="F1555" i="2"/>
  <c r="N1551" i="2" l="1"/>
  <c r="E1556" i="2" a="1"/>
  <c r="E1556" i="2" s="1"/>
  <c r="J1555" i="2"/>
  <c r="K1555" i="2" s="1"/>
  <c r="G1555" i="2"/>
  <c r="A1557" i="2"/>
  <c r="B1556" i="2"/>
  <c r="C1556" i="2" s="1"/>
  <c r="D1556" i="2" s="1"/>
  <c r="L1556" i="2" s="1"/>
  <c r="O1556" i="2"/>
  <c r="M1556" i="2"/>
  <c r="F1556" i="2"/>
  <c r="H1552" i="2"/>
  <c r="I1552" i="2" s="1"/>
  <c r="P1552" i="2" s="1"/>
  <c r="E1557" i="2" l="1" a="1"/>
  <c r="E1557" i="2" s="1"/>
  <c r="N1552" i="2"/>
  <c r="H1553" i="2"/>
  <c r="J1556" i="2"/>
  <c r="K1556" i="2" s="1"/>
  <c r="G1556" i="2"/>
  <c r="A1558" i="2"/>
  <c r="B1557" i="2"/>
  <c r="C1557" i="2" s="1"/>
  <c r="D1557" i="2" s="1"/>
  <c r="L1557" i="2" s="1"/>
  <c r="O1557" i="2"/>
  <c r="M1557" i="2"/>
  <c r="F1557" i="2"/>
  <c r="E1558" i="2" l="1" a="1"/>
  <c r="E1558" i="2" s="1"/>
  <c r="I1553" i="2"/>
  <c r="P1553" i="2" s="1"/>
  <c r="J1557" i="2"/>
  <c r="K1557" i="2" s="1"/>
  <c r="G1557" i="2"/>
  <c r="O1558" i="2"/>
  <c r="M1558" i="2"/>
  <c r="F1558" i="2"/>
  <c r="A1559" i="2"/>
  <c r="B1558" i="2"/>
  <c r="C1558" i="2" s="1"/>
  <c r="D1558" i="2" s="1"/>
  <c r="H1554" i="2"/>
  <c r="I1554" i="2" s="1"/>
  <c r="P1554" i="2" s="1"/>
  <c r="L1558" i="2" l="1"/>
  <c r="N1553" i="2"/>
  <c r="N1554" i="2"/>
  <c r="E1559" i="2" a="1"/>
  <c r="E1559" i="2" s="1"/>
  <c r="H1555" i="2"/>
  <c r="I1555" i="2" s="1"/>
  <c r="P1555" i="2" s="1"/>
  <c r="O1559" i="2"/>
  <c r="M1559" i="2"/>
  <c r="F1559" i="2"/>
  <c r="A1560" i="2"/>
  <c r="B1559" i="2"/>
  <c r="C1559" i="2" s="1"/>
  <c r="D1559" i="2" s="1"/>
  <c r="J1558" i="2"/>
  <c r="K1558" i="2" s="1"/>
  <c r="G1558" i="2"/>
  <c r="E1560" i="2" l="1" a="1"/>
  <c r="E1560" i="2" s="1"/>
  <c r="L1559" i="2"/>
  <c r="N1555" i="2"/>
  <c r="M1560" i="2"/>
  <c r="F1560" i="2"/>
  <c r="O1560" i="2"/>
  <c r="A1561" i="2"/>
  <c r="B1560" i="2"/>
  <c r="C1560" i="2" s="1"/>
  <c r="D1560" i="2" s="1"/>
  <c r="J1559" i="2"/>
  <c r="K1559" i="2" s="1"/>
  <c r="G1559" i="2"/>
  <c r="H1556" i="2"/>
  <c r="I1556" i="2" s="1"/>
  <c r="P1556" i="2" s="1"/>
  <c r="L1560" i="2" l="1"/>
  <c r="N1556" i="2"/>
  <c r="E1561" i="2" a="1"/>
  <c r="E1561" i="2" s="1"/>
  <c r="H1557" i="2"/>
  <c r="M1561" i="2"/>
  <c r="F1561" i="2"/>
  <c r="A1562" i="2"/>
  <c r="B1561" i="2"/>
  <c r="C1561" i="2" s="1"/>
  <c r="D1561" i="2" s="1"/>
  <c r="O1561" i="2"/>
  <c r="J1560" i="2"/>
  <c r="K1560" i="2" s="1"/>
  <c r="G1560" i="2"/>
  <c r="L1561" i="2" l="1"/>
  <c r="E1562" i="2" a="1"/>
  <c r="E1562" i="2" s="1"/>
  <c r="I1557" i="2"/>
  <c r="P1557" i="2" s="1"/>
  <c r="F1562" i="2"/>
  <c r="A1563" i="2"/>
  <c r="B1562" i="2"/>
  <c r="C1562" i="2" s="1"/>
  <c r="D1562" i="2" s="1"/>
  <c r="L1562" i="2" s="1"/>
  <c r="M1562" i="2"/>
  <c r="O1562" i="2"/>
  <c r="J1561" i="2"/>
  <c r="K1561" i="2" s="1"/>
  <c r="G1561" i="2"/>
  <c r="H1558" i="2"/>
  <c r="I1558" i="2" l="1"/>
  <c r="P1558" i="2" s="1"/>
  <c r="N1557" i="2"/>
  <c r="E1563" i="2" a="1"/>
  <c r="E1563" i="2" s="1"/>
  <c r="H1559" i="2"/>
  <c r="F1563" i="2"/>
  <c r="A1564" i="2"/>
  <c r="B1563" i="2"/>
  <c r="C1563" i="2" s="1"/>
  <c r="D1563" i="2" s="1"/>
  <c r="L1563" i="2" s="1"/>
  <c r="O1563" i="2"/>
  <c r="M1563" i="2"/>
  <c r="J1562" i="2"/>
  <c r="K1562" i="2" s="1"/>
  <c r="G1562" i="2"/>
  <c r="E1564" i="2" l="1" a="1"/>
  <c r="E1564" i="2" s="1"/>
  <c r="I1559" i="2"/>
  <c r="P1559" i="2" s="1"/>
  <c r="N1558" i="2"/>
  <c r="F1564" i="2"/>
  <c r="A1565" i="2"/>
  <c r="B1564" i="2"/>
  <c r="C1564" i="2" s="1"/>
  <c r="D1564" i="2" s="1"/>
  <c r="L1564" i="2" s="1"/>
  <c r="O1564" i="2"/>
  <c r="M1564" i="2"/>
  <c r="J1563" i="2"/>
  <c r="K1563" i="2" s="1"/>
  <c r="G1563" i="2"/>
  <c r="H1560" i="2"/>
  <c r="N1559" i="2" l="1"/>
  <c r="E1565" i="2" a="1"/>
  <c r="E1565" i="2" s="1"/>
  <c r="I1560" i="2"/>
  <c r="P1560" i="2" s="1"/>
  <c r="E1566" i="2" a="1"/>
  <c r="E1566" i="2" s="1"/>
  <c r="H1561" i="2"/>
  <c r="I1561" i="2" s="1"/>
  <c r="P1561" i="2" s="1"/>
  <c r="F1565" i="2"/>
  <c r="A1566" i="2"/>
  <c r="B1565" i="2"/>
  <c r="C1565" i="2" s="1"/>
  <c r="D1565" i="2" s="1"/>
  <c r="L1565" i="2" s="1"/>
  <c r="O1565" i="2"/>
  <c r="M1565" i="2"/>
  <c r="J1564" i="2"/>
  <c r="K1564" i="2" s="1"/>
  <c r="G1564" i="2"/>
  <c r="N1561" i="2" l="1"/>
  <c r="N1560" i="2"/>
  <c r="F1566" i="2"/>
  <c r="A1567" i="2"/>
  <c r="B1566" i="2"/>
  <c r="C1566" i="2" s="1"/>
  <c r="D1566" i="2" s="1"/>
  <c r="O1566" i="2"/>
  <c r="M1566" i="2"/>
  <c r="G1565" i="2"/>
  <c r="J1565" i="2"/>
  <c r="K1565" i="2" s="1"/>
  <c r="H1562" i="2"/>
  <c r="I1562" i="2" s="1"/>
  <c r="P1562" i="2" s="1"/>
  <c r="E1567" i="2" l="1" a="1"/>
  <c r="E1567" i="2" s="1"/>
  <c r="L1566" i="2"/>
  <c r="N1562" i="2"/>
  <c r="H1563" i="2"/>
  <c r="I1563" i="2" s="1"/>
  <c r="P1563" i="2" s="1"/>
  <c r="F1567" i="2"/>
  <c r="A1568" i="2"/>
  <c r="B1567" i="2"/>
  <c r="C1567" i="2" s="1"/>
  <c r="D1567" i="2" s="1"/>
  <c r="L1567" i="2" s="1"/>
  <c r="O1567" i="2"/>
  <c r="M1567" i="2"/>
  <c r="G1566" i="2"/>
  <c r="J1566" i="2"/>
  <c r="K1566" i="2" s="1"/>
  <c r="N1563" i="2" l="1"/>
  <c r="E1568" i="2" a="1"/>
  <c r="E1568" i="2" s="1"/>
  <c r="F1568" i="2"/>
  <c r="A1569" i="2"/>
  <c r="B1568" i="2"/>
  <c r="C1568" i="2" s="1"/>
  <c r="D1568" i="2" s="1"/>
  <c r="L1568" i="2" s="1"/>
  <c r="O1568" i="2"/>
  <c r="M1568" i="2"/>
  <c r="G1567" i="2"/>
  <c r="J1567" i="2"/>
  <c r="K1567" i="2" s="1"/>
  <c r="H1564" i="2"/>
  <c r="I1564" i="2" l="1"/>
  <c r="P1564" i="2" s="1"/>
  <c r="E1569" i="2" a="1"/>
  <c r="E1569" i="2" s="1"/>
  <c r="H1565" i="2"/>
  <c r="A1570" i="2"/>
  <c r="B1569" i="2"/>
  <c r="C1569" i="2" s="1"/>
  <c r="D1569" i="2" s="1"/>
  <c r="L1569" i="2" s="1"/>
  <c r="O1569" i="2"/>
  <c r="M1569" i="2"/>
  <c r="F1569" i="2"/>
  <c r="J1568" i="2"/>
  <c r="K1568" i="2" s="1"/>
  <c r="G1568" i="2"/>
  <c r="E1570" i="2" l="1" a="1"/>
  <c r="E1570" i="2" s="1"/>
  <c r="N1564" i="2"/>
  <c r="I1565" i="2"/>
  <c r="P1565" i="2" s="1"/>
  <c r="J1569" i="2"/>
  <c r="K1569" i="2" s="1"/>
  <c r="G1569" i="2"/>
  <c r="A1571" i="2"/>
  <c r="B1570" i="2"/>
  <c r="C1570" i="2" s="1"/>
  <c r="D1570" i="2" s="1"/>
  <c r="L1570" i="2" s="1"/>
  <c r="O1570" i="2"/>
  <c r="M1570" i="2"/>
  <c r="F1570" i="2"/>
  <c r="H1566" i="2"/>
  <c r="I1566" i="2" s="1"/>
  <c r="P1566" i="2" s="1"/>
  <c r="N1565" i="2" l="1"/>
  <c r="N1566" i="2"/>
  <c r="E1571" i="2" a="1"/>
  <c r="E1571" i="2" s="1"/>
  <c r="H1567" i="2"/>
  <c r="J1570" i="2"/>
  <c r="K1570" i="2" s="1"/>
  <c r="G1570" i="2"/>
  <c r="A1572" i="2"/>
  <c r="B1571" i="2"/>
  <c r="C1571" i="2" s="1"/>
  <c r="D1571" i="2" s="1"/>
  <c r="O1571" i="2"/>
  <c r="M1571" i="2"/>
  <c r="F1571" i="2"/>
  <c r="I1567" i="2" l="1"/>
  <c r="P1567" i="2" s="1"/>
  <c r="E1572" i="2" a="1"/>
  <c r="E1572" i="2" s="1"/>
  <c r="L1571" i="2"/>
  <c r="J1571" i="2"/>
  <c r="K1571" i="2" s="1"/>
  <c r="G1571" i="2"/>
  <c r="A1573" i="2"/>
  <c r="B1572" i="2"/>
  <c r="C1572" i="2" s="1"/>
  <c r="D1572" i="2" s="1"/>
  <c r="L1572" i="2" s="1"/>
  <c r="O1572" i="2"/>
  <c r="M1572" i="2"/>
  <c r="F1572" i="2"/>
  <c r="H1568" i="2"/>
  <c r="I1568" i="2" s="1"/>
  <c r="P1568" i="2" s="1"/>
  <c r="N1568" i="2" l="1"/>
  <c r="N1567" i="2"/>
  <c r="E1573" i="2" a="1"/>
  <c r="E1573" i="2" s="1"/>
  <c r="H1569" i="2"/>
  <c r="J1572" i="2"/>
  <c r="K1572" i="2" s="1"/>
  <c r="G1572" i="2"/>
  <c r="A1574" i="2"/>
  <c r="B1573" i="2"/>
  <c r="C1573" i="2" s="1"/>
  <c r="D1573" i="2" s="1"/>
  <c r="L1573" i="2" s="1"/>
  <c r="O1573" i="2"/>
  <c r="M1573" i="2"/>
  <c r="F1573" i="2"/>
  <c r="E1574" i="2" l="1" a="1"/>
  <c r="E1574" i="2" s="1"/>
  <c r="I1569" i="2"/>
  <c r="P1569" i="2" s="1"/>
  <c r="J1573" i="2"/>
  <c r="K1573" i="2" s="1"/>
  <c r="G1573" i="2"/>
  <c r="O1574" i="2"/>
  <c r="M1574" i="2"/>
  <c r="F1574" i="2"/>
  <c r="A1575" i="2"/>
  <c r="B1574" i="2"/>
  <c r="C1574" i="2" s="1"/>
  <c r="D1574" i="2" s="1"/>
  <c r="L1574" i="2" s="1"/>
  <c r="H1570" i="2"/>
  <c r="I1570" i="2" s="1"/>
  <c r="P1570" i="2" s="1"/>
  <c r="E1575" i="2" l="1" a="1"/>
  <c r="E1575" i="2" s="1"/>
  <c r="N1570" i="2"/>
  <c r="N1569" i="2"/>
  <c r="H1571" i="2"/>
  <c r="I1571" i="2" s="1"/>
  <c r="P1571" i="2" s="1"/>
  <c r="O1575" i="2"/>
  <c r="M1575" i="2"/>
  <c r="F1575" i="2"/>
  <c r="A1576" i="2"/>
  <c r="B1575" i="2"/>
  <c r="C1575" i="2" s="1"/>
  <c r="D1575" i="2" s="1"/>
  <c r="J1574" i="2"/>
  <c r="K1574" i="2" s="1"/>
  <c r="G1574" i="2"/>
  <c r="N1571" i="2" l="1"/>
  <c r="L1575" i="2"/>
  <c r="E1576" i="2" a="1"/>
  <c r="E1576" i="2" s="1"/>
  <c r="M1576" i="2"/>
  <c r="F1576" i="2"/>
  <c r="O1576" i="2"/>
  <c r="A1577" i="2"/>
  <c r="B1576" i="2"/>
  <c r="C1576" i="2" s="1"/>
  <c r="D1576" i="2" s="1"/>
  <c r="L1576" i="2" s="1"/>
  <c r="J1575" i="2"/>
  <c r="K1575" i="2" s="1"/>
  <c r="G1575" i="2"/>
  <c r="H1572" i="2"/>
  <c r="I1572" i="2" s="1"/>
  <c r="P1572" i="2" s="1"/>
  <c r="N1572" i="2" l="1"/>
  <c r="E1577" i="2" a="1"/>
  <c r="E1577" i="2" s="1"/>
  <c r="H1573" i="2"/>
  <c r="M1577" i="2"/>
  <c r="F1577" i="2"/>
  <c r="A1578" i="2"/>
  <c r="B1577" i="2"/>
  <c r="C1577" i="2" s="1"/>
  <c r="D1577" i="2" s="1"/>
  <c r="O1577" i="2"/>
  <c r="J1576" i="2"/>
  <c r="K1576" i="2" s="1"/>
  <c r="G1576" i="2"/>
  <c r="E1578" i="2" l="1" a="1"/>
  <c r="E1578" i="2" s="1"/>
  <c r="L1577" i="2"/>
  <c r="I1573" i="2"/>
  <c r="P1573" i="2" s="1"/>
  <c r="F1578" i="2"/>
  <c r="A1579" i="2"/>
  <c r="B1578" i="2"/>
  <c r="C1578" i="2" s="1"/>
  <c r="D1578" i="2" s="1"/>
  <c r="M1578" i="2"/>
  <c r="O1578" i="2"/>
  <c r="J1577" i="2"/>
  <c r="K1577" i="2" s="1"/>
  <c r="G1577" i="2"/>
  <c r="H1574" i="2"/>
  <c r="E1579" i="2" l="1" a="1"/>
  <c r="E1579" i="2" s="1"/>
  <c r="L1578" i="2"/>
  <c r="I1574" i="2"/>
  <c r="P1574" i="2" s="1"/>
  <c r="N1573" i="2"/>
  <c r="H1575" i="2"/>
  <c r="F1579" i="2"/>
  <c r="A1580" i="2"/>
  <c r="B1579" i="2"/>
  <c r="C1579" i="2" s="1"/>
  <c r="D1579" i="2" s="1"/>
  <c r="O1579" i="2"/>
  <c r="M1579" i="2"/>
  <c r="J1578" i="2"/>
  <c r="K1578" i="2" s="1"/>
  <c r="G1578" i="2"/>
  <c r="I1575" i="2" l="1"/>
  <c r="P1575" i="2" s="1"/>
  <c r="N1574" i="2"/>
  <c r="L1579" i="2"/>
  <c r="E1580" i="2" a="1"/>
  <c r="E1580" i="2" s="1"/>
  <c r="F1580" i="2"/>
  <c r="A1581" i="2"/>
  <c r="B1580" i="2"/>
  <c r="C1580" i="2" s="1"/>
  <c r="D1580" i="2" s="1"/>
  <c r="O1580" i="2"/>
  <c r="M1580" i="2"/>
  <c r="J1579" i="2"/>
  <c r="K1579" i="2" s="1"/>
  <c r="G1579" i="2"/>
  <c r="H1576" i="2"/>
  <c r="N1575" i="2" l="1"/>
  <c r="I1576" i="2"/>
  <c r="P1576" i="2" s="1"/>
  <c r="L1580" i="2"/>
  <c r="E1581" i="2" a="1"/>
  <c r="E1581" i="2" s="1"/>
  <c r="H1577" i="2"/>
  <c r="F1581" i="2"/>
  <c r="A1582" i="2"/>
  <c r="B1581" i="2"/>
  <c r="C1581" i="2" s="1"/>
  <c r="D1581" i="2" s="1"/>
  <c r="L1581" i="2" s="1"/>
  <c r="O1581" i="2"/>
  <c r="M1581" i="2"/>
  <c r="J1580" i="2"/>
  <c r="K1580" i="2" s="1"/>
  <c r="G1580" i="2"/>
  <c r="N1576" i="2" l="1"/>
  <c r="I1577" i="2"/>
  <c r="P1577" i="2" s="1"/>
  <c r="E1582" i="2" a="1"/>
  <c r="E1582" i="2" s="1"/>
  <c r="F1582" i="2"/>
  <c r="A1583" i="2"/>
  <c r="B1582" i="2"/>
  <c r="C1582" i="2" s="1"/>
  <c r="D1582" i="2" s="1"/>
  <c r="O1582" i="2"/>
  <c r="M1582" i="2"/>
  <c r="G1581" i="2"/>
  <c r="J1581" i="2"/>
  <c r="K1581" i="2" s="1"/>
  <c r="H1578" i="2"/>
  <c r="I1578" i="2" s="1"/>
  <c r="P1578" i="2" s="1"/>
  <c r="L1582" i="2" l="1"/>
  <c r="E1583" i="2" a="1"/>
  <c r="E1583" i="2" s="1"/>
  <c r="N1578" i="2"/>
  <c r="N1577" i="2"/>
  <c r="H1579" i="2"/>
  <c r="F1583" i="2"/>
  <c r="A1584" i="2"/>
  <c r="B1583" i="2"/>
  <c r="C1583" i="2" s="1"/>
  <c r="D1583" i="2" s="1"/>
  <c r="L1583" i="2" s="1"/>
  <c r="O1583" i="2"/>
  <c r="M1583" i="2"/>
  <c r="G1582" i="2"/>
  <c r="J1582" i="2"/>
  <c r="K1582" i="2" s="1"/>
  <c r="I1579" i="2" l="1"/>
  <c r="P1579" i="2" s="1"/>
  <c r="E1584" i="2" a="1"/>
  <c r="E1584" i="2" s="1"/>
  <c r="F1584" i="2"/>
  <c r="A1585" i="2"/>
  <c r="B1584" i="2"/>
  <c r="C1584" i="2" s="1"/>
  <c r="D1584" i="2" s="1"/>
  <c r="O1584" i="2"/>
  <c r="M1584" i="2"/>
  <c r="G1583" i="2"/>
  <c r="J1583" i="2"/>
  <c r="K1583" i="2" s="1"/>
  <c r="H1580" i="2"/>
  <c r="L1584" i="2" l="1"/>
  <c r="N1579" i="2"/>
  <c r="I1580" i="2"/>
  <c r="P1580" i="2" s="1"/>
  <c r="E1585" i="2" a="1"/>
  <c r="E1585" i="2" s="1"/>
  <c r="H1581" i="2"/>
  <c r="A1586" i="2"/>
  <c r="B1585" i="2"/>
  <c r="C1585" i="2" s="1"/>
  <c r="D1585" i="2" s="1"/>
  <c r="O1585" i="2"/>
  <c r="M1585" i="2"/>
  <c r="F1585" i="2"/>
  <c r="J1584" i="2"/>
  <c r="K1584" i="2" s="1"/>
  <c r="G1584" i="2"/>
  <c r="I1581" i="2" l="1"/>
  <c r="P1581" i="2" s="1"/>
  <c r="N1580" i="2"/>
  <c r="L1585" i="2"/>
  <c r="E1586" i="2" a="1"/>
  <c r="E1586" i="2" s="1"/>
  <c r="J1585" i="2"/>
  <c r="K1585" i="2" s="1"/>
  <c r="G1585" i="2"/>
  <c r="A1587" i="2"/>
  <c r="B1586" i="2"/>
  <c r="C1586" i="2" s="1"/>
  <c r="D1586" i="2" s="1"/>
  <c r="O1586" i="2"/>
  <c r="M1586" i="2"/>
  <c r="F1586" i="2"/>
  <c r="H1582" i="2"/>
  <c r="I1582" i="2" s="1"/>
  <c r="P1582" i="2" s="1"/>
  <c r="N1581" i="2" l="1"/>
  <c r="E1587" i="2" a="1"/>
  <c r="E1587" i="2" s="1"/>
  <c r="N1582" i="2"/>
  <c r="L1586" i="2"/>
  <c r="H1583" i="2"/>
  <c r="I1583" i="2" s="1"/>
  <c r="P1583" i="2" s="1"/>
  <c r="J1586" i="2"/>
  <c r="K1586" i="2" s="1"/>
  <c r="G1586" i="2"/>
  <c r="A1588" i="2"/>
  <c r="B1587" i="2"/>
  <c r="C1587" i="2" s="1"/>
  <c r="D1587" i="2" s="1"/>
  <c r="O1587" i="2"/>
  <c r="M1587" i="2"/>
  <c r="F1587" i="2"/>
  <c r="E1588" i="2" l="1" a="1"/>
  <c r="E1588" i="2" s="1"/>
  <c r="L1587" i="2"/>
  <c r="N1583" i="2"/>
  <c r="J1587" i="2"/>
  <c r="K1587" i="2" s="1"/>
  <c r="G1587" i="2"/>
  <c r="A1589" i="2"/>
  <c r="B1588" i="2"/>
  <c r="C1588" i="2" s="1"/>
  <c r="D1588" i="2" s="1"/>
  <c r="L1588" i="2" s="1"/>
  <c r="O1588" i="2"/>
  <c r="M1588" i="2"/>
  <c r="F1588" i="2"/>
  <c r="H1584" i="2"/>
  <c r="I1584" i="2" s="1"/>
  <c r="P1584" i="2" s="1"/>
  <c r="E1589" i="2" l="1" a="1"/>
  <c r="E1589" i="2" s="1"/>
  <c r="N1584" i="2"/>
  <c r="H1585" i="2"/>
  <c r="J1588" i="2"/>
  <c r="K1588" i="2" s="1"/>
  <c r="G1588" i="2"/>
  <c r="A1590" i="2"/>
  <c r="B1589" i="2"/>
  <c r="C1589" i="2" s="1"/>
  <c r="D1589" i="2" s="1"/>
  <c r="L1589" i="2" s="1"/>
  <c r="O1589" i="2"/>
  <c r="M1589" i="2"/>
  <c r="F1589" i="2"/>
  <c r="I1585" i="2" l="1"/>
  <c r="P1585" i="2" s="1"/>
  <c r="E1590" i="2" a="1"/>
  <c r="E1590" i="2" s="1"/>
  <c r="J1589" i="2"/>
  <c r="K1589" i="2" s="1"/>
  <c r="G1589" i="2"/>
  <c r="O1590" i="2"/>
  <c r="M1590" i="2"/>
  <c r="F1590" i="2"/>
  <c r="A1591" i="2"/>
  <c r="B1590" i="2"/>
  <c r="C1590" i="2" s="1"/>
  <c r="D1590" i="2" s="1"/>
  <c r="H1586" i="2"/>
  <c r="L1590" i="2" l="1"/>
  <c r="N1585" i="2"/>
  <c r="E1591" i="2" a="1"/>
  <c r="E1591" i="2" s="1"/>
  <c r="I1586" i="2"/>
  <c r="P1586" i="2" s="1"/>
  <c r="H1587" i="2"/>
  <c r="I1587" i="2" s="1"/>
  <c r="P1587" i="2" s="1"/>
  <c r="O1591" i="2"/>
  <c r="M1591" i="2"/>
  <c r="F1591" i="2"/>
  <c r="A1592" i="2"/>
  <c r="B1591" i="2"/>
  <c r="C1591" i="2" s="1"/>
  <c r="D1591" i="2" s="1"/>
  <c r="L1591" i="2" s="1"/>
  <c r="J1590" i="2"/>
  <c r="K1590" i="2" s="1"/>
  <c r="G1590" i="2"/>
  <c r="N1586" i="2" l="1"/>
  <c r="E1592" i="2" a="1"/>
  <c r="E1592" i="2" s="1"/>
  <c r="N1587" i="2"/>
  <c r="M1592" i="2"/>
  <c r="F1592" i="2"/>
  <c r="O1592" i="2"/>
  <c r="B1592" i="2"/>
  <c r="C1592" i="2" s="1"/>
  <c r="D1592" i="2" s="1"/>
  <c r="L1592" i="2" s="1"/>
  <c r="A1593" i="2"/>
  <c r="J1591" i="2"/>
  <c r="K1591" i="2" s="1"/>
  <c r="G1591" i="2"/>
  <c r="H1588" i="2"/>
  <c r="I1588" i="2" s="1"/>
  <c r="P1588" i="2" s="1"/>
  <c r="E1593" i="2" l="1" a="1"/>
  <c r="E1593" i="2" s="1"/>
  <c r="N1588" i="2"/>
  <c r="H1589" i="2"/>
  <c r="M1593" i="2"/>
  <c r="F1593" i="2"/>
  <c r="A1594" i="2"/>
  <c r="B1593" i="2"/>
  <c r="C1593" i="2" s="1"/>
  <c r="D1593" i="2" s="1"/>
  <c r="L1593" i="2" s="1"/>
  <c r="O1593" i="2"/>
  <c r="J1592" i="2"/>
  <c r="K1592" i="2" s="1"/>
  <c r="G1592" i="2"/>
  <c r="I1589" i="2" l="1"/>
  <c r="P1589" i="2" s="1"/>
  <c r="E1594" i="2" a="1"/>
  <c r="E1594" i="2" s="1"/>
  <c r="F1594" i="2"/>
  <c r="A1595" i="2"/>
  <c r="B1594" i="2"/>
  <c r="C1594" i="2" s="1"/>
  <c r="D1594" i="2" s="1"/>
  <c r="M1594" i="2"/>
  <c r="O1594" i="2"/>
  <c r="J1593" i="2"/>
  <c r="K1593" i="2" s="1"/>
  <c r="G1593" i="2"/>
  <c r="H1590" i="2"/>
  <c r="L1594" i="2" l="1"/>
  <c r="N1589" i="2"/>
  <c r="I1590" i="2"/>
  <c r="P1590" i="2" s="1"/>
  <c r="E1595" i="2" a="1"/>
  <c r="E1595" i="2" s="1"/>
  <c r="H1591" i="2"/>
  <c r="I1591" i="2" s="1"/>
  <c r="P1591" i="2" s="1"/>
  <c r="F1595" i="2"/>
  <c r="A1596" i="2"/>
  <c r="B1595" i="2"/>
  <c r="C1595" i="2" s="1"/>
  <c r="D1595" i="2" s="1"/>
  <c r="L1595" i="2" s="1"/>
  <c r="O1595" i="2"/>
  <c r="M1595" i="2"/>
  <c r="J1594" i="2"/>
  <c r="K1594" i="2" s="1"/>
  <c r="G1594" i="2"/>
  <c r="E1596" i="2" l="1" a="1"/>
  <c r="E1596" i="2" s="1"/>
  <c r="N1590" i="2"/>
  <c r="N1591" i="2"/>
  <c r="F1596" i="2"/>
  <c r="A1597" i="2"/>
  <c r="B1596" i="2"/>
  <c r="C1596" i="2" s="1"/>
  <c r="D1596" i="2" s="1"/>
  <c r="O1596" i="2"/>
  <c r="M1596" i="2"/>
  <c r="J1595" i="2"/>
  <c r="K1595" i="2" s="1"/>
  <c r="G1595" i="2"/>
  <c r="H1592" i="2"/>
  <c r="L1596" i="2" l="1"/>
  <c r="E1597" i="2" a="1"/>
  <c r="E1597" i="2" s="1"/>
  <c r="I1592" i="2"/>
  <c r="P1592" i="2" s="1"/>
  <c r="H1593" i="2"/>
  <c r="I1593" i="2" s="1"/>
  <c r="P1593" i="2" s="1"/>
  <c r="F1597" i="2"/>
  <c r="A1598" i="2"/>
  <c r="B1597" i="2"/>
  <c r="C1597" i="2" s="1"/>
  <c r="D1597" i="2" s="1"/>
  <c r="O1597" i="2"/>
  <c r="M1597" i="2"/>
  <c r="J1596" i="2"/>
  <c r="K1596" i="2" s="1"/>
  <c r="G1596" i="2"/>
  <c r="N1593" i="2" l="1"/>
  <c r="L1597" i="2"/>
  <c r="N1592" i="2"/>
  <c r="E1598" i="2" a="1"/>
  <c r="E1598" i="2" s="1"/>
  <c r="F1598" i="2"/>
  <c r="A1599" i="2"/>
  <c r="B1598" i="2"/>
  <c r="C1598" i="2" s="1"/>
  <c r="D1598" i="2" s="1"/>
  <c r="O1598" i="2"/>
  <c r="M1598" i="2"/>
  <c r="G1597" i="2"/>
  <c r="J1597" i="2"/>
  <c r="K1597" i="2" s="1"/>
  <c r="H1594" i="2"/>
  <c r="I1594" i="2" s="1"/>
  <c r="P1594" i="2" s="1"/>
  <c r="L1598" i="2" l="1"/>
  <c r="E1599" i="2" a="1"/>
  <c r="E1599" i="2" s="1"/>
  <c r="N1594" i="2"/>
  <c r="H1595" i="2"/>
  <c r="I1595" i="2" s="1"/>
  <c r="P1595" i="2" s="1"/>
  <c r="F1599" i="2"/>
  <c r="A1600" i="2"/>
  <c r="B1599" i="2"/>
  <c r="C1599" i="2" s="1"/>
  <c r="D1599" i="2" s="1"/>
  <c r="O1599" i="2"/>
  <c r="M1599" i="2"/>
  <c r="G1598" i="2"/>
  <c r="J1598" i="2"/>
  <c r="K1598" i="2" s="1"/>
  <c r="L1599" i="2" l="1"/>
  <c r="N1595" i="2"/>
  <c r="E1600" i="2" a="1"/>
  <c r="E1600" i="2" s="1"/>
  <c r="F1600" i="2"/>
  <c r="B1600" i="2"/>
  <c r="C1600" i="2" s="1"/>
  <c r="D1600" i="2" s="1"/>
  <c r="L1600" i="2" s="1"/>
  <c r="A1601" i="2"/>
  <c r="O1600" i="2"/>
  <c r="M1600" i="2"/>
  <c r="G1599" i="2"/>
  <c r="J1599" i="2"/>
  <c r="K1599" i="2" s="1"/>
  <c r="H1596" i="2"/>
  <c r="E1601" i="2" l="1" a="1"/>
  <c r="E1601" i="2" s="1"/>
  <c r="I1596" i="2"/>
  <c r="P1596" i="2" s="1"/>
  <c r="H1597" i="2"/>
  <c r="F1601" i="2"/>
  <c r="B1601" i="2"/>
  <c r="C1601" i="2" s="1"/>
  <c r="D1601" i="2" s="1"/>
  <c r="L1601" i="2" s="1"/>
  <c r="A1602" i="2"/>
  <c r="O1601" i="2"/>
  <c r="M1601" i="2"/>
  <c r="G1600" i="2"/>
  <c r="J1600" i="2"/>
  <c r="K1600" i="2" s="1"/>
  <c r="E1602" i="2" l="1" a="1"/>
  <c r="E1602" i="2" s="1"/>
  <c r="N1596" i="2"/>
  <c r="I1597" i="2"/>
  <c r="P1597" i="2" s="1"/>
  <c r="F1602" i="2"/>
  <c r="B1602" i="2"/>
  <c r="C1602" i="2" s="1"/>
  <c r="D1602" i="2" s="1"/>
  <c r="L1602" i="2" s="1"/>
  <c r="A1603" i="2"/>
  <c r="O1602" i="2"/>
  <c r="M1602" i="2"/>
  <c r="J1601" i="2"/>
  <c r="K1601" i="2" s="1"/>
  <c r="G1601" i="2"/>
  <c r="H1598" i="2"/>
  <c r="I1598" i="2" s="1"/>
  <c r="P1598" i="2" s="1"/>
  <c r="N1598" i="2" l="1"/>
  <c r="N1597" i="2"/>
  <c r="E1603" i="2" a="1"/>
  <c r="E1603" i="2" s="1"/>
  <c r="H1599" i="2"/>
  <c r="F1603" i="2"/>
  <c r="M1603" i="2"/>
  <c r="B1603" i="2"/>
  <c r="C1603" i="2" s="1"/>
  <c r="D1603" i="2" s="1"/>
  <c r="A1604" i="2"/>
  <c r="O1603" i="2"/>
  <c r="G1602" i="2"/>
  <c r="J1602" i="2"/>
  <c r="K1602" i="2" s="1"/>
  <c r="I1599" i="2" l="1"/>
  <c r="P1599" i="2" s="1"/>
  <c r="L1603" i="2"/>
  <c r="E1604" i="2" a="1"/>
  <c r="E1604" i="2" s="1"/>
  <c r="O1604" i="2"/>
  <c r="M1604" i="2"/>
  <c r="F1604" i="2"/>
  <c r="B1604" i="2"/>
  <c r="C1604" i="2" s="1"/>
  <c r="D1604" i="2" s="1"/>
  <c r="L1604" i="2" s="1"/>
  <c r="A1605" i="2"/>
  <c r="J1603" i="2"/>
  <c r="K1603" i="2" s="1"/>
  <c r="G1603" i="2"/>
  <c r="H1600" i="2"/>
  <c r="I1600" i="2" s="1"/>
  <c r="P1600" i="2" s="1"/>
  <c r="N1600" i="2" l="1"/>
  <c r="N1599" i="2"/>
  <c r="E1605" i="2" a="1"/>
  <c r="E1605" i="2" s="1"/>
  <c r="H1601" i="2"/>
  <c r="I1601" i="2" s="1"/>
  <c r="P1601" i="2" s="1"/>
  <c r="F1605" i="2"/>
  <c r="A1606" i="2"/>
  <c r="O1605" i="2"/>
  <c r="M1605" i="2"/>
  <c r="B1605" i="2"/>
  <c r="C1605" i="2" s="1"/>
  <c r="D1605" i="2" s="1"/>
  <c r="G1604" i="2"/>
  <c r="J1604" i="2"/>
  <c r="K1604" i="2" s="1"/>
  <c r="E1606" i="2" l="1" a="1"/>
  <c r="E1606" i="2" s="1"/>
  <c r="L1605" i="2"/>
  <c r="N1601" i="2"/>
  <c r="A1607" i="2"/>
  <c r="B1606" i="2"/>
  <c r="C1606" i="2" s="1"/>
  <c r="D1606" i="2" s="1"/>
  <c r="O1606" i="2"/>
  <c r="M1606" i="2"/>
  <c r="F1606" i="2"/>
  <c r="J1605" i="2"/>
  <c r="K1605" i="2" s="1"/>
  <c r="G1605" i="2"/>
  <c r="H1602" i="2"/>
  <c r="E1607" i="2" l="1" a="1"/>
  <c r="E1607" i="2" s="1"/>
  <c r="L1606" i="2"/>
  <c r="I1602" i="2"/>
  <c r="P1602" i="2" s="1"/>
  <c r="H1603" i="2"/>
  <c r="I1603" i="2" s="1"/>
  <c r="P1603" i="2" s="1"/>
  <c r="J1606" i="2"/>
  <c r="K1606" i="2" s="1"/>
  <c r="G1606" i="2"/>
  <c r="A1608" i="2"/>
  <c r="B1607" i="2"/>
  <c r="C1607" i="2" s="1"/>
  <c r="D1607" i="2" s="1"/>
  <c r="L1607" i="2" s="1"/>
  <c r="F1607" i="2"/>
  <c r="O1607" i="2"/>
  <c r="M1607" i="2"/>
  <c r="N1602" i="2" l="1"/>
  <c r="N1603" i="2"/>
  <c r="E1608" i="2" a="1"/>
  <c r="E1608" i="2" s="1"/>
  <c r="J1607" i="2"/>
  <c r="K1607" i="2" s="1"/>
  <c r="G1607" i="2"/>
  <c r="O1608" i="2"/>
  <c r="A1609" i="2"/>
  <c r="B1608" i="2"/>
  <c r="C1608" i="2" s="1"/>
  <c r="D1608" i="2" s="1"/>
  <c r="L1608" i="2" s="1"/>
  <c r="F1608" i="2"/>
  <c r="M1608" i="2"/>
  <c r="H1604" i="2"/>
  <c r="I1604" i="2" s="1"/>
  <c r="P1604" i="2" s="1"/>
  <c r="N1604" i="2" l="1"/>
  <c r="E1609" i="2" a="1"/>
  <c r="E1609" i="2" s="1"/>
  <c r="H1605" i="2"/>
  <c r="I1605" i="2" s="1"/>
  <c r="P1605" i="2" s="1"/>
  <c r="J1608" i="2"/>
  <c r="K1608" i="2" s="1"/>
  <c r="G1608" i="2"/>
  <c r="O1609" i="2"/>
  <c r="A1610" i="2"/>
  <c r="M1609" i="2"/>
  <c r="F1609" i="2"/>
  <c r="B1609" i="2"/>
  <c r="C1609" i="2" s="1"/>
  <c r="D1609" i="2" s="1"/>
  <c r="E1610" i="2" l="1" a="1"/>
  <c r="E1610" i="2" s="1"/>
  <c r="L1609" i="2"/>
  <c r="N1605" i="2"/>
  <c r="J1609" i="2"/>
  <c r="K1609" i="2" s="1"/>
  <c r="G1609" i="2"/>
  <c r="M1610" i="2"/>
  <c r="A1611" i="2"/>
  <c r="B1610" i="2"/>
  <c r="C1610" i="2" s="1"/>
  <c r="D1610" i="2" s="1"/>
  <c r="O1610" i="2"/>
  <c r="F1610" i="2"/>
  <c r="H1606" i="2"/>
  <c r="I1606" i="2" s="1"/>
  <c r="P1606" i="2" s="1"/>
  <c r="L1610" i="2" l="1"/>
  <c r="E1611" i="2" a="1"/>
  <c r="E1611" i="2" s="1"/>
  <c r="N1606" i="2"/>
  <c r="H1607" i="2"/>
  <c r="I1607" i="2" s="1"/>
  <c r="P1607" i="2" s="1"/>
  <c r="J1610" i="2"/>
  <c r="K1610" i="2" s="1"/>
  <c r="G1610" i="2"/>
  <c r="M1611" i="2"/>
  <c r="F1611" i="2"/>
  <c r="B1611" i="2"/>
  <c r="C1611" i="2" s="1"/>
  <c r="D1611" i="2" s="1"/>
  <c r="L1611" i="2" s="1"/>
  <c r="A1612" i="2"/>
  <c r="O1611" i="2"/>
  <c r="E1612" i="2" l="1" a="1"/>
  <c r="E1612" i="2" s="1"/>
  <c r="N1607" i="2"/>
  <c r="A1613" i="2"/>
  <c r="B1612" i="2"/>
  <c r="C1612" i="2" s="1"/>
  <c r="D1612" i="2" s="1"/>
  <c r="L1612" i="2" s="1"/>
  <c r="O1612" i="2"/>
  <c r="M1612" i="2"/>
  <c r="F1612" i="2"/>
  <c r="J1611" i="2"/>
  <c r="K1611" i="2" s="1"/>
  <c r="G1611" i="2"/>
  <c r="H1608" i="2"/>
  <c r="I1608" i="2" s="1"/>
  <c r="P1608" i="2" s="1"/>
  <c r="N1608" i="2" l="1"/>
  <c r="E1613" i="2" a="1"/>
  <c r="E1613" i="2" s="1"/>
  <c r="H1609" i="2"/>
  <c r="J1612" i="2"/>
  <c r="K1612" i="2" s="1"/>
  <c r="G1612" i="2"/>
  <c r="A1614" i="2"/>
  <c r="B1613" i="2"/>
  <c r="C1613" i="2" s="1"/>
  <c r="D1613" i="2" s="1"/>
  <c r="L1613" i="2" s="1"/>
  <c r="M1613" i="2"/>
  <c r="F1613" i="2"/>
  <c r="O1613" i="2"/>
  <c r="E1614" i="2" l="1" a="1"/>
  <c r="E1614" i="2" s="1"/>
  <c r="I1609" i="2"/>
  <c r="P1609" i="2" s="1"/>
  <c r="J1613" i="2"/>
  <c r="K1613" i="2" s="1"/>
  <c r="G1613" i="2"/>
  <c r="A1615" i="2"/>
  <c r="B1614" i="2"/>
  <c r="C1614" i="2" s="1"/>
  <c r="D1614" i="2" s="1"/>
  <c r="L1614" i="2" s="1"/>
  <c r="O1614" i="2"/>
  <c r="M1614" i="2"/>
  <c r="F1614" i="2"/>
  <c r="H1610" i="2"/>
  <c r="E1615" i="2" l="1" a="1"/>
  <c r="E1615" i="2" s="1"/>
  <c r="I1610" i="2"/>
  <c r="P1610" i="2" s="1"/>
  <c r="N1609" i="2"/>
  <c r="H1611" i="2"/>
  <c r="I1611" i="2" s="1"/>
  <c r="P1611" i="2" s="1"/>
  <c r="J1614" i="2"/>
  <c r="K1614" i="2" s="1"/>
  <c r="G1614" i="2"/>
  <c r="O1615" i="2"/>
  <c r="A1616" i="2"/>
  <c r="M1615" i="2"/>
  <c r="F1615" i="2"/>
  <c r="B1615" i="2"/>
  <c r="C1615" i="2" s="1"/>
  <c r="D1615" i="2" s="1"/>
  <c r="L1615" i="2" s="1"/>
  <c r="N1610" i="2" l="1"/>
  <c r="N1611" i="2"/>
  <c r="E1616" i="2" a="1"/>
  <c r="E1616" i="2" s="1"/>
  <c r="J1615" i="2"/>
  <c r="K1615" i="2" s="1"/>
  <c r="G1615" i="2"/>
  <c r="A1617" i="2"/>
  <c r="B1616" i="2"/>
  <c r="C1616" i="2" s="1"/>
  <c r="D1616" i="2" s="1"/>
  <c r="L1616" i="2" s="1"/>
  <c r="O1616" i="2"/>
  <c r="M1616" i="2"/>
  <c r="F1616" i="2"/>
  <c r="H1612" i="2"/>
  <c r="I1612" i="2" s="1"/>
  <c r="P1612" i="2" s="1"/>
  <c r="N1612" i="2" l="1"/>
  <c r="E1617" i="2" a="1"/>
  <c r="E1617" i="2" s="1"/>
  <c r="H1613" i="2"/>
  <c r="G1616" i="2"/>
  <c r="J1616" i="2"/>
  <c r="K1616" i="2" s="1"/>
  <c r="F1617" i="2"/>
  <c r="A1618" i="2"/>
  <c r="B1617" i="2"/>
  <c r="C1617" i="2" s="1"/>
  <c r="D1617" i="2" s="1"/>
  <c r="L1617" i="2" s="1"/>
  <c r="M1617" i="2"/>
  <c r="O1617" i="2"/>
  <c r="I1613" i="2" l="1"/>
  <c r="P1613" i="2" s="1"/>
  <c r="E1618" i="2" a="1"/>
  <c r="E1618" i="2" s="1"/>
  <c r="O1618" i="2"/>
  <c r="M1618" i="2"/>
  <c r="F1618" i="2"/>
  <c r="B1618" i="2"/>
  <c r="C1618" i="2" s="1"/>
  <c r="D1618" i="2" s="1"/>
  <c r="A1619" i="2"/>
  <c r="J1617" i="2"/>
  <c r="K1617" i="2" s="1"/>
  <c r="G1617" i="2"/>
  <c r="H1614" i="2"/>
  <c r="I1614" i="2" s="1"/>
  <c r="P1614" i="2" s="1"/>
  <c r="N1613" i="2" l="1"/>
  <c r="N1614" i="2"/>
  <c r="L1618" i="2"/>
  <c r="E1619" i="2" a="1"/>
  <c r="E1619" i="2" s="1"/>
  <c r="H1615" i="2"/>
  <c r="I1615" i="2" s="1"/>
  <c r="P1615" i="2" s="1"/>
  <c r="O1619" i="2"/>
  <c r="F1619" i="2"/>
  <c r="A1620" i="2"/>
  <c r="M1619" i="2"/>
  <c r="B1619" i="2"/>
  <c r="C1619" i="2" s="1"/>
  <c r="D1619" i="2" s="1"/>
  <c r="G1618" i="2"/>
  <c r="J1618" i="2"/>
  <c r="K1618" i="2" s="1"/>
  <c r="E1620" i="2" l="1" a="1"/>
  <c r="E1620" i="2" s="1"/>
  <c r="L1619" i="2"/>
  <c r="N1615" i="2"/>
  <c r="A1621" i="2"/>
  <c r="B1620" i="2"/>
  <c r="C1620" i="2" s="1"/>
  <c r="D1620" i="2" s="1"/>
  <c r="L1620" i="2" s="1"/>
  <c r="M1620" i="2"/>
  <c r="O1620" i="2"/>
  <c r="F1620" i="2"/>
  <c r="J1619" i="2"/>
  <c r="K1619" i="2" s="1"/>
  <c r="G1619" i="2"/>
  <c r="H1616" i="2"/>
  <c r="I1616" i="2" s="1"/>
  <c r="P1616" i="2" s="1"/>
  <c r="E1621" i="2" l="1" a="1"/>
  <c r="E1621" i="2" s="1"/>
  <c r="N1616" i="2"/>
  <c r="H1617" i="2"/>
  <c r="I1617" i="2" s="1"/>
  <c r="P1617" i="2" s="1"/>
  <c r="J1620" i="2"/>
  <c r="K1620" i="2" s="1"/>
  <c r="G1620" i="2"/>
  <c r="M1621" i="2"/>
  <c r="F1621" i="2"/>
  <c r="A1622" i="2"/>
  <c r="O1621" i="2"/>
  <c r="B1621" i="2"/>
  <c r="C1621" i="2" s="1"/>
  <c r="D1621" i="2" s="1"/>
  <c r="L1621" i="2" s="1"/>
  <c r="E1622" i="2" l="1" a="1"/>
  <c r="E1622" i="2" s="1"/>
  <c r="N1617" i="2"/>
  <c r="A1623" i="2"/>
  <c r="B1622" i="2"/>
  <c r="C1622" i="2" s="1"/>
  <c r="D1622" i="2" s="1"/>
  <c r="O1622" i="2"/>
  <c r="M1622" i="2"/>
  <c r="F1622" i="2"/>
  <c r="J1621" i="2"/>
  <c r="K1621" i="2" s="1"/>
  <c r="G1621" i="2"/>
  <c r="H1618" i="2"/>
  <c r="I1618" i="2" l="1"/>
  <c r="P1618" i="2" s="1"/>
  <c r="E1623" i="2" a="1"/>
  <c r="E1623" i="2" s="1"/>
  <c r="L1622" i="2"/>
  <c r="H1619" i="2"/>
  <c r="I1619" i="2" s="1"/>
  <c r="P1619" i="2" s="1"/>
  <c r="G1622" i="2"/>
  <c r="J1622" i="2"/>
  <c r="K1622" i="2" s="1"/>
  <c r="F1623" i="2"/>
  <c r="A1624" i="2"/>
  <c r="B1623" i="2"/>
  <c r="C1623" i="2" s="1"/>
  <c r="D1623" i="2" s="1"/>
  <c r="L1623" i="2" s="1"/>
  <c r="O1623" i="2"/>
  <c r="M1623" i="2"/>
  <c r="N1618" i="2" l="1"/>
  <c r="N1619" i="2"/>
  <c r="E1624" i="2" a="1"/>
  <c r="E1624" i="2" s="1"/>
  <c r="O1624" i="2"/>
  <c r="M1624" i="2"/>
  <c r="F1624" i="2"/>
  <c r="A1625" i="2"/>
  <c r="B1624" i="2"/>
  <c r="C1624" i="2" s="1"/>
  <c r="D1624" i="2" s="1"/>
  <c r="L1624" i="2" s="1"/>
  <c r="J1623" i="2"/>
  <c r="K1623" i="2" s="1"/>
  <c r="G1623" i="2"/>
  <c r="H1620" i="2"/>
  <c r="I1620" i="2" s="1"/>
  <c r="P1620" i="2" s="1"/>
  <c r="E1625" i="2" l="1" a="1"/>
  <c r="E1625" i="2" s="1"/>
  <c r="N1620" i="2"/>
  <c r="H1621" i="2"/>
  <c r="F1625" i="2"/>
  <c r="O1625" i="2"/>
  <c r="A1626" i="2"/>
  <c r="M1625" i="2"/>
  <c r="B1625" i="2"/>
  <c r="C1625" i="2" s="1"/>
  <c r="D1625" i="2" s="1"/>
  <c r="J1624" i="2"/>
  <c r="K1624" i="2" s="1"/>
  <c r="G1624" i="2"/>
  <c r="E1626" i="2" l="1" a="1"/>
  <c r="E1626" i="2" s="1"/>
  <c r="I1621" i="2"/>
  <c r="P1621" i="2" s="1"/>
  <c r="L1625" i="2"/>
  <c r="M1626" i="2"/>
  <c r="A1627" i="2"/>
  <c r="B1626" i="2"/>
  <c r="C1626" i="2" s="1"/>
  <c r="D1626" i="2" s="1"/>
  <c r="L1626" i="2" s="1"/>
  <c r="O1626" i="2"/>
  <c r="F1626" i="2"/>
  <c r="J1625" i="2"/>
  <c r="K1625" i="2" s="1"/>
  <c r="G1625" i="2"/>
  <c r="H1622" i="2"/>
  <c r="I1622" i="2" s="1"/>
  <c r="P1622" i="2" s="1"/>
  <c r="N1622" i="2" l="1"/>
  <c r="E1627" i="2" a="1"/>
  <c r="E1627" i="2" s="1"/>
  <c r="N1621" i="2"/>
  <c r="H1623" i="2"/>
  <c r="I1623" i="2" s="1"/>
  <c r="P1623" i="2" s="1"/>
  <c r="G1626" i="2"/>
  <c r="J1626" i="2"/>
  <c r="K1626" i="2" s="1"/>
  <c r="F1627" i="2"/>
  <c r="A1628" i="2"/>
  <c r="B1627" i="2"/>
  <c r="C1627" i="2" s="1"/>
  <c r="D1627" i="2" s="1"/>
  <c r="M1627" i="2"/>
  <c r="O1627" i="2"/>
  <c r="E1628" i="2" l="1" a="1"/>
  <c r="E1628" i="2" s="1"/>
  <c r="L1627" i="2"/>
  <c r="N1623" i="2"/>
  <c r="F1628" i="2"/>
  <c r="A1629" i="2"/>
  <c r="B1628" i="2"/>
  <c r="C1628" i="2" s="1"/>
  <c r="D1628" i="2" s="1"/>
  <c r="L1628" i="2" s="1"/>
  <c r="O1628" i="2"/>
  <c r="M1628" i="2"/>
  <c r="J1627" i="2"/>
  <c r="K1627" i="2" s="1"/>
  <c r="G1627" i="2"/>
  <c r="H1624" i="2"/>
  <c r="I1624" i="2" l="1"/>
  <c r="P1624" i="2" s="1"/>
  <c r="E1629" i="2" a="1"/>
  <c r="E1629" i="2" s="1"/>
  <c r="H1625" i="2"/>
  <c r="I1625" i="2" s="1"/>
  <c r="P1625" i="2" s="1"/>
  <c r="A1630" i="2"/>
  <c r="B1629" i="2"/>
  <c r="C1629" i="2" s="1"/>
  <c r="D1629" i="2" s="1"/>
  <c r="O1629" i="2"/>
  <c r="F1629" i="2"/>
  <c r="M1629" i="2"/>
  <c r="J1628" i="2"/>
  <c r="K1628" i="2" s="1"/>
  <c r="G1628" i="2"/>
  <c r="N1624" i="2" l="1"/>
  <c r="L1629" i="2"/>
  <c r="E1630" i="2" a="1"/>
  <c r="E1630" i="2" s="1"/>
  <c r="N1625" i="2"/>
  <c r="J1629" i="2"/>
  <c r="K1629" i="2" s="1"/>
  <c r="G1629" i="2"/>
  <c r="A1631" i="2"/>
  <c r="B1630" i="2"/>
  <c r="C1630" i="2" s="1"/>
  <c r="D1630" i="2" s="1"/>
  <c r="O1630" i="2"/>
  <c r="M1630" i="2"/>
  <c r="F1630" i="2"/>
  <c r="H1626" i="2"/>
  <c r="I1626" i="2" s="1"/>
  <c r="P1626" i="2" s="1"/>
  <c r="N1626" i="2" l="1"/>
  <c r="L1630" i="2"/>
  <c r="E1631" i="2" a="1"/>
  <c r="E1631" i="2" s="1"/>
  <c r="H1627" i="2"/>
  <c r="G1630" i="2"/>
  <c r="J1630" i="2"/>
  <c r="K1630" i="2" s="1"/>
  <c r="F1631" i="2"/>
  <c r="O1631" i="2"/>
  <c r="M1631" i="2"/>
  <c r="A1632" i="2"/>
  <c r="B1631" i="2"/>
  <c r="C1631" i="2" s="1"/>
  <c r="D1631" i="2" s="1"/>
  <c r="I1627" i="2" l="1"/>
  <c r="P1627" i="2" s="1"/>
  <c r="E1632" i="2" a="1"/>
  <c r="E1632" i="2" s="1"/>
  <c r="L1631" i="2"/>
  <c r="A1633" i="2"/>
  <c r="B1632" i="2"/>
  <c r="C1632" i="2" s="1"/>
  <c r="D1632" i="2" s="1"/>
  <c r="O1632" i="2"/>
  <c r="M1632" i="2"/>
  <c r="F1632" i="2"/>
  <c r="J1631" i="2"/>
  <c r="K1631" i="2" s="1"/>
  <c r="G1631" i="2"/>
  <c r="H1628" i="2"/>
  <c r="E1633" i="2" l="1" a="1"/>
  <c r="E1633" i="2" s="1"/>
  <c r="I1628" i="2"/>
  <c r="P1628" i="2" s="1"/>
  <c r="N1627" i="2"/>
  <c r="L1632" i="2"/>
  <c r="H1629" i="2"/>
  <c r="I1629" i="2" s="1"/>
  <c r="P1629" i="2" s="1"/>
  <c r="G1632" i="2"/>
  <c r="J1632" i="2"/>
  <c r="K1632" i="2" s="1"/>
  <c r="F1633" i="2"/>
  <c r="A1634" i="2"/>
  <c r="B1633" i="2"/>
  <c r="C1633" i="2" s="1"/>
  <c r="D1633" i="2" s="1"/>
  <c r="L1633" i="2" s="1"/>
  <c r="M1633" i="2"/>
  <c r="O1633" i="2"/>
  <c r="E1634" i="2" l="1" a="1"/>
  <c r="E1634" i="2" s="1"/>
  <c r="N1628" i="2"/>
  <c r="N1629" i="2"/>
  <c r="A1635" i="2"/>
  <c r="B1634" i="2"/>
  <c r="C1634" i="2" s="1"/>
  <c r="D1634" i="2" s="1"/>
  <c r="O1634" i="2"/>
  <c r="M1634" i="2"/>
  <c r="F1634" i="2"/>
  <c r="J1633" i="2"/>
  <c r="K1633" i="2" s="1"/>
  <c r="G1633" i="2"/>
  <c r="H1630" i="2"/>
  <c r="I1630" i="2" s="1"/>
  <c r="P1630" i="2" s="1"/>
  <c r="N1630" i="2" l="1"/>
  <c r="L1634" i="2"/>
  <c r="E1635" i="2" a="1"/>
  <c r="E1635" i="2" s="1"/>
  <c r="H1631" i="2"/>
  <c r="I1631" i="2" s="1"/>
  <c r="P1631" i="2" s="1"/>
  <c r="J1634" i="2"/>
  <c r="K1634" i="2" s="1"/>
  <c r="G1634" i="2"/>
  <c r="O1635" i="2"/>
  <c r="F1635" i="2"/>
  <c r="A1636" i="2"/>
  <c r="M1635" i="2"/>
  <c r="B1635" i="2"/>
  <c r="C1635" i="2" s="1"/>
  <c r="D1635" i="2" s="1"/>
  <c r="L1635" i="2" s="1"/>
  <c r="E1636" i="2" l="1" a="1"/>
  <c r="E1636" i="2" s="1"/>
  <c r="N1631" i="2"/>
  <c r="A1637" i="2"/>
  <c r="B1636" i="2"/>
  <c r="C1636" i="2" s="1"/>
  <c r="D1636" i="2" s="1"/>
  <c r="L1636" i="2" s="1"/>
  <c r="O1636" i="2"/>
  <c r="M1636" i="2"/>
  <c r="F1636" i="2"/>
  <c r="J1635" i="2"/>
  <c r="K1635" i="2" s="1"/>
  <c r="G1635" i="2"/>
  <c r="H1632" i="2"/>
  <c r="I1632" i="2" s="1"/>
  <c r="P1632" i="2" s="1"/>
  <c r="N1632" i="2" l="1"/>
  <c r="E1637" i="2" a="1"/>
  <c r="E1637" i="2" s="1"/>
  <c r="H1633" i="2"/>
  <c r="J1636" i="2"/>
  <c r="K1636" i="2" s="1"/>
  <c r="G1636" i="2"/>
  <c r="A1638" i="2"/>
  <c r="B1637" i="2"/>
  <c r="C1637" i="2" s="1"/>
  <c r="D1637" i="2" s="1"/>
  <c r="L1637" i="2" s="1"/>
  <c r="M1637" i="2"/>
  <c r="F1637" i="2"/>
  <c r="O1637" i="2"/>
  <c r="E1638" i="2" l="1" a="1"/>
  <c r="E1638" i="2" s="1"/>
  <c r="I1633" i="2"/>
  <c r="P1633" i="2" s="1"/>
  <c r="J1637" i="2"/>
  <c r="K1637" i="2" s="1"/>
  <c r="G1637" i="2"/>
  <c r="A1639" i="2"/>
  <c r="B1638" i="2"/>
  <c r="C1638" i="2" s="1"/>
  <c r="D1638" i="2" s="1"/>
  <c r="O1638" i="2"/>
  <c r="M1638" i="2"/>
  <c r="F1638" i="2"/>
  <c r="H1634" i="2"/>
  <c r="I1634" i="2" l="1"/>
  <c r="P1634" i="2" s="1"/>
  <c r="L1638" i="2"/>
  <c r="N1633" i="2"/>
  <c r="E1639" i="2" a="1"/>
  <c r="E1639" i="2" s="1"/>
  <c r="H1635" i="2"/>
  <c r="I1635" i="2" s="1"/>
  <c r="P1635" i="2" s="1"/>
  <c r="G1638" i="2"/>
  <c r="J1638" i="2"/>
  <c r="K1638" i="2" s="1"/>
  <c r="O1639" i="2"/>
  <c r="F1639" i="2"/>
  <c r="A1640" i="2"/>
  <c r="B1639" i="2"/>
  <c r="C1639" i="2" s="1"/>
  <c r="D1639" i="2" s="1"/>
  <c r="M1639" i="2"/>
  <c r="L1639" i="2" l="1"/>
  <c r="N1634" i="2"/>
  <c r="N1635" i="2"/>
  <c r="E1640" i="2" a="1"/>
  <c r="E1640" i="2" s="1"/>
  <c r="O1640" i="2"/>
  <c r="M1640" i="2"/>
  <c r="F1640" i="2"/>
  <c r="A1641" i="2"/>
  <c r="B1640" i="2"/>
  <c r="C1640" i="2" s="1"/>
  <c r="D1640" i="2" s="1"/>
  <c r="L1640" i="2" s="1"/>
  <c r="J1639" i="2"/>
  <c r="K1639" i="2" s="1"/>
  <c r="G1639" i="2"/>
  <c r="H1636" i="2"/>
  <c r="I1636" i="2" s="1"/>
  <c r="P1636" i="2" s="1"/>
  <c r="E1641" i="2" l="1" a="1"/>
  <c r="E1641" i="2" s="1"/>
  <c r="N1636" i="2"/>
  <c r="H1637" i="2"/>
  <c r="M1641" i="2"/>
  <c r="F1641" i="2"/>
  <c r="O1641" i="2"/>
  <c r="A1642" i="2"/>
  <c r="B1641" i="2"/>
  <c r="C1641" i="2" s="1"/>
  <c r="D1641" i="2" s="1"/>
  <c r="J1640" i="2"/>
  <c r="K1640" i="2" s="1"/>
  <c r="G1640" i="2"/>
  <c r="E1642" i="2" l="1" a="1"/>
  <c r="E1642" i="2" s="1"/>
  <c r="L1641" i="2"/>
  <c r="I1637" i="2"/>
  <c r="P1637" i="2" s="1"/>
  <c r="M1642" i="2"/>
  <c r="A1643" i="2"/>
  <c r="B1642" i="2"/>
  <c r="C1642" i="2" s="1"/>
  <c r="D1642" i="2" s="1"/>
  <c r="O1642" i="2"/>
  <c r="F1642" i="2"/>
  <c r="J1641" i="2"/>
  <c r="K1641" i="2" s="1"/>
  <c r="G1641" i="2"/>
  <c r="H1638" i="2"/>
  <c r="E1643" i="2" l="1" a="1"/>
  <c r="E1643" i="2" s="1"/>
  <c r="I1638" i="2"/>
  <c r="P1638" i="2" s="1"/>
  <c r="L1642" i="2"/>
  <c r="N1637" i="2"/>
  <c r="H1639" i="2"/>
  <c r="I1639" i="2" s="1"/>
  <c r="P1639" i="2" s="1"/>
  <c r="G1642" i="2"/>
  <c r="J1642" i="2"/>
  <c r="K1642" i="2" s="1"/>
  <c r="F1643" i="2"/>
  <c r="A1644" i="2"/>
  <c r="B1643" i="2"/>
  <c r="C1643" i="2" s="1"/>
  <c r="D1643" i="2" s="1"/>
  <c r="L1643" i="2" s="1"/>
  <c r="M1643" i="2"/>
  <c r="O1643" i="2"/>
  <c r="N1639" i="2" l="1"/>
  <c r="E1644" i="2" a="1"/>
  <c r="E1644" i="2" s="1"/>
  <c r="N1638" i="2"/>
  <c r="F1644" i="2"/>
  <c r="A1645" i="2"/>
  <c r="B1644" i="2"/>
  <c r="C1644" i="2" s="1"/>
  <c r="D1644" i="2" s="1"/>
  <c r="L1644" i="2" s="1"/>
  <c r="O1644" i="2"/>
  <c r="M1644" i="2"/>
  <c r="J1643" i="2"/>
  <c r="K1643" i="2" s="1"/>
  <c r="G1643" i="2"/>
  <c r="H1640" i="2"/>
  <c r="I1640" i="2" s="1"/>
  <c r="P1640" i="2" s="1"/>
  <c r="E1645" i="2" l="1" a="1"/>
  <c r="E1645" i="2" s="1"/>
  <c r="N1640" i="2"/>
  <c r="H1641" i="2"/>
  <c r="I1641" i="2" s="1"/>
  <c r="P1641" i="2" s="1"/>
  <c r="F1645" i="2"/>
  <c r="A1646" i="2"/>
  <c r="B1645" i="2"/>
  <c r="C1645" i="2" s="1"/>
  <c r="D1645" i="2" s="1"/>
  <c r="L1645" i="2" s="1"/>
  <c r="O1645" i="2"/>
  <c r="M1645" i="2"/>
  <c r="J1644" i="2"/>
  <c r="K1644" i="2" s="1"/>
  <c r="G1644" i="2"/>
  <c r="N1641" i="2" l="1"/>
  <c r="E1646" i="2" a="1"/>
  <c r="E1646" i="2" s="1"/>
  <c r="A1647" i="2"/>
  <c r="B1646" i="2"/>
  <c r="C1646" i="2" s="1"/>
  <c r="D1646" i="2" s="1"/>
  <c r="L1646" i="2" s="1"/>
  <c r="O1646" i="2"/>
  <c r="M1646" i="2"/>
  <c r="F1646" i="2"/>
  <c r="J1645" i="2"/>
  <c r="K1645" i="2" s="1"/>
  <c r="G1645" i="2"/>
  <c r="H1642" i="2"/>
  <c r="E1647" i="2" l="1" a="1"/>
  <c r="E1647" i="2" s="1"/>
  <c r="I1642" i="2"/>
  <c r="P1642" i="2" s="1"/>
  <c r="H1643" i="2"/>
  <c r="I1643" i="2" s="1"/>
  <c r="P1643" i="2" s="1"/>
  <c r="G1646" i="2"/>
  <c r="J1646" i="2"/>
  <c r="K1646" i="2" s="1"/>
  <c r="F1647" i="2"/>
  <c r="A1648" i="2"/>
  <c r="B1647" i="2"/>
  <c r="C1647" i="2" s="1"/>
  <c r="D1647" i="2" s="1"/>
  <c r="L1647" i="2" s="1"/>
  <c r="O1647" i="2"/>
  <c r="M1647" i="2"/>
  <c r="N1643" i="2" l="1"/>
  <c r="E1648" i="2" a="1"/>
  <c r="E1648" i="2" s="1"/>
  <c r="N1642" i="2"/>
  <c r="F1648" i="2"/>
  <c r="A1649" i="2"/>
  <c r="B1648" i="2"/>
  <c r="C1648" i="2" s="1"/>
  <c r="D1648" i="2" s="1"/>
  <c r="L1648" i="2" s="1"/>
  <c r="O1648" i="2"/>
  <c r="M1648" i="2"/>
  <c r="G1647" i="2"/>
  <c r="J1647" i="2"/>
  <c r="K1647" i="2" s="1"/>
  <c r="H1644" i="2"/>
  <c r="I1644" i="2" s="1"/>
  <c r="P1644" i="2" s="1"/>
  <c r="E1649" i="2" l="1" a="1"/>
  <c r="E1649" i="2" s="1"/>
  <c r="N1644" i="2"/>
  <c r="H1645" i="2"/>
  <c r="I1645" i="2" s="1"/>
  <c r="P1645" i="2" s="1"/>
  <c r="F1649" i="2"/>
  <c r="A1650" i="2"/>
  <c r="B1649" i="2"/>
  <c r="C1649" i="2" s="1"/>
  <c r="D1649" i="2" s="1"/>
  <c r="O1649" i="2"/>
  <c r="M1649" i="2"/>
  <c r="G1648" i="2"/>
  <c r="J1648" i="2"/>
  <c r="K1648" i="2" s="1"/>
  <c r="L1649" i="2" l="1"/>
  <c r="E1650" i="2" a="1"/>
  <c r="E1650" i="2" s="1"/>
  <c r="N1645" i="2"/>
  <c r="A1651" i="2"/>
  <c r="B1650" i="2"/>
  <c r="C1650" i="2" s="1"/>
  <c r="D1650" i="2" s="1"/>
  <c r="L1650" i="2" s="1"/>
  <c r="O1650" i="2"/>
  <c r="M1650" i="2"/>
  <c r="F1650" i="2"/>
  <c r="J1649" i="2"/>
  <c r="K1649" i="2" s="1"/>
  <c r="G1649" i="2"/>
  <c r="H1646" i="2"/>
  <c r="E1651" i="2" l="1" a="1"/>
  <c r="E1651" i="2" s="1"/>
  <c r="I1646" i="2"/>
  <c r="P1646" i="2" s="1"/>
  <c r="H1647" i="2"/>
  <c r="I1647" i="2" s="1"/>
  <c r="P1647" i="2" s="1"/>
  <c r="J1650" i="2"/>
  <c r="K1650" i="2" s="1"/>
  <c r="G1650" i="2"/>
  <c r="A1652" i="2"/>
  <c r="B1651" i="2"/>
  <c r="C1651" i="2" s="1"/>
  <c r="D1651" i="2" s="1"/>
  <c r="L1651" i="2" s="1"/>
  <c r="O1651" i="2"/>
  <c r="M1651" i="2"/>
  <c r="F1651" i="2"/>
  <c r="N1646" i="2" l="1"/>
  <c r="N1647" i="2"/>
  <c r="E1652" i="2" a="1"/>
  <c r="E1652" i="2" s="1"/>
  <c r="J1651" i="2"/>
  <c r="K1651" i="2" s="1"/>
  <c r="G1651" i="2"/>
  <c r="A1653" i="2"/>
  <c r="B1652" i="2"/>
  <c r="C1652" i="2" s="1"/>
  <c r="D1652" i="2" s="1"/>
  <c r="L1652" i="2" s="1"/>
  <c r="O1652" i="2"/>
  <c r="M1652" i="2"/>
  <c r="F1652" i="2"/>
  <c r="H1648" i="2"/>
  <c r="I1648" i="2" s="1"/>
  <c r="P1648" i="2" s="1"/>
  <c r="N1648" i="2" l="1"/>
  <c r="E1653" i="2" a="1"/>
  <c r="E1653" i="2" s="1"/>
  <c r="H1649" i="2"/>
  <c r="I1649" i="2" s="1"/>
  <c r="P1649" i="2" s="1"/>
  <c r="J1652" i="2"/>
  <c r="K1652" i="2" s="1"/>
  <c r="G1652" i="2"/>
  <c r="A1654" i="2"/>
  <c r="B1653" i="2"/>
  <c r="C1653" i="2" s="1"/>
  <c r="D1653" i="2" s="1"/>
  <c r="L1653" i="2" s="1"/>
  <c r="O1653" i="2"/>
  <c r="M1653" i="2"/>
  <c r="F1653" i="2"/>
  <c r="E1654" i="2" l="1" a="1"/>
  <c r="E1654" i="2" s="1"/>
  <c r="N1649" i="2"/>
  <c r="J1653" i="2"/>
  <c r="K1653" i="2" s="1"/>
  <c r="G1653" i="2"/>
  <c r="A1655" i="2"/>
  <c r="B1654" i="2"/>
  <c r="C1654" i="2" s="1"/>
  <c r="D1654" i="2" s="1"/>
  <c r="L1654" i="2" s="1"/>
  <c r="O1654" i="2"/>
  <c r="M1654" i="2"/>
  <c r="F1654" i="2"/>
  <c r="H1650" i="2"/>
  <c r="I1650" i="2" l="1"/>
  <c r="P1650" i="2" s="1"/>
  <c r="E1655" i="2" a="1"/>
  <c r="E1655" i="2" s="1"/>
  <c r="H1651" i="2"/>
  <c r="J1654" i="2"/>
  <c r="K1654" i="2" s="1"/>
  <c r="G1654" i="2"/>
  <c r="O1655" i="2"/>
  <c r="M1655" i="2"/>
  <c r="F1655" i="2"/>
  <c r="A1656" i="2"/>
  <c r="B1655" i="2"/>
  <c r="C1655" i="2" s="1"/>
  <c r="D1655" i="2" s="1"/>
  <c r="L1655" i="2" s="1"/>
  <c r="I1651" i="2" l="1"/>
  <c r="P1651" i="2" s="1"/>
  <c r="E1656" i="2" a="1"/>
  <c r="E1656" i="2" s="1"/>
  <c r="N1650" i="2"/>
  <c r="E1657" i="2" a="1"/>
  <c r="E1657" i="2" s="1"/>
  <c r="O1656" i="2"/>
  <c r="M1656" i="2"/>
  <c r="F1656" i="2"/>
  <c r="A1657" i="2"/>
  <c r="B1656" i="2"/>
  <c r="C1656" i="2" s="1"/>
  <c r="D1656" i="2" s="1"/>
  <c r="L1656" i="2" s="1"/>
  <c r="J1655" i="2"/>
  <c r="K1655" i="2" s="1"/>
  <c r="G1655" i="2"/>
  <c r="H1652" i="2"/>
  <c r="I1652" i="2" s="1"/>
  <c r="P1652" i="2" s="1"/>
  <c r="N1652" i="2" l="1"/>
  <c r="N1651" i="2"/>
  <c r="H1653" i="2"/>
  <c r="M1657" i="2"/>
  <c r="F1657" i="2"/>
  <c r="O1657" i="2"/>
  <c r="A1658" i="2"/>
  <c r="B1657" i="2"/>
  <c r="C1657" i="2" s="1"/>
  <c r="D1657" i="2" s="1"/>
  <c r="J1656" i="2"/>
  <c r="K1656" i="2" s="1"/>
  <c r="G1656" i="2"/>
  <c r="E1658" i="2" l="1" a="1"/>
  <c r="E1658" i="2" s="1"/>
  <c r="L1657" i="2"/>
  <c r="I1653" i="2"/>
  <c r="P1653" i="2" s="1"/>
  <c r="M1658" i="2"/>
  <c r="F1658" i="2"/>
  <c r="A1659" i="2"/>
  <c r="B1658" i="2"/>
  <c r="C1658" i="2" s="1"/>
  <c r="D1658" i="2" s="1"/>
  <c r="O1658" i="2"/>
  <c r="J1657" i="2"/>
  <c r="K1657" i="2" s="1"/>
  <c r="G1657" i="2"/>
  <c r="H1654" i="2"/>
  <c r="N1653" i="2" l="1"/>
  <c r="L1658" i="2"/>
  <c r="E1659" i="2" a="1"/>
  <c r="E1659" i="2" s="1"/>
  <c r="I1654" i="2"/>
  <c r="P1654" i="2" s="1"/>
  <c r="H1655" i="2"/>
  <c r="I1655" i="2" s="1"/>
  <c r="P1655" i="2" s="1"/>
  <c r="F1659" i="2"/>
  <c r="A1660" i="2"/>
  <c r="B1659" i="2"/>
  <c r="C1659" i="2" s="1"/>
  <c r="D1659" i="2" s="1"/>
  <c r="M1659" i="2"/>
  <c r="O1659" i="2"/>
  <c r="J1658" i="2"/>
  <c r="K1658" i="2" s="1"/>
  <c r="G1658" i="2"/>
  <c r="L1659" i="2" l="1"/>
  <c r="N1655" i="2"/>
  <c r="N1654" i="2"/>
  <c r="E1660" i="2" a="1"/>
  <c r="E1660" i="2" s="1"/>
  <c r="F1660" i="2"/>
  <c r="A1661" i="2"/>
  <c r="B1660" i="2"/>
  <c r="C1660" i="2" s="1"/>
  <c r="D1660" i="2" s="1"/>
  <c r="L1660" i="2" s="1"/>
  <c r="O1660" i="2"/>
  <c r="M1660" i="2"/>
  <c r="J1659" i="2"/>
  <c r="K1659" i="2" s="1"/>
  <c r="G1659" i="2"/>
  <c r="H1656" i="2"/>
  <c r="E1661" i="2" l="1" a="1"/>
  <c r="E1661" i="2" s="1"/>
  <c r="I1656" i="2"/>
  <c r="P1656" i="2" s="1"/>
  <c r="H1657" i="2"/>
  <c r="F1661" i="2"/>
  <c r="A1662" i="2"/>
  <c r="B1661" i="2"/>
  <c r="C1661" i="2" s="1"/>
  <c r="D1661" i="2" s="1"/>
  <c r="L1661" i="2" s="1"/>
  <c r="O1661" i="2"/>
  <c r="M1661" i="2"/>
  <c r="J1660" i="2"/>
  <c r="K1660" i="2" s="1"/>
  <c r="G1660" i="2"/>
  <c r="E1662" i="2" l="1" a="1"/>
  <c r="E1662" i="2" s="1"/>
  <c r="I1657" i="2"/>
  <c r="P1657" i="2" s="1"/>
  <c r="N1656" i="2"/>
  <c r="F1662" i="2"/>
  <c r="A1663" i="2"/>
  <c r="B1662" i="2"/>
  <c r="C1662" i="2" s="1"/>
  <c r="D1662" i="2" s="1"/>
  <c r="O1662" i="2"/>
  <c r="M1662" i="2"/>
  <c r="J1661" i="2"/>
  <c r="K1661" i="2" s="1"/>
  <c r="G1661" i="2"/>
  <c r="H1658" i="2"/>
  <c r="I1658" i="2" s="1"/>
  <c r="P1658" i="2" s="1"/>
  <c r="N1658" i="2" l="1"/>
  <c r="N1657" i="2"/>
  <c r="L1662" i="2"/>
  <c r="E1663" i="2" a="1"/>
  <c r="E1663" i="2" s="1"/>
  <c r="H1659" i="2"/>
  <c r="I1659" i="2" s="1"/>
  <c r="P1659" i="2" s="1"/>
  <c r="F1663" i="2"/>
  <c r="A1664" i="2"/>
  <c r="B1663" i="2"/>
  <c r="C1663" i="2" s="1"/>
  <c r="D1663" i="2" s="1"/>
  <c r="L1663" i="2" s="1"/>
  <c r="O1663" i="2"/>
  <c r="M1663" i="2"/>
  <c r="G1662" i="2"/>
  <c r="J1662" i="2"/>
  <c r="K1662" i="2" s="1"/>
  <c r="N1659" i="2" l="1"/>
  <c r="E1664" i="2" a="1"/>
  <c r="E1664" i="2" s="1"/>
  <c r="F1664" i="2"/>
  <c r="A1665" i="2"/>
  <c r="B1664" i="2"/>
  <c r="C1664" i="2" s="1"/>
  <c r="D1664" i="2" s="1"/>
  <c r="O1664" i="2"/>
  <c r="M1664" i="2"/>
  <c r="G1663" i="2"/>
  <c r="J1663" i="2"/>
  <c r="K1663" i="2" s="1"/>
  <c r="H1660" i="2"/>
  <c r="L1664" i="2" l="1"/>
  <c r="E1665" i="2" a="1"/>
  <c r="E1665" i="2" s="1"/>
  <c r="I1660" i="2"/>
  <c r="P1660" i="2" s="1"/>
  <c r="H1661" i="2"/>
  <c r="I1661" i="2" s="1"/>
  <c r="P1661" i="2" s="1"/>
  <c r="F1665" i="2"/>
  <c r="A1666" i="2"/>
  <c r="B1665" i="2"/>
  <c r="C1665" i="2" s="1"/>
  <c r="D1665" i="2" s="1"/>
  <c r="L1665" i="2" s="1"/>
  <c r="O1665" i="2"/>
  <c r="M1665" i="2"/>
  <c r="G1664" i="2"/>
  <c r="J1664" i="2"/>
  <c r="K1664" i="2" s="1"/>
  <c r="E1666" i="2" l="1" a="1"/>
  <c r="E1666" i="2" s="1"/>
  <c r="N1661" i="2"/>
  <c r="N1660" i="2"/>
  <c r="A1667" i="2"/>
  <c r="B1666" i="2"/>
  <c r="C1666" i="2" s="1"/>
  <c r="D1666" i="2" s="1"/>
  <c r="L1666" i="2" s="1"/>
  <c r="O1666" i="2"/>
  <c r="M1666" i="2"/>
  <c r="F1666" i="2"/>
  <c r="J1665" i="2"/>
  <c r="K1665" i="2" s="1"/>
  <c r="G1665" i="2"/>
  <c r="H1662" i="2"/>
  <c r="E1667" i="2" l="1" a="1"/>
  <c r="E1667" i="2" s="1"/>
  <c r="I1662" i="2"/>
  <c r="P1662" i="2" s="1"/>
  <c r="H1663" i="2"/>
  <c r="I1663" i="2" s="1"/>
  <c r="P1663" i="2" s="1"/>
  <c r="J1666" i="2"/>
  <c r="K1666" i="2" s="1"/>
  <c r="G1666" i="2"/>
  <c r="A1668" i="2"/>
  <c r="B1667" i="2"/>
  <c r="C1667" i="2" s="1"/>
  <c r="D1667" i="2" s="1"/>
  <c r="L1667" i="2" s="1"/>
  <c r="O1667" i="2"/>
  <c r="M1667" i="2"/>
  <c r="F1667" i="2"/>
  <c r="E1668" i="2" l="1" a="1"/>
  <c r="E1668" i="2" s="1"/>
  <c r="N1663" i="2"/>
  <c r="N1662" i="2"/>
  <c r="J1667" i="2"/>
  <c r="K1667" i="2" s="1"/>
  <c r="G1667" i="2"/>
  <c r="A1669" i="2"/>
  <c r="B1668" i="2"/>
  <c r="C1668" i="2" s="1"/>
  <c r="D1668" i="2" s="1"/>
  <c r="O1668" i="2"/>
  <c r="M1668" i="2"/>
  <c r="F1668" i="2"/>
  <c r="H1664" i="2"/>
  <c r="I1664" i="2" s="1"/>
  <c r="P1664" i="2" s="1"/>
  <c r="E1669" i="2" l="1" a="1"/>
  <c r="E1669" i="2" s="1"/>
  <c r="N1664" i="2"/>
  <c r="L1668" i="2"/>
  <c r="H1665" i="2"/>
  <c r="I1665" i="2" s="1"/>
  <c r="P1665" i="2" s="1"/>
  <c r="J1668" i="2"/>
  <c r="K1668" i="2" s="1"/>
  <c r="G1668" i="2"/>
  <c r="A1670" i="2"/>
  <c r="B1669" i="2"/>
  <c r="C1669" i="2" s="1"/>
  <c r="D1669" i="2" s="1"/>
  <c r="L1669" i="2" s="1"/>
  <c r="O1669" i="2"/>
  <c r="M1669" i="2"/>
  <c r="F1669" i="2"/>
  <c r="E1670" i="2" l="1" a="1"/>
  <c r="E1670" i="2" s="1"/>
  <c r="N1665" i="2"/>
  <c r="J1669" i="2"/>
  <c r="K1669" i="2" s="1"/>
  <c r="G1669" i="2"/>
  <c r="A1671" i="2"/>
  <c r="B1670" i="2"/>
  <c r="C1670" i="2" s="1"/>
  <c r="D1670" i="2" s="1"/>
  <c r="L1670" i="2" s="1"/>
  <c r="O1670" i="2"/>
  <c r="M1670" i="2"/>
  <c r="F1670" i="2"/>
  <c r="H1666" i="2"/>
  <c r="I1666" i="2" s="1"/>
  <c r="P1666" i="2" s="1"/>
  <c r="E1671" i="2" l="1" a="1"/>
  <c r="E1671" i="2" s="1"/>
  <c r="N1666" i="2"/>
  <c r="H1667" i="2"/>
  <c r="I1667" i="2" s="1"/>
  <c r="P1667" i="2" s="1"/>
  <c r="J1670" i="2"/>
  <c r="K1670" i="2" s="1"/>
  <c r="G1670" i="2"/>
  <c r="O1671" i="2"/>
  <c r="M1671" i="2"/>
  <c r="F1671" i="2"/>
  <c r="A1672" i="2"/>
  <c r="B1671" i="2"/>
  <c r="C1671" i="2" s="1"/>
  <c r="D1671" i="2" s="1"/>
  <c r="L1671" i="2" s="1"/>
  <c r="E1672" i="2" l="1" a="1"/>
  <c r="E1672" i="2" s="1"/>
  <c r="N1667" i="2"/>
  <c r="O1672" i="2"/>
  <c r="M1672" i="2"/>
  <c r="F1672" i="2"/>
  <c r="A1673" i="2"/>
  <c r="B1672" i="2"/>
  <c r="C1672" i="2" s="1"/>
  <c r="D1672" i="2" s="1"/>
  <c r="L1672" i="2" s="1"/>
  <c r="J1671" i="2"/>
  <c r="K1671" i="2" s="1"/>
  <c r="G1671" i="2"/>
  <c r="H1668" i="2"/>
  <c r="I1668" i="2" l="1"/>
  <c r="P1668" i="2" s="1"/>
  <c r="E1673" i="2" a="1"/>
  <c r="E1673" i="2" s="1"/>
  <c r="H1669" i="2"/>
  <c r="I1669" i="2" s="1"/>
  <c r="P1669" i="2" s="1"/>
  <c r="M1673" i="2"/>
  <c r="F1673" i="2"/>
  <c r="O1673" i="2"/>
  <c r="B1673" i="2"/>
  <c r="C1673" i="2" s="1"/>
  <c r="D1673" i="2" s="1"/>
  <c r="A1674" i="2"/>
  <c r="J1672" i="2"/>
  <c r="K1672" i="2" s="1"/>
  <c r="G1672" i="2"/>
  <c r="E1674" i="2" l="1" a="1"/>
  <c r="E1674" i="2" s="1"/>
  <c r="L1673" i="2"/>
  <c r="N1669" i="2"/>
  <c r="N1668" i="2"/>
  <c r="M1674" i="2"/>
  <c r="F1674" i="2"/>
  <c r="A1675" i="2"/>
  <c r="B1674" i="2"/>
  <c r="C1674" i="2" s="1"/>
  <c r="D1674" i="2" s="1"/>
  <c r="O1674" i="2"/>
  <c r="J1673" i="2"/>
  <c r="K1673" i="2" s="1"/>
  <c r="G1673" i="2"/>
  <c r="H1670" i="2"/>
  <c r="I1670" i="2" s="1"/>
  <c r="P1670" i="2" s="1"/>
  <c r="N1670" i="2" l="1"/>
  <c r="E1675" i="2" a="1"/>
  <c r="E1675" i="2" s="1"/>
  <c r="L1674" i="2"/>
  <c r="H1671" i="2"/>
  <c r="F1675" i="2"/>
  <c r="A1676" i="2"/>
  <c r="B1675" i="2"/>
  <c r="C1675" i="2" s="1"/>
  <c r="D1675" i="2" s="1"/>
  <c r="M1675" i="2"/>
  <c r="O1675" i="2"/>
  <c r="J1674" i="2"/>
  <c r="K1674" i="2" s="1"/>
  <c r="G1674" i="2"/>
  <c r="I1671" i="2" l="1"/>
  <c r="P1671" i="2" s="1"/>
  <c r="E1676" i="2" a="1"/>
  <c r="E1676" i="2" s="1"/>
  <c r="L1675" i="2"/>
  <c r="F1676" i="2"/>
  <c r="A1677" i="2"/>
  <c r="B1676" i="2"/>
  <c r="C1676" i="2" s="1"/>
  <c r="D1676" i="2" s="1"/>
  <c r="O1676" i="2"/>
  <c r="M1676" i="2"/>
  <c r="J1675" i="2"/>
  <c r="K1675" i="2" s="1"/>
  <c r="G1675" i="2"/>
  <c r="H1672" i="2"/>
  <c r="I1672" i="2" s="1"/>
  <c r="P1672" i="2" s="1"/>
  <c r="N1671" i="2" l="1"/>
  <c r="N1672" i="2"/>
  <c r="E1677" i="2" a="1"/>
  <c r="E1677" i="2" s="1"/>
  <c r="L1676" i="2"/>
  <c r="H1673" i="2"/>
  <c r="F1677" i="2"/>
  <c r="A1678" i="2"/>
  <c r="B1677" i="2"/>
  <c r="C1677" i="2" s="1"/>
  <c r="D1677" i="2" s="1"/>
  <c r="L1677" i="2" s="1"/>
  <c r="O1677" i="2"/>
  <c r="M1677" i="2"/>
  <c r="J1676" i="2"/>
  <c r="K1676" i="2" s="1"/>
  <c r="G1676" i="2"/>
  <c r="E1678" i="2" l="1" a="1"/>
  <c r="E1678" i="2" s="1"/>
  <c r="I1673" i="2"/>
  <c r="P1673" i="2" s="1"/>
  <c r="F1678" i="2"/>
  <c r="A1679" i="2"/>
  <c r="B1678" i="2"/>
  <c r="C1678" i="2" s="1"/>
  <c r="D1678" i="2" s="1"/>
  <c r="L1678" i="2" s="1"/>
  <c r="O1678" i="2"/>
  <c r="M1678" i="2"/>
  <c r="J1677" i="2"/>
  <c r="K1677" i="2" s="1"/>
  <c r="G1677" i="2"/>
  <c r="H1674" i="2"/>
  <c r="N1673" i="2" l="1"/>
  <c r="E1679" i="2" a="1"/>
  <c r="E1679" i="2" s="1"/>
  <c r="I1674" i="2"/>
  <c r="P1674" i="2" s="1"/>
  <c r="H1675" i="2"/>
  <c r="I1675" i="2" s="1"/>
  <c r="P1675" i="2" s="1"/>
  <c r="F1679" i="2"/>
  <c r="A1680" i="2"/>
  <c r="B1679" i="2"/>
  <c r="C1679" i="2" s="1"/>
  <c r="D1679" i="2" s="1"/>
  <c r="O1679" i="2"/>
  <c r="M1679" i="2"/>
  <c r="G1678" i="2"/>
  <c r="J1678" i="2"/>
  <c r="K1678" i="2" s="1"/>
  <c r="L1679" i="2" l="1"/>
  <c r="N1674" i="2"/>
  <c r="E1680" i="2" a="1"/>
  <c r="E1680" i="2" s="1"/>
  <c r="N1675" i="2"/>
  <c r="F1680" i="2"/>
  <c r="A1681" i="2"/>
  <c r="B1680" i="2"/>
  <c r="C1680" i="2" s="1"/>
  <c r="D1680" i="2" s="1"/>
  <c r="O1680" i="2"/>
  <c r="M1680" i="2"/>
  <c r="G1679" i="2"/>
  <c r="J1679" i="2"/>
  <c r="K1679" i="2" s="1"/>
  <c r="H1676" i="2"/>
  <c r="E1681" i="2" l="1" a="1"/>
  <c r="E1681" i="2" s="1"/>
  <c r="I1676" i="2"/>
  <c r="P1676" i="2" s="1"/>
  <c r="L1680" i="2"/>
  <c r="H1677" i="2"/>
  <c r="F1681" i="2"/>
  <c r="A1682" i="2"/>
  <c r="B1681" i="2"/>
  <c r="C1681" i="2" s="1"/>
  <c r="D1681" i="2" s="1"/>
  <c r="L1681" i="2" s="1"/>
  <c r="O1681" i="2"/>
  <c r="M1681" i="2"/>
  <c r="G1680" i="2"/>
  <c r="J1680" i="2"/>
  <c r="K1680" i="2" s="1"/>
  <c r="I1677" i="2" l="1"/>
  <c r="P1677" i="2" s="1"/>
  <c r="E1682" i="2" a="1"/>
  <c r="E1682" i="2" s="1"/>
  <c r="N1676" i="2"/>
  <c r="A1683" i="2"/>
  <c r="B1682" i="2"/>
  <c r="C1682" i="2" s="1"/>
  <c r="D1682" i="2" s="1"/>
  <c r="O1682" i="2"/>
  <c r="M1682" i="2"/>
  <c r="F1682" i="2"/>
  <c r="J1681" i="2"/>
  <c r="K1681" i="2" s="1"/>
  <c r="G1681" i="2"/>
  <c r="H1678" i="2"/>
  <c r="I1678" i="2" l="1"/>
  <c r="P1678" i="2" s="1"/>
  <c r="L1682" i="2"/>
  <c r="E1683" i="2" a="1"/>
  <c r="E1683" i="2" s="1"/>
  <c r="N1677" i="2"/>
  <c r="H1679" i="2"/>
  <c r="I1679" i="2" s="1"/>
  <c r="P1679" i="2" s="1"/>
  <c r="J1682" i="2"/>
  <c r="K1682" i="2" s="1"/>
  <c r="G1682" i="2"/>
  <c r="A1684" i="2"/>
  <c r="B1683" i="2"/>
  <c r="C1683" i="2" s="1"/>
  <c r="D1683" i="2" s="1"/>
  <c r="L1683" i="2" s="1"/>
  <c r="O1683" i="2"/>
  <c r="M1683" i="2"/>
  <c r="F1683" i="2"/>
  <c r="N1678" i="2" l="1"/>
  <c r="E1684" i="2" a="1"/>
  <c r="E1684" i="2" s="1"/>
  <c r="N1679" i="2"/>
  <c r="J1683" i="2"/>
  <c r="K1683" i="2" s="1"/>
  <c r="G1683" i="2"/>
  <c r="A1685" i="2"/>
  <c r="B1684" i="2"/>
  <c r="C1684" i="2" s="1"/>
  <c r="D1684" i="2" s="1"/>
  <c r="O1684" i="2"/>
  <c r="M1684" i="2"/>
  <c r="F1684" i="2"/>
  <c r="H1680" i="2"/>
  <c r="I1680" i="2" l="1"/>
  <c r="P1680" i="2" s="1"/>
  <c r="L1684" i="2"/>
  <c r="E1685" i="2" a="1"/>
  <c r="E1685" i="2" s="1"/>
  <c r="H1681" i="2"/>
  <c r="I1681" i="2" s="1"/>
  <c r="P1681" i="2" s="1"/>
  <c r="J1684" i="2"/>
  <c r="K1684" i="2" s="1"/>
  <c r="G1684" i="2"/>
  <c r="A1686" i="2"/>
  <c r="B1685" i="2"/>
  <c r="C1685" i="2" s="1"/>
  <c r="D1685" i="2" s="1"/>
  <c r="L1685" i="2" s="1"/>
  <c r="O1685" i="2"/>
  <c r="M1685" i="2"/>
  <c r="F1685" i="2"/>
  <c r="N1681" i="2" l="1"/>
  <c r="E1686" i="2" a="1"/>
  <c r="E1686" i="2" s="1"/>
  <c r="N1680" i="2"/>
  <c r="J1685" i="2"/>
  <c r="K1685" i="2" s="1"/>
  <c r="G1685" i="2"/>
  <c r="A1687" i="2"/>
  <c r="B1686" i="2"/>
  <c r="C1686" i="2" s="1"/>
  <c r="D1686" i="2" s="1"/>
  <c r="L1686" i="2" s="1"/>
  <c r="O1686" i="2"/>
  <c r="M1686" i="2"/>
  <c r="F1686" i="2"/>
  <c r="H1682" i="2"/>
  <c r="E1687" i="2" l="1" a="1"/>
  <c r="E1687" i="2" s="1"/>
  <c r="I1682" i="2"/>
  <c r="P1682" i="2" s="1"/>
  <c r="H1683" i="2"/>
  <c r="I1683" i="2" s="1"/>
  <c r="P1683" i="2" s="1"/>
  <c r="J1686" i="2"/>
  <c r="K1686" i="2" s="1"/>
  <c r="G1686" i="2"/>
  <c r="O1687" i="2"/>
  <c r="M1687" i="2"/>
  <c r="F1687" i="2"/>
  <c r="A1688" i="2"/>
  <c r="B1687" i="2"/>
  <c r="C1687" i="2" s="1"/>
  <c r="D1687" i="2" s="1"/>
  <c r="L1687" i="2" s="1"/>
  <c r="N1682" i="2" l="1"/>
  <c r="E1688" i="2" a="1"/>
  <c r="E1688" i="2" s="1"/>
  <c r="N1683" i="2"/>
  <c r="O1688" i="2"/>
  <c r="M1688" i="2"/>
  <c r="F1688" i="2"/>
  <c r="A1689" i="2"/>
  <c r="B1688" i="2"/>
  <c r="C1688" i="2" s="1"/>
  <c r="D1688" i="2" s="1"/>
  <c r="L1688" i="2" s="1"/>
  <c r="J1687" i="2"/>
  <c r="K1687" i="2" s="1"/>
  <c r="G1687" i="2"/>
  <c r="H1684" i="2"/>
  <c r="I1684" i="2" l="1"/>
  <c r="P1684" i="2" s="1"/>
  <c r="E1689" i="2" a="1"/>
  <c r="E1689" i="2" s="1"/>
  <c r="H1685" i="2"/>
  <c r="M1689" i="2"/>
  <c r="F1689" i="2"/>
  <c r="A1690" i="2"/>
  <c r="B1689" i="2"/>
  <c r="C1689" i="2" s="1"/>
  <c r="D1689" i="2" s="1"/>
  <c r="O1689" i="2"/>
  <c r="J1688" i="2"/>
  <c r="K1688" i="2" s="1"/>
  <c r="G1688" i="2"/>
  <c r="N1684" i="2" l="1"/>
  <c r="E1690" i="2" a="1"/>
  <c r="E1690" i="2" s="1"/>
  <c r="L1689" i="2"/>
  <c r="I1685" i="2"/>
  <c r="P1685" i="2" s="1"/>
  <c r="M1690" i="2"/>
  <c r="F1690" i="2"/>
  <c r="A1691" i="2"/>
  <c r="B1690" i="2"/>
  <c r="C1690" i="2" s="1"/>
  <c r="D1690" i="2" s="1"/>
  <c r="O1690" i="2"/>
  <c r="J1689" i="2"/>
  <c r="K1689" i="2" s="1"/>
  <c r="G1689" i="2"/>
  <c r="H1686" i="2"/>
  <c r="E1691" i="2" l="1" a="1"/>
  <c r="E1691" i="2" s="1"/>
  <c r="I1686" i="2"/>
  <c r="P1686" i="2" s="1"/>
  <c r="L1690" i="2"/>
  <c r="N1685" i="2"/>
  <c r="H1687" i="2"/>
  <c r="F1691" i="2"/>
  <c r="A1692" i="2"/>
  <c r="B1691" i="2"/>
  <c r="C1691" i="2" s="1"/>
  <c r="D1691" i="2" s="1"/>
  <c r="O1691" i="2"/>
  <c r="M1691" i="2"/>
  <c r="J1690" i="2"/>
  <c r="K1690" i="2" s="1"/>
  <c r="G1690" i="2"/>
  <c r="N1686" i="2" l="1"/>
  <c r="L1691" i="2"/>
  <c r="I1687" i="2"/>
  <c r="P1687" i="2" s="1"/>
  <c r="E1692" i="2" a="1"/>
  <c r="E1692" i="2" s="1"/>
  <c r="F1692" i="2"/>
  <c r="A1693" i="2"/>
  <c r="B1692" i="2"/>
  <c r="C1692" i="2" s="1"/>
  <c r="D1692" i="2" s="1"/>
  <c r="O1692" i="2"/>
  <c r="M1692" i="2"/>
  <c r="J1691" i="2"/>
  <c r="K1691" i="2" s="1"/>
  <c r="G1691" i="2"/>
  <c r="H1688" i="2"/>
  <c r="E1693" i="2" l="1" a="1"/>
  <c r="E1693" i="2" s="1"/>
  <c r="N1687" i="2"/>
  <c r="I1688" i="2"/>
  <c r="P1688" i="2" s="1"/>
  <c r="L1692" i="2"/>
  <c r="H1689" i="2"/>
  <c r="F1693" i="2"/>
  <c r="A1694" i="2"/>
  <c r="B1693" i="2"/>
  <c r="C1693" i="2" s="1"/>
  <c r="D1693" i="2" s="1"/>
  <c r="O1693" i="2"/>
  <c r="M1693" i="2"/>
  <c r="J1692" i="2"/>
  <c r="K1692" i="2" s="1"/>
  <c r="G1692" i="2"/>
  <c r="L1693" i="2" l="1"/>
  <c r="E1694" i="2" a="1"/>
  <c r="E1694" i="2" s="1"/>
  <c r="I1689" i="2"/>
  <c r="P1689" i="2" s="1"/>
  <c r="N1688" i="2"/>
  <c r="F1694" i="2"/>
  <c r="A1695" i="2"/>
  <c r="B1694" i="2"/>
  <c r="C1694" i="2" s="1"/>
  <c r="D1694" i="2" s="1"/>
  <c r="O1694" i="2"/>
  <c r="M1694" i="2"/>
  <c r="J1693" i="2"/>
  <c r="K1693" i="2" s="1"/>
  <c r="G1693" i="2"/>
  <c r="H1690" i="2"/>
  <c r="I1690" i="2" s="1"/>
  <c r="P1690" i="2" s="1"/>
  <c r="L1694" i="2" l="1"/>
  <c r="N1690" i="2"/>
  <c r="E1695" i="2" a="1"/>
  <c r="E1695" i="2" s="1"/>
  <c r="N1689" i="2"/>
  <c r="H1691" i="2"/>
  <c r="F1695" i="2"/>
  <c r="A1696" i="2"/>
  <c r="B1695" i="2"/>
  <c r="C1695" i="2" s="1"/>
  <c r="D1695" i="2" s="1"/>
  <c r="O1695" i="2"/>
  <c r="M1695" i="2"/>
  <c r="G1694" i="2"/>
  <c r="J1694" i="2"/>
  <c r="K1694" i="2" s="1"/>
  <c r="L1695" i="2" l="1"/>
  <c r="E1696" i="2" a="1"/>
  <c r="E1696" i="2" s="1"/>
  <c r="I1691" i="2"/>
  <c r="P1691" i="2" s="1"/>
  <c r="F1696" i="2"/>
  <c r="A1697" i="2"/>
  <c r="B1696" i="2"/>
  <c r="C1696" i="2" s="1"/>
  <c r="D1696" i="2" s="1"/>
  <c r="L1696" i="2" s="1"/>
  <c r="O1696" i="2"/>
  <c r="M1696" i="2"/>
  <c r="G1695" i="2"/>
  <c r="J1695" i="2"/>
  <c r="K1695" i="2" s="1"/>
  <c r="H1692" i="2"/>
  <c r="E1697" i="2" l="1" a="1"/>
  <c r="E1697" i="2" s="1"/>
  <c r="I1692" i="2"/>
  <c r="P1692" i="2" s="1"/>
  <c r="N1691" i="2"/>
  <c r="H1693" i="2"/>
  <c r="I1693" i="2" s="1"/>
  <c r="P1693" i="2" s="1"/>
  <c r="F1697" i="2"/>
  <c r="A1698" i="2"/>
  <c r="B1697" i="2"/>
  <c r="C1697" i="2" s="1"/>
  <c r="D1697" i="2" s="1"/>
  <c r="L1697" i="2" s="1"/>
  <c r="O1697" i="2"/>
  <c r="M1697" i="2"/>
  <c r="G1696" i="2"/>
  <c r="J1696" i="2"/>
  <c r="K1696" i="2" s="1"/>
  <c r="N1692" i="2" l="1"/>
  <c r="N1693" i="2"/>
  <c r="E1698" i="2" a="1"/>
  <c r="E1698" i="2" s="1"/>
  <c r="A1699" i="2"/>
  <c r="B1698" i="2"/>
  <c r="C1698" i="2" s="1"/>
  <c r="D1698" i="2" s="1"/>
  <c r="O1698" i="2"/>
  <c r="M1698" i="2"/>
  <c r="F1698" i="2"/>
  <c r="J1697" i="2"/>
  <c r="K1697" i="2" s="1"/>
  <c r="G1697" i="2"/>
  <c r="H1694" i="2"/>
  <c r="E1699" i="2" l="1" a="1"/>
  <c r="E1699" i="2" s="1"/>
  <c r="I1694" i="2"/>
  <c r="P1694" i="2" s="1"/>
  <c r="L1698" i="2"/>
  <c r="H1695" i="2"/>
  <c r="J1698" i="2"/>
  <c r="K1698" i="2" s="1"/>
  <c r="G1698" i="2"/>
  <c r="A1700" i="2"/>
  <c r="B1699" i="2"/>
  <c r="C1699" i="2" s="1"/>
  <c r="D1699" i="2" s="1"/>
  <c r="O1699" i="2"/>
  <c r="M1699" i="2"/>
  <c r="F1699" i="2"/>
  <c r="N1694" i="2" l="1"/>
  <c r="L1699" i="2"/>
  <c r="E1700" i="2" a="1"/>
  <c r="E1700" i="2" s="1"/>
  <c r="I1695" i="2"/>
  <c r="P1695" i="2" s="1"/>
  <c r="J1699" i="2"/>
  <c r="K1699" i="2" s="1"/>
  <c r="G1699" i="2"/>
  <c r="A1701" i="2"/>
  <c r="B1700" i="2"/>
  <c r="C1700" i="2" s="1"/>
  <c r="D1700" i="2" s="1"/>
  <c r="O1700" i="2"/>
  <c r="M1700" i="2"/>
  <c r="F1700" i="2"/>
  <c r="H1696" i="2"/>
  <c r="I1696" i="2" s="1"/>
  <c r="P1696" i="2" s="1"/>
  <c r="L1700" i="2" l="1"/>
  <c r="N1695" i="2"/>
  <c r="N1696" i="2"/>
  <c r="E1701" i="2" a="1"/>
  <c r="E1701" i="2" s="1"/>
  <c r="H1697" i="2"/>
  <c r="I1697" i="2" s="1"/>
  <c r="P1697" i="2" s="1"/>
  <c r="J1700" i="2"/>
  <c r="K1700" i="2" s="1"/>
  <c r="G1700" i="2"/>
  <c r="A1702" i="2"/>
  <c r="B1701" i="2"/>
  <c r="C1701" i="2" s="1"/>
  <c r="D1701" i="2" s="1"/>
  <c r="L1701" i="2" s="1"/>
  <c r="O1701" i="2"/>
  <c r="M1701" i="2"/>
  <c r="F1701" i="2"/>
  <c r="N1697" i="2" l="1"/>
  <c r="E1702" i="2" a="1"/>
  <c r="E1702" i="2" s="1"/>
  <c r="J1701" i="2"/>
  <c r="K1701" i="2" s="1"/>
  <c r="G1701" i="2"/>
  <c r="A1703" i="2"/>
  <c r="B1702" i="2"/>
  <c r="C1702" i="2" s="1"/>
  <c r="D1702" i="2" s="1"/>
  <c r="L1702" i="2" s="1"/>
  <c r="O1702" i="2"/>
  <c r="M1702" i="2"/>
  <c r="F1702" i="2"/>
  <c r="H1698" i="2"/>
  <c r="I1698" i="2" s="1"/>
  <c r="P1698" i="2" s="1"/>
  <c r="E1703" i="2" l="1" a="1"/>
  <c r="E1703" i="2" s="1"/>
  <c r="N1698" i="2"/>
  <c r="H1699" i="2"/>
  <c r="I1699" i="2" s="1"/>
  <c r="P1699" i="2" s="1"/>
  <c r="J1702" i="2"/>
  <c r="K1702" i="2" s="1"/>
  <c r="G1702" i="2"/>
  <c r="O1703" i="2"/>
  <c r="M1703" i="2"/>
  <c r="F1703" i="2"/>
  <c r="A1704" i="2"/>
  <c r="B1703" i="2"/>
  <c r="C1703" i="2" s="1"/>
  <c r="D1703" i="2" s="1"/>
  <c r="E1704" i="2" s="1" a="1"/>
  <c r="E1704" i="2" s="1"/>
  <c r="L1703" i="2" l="1"/>
  <c r="N1699" i="2"/>
  <c r="O1704" i="2"/>
  <c r="M1704" i="2"/>
  <c r="F1704" i="2"/>
  <c r="A1705" i="2"/>
  <c r="B1704" i="2"/>
  <c r="C1704" i="2" s="1"/>
  <c r="D1704" i="2" s="1"/>
  <c r="J1703" i="2"/>
  <c r="K1703" i="2" s="1"/>
  <c r="G1703" i="2"/>
  <c r="H1700" i="2"/>
  <c r="I1700" i="2" s="1"/>
  <c r="P1700" i="2" s="1"/>
  <c r="E1705" i="2" l="1" a="1"/>
  <c r="E1705" i="2" s="1"/>
  <c r="L1704" i="2"/>
  <c r="N1700" i="2"/>
  <c r="H1701" i="2"/>
  <c r="I1701" i="2" s="1"/>
  <c r="P1701" i="2" s="1"/>
  <c r="M1705" i="2"/>
  <c r="F1705" i="2"/>
  <c r="A1706" i="2"/>
  <c r="B1705" i="2"/>
  <c r="C1705" i="2" s="1"/>
  <c r="D1705" i="2" s="1"/>
  <c r="O1705" i="2"/>
  <c r="J1704" i="2"/>
  <c r="K1704" i="2" s="1"/>
  <c r="G1704" i="2"/>
  <c r="N1701" i="2" l="1"/>
  <c r="L1705" i="2"/>
  <c r="E1706" i="2" a="1"/>
  <c r="E1706" i="2" s="1"/>
  <c r="M1706" i="2"/>
  <c r="F1706" i="2"/>
  <c r="A1707" i="2"/>
  <c r="B1706" i="2"/>
  <c r="C1706" i="2" s="1"/>
  <c r="D1706" i="2" s="1"/>
  <c r="O1706" i="2"/>
  <c r="J1705" i="2"/>
  <c r="K1705" i="2" s="1"/>
  <c r="G1705" i="2"/>
  <c r="H1702" i="2"/>
  <c r="I1702" i="2" s="1"/>
  <c r="P1702" i="2" s="1"/>
  <c r="N1702" i="2" l="1"/>
  <c r="L1706" i="2"/>
  <c r="E1707" i="2" a="1"/>
  <c r="E1707" i="2" s="1"/>
  <c r="H1703" i="2"/>
  <c r="F1707" i="2"/>
  <c r="A1708" i="2"/>
  <c r="B1707" i="2"/>
  <c r="C1707" i="2" s="1"/>
  <c r="D1707" i="2" s="1"/>
  <c r="L1707" i="2" s="1"/>
  <c r="O1707" i="2"/>
  <c r="M1707" i="2"/>
  <c r="J1706" i="2"/>
  <c r="K1706" i="2" s="1"/>
  <c r="G1706" i="2"/>
  <c r="I1703" i="2" l="1"/>
  <c r="P1703" i="2" s="1"/>
  <c r="E1708" i="2" a="1"/>
  <c r="E1708" i="2" s="1"/>
  <c r="F1708" i="2"/>
  <c r="A1709" i="2"/>
  <c r="B1708" i="2"/>
  <c r="C1708" i="2" s="1"/>
  <c r="D1708" i="2" s="1"/>
  <c r="O1708" i="2"/>
  <c r="M1708" i="2"/>
  <c r="J1707" i="2"/>
  <c r="K1707" i="2" s="1"/>
  <c r="G1707" i="2"/>
  <c r="H1704" i="2"/>
  <c r="E1709" i="2" l="1" a="1"/>
  <c r="E1709" i="2" s="1"/>
  <c r="N1703" i="2"/>
  <c r="I1704" i="2"/>
  <c r="P1704" i="2" s="1"/>
  <c r="L1708" i="2"/>
  <c r="E1710" i="2" a="1"/>
  <c r="E1710" i="2" s="1"/>
  <c r="H1705" i="2"/>
  <c r="I1705" i="2" s="1"/>
  <c r="P1705" i="2" s="1"/>
  <c r="F1709" i="2"/>
  <c r="A1710" i="2"/>
  <c r="B1709" i="2"/>
  <c r="C1709" i="2" s="1"/>
  <c r="D1709" i="2" s="1"/>
  <c r="L1709" i="2" s="1"/>
  <c r="O1709" i="2"/>
  <c r="M1709" i="2"/>
  <c r="J1708" i="2"/>
  <c r="K1708" i="2" s="1"/>
  <c r="G1708" i="2"/>
  <c r="N1705" i="2" l="1"/>
  <c r="N1704" i="2"/>
  <c r="F1710" i="2"/>
  <c r="A1711" i="2"/>
  <c r="B1710" i="2"/>
  <c r="C1710" i="2" s="1"/>
  <c r="D1710" i="2" s="1"/>
  <c r="O1710" i="2"/>
  <c r="M1710" i="2"/>
  <c r="J1709" i="2"/>
  <c r="K1709" i="2" s="1"/>
  <c r="G1709" i="2"/>
  <c r="H1706" i="2"/>
  <c r="L1710" i="2" l="1"/>
  <c r="E1711" i="2" a="1"/>
  <c r="E1711" i="2" s="1"/>
  <c r="I1706" i="2"/>
  <c r="P1706" i="2" s="1"/>
  <c r="H1707" i="2"/>
  <c r="F1711" i="2"/>
  <c r="A1712" i="2"/>
  <c r="B1711" i="2"/>
  <c r="C1711" i="2" s="1"/>
  <c r="D1711" i="2" s="1"/>
  <c r="L1711" i="2" s="1"/>
  <c r="O1711" i="2"/>
  <c r="M1711" i="2"/>
  <c r="G1710" i="2"/>
  <c r="J1710" i="2"/>
  <c r="K1710" i="2" s="1"/>
  <c r="N1706" i="2" l="1"/>
  <c r="E1712" i="2" a="1"/>
  <c r="E1712" i="2" s="1"/>
  <c r="I1707" i="2"/>
  <c r="P1707" i="2" s="1"/>
  <c r="F1712" i="2"/>
  <c r="A1713" i="2"/>
  <c r="B1712" i="2"/>
  <c r="C1712" i="2" s="1"/>
  <c r="D1712" i="2" s="1"/>
  <c r="O1712" i="2"/>
  <c r="M1712" i="2"/>
  <c r="G1711" i="2"/>
  <c r="J1711" i="2"/>
  <c r="K1711" i="2" s="1"/>
  <c r="H1708" i="2"/>
  <c r="E1713" i="2" l="1" a="1"/>
  <c r="E1713" i="2" s="1"/>
  <c r="I1708" i="2"/>
  <c r="P1708" i="2" s="1"/>
  <c r="L1712" i="2"/>
  <c r="N1707" i="2"/>
  <c r="H1709" i="2"/>
  <c r="I1709" i="2" s="1"/>
  <c r="P1709" i="2" s="1"/>
  <c r="F1713" i="2"/>
  <c r="A1714" i="2"/>
  <c r="B1713" i="2"/>
  <c r="C1713" i="2" s="1"/>
  <c r="D1713" i="2" s="1"/>
  <c r="O1713" i="2"/>
  <c r="M1713" i="2"/>
  <c r="G1712" i="2"/>
  <c r="J1712" i="2"/>
  <c r="K1712" i="2" s="1"/>
  <c r="E1714" i="2" l="1" a="1"/>
  <c r="E1714" i="2" s="1"/>
  <c r="L1713" i="2"/>
  <c r="N1709" i="2"/>
  <c r="N1708" i="2"/>
  <c r="A1715" i="2"/>
  <c r="B1714" i="2"/>
  <c r="C1714" i="2" s="1"/>
  <c r="D1714" i="2" s="1"/>
  <c r="L1714" i="2" s="1"/>
  <c r="O1714" i="2"/>
  <c r="M1714" i="2"/>
  <c r="F1714" i="2"/>
  <c r="J1713" i="2"/>
  <c r="K1713" i="2" s="1"/>
  <c r="G1713" i="2"/>
  <c r="H1710" i="2"/>
  <c r="I1710" i="2" l="1"/>
  <c r="P1710" i="2" s="1"/>
  <c r="E1715" i="2" a="1"/>
  <c r="E1715" i="2" s="1"/>
  <c r="H1711" i="2"/>
  <c r="I1711" i="2" s="1"/>
  <c r="P1711" i="2" s="1"/>
  <c r="J1714" i="2"/>
  <c r="K1714" i="2" s="1"/>
  <c r="G1714" i="2"/>
  <c r="A1716" i="2"/>
  <c r="B1715" i="2"/>
  <c r="C1715" i="2" s="1"/>
  <c r="D1715" i="2" s="1"/>
  <c r="O1715" i="2"/>
  <c r="M1715" i="2"/>
  <c r="F1715" i="2"/>
  <c r="N1711" i="2" l="1"/>
  <c r="E1716" i="2" a="1"/>
  <c r="E1716" i="2" s="1"/>
  <c r="L1715" i="2"/>
  <c r="N1710" i="2"/>
  <c r="J1715" i="2"/>
  <c r="K1715" i="2" s="1"/>
  <c r="G1715" i="2"/>
  <c r="A1717" i="2"/>
  <c r="B1716" i="2"/>
  <c r="C1716" i="2" s="1"/>
  <c r="D1716" i="2" s="1"/>
  <c r="O1716" i="2"/>
  <c r="M1716" i="2"/>
  <c r="F1716" i="2"/>
  <c r="H1712" i="2"/>
  <c r="I1712" i="2" s="1"/>
  <c r="P1712" i="2" s="1"/>
  <c r="E1717" i="2" l="1" a="1"/>
  <c r="E1717" i="2" s="1"/>
  <c r="N1712" i="2"/>
  <c r="L1716" i="2"/>
  <c r="H1713" i="2"/>
  <c r="J1716" i="2"/>
  <c r="K1716" i="2" s="1"/>
  <c r="G1716" i="2"/>
  <c r="A1718" i="2"/>
  <c r="B1717" i="2"/>
  <c r="C1717" i="2" s="1"/>
  <c r="D1717" i="2" s="1"/>
  <c r="L1717" i="2" s="1"/>
  <c r="O1717" i="2"/>
  <c r="M1717" i="2"/>
  <c r="F1717" i="2"/>
  <c r="E1718" i="2" l="1" a="1"/>
  <c r="E1718" i="2" s="1"/>
  <c r="I1713" i="2"/>
  <c r="P1713" i="2" s="1"/>
  <c r="J1717" i="2"/>
  <c r="K1717" i="2" s="1"/>
  <c r="G1717" i="2"/>
  <c r="A1719" i="2"/>
  <c r="B1718" i="2"/>
  <c r="C1718" i="2" s="1"/>
  <c r="D1718" i="2" s="1"/>
  <c r="L1718" i="2" s="1"/>
  <c r="O1718" i="2"/>
  <c r="M1718" i="2"/>
  <c r="F1718" i="2"/>
  <c r="H1714" i="2"/>
  <c r="I1714" i="2" s="1"/>
  <c r="P1714" i="2" s="1"/>
  <c r="E1719" i="2" l="1" a="1"/>
  <c r="E1719" i="2" s="1"/>
  <c r="N1713" i="2"/>
  <c r="N1714" i="2"/>
  <c r="H1715" i="2"/>
  <c r="J1718" i="2"/>
  <c r="K1718" i="2" s="1"/>
  <c r="G1718" i="2"/>
  <c r="O1719" i="2"/>
  <c r="M1719" i="2"/>
  <c r="F1719" i="2"/>
  <c r="A1720" i="2"/>
  <c r="B1719" i="2"/>
  <c r="C1719" i="2" s="1"/>
  <c r="D1719" i="2" s="1"/>
  <c r="L1719" i="2" s="1"/>
  <c r="E1720" i="2" l="1" a="1"/>
  <c r="E1720" i="2" s="1"/>
  <c r="I1715" i="2"/>
  <c r="P1715" i="2" s="1"/>
  <c r="O1720" i="2"/>
  <c r="M1720" i="2"/>
  <c r="F1720" i="2"/>
  <c r="A1721" i="2"/>
  <c r="B1720" i="2"/>
  <c r="C1720" i="2" s="1"/>
  <c r="D1720" i="2" s="1"/>
  <c r="L1720" i="2" s="1"/>
  <c r="J1719" i="2"/>
  <c r="K1719" i="2" s="1"/>
  <c r="G1719" i="2"/>
  <c r="H1716" i="2"/>
  <c r="I1716" i="2" l="1"/>
  <c r="P1716" i="2" s="1"/>
  <c r="N1715" i="2"/>
  <c r="E1721" i="2" a="1"/>
  <c r="E1721" i="2" s="1"/>
  <c r="H1717" i="2"/>
  <c r="M1721" i="2"/>
  <c r="F1721" i="2"/>
  <c r="A1722" i="2"/>
  <c r="B1721" i="2"/>
  <c r="C1721" i="2" s="1"/>
  <c r="D1721" i="2" s="1"/>
  <c r="L1721" i="2" s="1"/>
  <c r="O1721" i="2"/>
  <c r="J1720" i="2"/>
  <c r="K1720" i="2" s="1"/>
  <c r="G1720" i="2"/>
  <c r="N1716" i="2" l="1"/>
  <c r="E1722" i="2" a="1"/>
  <c r="E1722" i="2" s="1"/>
  <c r="I1717" i="2"/>
  <c r="P1717" i="2" s="1"/>
  <c r="M1722" i="2"/>
  <c r="F1722" i="2"/>
  <c r="A1723" i="2"/>
  <c r="B1722" i="2"/>
  <c r="C1722" i="2" s="1"/>
  <c r="D1722" i="2" s="1"/>
  <c r="O1722" i="2"/>
  <c r="J1721" i="2"/>
  <c r="K1721" i="2" s="1"/>
  <c r="G1721" i="2"/>
  <c r="H1718" i="2"/>
  <c r="I1718" i="2" s="1"/>
  <c r="P1718" i="2" s="1"/>
  <c r="N1717" i="2" l="1"/>
  <c r="L1722" i="2"/>
  <c r="N1718" i="2"/>
  <c r="E1723" i="2" a="1"/>
  <c r="E1723" i="2" s="1"/>
  <c r="H1719" i="2"/>
  <c r="I1719" i="2" s="1"/>
  <c r="P1719" i="2" s="1"/>
  <c r="F1723" i="2"/>
  <c r="A1724" i="2"/>
  <c r="B1723" i="2"/>
  <c r="C1723" i="2" s="1"/>
  <c r="D1723" i="2" s="1"/>
  <c r="O1723" i="2"/>
  <c r="M1723" i="2"/>
  <c r="J1722" i="2"/>
  <c r="K1722" i="2" s="1"/>
  <c r="G1722" i="2"/>
  <c r="E1724" i="2" l="1" a="1"/>
  <c r="E1724" i="2" s="1"/>
  <c r="L1723" i="2"/>
  <c r="N1719" i="2"/>
  <c r="F1724" i="2"/>
  <c r="A1725" i="2"/>
  <c r="B1724" i="2"/>
  <c r="C1724" i="2" s="1"/>
  <c r="D1724" i="2" s="1"/>
  <c r="L1724" i="2" s="1"/>
  <c r="O1724" i="2"/>
  <c r="M1724" i="2"/>
  <c r="J1723" i="2"/>
  <c r="K1723" i="2" s="1"/>
  <c r="G1723" i="2"/>
  <c r="H1720" i="2"/>
  <c r="I1720" i="2" s="1"/>
  <c r="P1720" i="2" s="1"/>
  <c r="N1720" i="2" l="1"/>
  <c r="E1725" i="2" a="1"/>
  <c r="E1725" i="2" s="1"/>
  <c r="H1721" i="2"/>
  <c r="F1725" i="2"/>
  <c r="A1726" i="2"/>
  <c r="B1725" i="2"/>
  <c r="C1725" i="2" s="1"/>
  <c r="D1725" i="2" s="1"/>
  <c r="O1725" i="2"/>
  <c r="M1725" i="2"/>
  <c r="J1724" i="2"/>
  <c r="K1724" i="2" s="1"/>
  <c r="G1724" i="2"/>
  <c r="L1725" i="2" l="1"/>
  <c r="E1726" i="2" a="1"/>
  <c r="E1726" i="2" s="1"/>
  <c r="I1721" i="2"/>
  <c r="P1721" i="2" s="1"/>
  <c r="F1726" i="2"/>
  <c r="A1727" i="2"/>
  <c r="B1726" i="2"/>
  <c r="C1726" i="2" s="1"/>
  <c r="D1726" i="2" s="1"/>
  <c r="L1726" i="2" s="1"/>
  <c r="O1726" i="2"/>
  <c r="M1726" i="2"/>
  <c r="J1725" i="2"/>
  <c r="K1725" i="2" s="1"/>
  <c r="G1725" i="2"/>
  <c r="H1722" i="2"/>
  <c r="I1722" i="2" s="1"/>
  <c r="P1722" i="2" s="1"/>
  <c r="N1721" i="2" l="1"/>
  <c r="E1727" i="2" a="1"/>
  <c r="E1727" i="2" s="1"/>
  <c r="N1722" i="2"/>
  <c r="H1723" i="2"/>
  <c r="I1723" i="2" s="1"/>
  <c r="P1723" i="2" s="1"/>
  <c r="F1727" i="2"/>
  <c r="A1728" i="2"/>
  <c r="B1727" i="2"/>
  <c r="C1727" i="2" s="1"/>
  <c r="D1727" i="2" s="1"/>
  <c r="O1727" i="2"/>
  <c r="M1727" i="2"/>
  <c r="G1726" i="2"/>
  <c r="J1726" i="2"/>
  <c r="K1726" i="2" s="1"/>
  <c r="N1723" i="2" l="1"/>
  <c r="E1728" i="2" a="1"/>
  <c r="E1728" i="2" s="1"/>
  <c r="L1727" i="2"/>
  <c r="F1728" i="2"/>
  <c r="A1729" i="2"/>
  <c r="B1728" i="2"/>
  <c r="C1728" i="2" s="1"/>
  <c r="D1728" i="2" s="1"/>
  <c r="L1728" i="2" s="1"/>
  <c r="O1728" i="2"/>
  <c r="M1728" i="2"/>
  <c r="G1727" i="2"/>
  <c r="J1727" i="2"/>
  <c r="K1727" i="2" s="1"/>
  <c r="H1724" i="2"/>
  <c r="E1729" i="2" l="1" a="1"/>
  <c r="E1729" i="2" s="1"/>
  <c r="I1724" i="2"/>
  <c r="P1724" i="2" s="1"/>
  <c r="H1725" i="2"/>
  <c r="I1725" i="2" s="1"/>
  <c r="P1725" i="2" s="1"/>
  <c r="F1729" i="2"/>
  <c r="A1730" i="2"/>
  <c r="B1729" i="2"/>
  <c r="C1729" i="2" s="1"/>
  <c r="D1729" i="2" s="1"/>
  <c r="O1729" i="2"/>
  <c r="M1729" i="2"/>
  <c r="G1728" i="2"/>
  <c r="J1728" i="2"/>
  <c r="K1728" i="2" s="1"/>
  <c r="L1729" i="2" l="1"/>
  <c r="E1730" i="2" a="1"/>
  <c r="E1730" i="2" s="1"/>
  <c r="N1724" i="2"/>
  <c r="N1725" i="2"/>
  <c r="M1730" i="2"/>
  <c r="F1730" i="2"/>
  <c r="B1730" i="2"/>
  <c r="C1730" i="2" s="1"/>
  <c r="D1730" i="2" s="1"/>
  <c r="L1730" i="2" s="1"/>
  <c r="A1731" i="2"/>
  <c r="O1730" i="2"/>
  <c r="J1729" i="2"/>
  <c r="K1729" i="2" s="1"/>
  <c r="G1729" i="2"/>
  <c r="H1726" i="2"/>
  <c r="E1731" i="2" l="1" a="1"/>
  <c r="E1731" i="2" s="1"/>
  <c r="I1726" i="2"/>
  <c r="P1726" i="2" s="1"/>
  <c r="H1727" i="2"/>
  <c r="I1727" i="2" s="1"/>
  <c r="P1727" i="2" s="1"/>
  <c r="M1731" i="2"/>
  <c r="F1731" i="2"/>
  <c r="B1731" i="2"/>
  <c r="C1731" i="2" s="1"/>
  <c r="D1731" i="2" s="1"/>
  <c r="A1732" i="2"/>
  <c r="O1731" i="2"/>
  <c r="J1730" i="2"/>
  <c r="K1730" i="2" s="1"/>
  <c r="G1730" i="2"/>
  <c r="L1731" i="2" l="1"/>
  <c r="N1727" i="2"/>
  <c r="N1726" i="2"/>
  <c r="E1732" i="2" a="1"/>
  <c r="E1732" i="2" s="1"/>
  <c r="M1732" i="2"/>
  <c r="F1732" i="2"/>
  <c r="B1732" i="2"/>
  <c r="C1732" i="2" s="1"/>
  <c r="D1732" i="2" s="1"/>
  <c r="L1732" i="2" s="1"/>
  <c r="A1733" i="2"/>
  <c r="O1732" i="2"/>
  <c r="G1731" i="2"/>
  <c r="J1731" i="2"/>
  <c r="K1731" i="2" s="1"/>
  <c r="H1728" i="2"/>
  <c r="E1733" i="2" l="1" a="1"/>
  <c r="E1733" i="2" s="1"/>
  <c r="I1728" i="2"/>
  <c r="P1728" i="2" s="1"/>
  <c r="H1729" i="2"/>
  <c r="A1734" i="2"/>
  <c r="O1733" i="2"/>
  <c r="M1733" i="2"/>
  <c r="F1733" i="2"/>
  <c r="B1733" i="2"/>
  <c r="C1733" i="2" s="1"/>
  <c r="D1733" i="2" s="1"/>
  <c r="L1733" i="2" s="1"/>
  <c r="J1732" i="2"/>
  <c r="K1732" i="2" s="1"/>
  <c r="G1732" i="2"/>
  <c r="E1734" i="2" l="1" a="1"/>
  <c r="E1734" i="2" s="1"/>
  <c r="N1728" i="2"/>
  <c r="I1729" i="2"/>
  <c r="P1729" i="2" s="1"/>
  <c r="J1733" i="2"/>
  <c r="K1733" i="2" s="1"/>
  <c r="G1733" i="2"/>
  <c r="A1735" i="2"/>
  <c r="B1734" i="2"/>
  <c r="C1734" i="2" s="1"/>
  <c r="D1734" i="2" s="1"/>
  <c r="L1734" i="2" s="1"/>
  <c r="O1734" i="2"/>
  <c r="M1734" i="2"/>
  <c r="F1734" i="2"/>
  <c r="H1730" i="2"/>
  <c r="I1730" i="2" s="1"/>
  <c r="P1730" i="2" s="1"/>
  <c r="N1729" i="2" l="1"/>
  <c r="E1735" i="2" a="1"/>
  <c r="E1735" i="2" s="1"/>
  <c r="N1730" i="2"/>
  <c r="H1731" i="2"/>
  <c r="J1734" i="2"/>
  <c r="K1734" i="2" s="1"/>
  <c r="G1734" i="2"/>
  <c r="A1736" i="2"/>
  <c r="B1735" i="2"/>
  <c r="C1735" i="2" s="1"/>
  <c r="D1735" i="2" s="1"/>
  <c r="O1735" i="2"/>
  <c r="M1735" i="2"/>
  <c r="F1735" i="2"/>
  <c r="L1735" i="2" l="1"/>
  <c r="E1736" i="2" a="1"/>
  <c r="E1736" i="2" s="1"/>
  <c r="I1731" i="2"/>
  <c r="P1731" i="2" s="1"/>
  <c r="J1735" i="2"/>
  <c r="K1735" i="2" s="1"/>
  <c r="G1735" i="2"/>
  <c r="O1736" i="2"/>
  <c r="F1736" i="2"/>
  <c r="B1736" i="2"/>
  <c r="C1736" i="2" s="1"/>
  <c r="D1736" i="2" s="1"/>
  <c r="L1736" i="2" s="1"/>
  <c r="A1737" i="2"/>
  <c r="M1736" i="2"/>
  <c r="H1732" i="2"/>
  <c r="N1731" i="2" l="1"/>
  <c r="I1732" i="2"/>
  <c r="P1732" i="2" s="1"/>
  <c r="E1737" i="2" a="1"/>
  <c r="E1737" i="2" s="1"/>
  <c r="H1733" i="2"/>
  <c r="I1733" i="2" s="1"/>
  <c r="P1733" i="2" s="1"/>
  <c r="O1737" i="2"/>
  <c r="F1737" i="2"/>
  <c r="M1737" i="2"/>
  <c r="B1737" i="2"/>
  <c r="C1737" i="2" s="1"/>
  <c r="D1737" i="2" s="1"/>
  <c r="A1738" i="2"/>
  <c r="G1736" i="2"/>
  <c r="J1736" i="2"/>
  <c r="K1736" i="2" s="1"/>
  <c r="N1732" i="2" l="1"/>
  <c r="L1737" i="2"/>
  <c r="N1733" i="2"/>
  <c r="E1738" i="2" a="1"/>
  <c r="E1738" i="2" s="1"/>
  <c r="M1738" i="2"/>
  <c r="F1738" i="2"/>
  <c r="A1739" i="2"/>
  <c r="O1738" i="2"/>
  <c r="B1738" i="2"/>
  <c r="C1738" i="2" s="1"/>
  <c r="D1738" i="2" s="1"/>
  <c r="G1737" i="2"/>
  <c r="J1737" i="2"/>
  <c r="K1737" i="2" s="1"/>
  <c r="H1734" i="2"/>
  <c r="E1739" i="2" l="1" a="1"/>
  <c r="E1739" i="2" s="1"/>
  <c r="I1734" i="2"/>
  <c r="P1734" i="2" s="1"/>
  <c r="L1738" i="2"/>
  <c r="H1735" i="2"/>
  <c r="M1739" i="2"/>
  <c r="F1739" i="2"/>
  <c r="B1739" i="2"/>
  <c r="C1739" i="2" s="1"/>
  <c r="D1739" i="2" s="1"/>
  <c r="A1740" i="2"/>
  <c r="O1739" i="2"/>
  <c r="J1738" i="2"/>
  <c r="K1738" i="2" s="1"/>
  <c r="G1738" i="2"/>
  <c r="L1739" i="2" l="1"/>
  <c r="N1734" i="2"/>
  <c r="I1735" i="2"/>
  <c r="P1735" i="2" s="1"/>
  <c r="E1740" i="2" a="1"/>
  <c r="E1740" i="2" s="1"/>
  <c r="M1740" i="2"/>
  <c r="F1740" i="2"/>
  <c r="B1740" i="2"/>
  <c r="C1740" i="2" s="1"/>
  <c r="D1740" i="2" s="1"/>
  <c r="L1740" i="2" s="1"/>
  <c r="A1741" i="2"/>
  <c r="O1740" i="2"/>
  <c r="J1739" i="2"/>
  <c r="K1739" i="2" s="1"/>
  <c r="G1739" i="2"/>
  <c r="H1736" i="2"/>
  <c r="I1736" i="2" s="1"/>
  <c r="P1736" i="2" s="1"/>
  <c r="E1741" i="2" l="1" a="1"/>
  <c r="E1741" i="2" s="1"/>
  <c r="N1735" i="2"/>
  <c r="N1736" i="2"/>
  <c r="H1737" i="2"/>
  <c r="I1737" i="2" s="1"/>
  <c r="P1737" i="2" s="1"/>
  <c r="A1742" i="2"/>
  <c r="B1741" i="2"/>
  <c r="C1741" i="2" s="1"/>
  <c r="D1741" i="2" s="1"/>
  <c r="L1741" i="2" s="1"/>
  <c r="O1741" i="2"/>
  <c r="M1741" i="2"/>
  <c r="F1741" i="2"/>
  <c r="J1740" i="2"/>
  <c r="K1740" i="2" s="1"/>
  <c r="G1740" i="2"/>
  <c r="E1742" i="2" l="1" a="1"/>
  <c r="E1742" i="2" s="1"/>
  <c r="N1737" i="2"/>
  <c r="J1741" i="2"/>
  <c r="K1741" i="2" s="1"/>
  <c r="G1741" i="2"/>
  <c r="A1743" i="2"/>
  <c r="B1742" i="2"/>
  <c r="C1742" i="2" s="1"/>
  <c r="D1742" i="2" s="1"/>
  <c r="L1742" i="2" s="1"/>
  <c r="F1742" i="2"/>
  <c r="O1742" i="2"/>
  <c r="M1742" i="2"/>
  <c r="H1738" i="2"/>
  <c r="I1738" i="2" l="1"/>
  <c r="P1738" i="2" s="1"/>
  <c r="E1743" i="2" a="1"/>
  <c r="E1743" i="2" s="1"/>
  <c r="H1739" i="2"/>
  <c r="I1739" i="2" s="1"/>
  <c r="P1739" i="2" s="1"/>
  <c r="J1742" i="2"/>
  <c r="K1742" i="2" s="1"/>
  <c r="G1742" i="2"/>
  <c r="A1744" i="2"/>
  <c r="B1743" i="2"/>
  <c r="C1743" i="2" s="1"/>
  <c r="D1743" i="2" s="1"/>
  <c r="L1743" i="2" s="1"/>
  <c r="O1743" i="2"/>
  <c r="M1743" i="2"/>
  <c r="F1743" i="2"/>
  <c r="N1738" i="2" l="1"/>
  <c r="N1739" i="2"/>
  <c r="E1744" i="2" a="1"/>
  <c r="E1744" i="2" s="1"/>
  <c r="J1743" i="2"/>
  <c r="K1743" i="2" s="1"/>
  <c r="G1743" i="2"/>
  <c r="A1745" i="2"/>
  <c r="B1744" i="2"/>
  <c r="C1744" i="2" s="1"/>
  <c r="D1744" i="2" s="1"/>
  <c r="L1744" i="2" s="1"/>
  <c r="O1744" i="2"/>
  <c r="M1744" i="2"/>
  <c r="F1744" i="2"/>
  <c r="H1740" i="2"/>
  <c r="I1740" i="2" l="1"/>
  <c r="P1740" i="2" s="1"/>
  <c r="E1745" i="2" a="1"/>
  <c r="E1745" i="2" s="1"/>
  <c r="E1746" i="2" a="1"/>
  <c r="E1746" i="2" s="1"/>
  <c r="H1741" i="2"/>
  <c r="I1741" i="2" s="1"/>
  <c r="P1741" i="2" s="1"/>
  <c r="G1744" i="2"/>
  <c r="J1744" i="2"/>
  <c r="K1744" i="2" s="1"/>
  <c r="F1745" i="2"/>
  <c r="O1745" i="2"/>
  <c r="M1745" i="2"/>
  <c r="B1745" i="2"/>
  <c r="C1745" i="2" s="1"/>
  <c r="D1745" i="2" s="1"/>
  <c r="L1745" i="2" s="1"/>
  <c r="A1746" i="2"/>
  <c r="N1740" i="2" l="1"/>
  <c r="N1741" i="2"/>
  <c r="F1746" i="2"/>
  <c r="A1747" i="2"/>
  <c r="B1746" i="2"/>
  <c r="C1746" i="2" s="1"/>
  <c r="D1746" i="2" s="1"/>
  <c r="O1746" i="2"/>
  <c r="M1746" i="2"/>
  <c r="G1745" i="2"/>
  <c r="J1745" i="2"/>
  <c r="K1745" i="2" s="1"/>
  <c r="H1742" i="2"/>
  <c r="I1742" i="2" l="1"/>
  <c r="P1742" i="2" s="1"/>
  <c r="E1747" i="2" a="1"/>
  <c r="E1747" i="2" s="1"/>
  <c r="L1746" i="2"/>
  <c r="E1748" i="2" a="1"/>
  <c r="E1748" i="2" s="1"/>
  <c r="H1743" i="2"/>
  <c r="I1743" i="2" s="1"/>
  <c r="P1743" i="2" s="1"/>
  <c r="M1747" i="2"/>
  <c r="F1747" i="2"/>
  <c r="B1747" i="2"/>
  <c r="C1747" i="2" s="1"/>
  <c r="D1747" i="2" s="1"/>
  <c r="A1748" i="2"/>
  <c r="O1747" i="2"/>
  <c r="J1746" i="2"/>
  <c r="K1746" i="2" s="1"/>
  <c r="G1746" i="2"/>
  <c r="N1742" i="2" l="1"/>
  <c r="L1747" i="2"/>
  <c r="N1743" i="2"/>
  <c r="O1748" i="2"/>
  <c r="M1748" i="2"/>
  <c r="A1749" i="2"/>
  <c r="F1748" i="2"/>
  <c r="B1748" i="2"/>
  <c r="C1748" i="2" s="1"/>
  <c r="D1748" i="2" s="1"/>
  <c r="J1747" i="2"/>
  <c r="K1747" i="2" s="1"/>
  <c r="G1747" i="2"/>
  <c r="H1744" i="2"/>
  <c r="L1748" i="2" l="1"/>
  <c r="E1749" i="2" a="1"/>
  <c r="E1749" i="2" s="1"/>
  <c r="I1744" i="2"/>
  <c r="P1744" i="2" s="1"/>
  <c r="H1745" i="2"/>
  <c r="I1745" i="2" s="1"/>
  <c r="P1745" i="2" s="1"/>
  <c r="J1748" i="2"/>
  <c r="K1748" i="2" s="1"/>
  <c r="G1748" i="2"/>
  <c r="A1750" i="2"/>
  <c r="O1749" i="2"/>
  <c r="M1749" i="2"/>
  <c r="F1749" i="2"/>
  <c r="B1749" i="2"/>
  <c r="C1749" i="2" s="1"/>
  <c r="D1749" i="2" s="1"/>
  <c r="N1744" i="2" l="1"/>
  <c r="L1749" i="2"/>
  <c r="E1750" i="2" a="1"/>
  <c r="E1750" i="2" s="1"/>
  <c r="N1745" i="2"/>
  <c r="J1749" i="2"/>
  <c r="K1749" i="2" s="1"/>
  <c r="G1749" i="2"/>
  <c r="A1751" i="2"/>
  <c r="B1750" i="2"/>
  <c r="C1750" i="2" s="1"/>
  <c r="D1750" i="2" s="1"/>
  <c r="M1750" i="2"/>
  <c r="F1750" i="2"/>
  <c r="O1750" i="2"/>
  <c r="H1746" i="2"/>
  <c r="I1746" i="2" s="1"/>
  <c r="P1746" i="2" s="1"/>
  <c r="N1746" i="2" l="1"/>
  <c r="L1750" i="2"/>
  <c r="E1751" i="2" a="1"/>
  <c r="E1751" i="2" s="1"/>
  <c r="H1747" i="2"/>
  <c r="I1747" i="2" s="1"/>
  <c r="P1747" i="2" s="1"/>
  <c r="J1750" i="2"/>
  <c r="K1750" i="2" s="1"/>
  <c r="G1750" i="2"/>
  <c r="A1752" i="2"/>
  <c r="B1751" i="2"/>
  <c r="C1751" i="2" s="1"/>
  <c r="D1751" i="2" s="1"/>
  <c r="L1751" i="2" s="1"/>
  <c r="O1751" i="2"/>
  <c r="M1751" i="2"/>
  <c r="F1751" i="2"/>
  <c r="N1747" i="2" l="1"/>
  <c r="E1752" i="2" a="1"/>
  <c r="E1752" i="2" s="1"/>
  <c r="J1751" i="2"/>
  <c r="K1751" i="2" s="1"/>
  <c r="G1751" i="2"/>
  <c r="O1752" i="2"/>
  <c r="F1752" i="2"/>
  <c r="B1752" i="2"/>
  <c r="C1752" i="2" s="1"/>
  <c r="D1752" i="2" s="1"/>
  <c r="A1753" i="2"/>
  <c r="M1752" i="2"/>
  <c r="H1748" i="2"/>
  <c r="I1748" i="2" l="1"/>
  <c r="P1748" i="2" s="1"/>
  <c r="E1753" i="2" a="1"/>
  <c r="E1753" i="2" s="1"/>
  <c r="L1752" i="2"/>
  <c r="H1749" i="2"/>
  <c r="I1749" i="2" s="1"/>
  <c r="P1749" i="2" s="1"/>
  <c r="O1753" i="2"/>
  <c r="F1753" i="2"/>
  <c r="A1754" i="2"/>
  <c r="M1753" i="2"/>
  <c r="B1753" i="2"/>
  <c r="C1753" i="2" s="1"/>
  <c r="D1753" i="2" s="1"/>
  <c r="L1753" i="2" s="1"/>
  <c r="G1752" i="2"/>
  <c r="J1752" i="2"/>
  <c r="K1752" i="2" s="1"/>
  <c r="E1754" i="2" l="1" a="1"/>
  <c r="E1754" i="2" s="1"/>
  <c r="N1749" i="2"/>
  <c r="N1748" i="2"/>
  <c r="M1754" i="2"/>
  <c r="F1754" i="2"/>
  <c r="A1755" i="2"/>
  <c r="B1754" i="2"/>
  <c r="C1754" i="2" s="1"/>
  <c r="D1754" i="2" s="1"/>
  <c r="L1754" i="2" s="1"/>
  <c r="O1754" i="2"/>
  <c r="J1753" i="2"/>
  <c r="K1753" i="2" s="1"/>
  <c r="G1753" i="2"/>
  <c r="H1750" i="2"/>
  <c r="E1755" i="2" l="1" a="1"/>
  <c r="E1755" i="2" s="1"/>
  <c r="I1750" i="2"/>
  <c r="P1750" i="2" s="1"/>
  <c r="H1751" i="2"/>
  <c r="M1755" i="2"/>
  <c r="F1755" i="2"/>
  <c r="A1756" i="2"/>
  <c r="O1755" i="2"/>
  <c r="B1755" i="2"/>
  <c r="C1755" i="2" s="1"/>
  <c r="D1755" i="2" s="1"/>
  <c r="L1755" i="2" s="1"/>
  <c r="G1754" i="2"/>
  <c r="J1754" i="2"/>
  <c r="K1754" i="2" s="1"/>
  <c r="N1750" i="2" l="1"/>
  <c r="I1751" i="2"/>
  <c r="P1751" i="2" s="1"/>
  <c r="E1756" i="2" a="1"/>
  <c r="E1756" i="2" s="1"/>
  <c r="O1756" i="2"/>
  <c r="F1756" i="2"/>
  <c r="B1756" i="2"/>
  <c r="C1756" i="2" s="1"/>
  <c r="D1756" i="2" s="1"/>
  <c r="A1757" i="2"/>
  <c r="M1756" i="2"/>
  <c r="J1755" i="2"/>
  <c r="K1755" i="2" s="1"/>
  <c r="G1755" i="2"/>
  <c r="H1752" i="2"/>
  <c r="I1752" i="2" s="1"/>
  <c r="P1752" i="2" s="1"/>
  <c r="L1756" i="2" l="1"/>
  <c r="N1751" i="2"/>
  <c r="E1757" i="2" a="1"/>
  <c r="E1757" i="2" s="1"/>
  <c r="N1752" i="2"/>
  <c r="H1753" i="2"/>
  <c r="I1753" i="2" s="1"/>
  <c r="P1753" i="2" s="1"/>
  <c r="F1757" i="2"/>
  <c r="A1758" i="2"/>
  <c r="B1757" i="2"/>
  <c r="C1757" i="2" s="1"/>
  <c r="D1757" i="2" s="1"/>
  <c r="O1757" i="2"/>
  <c r="M1757" i="2"/>
  <c r="G1756" i="2"/>
  <c r="J1756" i="2"/>
  <c r="K1756" i="2" s="1"/>
  <c r="N1753" i="2" l="1"/>
  <c r="L1757" i="2"/>
  <c r="E1758" i="2" a="1"/>
  <c r="E1758" i="2" s="1"/>
  <c r="A1759" i="2"/>
  <c r="B1758" i="2"/>
  <c r="C1758" i="2" s="1"/>
  <c r="D1758" i="2" s="1"/>
  <c r="M1758" i="2"/>
  <c r="F1758" i="2"/>
  <c r="O1758" i="2"/>
  <c r="J1757" i="2"/>
  <c r="K1757" i="2" s="1"/>
  <c r="G1757" i="2"/>
  <c r="H1754" i="2"/>
  <c r="I1754" i="2" s="1"/>
  <c r="P1754" i="2" s="1"/>
  <c r="E1759" i="2" l="1" a="1"/>
  <c r="E1759" i="2" s="1"/>
  <c r="N1754" i="2"/>
  <c r="L1758" i="2"/>
  <c r="H1755" i="2"/>
  <c r="I1755" i="2" s="1"/>
  <c r="P1755" i="2" s="1"/>
  <c r="J1758" i="2"/>
  <c r="K1758" i="2" s="1"/>
  <c r="G1758" i="2"/>
  <c r="A1760" i="2"/>
  <c r="B1759" i="2"/>
  <c r="C1759" i="2" s="1"/>
  <c r="D1759" i="2" s="1"/>
  <c r="L1759" i="2" s="1"/>
  <c r="O1759" i="2"/>
  <c r="M1759" i="2"/>
  <c r="F1759" i="2"/>
  <c r="N1755" i="2" l="1"/>
  <c r="E1760" i="2" a="1"/>
  <c r="E1760" i="2" s="1"/>
  <c r="J1759" i="2"/>
  <c r="K1759" i="2" s="1"/>
  <c r="G1759" i="2"/>
  <c r="A1761" i="2"/>
  <c r="B1760" i="2"/>
  <c r="C1760" i="2" s="1"/>
  <c r="D1760" i="2" s="1"/>
  <c r="O1760" i="2"/>
  <c r="M1760" i="2"/>
  <c r="F1760" i="2"/>
  <c r="H1756" i="2"/>
  <c r="I1756" i="2" s="1"/>
  <c r="P1756" i="2" s="1"/>
  <c r="N1756" i="2" l="1"/>
  <c r="E1761" i="2" a="1"/>
  <c r="E1761" i="2" s="1"/>
  <c r="L1760" i="2"/>
  <c r="H1757" i="2"/>
  <c r="I1757" i="2" s="1"/>
  <c r="P1757" i="2" s="1"/>
  <c r="G1760" i="2"/>
  <c r="J1760" i="2"/>
  <c r="K1760" i="2" s="1"/>
  <c r="F1761" i="2"/>
  <c r="O1761" i="2"/>
  <c r="M1761" i="2"/>
  <c r="A1762" i="2"/>
  <c r="B1761" i="2"/>
  <c r="C1761" i="2" s="1"/>
  <c r="D1761" i="2" s="1"/>
  <c r="L1761" i="2" s="1"/>
  <c r="N1757" i="2" l="1"/>
  <c r="E1762" i="2" a="1"/>
  <c r="E1762" i="2" s="1"/>
  <c r="F1762" i="2"/>
  <c r="A1763" i="2"/>
  <c r="B1762" i="2"/>
  <c r="C1762" i="2" s="1"/>
  <c r="D1762" i="2" s="1"/>
  <c r="L1762" i="2" s="1"/>
  <c r="O1762" i="2"/>
  <c r="M1762" i="2"/>
  <c r="G1761" i="2"/>
  <c r="J1761" i="2"/>
  <c r="K1761" i="2" s="1"/>
  <c r="H1758" i="2"/>
  <c r="I1758" i="2" s="1"/>
  <c r="P1758" i="2" s="1"/>
  <c r="N1758" i="2" l="1"/>
  <c r="E1763" i="2" a="1"/>
  <c r="E1763" i="2" s="1"/>
  <c r="H1759" i="2"/>
  <c r="M1763" i="2"/>
  <c r="A1764" i="2"/>
  <c r="O1763" i="2"/>
  <c r="F1763" i="2"/>
  <c r="B1763" i="2"/>
  <c r="C1763" i="2" s="1"/>
  <c r="D1763" i="2" s="1"/>
  <c r="J1762" i="2"/>
  <c r="K1762" i="2" s="1"/>
  <c r="G1762" i="2"/>
  <c r="L1763" i="2" l="1"/>
  <c r="I1759" i="2"/>
  <c r="P1759" i="2" s="1"/>
  <c r="E1764" i="2" a="1"/>
  <c r="E1764" i="2" s="1"/>
  <c r="J1763" i="2"/>
  <c r="K1763" i="2" s="1"/>
  <c r="G1763" i="2"/>
  <c r="O1764" i="2"/>
  <c r="M1764" i="2"/>
  <c r="F1764" i="2"/>
  <c r="B1764" i="2"/>
  <c r="C1764" i="2" s="1"/>
  <c r="D1764" i="2" s="1"/>
  <c r="A1765" i="2"/>
  <c r="H1760" i="2"/>
  <c r="I1760" i="2" s="1"/>
  <c r="P1760" i="2" s="1"/>
  <c r="N1760" i="2" l="1"/>
  <c r="L1764" i="2"/>
  <c r="N1759" i="2"/>
  <c r="E1765" i="2" a="1"/>
  <c r="E1765" i="2" s="1"/>
  <c r="H1761" i="2"/>
  <c r="A1766" i="2"/>
  <c r="B1765" i="2"/>
  <c r="C1765" i="2" s="1"/>
  <c r="D1765" i="2" s="1"/>
  <c r="L1765" i="2" s="1"/>
  <c r="F1765" i="2"/>
  <c r="O1765" i="2"/>
  <c r="M1765" i="2"/>
  <c r="J1764" i="2"/>
  <c r="K1764" i="2" s="1"/>
  <c r="G1764" i="2"/>
  <c r="I1761" i="2" l="1"/>
  <c r="P1761" i="2" s="1"/>
  <c r="E1766" i="2" a="1"/>
  <c r="E1766" i="2" s="1"/>
  <c r="J1765" i="2"/>
  <c r="K1765" i="2" s="1"/>
  <c r="G1765" i="2"/>
  <c r="A1767" i="2"/>
  <c r="B1766" i="2"/>
  <c r="C1766" i="2" s="1"/>
  <c r="D1766" i="2" s="1"/>
  <c r="M1766" i="2"/>
  <c r="F1766" i="2"/>
  <c r="O1766" i="2"/>
  <c r="H1762" i="2"/>
  <c r="N1761" i="2" l="1"/>
  <c r="I1762" i="2"/>
  <c r="P1762" i="2" s="1"/>
  <c r="L1766" i="2"/>
  <c r="E1767" i="2" a="1"/>
  <c r="E1767" i="2" s="1"/>
  <c r="H1763" i="2"/>
  <c r="I1763" i="2" s="1"/>
  <c r="P1763" i="2" s="1"/>
  <c r="J1766" i="2"/>
  <c r="K1766" i="2" s="1"/>
  <c r="G1766" i="2"/>
  <c r="A1768" i="2"/>
  <c r="B1767" i="2"/>
  <c r="C1767" i="2" s="1"/>
  <c r="D1767" i="2" s="1"/>
  <c r="L1767" i="2" s="1"/>
  <c r="O1767" i="2"/>
  <c r="M1767" i="2"/>
  <c r="F1767" i="2"/>
  <c r="N1762" i="2" l="1"/>
  <c r="E1768" i="2" a="1"/>
  <c r="E1768" i="2" s="1"/>
  <c r="N1763" i="2"/>
  <c r="J1767" i="2"/>
  <c r="K1767" i="2" s="1"/>
  <c r="G1767" i="2"/>
  <c r="O1768" i="2"/>
  <c r="F1768" i="2"/>
  <c r="A1769" i="2"/>
  <c r="M1768" i="2"/>
  <c r="B1768" i="2"/>
  <c r="C1768" i="2" s="1"/>
  <c r="D1768" i="2" s="1"/>
  <c r="H1764" i="2"/>
  <c r="L1768" i="2" l="1"/>
  <c r="I1764" i="2"/>
  <c r="P1764" i="2" s="1"/>
  <c r="E1769" i="2" a="1"/>
  <c r="E1769" i="2" s="1"/>
  <c r="H1765" i="2"/>
  <c r="O1769" i="2"/>
  <c r="M1769" i="2"/>
  <c r="F1769" i="2"/>
  <c r="A1770" i="2"/>
  <c r="B1769" i="2"/>
  <c r="C1769" i="2" s="1"/>
  <c r="D1769" i="2" s="1"/>
  <c r="G1768" i="2"/>
  <c r="J1768" i="2"/>
  <c r="K1768" i="2" s="1"/>
  <c r="I1765" i="2" l="1"/>
  <c r="P1765" i="2" s="1"/>
  <c r="N1764" i="2"/>
  <c r="L1769" i="2"/>
  <c r="E1770" i="2" a="1"/>
  <c r="E1770" i="2" s="1"/>
  <c r="M1770" i="2"/>
  <c r="F1770" i="2"/>
  <c r="A1771" i="2"/>
  <c r="B1770" i="2"/>
  <c r="C1770" i="2" s="1"/>
  <c r="D1770" i="2" s="1"/>
  <c r="O1770" i="2"/>
  <c r="J1769" i="2"/>
  <c r="K1769" i="2" s="1"/>
  <c r="G1769" i="2"/>
  <c r="H1766" i="2"/>
  <c r="N1765" i="2" l="1"/>
  <c r="I1766" i="2"/>
  <c r="P1766" i="2" s="1"/>
  <c r="E1771" i="2" a="1"/>
  <c r="E1771" i="2" s="1"/>
  <c r="L1770" i="2"/>
  <c r="H1767" i="2"/>
  <c r="M1771" i="2"/>
  <c r="F1771" i="2"/>
  <c r="O1771" i="2"/>
  <c r="B1771" i="2"/>
  <c r="C1771" i="2" s="1"/>
  <c r="D1771" i="2" s="1"/>
  <c r="L1771" i="2" s="1"/>
  <c r="A1772" i="2"/>
  <c r="G1770" i="2"/>
  <c r="J1770" i="2"/>
  <c r="K1770" i="2" s="1"/>
  <c r="N1766" i="2" l="1"/>
  <c r="E1772" i="2" a="1"/>
  <c r="E1772" i="2" s="1"/>
  <c r="I1767" i="2"/>
  <c r="P1767" i="2" s="1"/>
  <c r="O1772" i="2"/>
  <c r="A1773" i="2"/>
  <c r="M1772" i="2"/>
  <c r="F1772" i="2"/>
  <c r="B1772" i="2"/>
  <c r="C1772" i="2" s="1"/>
  <c r="D1772" i="2" s="1"/>
  <c r="J1771" i="2"/>
  <c r="K1771" i="2" s="1"/>
  <c r="G1771" i="2"/>
  <c r="H1768" i="2"/>
  <c r="I1768" i="2" s="1"/>
  <c r="P1768" i="2" s="1"/>
  <c r="N1768" i="2" l="1"/>
  <c r="N1767" i="2"/>
  <c r="L1772" i="2"/>
  <c r="E1773" i="2" a="1"/>
  <c r="E1773" i="2" s="1"/>
  <c r="H1769" i="2"/>
  <c r="I1769" i="2" s="1"/>
  <c r="P1769" i="2" s="1"/>
  <c r="J1772" i="2"/>
  <c r="K1772" i="2" s="1"/>
  <c r="G1772" i="2"/>
  <c r="F1773" i="2"/>
  <c r="A1774" i="2"/>
  <c r="B1773" i="2"/>
  <c r="C1773" i="2" s="1"/>
  <c r="D1773" i="2" s="1"/>
  <c r="L1773" i="2" s="1"/>
  <c r="M1773" i="2"/>
  <c r="O1773" i="2"/>
  <c r="E1774" i="2" l="1" a="1"/>
  <c r="E1774" i="2" s="1"/>
  <c r="N1769" i="2"/>
  <c r="A1775" i="2"/>
  <c r="B1774" i="2"/>
  <c r="C1774" i="2" s="1"/>
  <c r="D1774" i="2" s="1"/>
  <c r="M1774" i="2"/>
  <c r="F1774" i="2"/>
  <c r="O1774" i="2"/>
  <c r="J1773" i="2"/>
  <c r="K1773" i="2" s="1"/>
  <c r="G1773" i="2"/>
  <c r="H1770" i="2"/>
  <c r="I1770" i="2" s="1"/>
  <c r="P1770" i="2" s="1"/>
  <c r="N1770" i="2" l="1"/>
  <c r="E1775" i="2" a="1"/>
  <c r="E1775" i="2" s="1"/>
  <c r="L1774" i="2"/>
  <c r="H1771" i="2"/>
  <c r="I1771" i="2" s="1"/>
  <c r="P1771" i="2" s="1"/>
  <c r="J1774" i="2"/>
  <c r="K1774" i="2" s="1"/>
  <c r="G1774" i="2"/>
  <c r="A1776" i="2"/>
  <c r="B1775" i="2"/>
  <c r="C1775" i="2" s="1"/>
  <c r="D1775" i="2" s="1"/>
  <c r="O1775" i="2"/>
  <c r="M1775" i="2"/>
  <c r="F1775" i="2"/>
  <c r="N1771" i="2" l="1"/>
  <c r="E1776" i="2" a="1"/>
  <c r="E1776" i="2" s="1"/>
  <c r="L1775" i="2"/>
  <c r="G1775" i="2"/>
  <c r="J1775" i="2"/>
  <c r="K1775" i="2" s="1"/>
  <c r="F1776" i="2"/>
  <c r="A1777" i="2"/>
  <c r="B1776" i="2"/>
  <c r="C1776" i="2" s="1"/>
  <c r="D1776" i="2" s="1"/>
  <c r="L1776" i="2" s="1"/>
  <c r="O1776" i="2"/>
  <c r="M1776" i="2"/>
  <c r="H1772" i="2"/>
  <c r="I1772" i="2" s="1"/>
  <c r="P1772" i="2" s="1"/>
  <c r="N1772" i="2" l="1"/>
  <c r="E1777" i="2" a="1"/>
  <c r="E1777" i="2" s="1"/>
  <c r="H1773" i="2"/>
  <c r="I1773" i="2" s="1"/>
  <c r="P1773" i="2" s="1"/>
  <c r="F1777" i="2"/>
  <c r="A1778" i="2"/>
  <c r="B1777" i="2"/>
  <c r="C1777" i="2" s="1"/>
  <c r="D1777" i="2" s="1"/>
  <c r="L1777" i="2" s="1"/>
  <c r="O1777" i="2"/>
  <c r="M1777" i="2"/>
  <c r="G1776" i="2"/>
  <c r="J1776" i="2"/>
  <c r="K1776" i="2" s="1"/>
  <c r="N1773" i="2" l="1"/>
  <c r="E1778" i="2" a="1"/>
  <c r="E1778" i="2" s="1"/>
  <c r="F1778" i="2"/>
  <c r="A1779" i="2"/>
  <c r="B1778" i="2"/>
  <c r="C1778" i="2" s="1"/>
  <c r="D1778" i="2" s="1"/>
  <c r="O1778" i="2"/>
  <c r="M1778" i="2"/>
  <c r="G1777" i="2"/>
  <c r="J1777" i="2"/>
  <c r="K1777" i="2" s="1"/>
  <c r="H1774" i="2"/>
  <c r="I1774" i="2" l="1"/>
  <c r="P1774" i="2" s="1"/>
  <c r="L1778" i="2"/>
  <c r="E1779" i="2" a="1"/>
  <c r="E1779" i="2" s="1"/>
  <c r="H1775" i="2"/>
  <c r="A1780" i="2"/>
  <c r="B1779" i="2"/>
  <c r="C1779" i="2" s="1"/>
  <c r="D1779" i="2" s="1"/>
  <c r="L1779" i="2" s="1"/>
  <c r="O1779" i="2"/>
  <c r="M1779" i="2"/>
  <c r="F1779" i="2"/>
  <c r="J1778" i="2"/>
  <c r="K1778" i="2" s="1"/>
  <c r="G1778" i="2"/>
  <c r="N1774" i="2" l="1"/>
  <c r="I1775" i="2"/>
  <c r="P1775" i="2" s="1"/>
  <c r="E1780" i="2" a="1"/>
  <c r="E1780" i="2" s="1"/>
  <c r="G1779" i="2"/>
  <c r="J1779" i="2"/>
  <c r="K1779" i="2" s="1"/>
  <c r="A1781" i="2"/>
  <c r="B1780" i="2"/>
  <c r="C1780" i="2" s="1"/>
  <c r="D1780" i="2" s="1"/>
  <c r="L1780" i="2" s="1"/>
  <c r="O1780" i="2"/>
  <c r="M1780" i="2"/>
  <c r="F1780" i="2"/>
  <c r="H1776" i="2"/>
  <c r="I1776" i="2" s="1"/>
  <c r="P1776" i="2" s="1"/>
  <c r="N1775" i="2" l="1"/>
  <c r="E1781" i="2" a="1"/>
  <c r="E1781" i="2" s="1"/>
  <c r="N1776" i="2"/>
  <c r="H1777" i="2"/>
  <c r="J1780" i="2"/>
  <c r="K1780" i="2" s="1"/>
  <c r="G1780" i="2"/>
  <c r="A1782" i="2"/>
  <c r="B1781" i="2"/>
  <c r="C1781" i="2" s="1"/>
  <c r="D1781" i="2" s="1"/>
  <c r="L1781" i="2" s="1"/>
  <c r="O1781" i="2"/>
  <c r="M1781" i="2"/>
  <c r="F1781" i="2"/>
  <c r="I1777" i="2" l="1"/>
  <c r="P1777" i="2" s="1"/>
  <c r="E1782" i="2" a="1"/>
  <c r="E1782" i="2" s="1"/>
  <c r="J1781" i="2"/>
  <c r="K1781" i="2" s="1"/>
  <c r="G1781" i="2"/>
  <c r="A1783" i="2"/>
  <c r="B1782" i="2"/>
  <c r="C1782" i="2" s="1"/>
  <c r="D1782" i="2" s="1"/>
  <c r="L1782" i="2" s="1"/>
  <c r="O1782" i="2"/>
  <c r="M1782" i="2"/>
  <c r="F1782" i="2"/>
  <c r="H1778" i="2"/>
  <c r="I1778" i="2" l="1"/>
  <c r="P1778" i="2" s="1"/>
  <c r="E1783" i="2" a="1"/>
  <c r="E1783" i="2" s="1"/>
  <c r="N1777" i="2"/>
  <c r="H1779" i="2"/>
  <c r="I1779" i="2" s="1"/>
  <c r="P1779" i="2" s="1"/>
  <c r="J1782" i="2"/>
  <c r="K1782" i="2" s="1"/>
  <c r="G1782" i="2"/>
  <c r="A1784" i="2"/>
  <c r="B1783" i="2"/>
  <c r="C1783" i="2" s="1"/>
  <c r="D1783" i="2" s="1"/>
  <c r="L1783" i="2" s="1"/>
  <c r="O1783" i="2"/>
  <c r="M1783" i="2"/>
  <c r="F1783" i="2"/>
  <c r="N1779" i="2" l="1"/>
  <c r="N1778" i="2"/>
  <c r="E1784" i="2" a="1"/>
  <c r="E1784" i="2" s="1"/>
  <c r="J1783" i="2"/>
  <c r="K1783" i="2" s="1"/>
  <c r="G1783" i="2"/>
  <c r="O1784" i="2"/>
  <c r="M1784" i="2"/>
  <c r="F1784" i="2"/>
  <c r="A1785" i="2"/>
  <c r="B1784" i="2"/>
  <c r="C1784" i="2" s="1"/>
  <c r="D1784" i="2" s="1"/>
  <c r="H1780" i="2"/>
  <c r="L1784" i="2" l="1"/>
  <c r="I1780" i="2"/>
  <c r="P1780" i="2" s="1"/>
  <c r="E1785" i="2" a="1"/>
  <c r="E1785" i="2" s="1"/>
  <c r="H1781" i="2"/>
  <c r="O1785" i="2"/>
  <c r="M1785" i="2"/>
  <c r="F1785" i="2"/>
  <c r="A1786" i="2"/>
  <c r="B1785" i="2"/>
  <c r="C1785" i="2" s="1"/>
  <c r="D1785" i="2" s="1"/>
  <c r="L1785" i="2" s="1"/>
  <c r="J1784" i="2"/>
  <c r="K1784" i="2" s="1"/>
  <c r="G1784" i="2"/>
  <c r="N1780" i="2" l="1"/>
  <c r="E1786" i="2" a="1"/>
  <c r="E1786" i="2" s="1"/>
  <c r="I1781" i="2"/>
  <c r="P1781" i="2" s="1"/>
  <c r="M1786" i="2"/>
  <c r="F1786" i="2"/>
  <c r="A1787" i="2"/>
  <c r="B1786" i="2"/>
  <c r="C1786" i="2" s="1"/>
  <c r="D1786" i="2" s="1"/>
  <c r="O1786" i="2"/>
  <c r="J1785" i="2"/>
  <c r="K1785" i="2" s="1"/>
  <c r="G1785" i="2"/>
  <c r="H1782" i="2"/>
  <c r="I1782" i="2" s="1"/>
  <c r="P1782" i="2" s="1"/>
  <c r="N1781" i="2" l="1"/>
  <c r="E1787" i="2" a="1"/>
  <c r="E1787" i="2" s="1"/>
  <c r="N1782" i="2"/>
  <c r="L1786" i="2"/>
  <c r="H1783" i="2"/>
  <c r="I1783" i="2" s="1"/>
  <c r="P1783" i="2" s="1"/>
  <c r="M1787" i="2"/>
  <c r="F1787" i="2"/>
  <c r="A1788" i="2"/>
  <c r="B1787" i="2"/>
  <c r="C1787" i="2" s="1"/>
  <c r="D1787" i="2" s="1"/>
  <c r="L1787" i="2" s="1"/>
  <c r="O1787" i="2"/>
  <c r="J1786" i="2"/>
  <c r="K1786" i="2" s="1"/>
  <c r="G1786" i="2"/>
  <c r="N1783" i="2" l="1"/>
  <c r="E1788" i="2" a="1"/>
  <c r="E1788" i="2" s="1"/>
  <c r="F1788" i="2"/>
  <c r="A1789" i="2"/>
  <c r="B1788" i="2"/>
  <c r="C1788" i="2" s="1"/>
  <c r="D1788" i="2" s="1"/>
  <c r="L1788" i="2" s="1"/>
  <c r="O1788" i="2"/>
  <c r="M1788" i="2"/>
  <c r="J1787" i="2"/>
  <c r="K1787" i="2" s="1"/>
  <c r="G1787" i="2"/>
  <c r="H1784" i="2"/>
  <c r="E1789" i="2" l="1" a="1"/>
  <c r="E1789" i="2" s="1"/>
  <c r="I1784" i="2"/>
  <c r="P1784" i="2" s="1"/>
  <c r="H1785" i="2"/>
  <c r="I1785" i="2" s="1"/>
  <c r="P1785" i="2" s="1"/>
  <c r="F1789" i="2"/>
  <c r="A1790" i="2"/>
  <c r="B1789" i="2"/>
  <c r="C1789" i="2" s="1"/>
  <c r="D1789" i="2" s="1"/>
  <c r="L1789" i="2" s="1"/>
  <c r="O1789" i="2"/>
  <c r="M1789" i="2"/>
  <c r="J1788" i="2"/>
  <c r="K1788" i="2" s="1"/>
  <c r="G1788" i="2"/>
  <c r="N1784" i="2" l="1"/>
  <c r="N1785" i="2"/>
  <c r="E1790" i="2" a="1"/>
  <c r="E1790" i="2" s="1"/>
  <c r="F1790" i="2"/>
  <c r="A1791" i="2"/>
  <c r="B1790" i="2"/>
  <c r="C1790" i="2" s="1"/>
  <c r="D1790" i="2" s="1"/>
  <c r="O1790" i="2"/>
  <c r="M1790" i="2"/>
  <c r="J1789" i="2"/>
  <c r="K1789" i="2" s="1"/>
  <c r="G1789" i="2"/>
  <c r="H1786" i="2"/>
  <c r="E1791" i="2" l="1" a="1"/>
  <c r="E1791" i="2" s="1"/>
  <c r="I1786" i="2"/>
  <c r="P1786" i="2" s="1"/>
  <c r="L1790" i="2"/>
  <c r="H1787" i="2"/>
  <c r="F1791" i="2"/>
  <c r="A1792" i="2"/>
  <c r="B1791" i="2"/>
  <c r="C1791" i="2" s="1"/>
  <c r="D1791" i="2" s="1"/>
  <c r="L1791" i="2" s="1"/>
  <c r="O1791" i="2"/>
  <c r="M1791" i="2"/>
  <c r="J1790" i="2"/>
  <c r="K1790" i="2" s="1"/>
  <c r="G1790" i="2"/>
  <c r="E1792" i="2" l="1" a="1"/>
  <c r="E1792" i="2" s="1"/>
  <c r="N1786" i="2"/>
  <c r="I1787" i="2"/>
  <c r="P1787" i="2" s="1"/>
  <c r="F1792" i="2"/>
  <c r="A1793" i="2"/>
  <c r="B1792" i="2"/>
  <c r="C1792" i="2" s="1"/>
  <c r="D1792" i="2" s="1"/>
  <c r="O1792" i="2"/>
  <c r="M1792" i="2"/>
  <c r="G1791" i="2"/>
  <c r="J1791" i="2"/>
  <c r="K1791" i="2" s="1"/>
  <c r="H1788" i="2"/>
  <c r="N1787" i="2" l="1"/>
  <c r="E1793" i="2" a="1"/>
  <c r="E1793" i="2" s="1"/>
  <c r="I1788" i="2"/>
  <c r="P1788" i="2" s="1"/>
  <c r="L1792" i="2"/>
  <c r="H1789" i="2"/>
  <c r="F1793" i="2"/>
  <c r="A1794" i="2"/>
  <c r="B1793" i="2"/>
  <c r="C1793" i="2" s="1"/>
  <c r="D1793" i="2" s="1"/>
  <c r="L1793" i="2" s="1"/>
  <c r="O1793" i="2"/>
  <c r="M1793" i="2"/>
  <c r="G1792" i="2"/>
  <c r="J1792" i="2"/>
  <c r="K1792" i="2" s="1"/>
  <c r="N1788" i="2" l="1"/>
  <c r="I1789" i="2"/>
  <c r="P1789" i="2" s="1"/>
  <c r="E1794" i="2" a="1"/>
  <c r="E1794" i="2" s="1"/>
  <c r="F1794" i="2"/>
  <c r="A1795" i="2"/>
  <c r="B1794" i="2"/>
  <c r="C1794" i="2" s="1"/>
  <c r="D1794" i="2" s="1"/>
  <c r="O1794" i="2"/>
  <c r="M1794" i="2"/>
  <c r="G1793" i="2"/>
  <c r="J1793" i="2"/>
  <c r="K1793" i="2" s="1"/>
  <c r="H1790" i="2"/>
  <c r="I1790" i="2" l="1"/>
  <c r="P1790" i="2" s="1"/>
  <c r="E1795" i="2" a="1"/>
  <c r="E1795" i="2" s="1"/>
  <c r="N1789" i="2"/>
  <c r="L1794" i="2"/>
  <c r="H1791" i="2"/>
  <c r="I1791" i="2" s="1"/>
  <c r="P1791" i="2" s="1"/>
  <c r="A1796" i="2"/>
  <c r="B1795" i="2"/>
  <c r="C1795" i="2" s="1"/>
  <c r="D1795" i="2" s="1"/>
  <c r="L1795" i="2" s="1"/>
  <c r="O1795" i="2"/>
  <c r="M1795" i="2"/>
  <c r="F1795" i="2"/>
  <c r="J1794" i="2"/>
  <c r="K1794" i="2" s="1"/>
  <c r="G1794" i="2"/>
  <c r="N1791" i="2" l="1"/>
  <c r="E1796" i="2" a="1"/>
  <c r="E1796" i="2" s="1"/>
  <c r="N1790" i="2"/>
  <c r="J1795" i="2"/>
  <c r="K1795" i="2" s="1"/>
  <c r="G1795" i="2"/>
  <c r="A1797" i="2"/>
  <c r="B1796" i="2"/>
  <c r="C1796" i="2" s="1"/>
  <c r="D1796" i="2" s="1"/>
  <c r="O1796" i="2"/>
  <c r="M1796" i="2"/>
  <c r="F1796" i="2"/>
  <c r="H1792" i="2"/>
  <c r="I1792" i="2" s="1"/>
  <c r="P1792" i="2" s="1"/>
  <c r="N1792" i="2" l="1"/>
  <c r="L1796" i="2"/>
  <c r="E1797" i="2" a="1"/>
  <c r="E1797" i="2" s="1"/>
  <c r="H1793" i="2"/>
  <c r="I1793" i="2" s="1"/>
  <c r="P1793" i="2" s="1"/>
  <c r="J1796" i="2"/>
  <c r="K1796" i="2" s="1"/>
  <c r="G1796" i="2"/>
  <c r="A1798" i="2"/>
  <c r="B1797" i="2"/>
  <c r="C1797" i="2" s="1"/>
  <c r="D1797" i="2" s="1"/>
  <c r="L1797" i="2" s="1"/>
  <c r="O1797" i="2"/>
  <c r="M1797" i="2"/>
  <c r="F1797" i="2"/>
  <c r="N1793" i="2" l="1"/>
  <c r="E1798" i="2" a="1"/>
  <c r="E1798" i="2" s="1"/>
  <c r="J1797" i="2"/>
  <c r="K1797" i="2" s="1"/>
  <c r="G1797" i="2"/>
  <c r="A1799" i="2"/>
  <c r="B1798" i="2"/>
  <c r="C1798" i="2" s="1"/>
  <c r="D1798" i="2" s="1"/>
  <c r="L1798" i="2" s="1"/>
  <c r="O1798" i="2"/>
  <c r="M1798" i="2"/>
  <c r="F1798" i="2"/>
  <c r="H1794" i="2"/>
  <c r="I1794" i="2" s="1"/>
  <c r="P1794" i="2" s="1"/>
  <c r="N1794" i="2" l="1"/>
  <c r="E1799" i="2" a="1"/>
  <c r="E1799" i="2" s="1"/>
  <c r="H1795" i="2"/>
  <c r="I1795" i="2" s="1"/>
  <c r="P1795" i="2" s="1"/>
  <c r="J1798" i="2"/>
  <c r="K1798" i="2" s="1"/>
  <c r="G1798" i="2"/>
  <c r="A1800" i="2"/>
  <c r="B1799" i="2"/>
  <c r="C1799" i="2" s="1"/>
  <c r="D1799" i="2" s="1"/>
  <c r="L1799" i="2" s="1"/>
  <c r="O1799" i="2"/>
  <c r="M1799" i="2"/>
  <c r="F1799" i="2"/>
  <c r="E1800" i="2" l="1" a="1"/>
  <c r="E1800" i="2" s="1"/>
  <c r="N1795" i="2"/>
  <c r="J1799" i="2"/>
  <c r="K1799" i="2" s="1"/>
  <c r="G1799" i="2"/>
  <c r="O1800" i="2"/>
  <c r="M1800" i="2"/>
  <c r="F1800" i="2"/>
  <c r="A1801" i="2"/>
  <c r="B1800" i="2"/>
  <c r="C1800" i="2" s="1"/>
  <c r="D1800" i="2" s="1"/>
  <c r="L1800" i="2" s="1"/>
  <c r="H1796" i="2"/>
  <c r="I1796" i="2" l="1"/>
  <c r="P1796" i="2" s="1"/>
  <c r="E1801" i="2" a="1"/>
  <c r="E1801" i="2" s="1"/>
  <c r="H1797" i="2"/>
  <c r="I1797" i="2" s="1"/>
  <c r="P1797" i="2" s="1"/>
  <c r="O1801" i="2"/>
  <c r="M1801" i="2"/>
  <c r="F1801" i="2"/>
  <c r="A1802" i="2"/>
  <c r="B1801" i="2"/>
  <c r="C1801" i="2" s="1"/>
  <c r="D1801" i="2" s="1"/>
  <c r="J1800" i="2"/>
  <c r="K1800" i="2" s="1"/>
  <c r="G1800" i="2"/>
  <c r="N1796" i="2" l="1"/>
  <c r="L1801" i="2"/>
  <c r="N1797" i="2"/>
  <c r="E1802" i="2" a="1"/>
  <c r="E1802" i="2" s="1"/>
  <c r="M1802" i="2"/>
  <c r="F1802" i="2"/>
  <c r="A1803" i="2"/>
  <c r="B1802" i="2"/>
  <c r="C1802" i="2" s="1"/>
  <c r="D1802" i="2" s="1"/>
  <c r="O1802" i="2"/>
  <c r="J1801" i="2"/>
  <c r="K1801" i="2" s="1"/>
  <c r="G1801" i="2"/>
  <c r="H1798" i="2"/>
  <c r="I1798" i="2" l="1"/>
  <c r="P1798" i="2" s="1"/>
  <c r="L1802" i="2"/>
  <c r="E1803" i="2" a="1"/>
  <c r="E1803" i="2" s="1"/>
  <c r="H1799" i="2"/>
  <c r="M1803" i="2"/>
  <c r="F1803" i="2"/>
  <c r="A1804" i="2"/>
  <c r="B1803" i="2"/>
  <c r="C1803" i="2" s="1"/>
  <c r="D1803" i="2" s="1"/>
  <c r="O1803" i="2"/>
  <c r="J1802" i="2"/>
  <c r="K1802" i="2" s="1"/>
  <c r="G1802" i="2"/>
  <c r="L1803" i="2" l="1"/>
  <c r="I1799" i="2"/>
  <c r="P1799" i="2" s="1"/>
  <c r="N1798" i="2"/>
  <c r="E1804" i="2" a="1"/>
  <c r="E1804" i="2" s="1"/>
  <c r="F1804" i="2"/>
  <c r="A1805" i="2"/>
  <c r="B1804" i="2"/>
  <c r="C1804" i="2" s="1"/>
  <c r="D1804" i="2" s="1"/>
  <c r="L1804" i="2" s="1"/>
  <c r="O1804" i="2"/>
  <c r="M1804" i="2"/>
  <c r="J1803" i="2"/>
  <c r="K1803" i="2" s="1"/>
  <c r="G1803" i="2"/>
  <c r="H1800" i="2"/>
  <c r="E1805" i="2" l="1" a="1"/>
  <c r="E1805" i="2" s="1"/>
  <c r="I1800" i="2"/>
  <c r="P1800" i="2" s="1"/>
  <c r="N1799" i="2"/>
  <c r="H1801" i="2"/>
  <c r="F1805" i="2"/>
  <c r="A1806" i="2"/>
  <c r="B1805" i="2"/>
  <c r="C1805" i="2" s="1"/>
  <c r="D1805" i="2" s="1"/>
  <c r="L1805" i="2" s="1"/>
  <c r="O1805" i="2"/>
  <c r="M1805" i="2"/>
  <c r="J1804" i="2"/>
  <c r="K1804" i="2" s="1"/>
  <c r="G1804" i="2"/>
  <c r="I1801" i="2" l="1"/>
  <c r="P1801" i="2" s="1"/>
  <c r="N1800" i="2"/>
  <c r="E1806" i="2" a="1"/>
  <c r="E1806" i="2" s="1"/>
  <c r="F1806" i="2"/>
  <c r="A1807" i="2"/>
  <c r="B1806" i="2"/>
  <c r="C1806" i="2" s="1"/>
  <c r="D1806" i="2" s="1"/>
  <c r="L1806" i="2" s="1"/>
  <c r="O1806" i="2"/>
  <c r="M1806" i="2"/>
  <c r="J1805" i="2"/>
  <c r="K1805" i="2" s="1"/>
  <c r="G1805" i="2"/>
  <c r="H1802" i="2"/>
  <c r="I1802" i="2" s="1"/>
  <c r="P1802" i="2" s="1"/>
  <c r="N1801" i="2" l="1"/>
  <c r="N1802" i="2"/>
  <c r="E1807" i="2" a="1"/>
  <c r="E1807" i="2" s="1"/>
  <c r="H1803" i="2"/>
  <c r="I1803" i="2" s="1"/>
  <c r="P1803" i="2" s="1"/>
  <c r="F1807" i="2"/>
  <c r="A1808" i="2"/>
  <c r="B1807" i="2"/>
  <c r="C1807" i="2" s="1"/>
  <c r="D1807" i="2" s="1"/>
  <c r="O1807" i="2"/>
  <c r="M1807" i="2"/>
  <c r="J1806" i="2"/>
  <c r="K1806" i="2" s="1"/>
  <c r="G1806" i="2"/>
  <c r="L1807" i="2" l="1"/>
  <c r="E1808" i="2" a="1"/>
  <c r="E1808" i="2" s="1"/>
  <c r="N1803" i="2"/>
  <c r="F1808" i="2"/>
  <c r="A1809" i="2"/>
  <c r="B1808" i="2"/>
  <c r="C1808" i="2" s="1"/>
  <c r="D1808" i="2" s="1"/>
  <c r="O1808" i="2"/>
  <c r="M1808" i="2"/>
  <c r="G1807" i="2"/>
  <c r="J1807" i="2"/>
  <c r="K1807" i="2" s="1"/>
  <c r="H1804" i="2"/>
  <c r="I1804" i="2" s="1"/>
  <c r="P1804" i="2" s="1"/>
  <c r="N1804" i="2" l="1"/>
  <c r="L1808" i="2"/>
  <c r="E1809" i="2" a="1"/>
  <c r="E1809" i="2" s="1"/>
  <c r="H1805" i="2"/>
  <c r="I1805" i="2" s="1"/>
  <c r="P1805" i="2" s="1"/>
  <c r="F1809" i="2"/>
  <c r="A1810" i="2"/>
  <c r="B1809" i="2"/>
  <c r="C1809" i="2" s="1"/>
  <c r="D1809" i="2" s="1"/>
  <c r="L1809" i="2" s="1"/>
  <c r="O1809" i="2"/>
  <c r="M1809" i="2"/>
  <c r="G1808" i="2"/>
  <c r="J1808" i="2"/>
  <c r="K1808" i="2" s="1"/>
  <c r="N1805" i="2" l="1"/>
  <c r="E1810" i="2" a="1"/>
  <c r="E1810" i="2" s="1"/>
  <c r="F1810" i="2"/>
  <c r="A1811" i="2"/>
  <c r="B1810" i="2"/>
  <c r="C1810" i="2" s="1"/>
  <c r="D1810" i="2" s="1"/>
  <c r="L1810" i="2" s="1"/>
  <c r="O1810" i="2"/>
  <c r="M1810" i="2"/>
  <c r="G1809" i="2"/>
  <c r="J1809" i="2"/>
  <c r="K1809" i="2" s="1"/>
  <c r="H1806" i="2"/>
  <c r="E1811" i="2" l="1" a="1"/>
  <c r="E1811" i="2" s="1"/>
  <c r="I1806" i="2"/>
  <c r="P1806" i="2" s="1"/>
  <c r="H1807" i="2"/>
  <c r="A1812" i="2"/>
  <c r="B1811" i="2"/>
  <c r="C1811" i="2" s="1"/>
  <c r="D1811" i="2" s="1"/>
  <c r="L1811" i="2" s="1"/>
  <c r="O1811" i="2"/>
  <c r="M1811" i="2"/>
  <c r="F1811" i="2"/>
  <c r="J1810" i="2"/>
  <c r="K1810" i="2" s="1"/>
  <c r="G1810" i="2"/>
  <c r="N1806" i="2" l="1"/>
  <c r="E1812" i="2" a="1"/>
  <c r="E1812" i="2" s="1"/>
  <c r="I1807" i="2"/>
  <c r="P1807" i="2" s="1"/>
  <c r="J1811" i="2"/>
  <c r="K1811" i="2" s="1"/>
  <c r="G1811" i="2"/>
  <c r="A1813" i="2"/>
  <c r="B1812" i="2"/>
  <c r="C1812" i="2" s="1"/>
  <c r="D1812" i="2" s="1"/>
  <c r="L1812" i="2" s="1"/>
  <c r="O1812" i="2"/>
  <c r="M1812" i="2"/>
  <c r="F1812" i="2"/>
  <c r="H1808" i="2"/>
  <c r="I1808" i="2" s="1"/>
  <c r="P1808" i="2" s="1"/>
  <c r="N1807" i="2" l="1"/>
  <c r="N1808" i="2"/>
  <c r="E1813" i="2" a="1"/>
  <c r="E1813" i="2" s="1"/>
  <c r="H1809" i="2"/>
  <c r="I1809" i="2" s="1"/>
  <c r="P1809" i="2" s="1"/>
  <c r="J1812" i="2"/>
  <c r="K1812" i="2" s="1"/>
  <c r="G1812" i="2"/>
  <c r="A1814" i="2"/>
  <c r="B1813" i="2"/>
  <c r="C1813" i="2" s="1"/>
  <c r="D1813" i="2" s="1"/>
  <c r="O1813" i="2"/>
  <c r="M1813" i="2"/>
  <c r="F1813" i="2"/>
  <c r="N1809" i="2" l="1"/>
  <c r="L1813" i="2"/>
  <c r="E1814" i="2" a="1"/>
  <c r="E1814" i="2" s="1"/>
  <c r="J1813" i="2"/>
  <c r="K1813" i="2" s="1"/>
  <c r="G1813" i="2"/>
  <c r="A1815" i="2"/>
  <c r="B1814" i="2"/>
  <c r="C1814" i="2" s="1"/>
  <c r="D1814" i="2" s="1"/>
  <c r="O1814" i="2"/>
  <c r="M1814" i="2"/>
  <c r="F1814" i="2"/>
  <c r="H1810" i="2"/>
  <c r="I1810" i="2" s="1"/>
  <c r="P1810" i="2" s="1"/>
  <c r="L1814" i="2" l="1"/>
  <c r="E1815" i="2" a="1"/>
  <c r="E1815" i="2" s="1"/>
  <c r="N1810" i="2"/>
  <c r="H1811" i="2"/>
  <c r="J1814" i="2"/>
  <c r="K1814" i="2" s="1"/>
  <c r="G1814" i="2"/>
  <c r="A1816" i="2"/>
  <c r="B1815" i="2"/>
  <c r="C1815" i="2" s="1"/>
  <c r="D1815" i="2" s="1"/>
  <c r="O1815" i="2"/>
  <c r="M1815" i="2"/>
  <c r="F1815" i="2"/>
  <c r="L1815" i="2" l="1"/>
  <c r="E1816" i="2" a="1"/>
  <c r="E1816" i="2" s="1"/>
  <c r="I1811" i="2"/>
  <c r="P1811" i="2" s="1"/>
  <c r="J1815" i="2"/>
  <c r="K1815" i="2" s="1"/>
  <c r="G1815" i="2"/>
  <c r="O1816" i="2"/>
  <c r="M1816" i="2"/>
  <c r="F1816" i="2"/>
  <c r="B1816" i="2"/>
  <c r="C1816" i="2" s="1"/>
  <c r="D1816" i="2" s="1"/>
  <c r="A1817" i="2"/>
  <c r="H1812" i="2"/>
  <c r="I1812" i="2" s="1"/>
  <c r="P1812" i="2" s="1"/>
  <c r="N1811" i="2" l="1"/>
  <c r="N1812" i="2"/>
  <c r="L1816" i="2"/>
  <c r="E1817" i="2" a="1"/>
  <c r="E1817" i="2" s="1"/>
  <c r="H1813" i="2"/>
  <c r="O1817" i="2"/>
  <c r="M1817" i="2"/>
  <c r="F1817" i="2"/>
  <c r="A1818" i="2"/>
  <c r="B1817" i="2"/>
  <c r="C1817" i="2" s="1"/>
  <c r="D1817" i="2" s="1"/>
  <c r="J1816" i="2"/>
  <c r="K1816" i="2" s="1"/>
  <c r="G1816" i="2"/>
  <c r="L1817" i="2" l="1"/>
  <c r="I1813" i="2"/>
  <c r="P1813" i="2" s="1"/>
  <c r="E1818" i="2" a="1"/>
  <c r="E1818" i="2" s="1"/>
  <c r="M1818" i="2"/>
  <c r="F1818" i="2"/>
  <c r="A1819" i="2"/>
  <c r="B1818" i="2"/>
  <c r="C1818" i="2" s="1"/>
  <c r="D1818" i="2" s="1"/>
  <c r="L1818" i="2" s="1"/>
  <c r="O1818" i="2"/>
  <c r="J1817" i="2"/>
  <c r="K1817" i="2" s="1"/>
  <c r="G1817" i="2"/>
  <c r="H1814" i="2"/>
  <c r="I1814" i="2" s="1"/>
  <c r="P1814" i="2" s="1"/>
  <c r="N1814" i="2" l="1"/>
  <c r="N1813" i="2"/>
  <c r="E1819" i="2" a="1"/>
  <c r="E1819" i="2" s="1"/>
  <c r="H1815" i="2"/>
  <c r="I1815" i="2" s="1"/>
  <c r="P1815" i="2" s="1"/>
  <c r="M1819" i="2"/>
  <c r="F1819" i="2"/>
  <c r="A1820" i="2"/>
  <c r="B1819" i="2"/>
  <c r="C1819" i="2" s="1"/>
  <c r="D1819" i="2" s="1"/>
  <c r="O1819" i="2"/>
  <c r="J1818" i="2"/>
  <c r="K1818" i="2" s="1"/>
  <c r="G1818" i="2"/>
  <c r="L1819" i="2" l="1"/>
  <c r="E1820" i="2" a="1"/>
  <c r="E1820" i="2" s="1"/>
  <c r="N1815" i="2"/>
  <c r="F1820" i="2"/>
  <c r="A1821" i="2"/>
  <c r="B1820" i="2"/>
  <c r="C1820" i="2" s="1"/>
  <c r="D1820" i="2" s="1"/>
  <c r="O1820" i="2"/>
  <c r="M1820" i="2"/>
  <c r="J1819" i="2"/>
  <c r="K1819" i="2" s="1"/>
  <c r="G1819" i="2"/>
  <c r="H1816" i="2"/>
  <c r="L1820" i="2" l="1"/>
  <c r="I1816" i="2"/>
  <c r="P1816" i="2" s="1"/>
  <c r="E1821" i="2" a="1"/>
  <c r="E1821" i="2" s="1"/>
  <c r="H1817" i="2"/>
  <c r="F1821" i="2"/>
  <c r="A1822" i="2"/>
  <c r="B1821" i="2"/>
  <c r="C1821" i="2" s="1"/>
  <c r="D1821" i="2" s="1"/>
  <c r="L1821" i="2" s="1"/>
  <c r="O1821" i="2"/>
  <c r="M1821" i="2"/>
  <c r="J1820" i="2"/>
  <c r="K1820" i="2" s="1"/>
  <c r="G1820" i="2"/>
  <c r="E1822" i="2" l="1" a="1"/>
  <c r="E1822" i="2" s="1"/>
  <c r="I1817" i="2"/>
  <c r="P1817" i="2" s="1"/>
  <c r="N1816" i="2"/>
  <c r="F1822" i="2"/>
  <c r="A1823" i="2"/>
  <c r="B1822" i="2"/>
  <c r="C1822" i="2" s="1"/>
  <c r="D1822" i="2" s="1"/>
  <c r="L1822" i="2" s="1"/>
  <c r="O1822" i="2"/>
  <c r="M1822" i="2"/>
  <c r="J1821" i="2"/>
  <c r="K1821" i="2" s="1"/>
  <c r="G1821" i="2"/>
  <c r="H1818" i="2"/>
  <c r="I1818" i="2" s="1"/>
  <c r="P1818" i="2" s="1"/>
  <c r="E1823" i="2" l="1" a="1"/>
  <c r="E1823" i="2" s="1"/>
  <c r="N1818" i="2"/>
  <c r="N1817" i="2"/>
  <c r="H1819" i="2"/>
  <c r="F1823" i="2"/>
  <c r="A1824" i="2"/>
  <c r="B1823" i="2"/>
  <c r="C1823" i="2" s="1"/>
  <c r="D1823" i="2" s="1"/>
  <c r="L1823" i="2" s="1"/>
  <c r="O1823" i="2"/>
  <c r="M1823" i="2"/>
  <c r="J1822" i="2"/>
  <c r="K1822" i="2" s="1"/>
  <c r="G1822" i="2"/>
  <c r="E1824" i="2" l="1" a="1"/>
  <c r="E1824" i="2" s="1"/>
  <c r="I1819" i="2"/>
  <c r="P1819" i="2" s="1"/>
  <c r="F1824" i="2"/>
  <c r="A1825" i="2"/>
  <c r="B1824" i="2"/>
  <c r="C1824" i="2" s="1"/>
  <c r="D1824" i="2" s="1"/>
  <c r="L1824" i="2" s="1"/>
  <c r="O1824" i="2"/>
  <c r="M1824" i="2"/>
  <c r="G1823" i="2"/>
  <c r="J1823" i="2"/>
  <c r="K1823" i="2" s="1"/>
  <c r="H1820" i="2"/>
  <c r="I1820" i="2" s="1"/>
  <c r="P1820" i="2" s="1"/>
  <c r="E1825" i="2" l="1" a="1"/>
  <c r="E1825" i="2" s="1"/>
  <c r="N1819" i="2"/>
  <c r="N1820" i="2"/>
  <c r="H1821" i="2"/>
  <c r="I1821" i="2" s="1"/>
  <c r="P1821" i="2" s="1"/>
  <c r="F1825" i="2"/>
  <c r="A1826" i="2"/>
  <c r="B1825" i="2"/>
  <c r="C1825" i="2" s="1"/>
  <c r="D1825" i="2" s="1"/>
  <c r="O1825" i="2"/>
  <c r="M1825" i="2"/>
  <c r="G1824" i="2"/>
  <c r="J1824" i="2"/>
  <c r="K1824" i="2" s="1"/>
  <c r="L1825" i="2" l="1"/>
  <c r="N1821" i="2"/>
  <c r="E1826" i="2" a="1"/>
  <c r="E1826" i="2" s="1"/>
  <c r="F1826" i="2"/>
  <c r="A1827" i="2"/>
  <c r="B1826" i="2"/>
  <c r="C1826" i="2" s="1"/>
  <c r="D1826" i="2" s="1"/>
  <c r="L1826" i="2" s="1"/>
  <c r="O1826" i="2"/>
  <c r="M1826" i="2"/>
  <c r="G1825" i="2"/>
  <c r="J1825" i="2"/>
  <c r="K1825" i="2" s="1"/>
  <c r="H1822" i="2"/>
  <c r="E1827" i="2" l="1" a="1"/>
  <c r="E1827" i="2" s="1"/>
  <c r="I1822" i="2"/>
  <c r="P1822" i="2" s="1"/>
  <c r="H1823" i="2"/>
  <c r="A1828" i="2"/>
  <c r="B1827" i="2"/>
  <c r="C1827" i="2" s="1"/>
  <c r="D1827" i="2" s="1"/>
  <c r="O1827" i="2"/>
  <c r="M1827" i="2"/>
  <c r="F1827" i="2"/>
  <c r="J1826" i="2"/>
  <c r="K1826" i="2" s="1"/>
  <c r="G1826" i="2"/>
  <c r="N1822" i="2" l="1"/>
  <c r="E1828" i="2" a="1"/>
  <c r="E1828" i="2" s="1"/>
  <c r="L1827" i="2"/>
  <c r="I1823" i="2"/>
  <c r="P1823" i="2" s="1"/>
  <c r="J1827" i="2"/>
  <c r="K1827" i="2" s="1"/>
  <c r="G1827" i="2"/>
  <c r="A1829" i="2"/>
  <c r="B1828" i="2"/>
  <c r="C1828" i="2" s="1"/>
  <c r="D1828" i="2" s="1"/>
  <c r="L1828" i="2" s="1"/>
  <c r="O1828" i="2"/>
  <c r="M1828" i="2"/>
  <c r="F1828" i="2"/>
  <c r="H1824" i="2"/>
  <c r="I1824" i="2" s="1"/>
  <c r="P1824" i="2" s="1"/>
  <c r="E1829" i="2" l="1" a="1"/>
  <c r="E1829" i="2" s="1"/>
  <c r="N1823" i="2"/>
  <c r="N1824" i="2"/>
  <c r="H1825" i="2"/>
  <c r="J1828" i="2"/>
  <c r="K1828" i="2" s="1"/>
  <c r="G1828" i="2"/>
  <c r="A1830" i="2"/>
  <c r="B1829" i="2"/>
  <c r="C1829" i="2" s="1"/>
  <c r="D1829" i="2" s="1"/>
  <c r="L1829" i="2" s="1"/>
  <c r="O1829" i="2"/>
  <c r="M1829" i="2"/>
  <c r="F1829" i="2"/>
  <c r="E1830" i="2" l="1" a="1"/>
  <c r="E1830" i="2" s="1"/>
  <c r="I1825" i="2"/>
  <c r="P1825" i="2" s="1"/>
  <c r="J1829" i="2"/>
  <c r="K1829" i="2" s="1"/>
  <c r="G1829" i="2"/>
  <c r="A1831" i="2"/>
  <c r="B1830" i="2"/>
  <c r="C1830" i="2" s="1"/>
  <c r="D1830" i="2" s="1"/>
  <c r="O1830" i="2"/>
  <c r="M1830" i="2"/>
  <c r="F1830" i="2"/>
  <c r="H1826" i="2"/>
  <c r="N1825" i="2" l="1"/>
  <c r="I1826" i="2"/>
  <c r="P1826" i="2" s="1"/>
  <c r="L1830" i="2"/>
  <c r="E1831" i="2" a="1"/>
  <c r="E1831" i="2" s="1"/>
  <c r="H1827" i="2"/>
  <c r="J1830" i="2"/>
  <c r="K1830" i="2" s="1"/>
  <c r="G1830" i="2"/>
  <c r="A1832" i="2"/>
  <c r="B1831" i="2"/>
  <c r="C1831" i="2" s="1"/>
  <c r="D1831" i="2" s="1"/>
  <c r="L1831" i="2" s="1"/>
  <c r="O1831" i="2"/>
  <c r="M1831" i="2"/>
  <c r="F1831" i="2"/>
  <c r="N1826" i="2" l="1"/>
  <c r="E1832" i="2" a="1"/>
  <c r="E1832" i="2" s="1"/>
  <c r="I1827" i="2"/>
  <c r="P1827" i="2" s="1"/>
  <c r="J1831" i="2"/>
  <c r="K1831" i="2" s="1"/>
  <c r="G1831" i="2"/>
  <c r="O1832" i="2"/>
  <c r="M1832" i="2"/>
  <c r="F1832" i="2"/>
  <c r="A1833" i="2"/>
  <c r="B1832" i="2"/>
  <c r="C1832" i="2" s="1"/>
  <c r="D1832" i="2" s="1"/>
  <c r="H1828" i="2"/>
  <c r="N1827" i="2" l="1"/>
  <c r="I1828" i="2"/>
  <c r="P1828" i="2" s="1"/>
  <c r="L1832" i="2"/>
  <c r="E1833" i="2" a="1"/>
  <c r="E1833" i="2" s="1"/>
  <c r="H1829" i="2"/>
  <c r="O1833" i="2"/>
  <c r="M1833" i="2"/>
  <c r="F1833" i="2"/>
  <c r="A1834" i="2"/>
  <c r="B1833" i="2"/>
  <c r="C1833" i="2" s="1"/>
  <c r="D1833" i="2" s="1"/>
  <c r="L1833" i="2" s="1"/>
  <c r="J1832" i="2"/>
  <c r="K1832" i="2" s="1"/>
  <c r="G1832" i="2"/>
  <c r="E1834" i="2" l="1" a="1"/>
  <c r="E1834" i="2" s="1"/>
  <c r="I1829" i="2"/>
  <c r="P1829" i="2" s="1"/>
  <c r="N1828" i="2"/>
  <c r="M1834" i="2"/>
  <c r="F1834" i="2"/>
  <c r="A1835" i="2"/>
  <c r="B1834" i="2"/>
  <c r="C1834" i="2" s="1"/>
  <c r="D1834" i="2" s="1"/>
  <c r="O1834" i="2"/>
  <c r="J1833" i="2"/>
  <c r="K1833" i="2" s="1"/>
  <c r="G1833" i="2"/>
  <c r="H1830" i="2"/>
  <c r="N1829" i="2" l="1"/>
  <c r="L1834" i="2"/>
  <c r="E1835" i="2" a="1"/>
  <c r="E1835" i="2" s="1"/>
  <c r="I1830" i="2"/>
  <c r="P1830" i="2" s="1"/>
  <c r="H1831" i="2"/>
  <c r="M1835" i="2"/>
  <c r="F1835" i="2"/>
  <c r="A1836" i="2"/>
  <c r="B1835" i="2"/>
  <c r="C1835" i="2" s="1"/>
  <c r="D1835" i="2" s="1"/>
  <c r="O1835" i="2"/>
  <c r="J1834" i="2"/>
  <c r="K1834" i="2" s="1"/>
  <c r="G1834" i="2"/>
  <c r="N1830" i="2" l="1"/>
  <c r="L1835" i="2"/>
  <c r="E1836" i="2" a="1"/>
  <c r="E1836" i="2" s="1"/>
  <c r="I1831" i="2"/>
  <c r="P1831" i="2" s="1"/>
  <c r="F1836" i="2"/>
  <c r="A1837" i="2"/>
  <c r="B1836" i="2"/>
  <c r="C1836" i="2" s="1"/>
  <c r="D1836" i="2" s="1"/>
  <c r="O1836" i="2"/>
  <c r="M1836" i="2"/>
  <c r="J1835" i="2"/>
  <c r="K1835" i="2" s="1"/>
  <c r="G1835" i="2"/>
  <c r="H1832" i="2"/>
  <c r="N1831" i="2" l="1"/>
  <c r="I1832" i="2"/>
  <c r="P1832" i="2" s="1"/>
  <c r="L1836" i="2"/>
  <c r="E1837" i="2" a="1"/>
  <c r="E1837" i="2" s="1"/>
  <c r="H1833" i="2"/>
  <c r="I1833" i="2" s="1"/>
  <c r="P1833" i="2" s="1"/>
  <c r="F1837" i="2"/>
  <c r="A1838" i="2"/>
  <c r="B1837" i="2"/>
  <c r="C1837" i="2" s="1"/>
  <c r="D1837" i="2" s="1"/>
  <c r="L1837" i="2" s="1"/>
  <c r="O1837" i="2"/>
  <c r="M1837" i="2"/>
  <c r="J1836" i="2"/>
  <c r="K1836" i="2" s="1"/>
  <c r="G1836" i="2"/>
  <c r="N1832" i="2" l="1"/>
  <c r="N1833" i="2"/>
  <c r="E1838" i="2" a="1"/>
  <c r="E1838" i="2" s="1"/>
  <c r="F1838" i="2"/>
  <c r="A1839" i="2"/>
  <c r="B1838" i="2"/>
  <c r="C1838" i="2" s="1"/>
  <c r="D1838" i="2" s="1"/>
  <c r="L1838" i="2" s="1"/>
  <c r="O1838" i="2"/>
  <c r="M1838" i="2"/>
  <c r="J1837" i="2"/>
  <c r="K1837" i="2" s="1"/>
  <c r="G1837" i="2"/>
  <c r="H1834" i="2"/>
  <c r="I1834" i="2" s="1"/>
  <c r="P1834" i="2" s="1"/>
  <c r="E1839" i="2" l="1" a="1"/>
  <c r="E1839" i="2" s="1"/>
  <c r="N1834" i="2"/>
  <c r="H1835" i="2"/>
  <c r="F1839" i="2"/>
  <c r="A1840" i="2"/>
  <c r="B1839" i="2"/>
  <c r="C1839" i="2" s="1"/>
  <c r="D1839" i="2" s="1"/>
  <c r="O1839" i="2"/>
  <c r="M1839" i="2"/>
  <c r="J1838" i="2"/>
  <c r="K1838" i="2" s="1"/>
  <c r="G1838" i="2"/>
  <c r="L1839" i="2" l="1"/>
  <c r="I1835" i="2"/>
  <c r="P1835" i="2" s="1"/>
  <c r="E1840" i="2" a="1"/>
  <c r="E1840" i="2" s="1"/>
  <c r="F1840" i="2"/>
  <c r="A1841" i="2"/>
  <c r="B1840" i="2"/>
  <c r="C1840" i="2" s="1"/>
  <c r="D1840" i="2" s="1"/>
  <c r="L1840" i="2" s="1"/>
  <c r="O1840" i="2"/>
  <c r="M1840" i="2"/>
  <c r="G1839" i="2"/>
  <c r="J1839" i="2"/>
  <c r="K1839" i="2" s="1"/>
  <c r="H1836" i="2"/>
  <c r="I1836" i="2" l="1"/>
  <c r="P1836" i="2" s="1"/>
  <c r="N1835" i="2"/>
  <c r="E1841" i="2" a="1"/>
  <c r="E1841" i="2" s="1"/>
  <c r="H1837" i="2"/>
  <c r="F1841" i="2"/>
  <c r="A1842" i="2"/>
  <c r="B1841" i="2"/>
  <c r="C1841" i="2" s="1"/>
  <c r="D1841" i="2" s="1"/>
  <c r="L1841" i="2" s="1"/>
  <c r="O1841" i="2"/>
  <c r="M1841" i="2"/>
  <c r="G1840" i="2"/>
  <c r="J1840" i="2"/>
  <c r="K1840" i="2" s="1"/>
  <c r="I1837" i="2" l="1"/>
  <c r="P1837" i="2" s="1"/>
  <c r="E1842" i="2" a="1"/>
  <c r="E1842" i="2" s="1"/>
  <c r="N1836" i="2"/>
  <c r="F1842" i="2"/>
  <c r="A1843" i="2"/>
  <c r="B1842" i="2"/>
  <c r="C1842" i="2" s="1"/>
  <c r="D1842" i="2" s="1"/>
  <c r="O1842" i="2"/>
  <c r="M1842" i="2"/>
  <c r="G1841" i="2"/>
  <c r="J1841" i="2"/>
  <c r="K1841" i="2" s="1"/>
  <c r="H1838" i="2"/>
  <c r="N1837" i="2" l="1"/>
  <c r="E1843" i="2" a="1"/>
  <c r="E1843" i="2" s="1"/>
  <c r="I1838" i="2"/>
  <c r="P1838" i="2" s="1"/>
  <c r="L1842" i="2"/>
  <c r="H1839" i="2"/>
  <c r="I1839" i="2" s="1"/>
  <c r="P1839" i="2" s="1"/>
  <c r="F1843" i="2"/>
  <c r="B1843" i="2"/>
  <c r="C1843" i="2" s="1"/>
  <c r="D1843" i="2" s="1"/>
  <c r="L1843" i="2" s="1"/>
  <c r="A1844" i="2"/>
  <c r="O1843" i="2"/>
  <c r="M1843" i="2"/>
  <c r="J1842" i="2"/>
  <c r="K1842" i="2" s="1"/>
  <c r="G1842" i="2"/>
  <c r="N1839" i="2" l="1"/>
  <c r="N1838" i="2"/>
  <c r="E1844" i="2" a="1"/>
  <c r="E1844" i="2" s="1"/>
  <c r="F1844" i="2"/>
  <c r="B1844" i="2"/>
  <c r="C1844" i="2" s="1"/>
  <c r="D1844" i="2" s="1"/>
  <c r="L1844" i="2" s="1"/>
  <c r="A1845" i="2"/>
  <c r="O1844" i="2"/>
  <c r="M1844" i="2"/>
  <c r="J1843" i="2"/>
  <c r="K1843" i="2" s="1"/>
  <c r="G1843" i="2"/>
  <c r="H1840" i="2"/>
  <c r="I1840" i="2" s="1"/>
  <c r="P1840" i="2" s="1"/>
  <c r="N1840" i="2" l="1"/>
  <c r="E1845" i="2" a="1"/>
  <c r="E1845" i="2" s="1"/>
  <c r="H1841" i="2"/>
  <c r="I1841" i="2" s="1"/>
  <c r="P1841" i="2" s="1"/>
  <c r="F1845" i="2"/>
  <c r="B1845" i="2"/>
  <c r="C1845" i="2" s="1"/>
  <c r="D1845" i="2" s="1"/>
  <c r="L1845" i="2" s="1"/>
  <c r="A1846" i="2"/>
  <c r="O1845" i="2"/>
  <c r="M1845" i="2"/>
  <c r="G1844" i="2"/>
  <c r="J1844" i="2"/>
  <c r="K1844" i="2" s="1"/>
  <c r="E1846" i="2" l="1" a="1"/>
  <c r="E1846" i="2" s="1"/>
  <c r="N1841" i="2"/>
  <c r="A1847" i="2"/>
  <c r="B1846" i="2"/>
  <c r="C1846" i="2" s="1"/>
  <c r="D1846" i="2" s="1"/>
  <c r="F1846" i="2"/>
  <c r="O1846" i="2"/>
  <c r="M1846" i="2"/>
  <c r="G1845" i="2"/>
  <c r="J1845" i="2"/>
  <c r="K1845" i="2" s="1"/>
  <c r="H1842" i="2"/>
  <c r="L1846" i="2" l="1"/>
  <c r="E1847" i="2" a="1"/>
  <c r="E1847" i="2" s="1"/>
  <c r="I1842" i="2"/>
  <c r="P1842" i="2" s="1"/>
  <c r="H1843" i="2"/>
  <c r="I1843" i="2" s="1"/>
  <c r="P1843" i="2" s="1"/>
  <c r="G1846" i="2"/>
  <c r="J1846" i="2"/>
  <c r="K1846" i="2" s="1"/>
  <c r="A1848" i="2"/>
  <c r="B1847" i="2"/>
  <c r="C1847" i="2" s="1"/>
  <c r="D1847" i="2" s="1"/>
  <c r="L1847" i="2" s="1"/>
  <c r="F1847" i="2"/>
  <c r="O1847" i="2"/>
  <c r="M1847" i="2"/>
  <c r="N1842" i="2" l="1"/>
  <c r="E1848" i="2" a="1"/>
  <c r="E1848" i="2" s="1"/>
  <c r="N1843" i="2"/>
  <c r="J1847" i="2"/>
  <c r="K1847" i="2" s="1"/>
  <c r="G1847" i="2"/>
  <c r="O1848" i="2"/>
  <c r="F1848" i="2"/>
  <c r="B1848" i="2"/>
  <c r="C1848" i="2" s="1"/>
  <c r="D1848" i="2" s="1"/>
  <c r="L1848" i="2" s="1"/>
  <c r="A1849" i="2"/>
  <c r="M1848" i="2"/>
  <c r="H1844" i="2"/>
  <c r="I1844" i="2" s="1"/>
  <c r="P1844" i="2" s="1"/>
  <c r="E1849" i="2" l="1" a="1"/>
  <c r="E1849" i="2" s="1"/>
  <c r="N1844" i="2"/>
  <c r="H1845" i="2"/>
  <c r="I1845" i="2" s="1"/>
  <c r="P1845" i="2" s="1"/>
  <c r="O1849" i="2"/>
  <c r="F1849" i="2"/>
  <c r="B1849" i="2"/>
  <c r="C1849" i="2" s="1"/>
  <c r="D1849" i="2" s="1"/>
  <c r="A1850" i="2"/>
  <c r="M1849" i="2"/>
  <c r="J1848" i="2"/>
  <c r="K1848" i="2" s="1"/>
  <c r="G1848" i="2"/>
  <c r="L1849" i="2" l="1"/>
  <c r="N1845" i="2"/>
  <c r="E1850" i="2" a="1"/>
  <c r="E1850" i="2" s="1"/>
  <c r="M1850" i="2"/>
  <c r="O1850" i="2"/>
  <c r="F1850" i="2"/>
  <c r="B1850" i="2"/>
  <c r="C1850" i="2" s="1"/>
  <c r="D1850" i="2" s="1"/>
  <c r="L1850" i="2" s="1"/>
  <c r="A1851" i="2"/>
  <c r="J1849" i="2"/>
  <c r="K1849" i="2" s="1"/>
  <c r="G1849" i="2"/>
  <c r="H1846" i="2"/>
  <c r="I1846" i="2" l="1"/>
  <c r="P1846" i="2" s="1"/>
  <c r="E1851" i="2" a="1"/>
  <c r="E1851" i="2" s="1"/>
  <c r="H1847" i="2"/>
  <c r="I1847" i="2" s="1"/>
  <c r="P1847" i="2" s="1"/>
  <c r="M1851" i="2"/>
  <c r="A1852" i="2"/>
  <c r="O1851" i="2"/>
  <c r="F1851" i="2"/>
  <c r="B1851" i="2"/>
  <c r="C1851" i="2" s="1"/>
  <c r="D1851" i="2" s="1"/>
  <c r="L1851" i="2" s="1"/>
  <c r="J1850" i="2"/>
  <c r="K1850" i="2" s="1"/>
  <c r="G1850" i="2"/>
  <c r="E1852" i="2" l="1" a="1"/>
  <c r="E1852" i="2" s="1"/>
  <c r="N1846" i="2"/>
  <c r="N1847" i="2"/>
  <c r="J1851" i="2"/>
  <c r="K1851" i="2" s="1"/>
  <c r="G1851" i="2"/>
  <c r="A1853" i="2"/>
  <c r="O1852" i="2"/>
  <c r="M1852" i="2"/>
  <c r="F1852" i="2"/>
  <c r="B1852" i="2"/>
  <c r="C1852" i="2" s="1"/>
  <c r="D1852" i="2" s="1"/>
  <c r="L1852" i="2" s="1"/>
  <c r="H1848" i="2"/>
  <c r="E1853" i="2" l="1" a="1"/>
  <c r="E1853" i="2" s="1"/>
  <c r="I1848" i="2"/>
  <c r="P1848" i="2" s="1"/>
  <c r="H1849" i="2"/>
  <c r="J1852" i="2"/>
  <c r="K1852" i="2" s="1"/>
  <c r="G1852" i="2"/>
  <c r="B1853" i="2"/>
  <c r="C1853" i="2" s="1"/>
  <c r="D1853" i="2" s="1"/>
  <c r="A1854" i="2"/>
  <c r="O1853" i="2"/>
  <c r="M1853" i="2"/>
  <c r="F1853" i="2"/>
  <c r="E1854" i="2" l="1" a="1"/>
  <c r="E1854" i="2" s="1"/>
  <c r="L1853" i="2"/>
  <c r="I1849" i="2"/>
  <c r="P1849" i="2" s="1"/>
  <c r="N1848" i="2"/>
  <c r="J1853" i="2"/>
  <c r="K1853" i="2" s="1"/>
  <c r="G1853" i="2"/>
  <c r="F1854" i="2"/>
  <c r="B1854" i="2"/>
  <c r="C1854" i="2" s="1"/>
  <c r="D1854" i="2" s="1"/>
  <c r="A1855" i="2"/>
  <c r="O1854" i="2"/>
  <c r="M1854" i="2"/>
  <c r="H1850" i="2"/>
  <c r="N1849" i="2" l="1"/>
  <c r="E1855" i="2" a="1"/>
  <c r="E1855" i="2" s="1"/>
  <c r="I1850" i="2"/>
  <c r="P1850" i="2" s="1"/>
  <c r="L1854" i="2"/>
  <c r="H1851" i="2"/>
  <c r="I1851" i="2" s="1"/>
  <c r="P1851" i="2" s="1"/>
  <c r="A1856" i="2"/>
  <c r="B1855" i="2"/>
  <c r="C1855" i="2" s="1"/>
  <c r="D1855" i="2" s="1"/>
  <c r="L1855" i="2" s="1"/>
  <c r="F1855" i="2"/>
  <c r="O1855" i="2"/>
  <c r="M1855" i="2"/>
  <c r="J1854" i="2"/>
  <c r="K1854" i="2" s="1"/>
  <c r="G1854" i="2"/>
  <c r="N1851" i="2" l="1"/>
  <c r="E1856" i="2" a="1"/>
  <c r="E1856" i="2" s="1"/>
  <c r="N1850" i="2"/>
  <c r="J1855" i="2"/>
  <c r="K1855" i="2" s="1"/>
  <c r="G1855" i="2"/>
  <c r="A1857" i="2"/>
  <c r="O1856" i="2"/>
  <c r="M1856" i="2"/>
  <c r="F1856" i="2"/>
  <c r="B1856" i="2"/>
  <c r="C1856" i="2" s="1"/>
  <c r="D1856" i="2" s="1"/>
  <c r="H1852" i="2"/>
  <c r="I1852" i="2" s="1"/>
  <c r="P1852" i="2" s="1"/>
  <c r="E1857" i="2" l="1" a="1"/>
  <c r="E1857" i="2" s="1"/>
  <c r="L1856" i="2"/>
  <c r="N1852" i="2"/>
  <c r="H1853" i="2"/>
  <c r="G1856" i="2"/>
  <c r="J1856" i="2"/>
  <c r="K1856" i="2" s="1"/>
  <c r="F1857" i="2"/>
  <c r="A1858" i="2"/>
  <c r="B1857" i="2"/>
  <c r="C1857" i="2" s="1"/>
  <c r="D1857" i="2" s="1"/>
  <c r="O1857" i="2"/>
  <c r="M1857" i="2"/>
  <c r="E1858" i="2" l="1" a="1"/>
  <c r="E1858" i="2" s="1"/>
  <c r="I1853" i="2"/>
  <c r="P1853" i="2" s="1"/>
  <c r="L1857" i="2"/>
  <c r="F1858" i="2"/>
  <c r="B1858" i="2"/>
  <c r="C1858" i="2" s="1"/>
  <c r="D1858" i="2" s="1"/>
  <c r="L1858" i="2" s="1"/>
  <c r="A1859" i="2"/>
  <c r="O1858" i="2"/>
  <c r="M1858" i="2"/>
  <c r="G1857" i="2"/>
  <c r="J1857" i="2"/>
  <c r="K1857" i="2" s="1"/>
  <c r="H1854" i="2"/>
  <c r="N1853" i="2" l="1"/>
  <c r="E1859" i="2" a="1"/>
  <c r="E1859" i="2" s="1"/>
  <c r="I1854" i="2"/>
  <c r="P1854" i="2" s="1"/>
  <c r="H1855" i="2"/>
  <c r="O1859" i="2"/>
  <c r="M1859" i="2"/>
  <c r="F1859" i="2"/>
  <c r="B1859" i="2"/>
  <c r="C1859" i="2" s="1"/>
  <c r="D1859" i="2" s="1"/>
  <c r="A1860" i="2"/>
  <c r="G1858" i="2"/>
  <c r="J1858" i="2"/>
  <c r="K1858" i="2" s="1"/>
  <c r="E1860" i="2" l="1" a="1"/>
  <c r="E1860" i="2" s="1"/>
  <c r="L1859" i="2"/>
  <c r="I1855" i="2"/>
  <c r="P1855" i="2" s="1"/>
  <c r="N1854" i="2"/>
  <c r="A1861" i="2"/>
  <c r="B1860" i="2"/>
  <c r="C1860" i="2" s="1"/>
  <c r="D1860" i="2" s="1"/>
  <c r="L1860" i="2" s="1"/>
  <c r="O1860" i="2"/>
  <c r="M1860" i="2"/>
  <c r="F1860" i="2"/>
  <c r="J1859" i="2"/>
  <c r="K1859" i="2" s="1"/>
  <c r="G1859" i="2"/>
  <c r="H1856" i="2"/>
  <c r="I1856" i="2" s="1"/>
  <c r="P1856" i="2" s="1"/>
  <c r="N1855" i="2" l="1"/>
  <c r="N1856" i="2"/>
  <c r="E1861" i="2" a="1"/>
  <c r="E1861" i="2" s="1"/>
  <c r="H1857" i="2"/>
  <c r="J1860" i="2"/>
  <c r="K1860" i="2" s="1"/>
  <c r="G1860" i="2"/>
  <c r="M1861" i="2"/>
  <c r="B1861" i="2"/>
  <c r="C1861" i="2" s="1"/>
  <c r="D1861" i="2" s="1"/>
  <c r="A1862" i="2"/>
  <c r="O1861" i="2"/>
  <c r="F1861" i="2"/>
  <c r="I1857" i="2" l="1"/>
  <c r="P1857" i="2" s="1"/>
  <c r="E1862" i="2" a="1"/>
  <c r="E1862" i="2" s="1"/>
  <c r="L1861" i="2"/>
  <c r="J1861" i="2"/>
  <c r="K1861" i="2" s="1"/>
  <c r="G1861" i="2"/>
  <c r="A1863" i="2"/>
  <c r="B1862" i="2"/>
  <c r="C1862" i="2" s="1"/>
  <c r="D1862" i="2" s="1"/>
  <c r="O1862" i="2"/>
  <c r="F1862" i="2"/>
  <c r="M1862" i="2"/>
  <c r="H1858" i="2"/>
  <c r="I1858" i="2" s="1"/>
  <c r="P1858" i="2" s="1"/>
  <c r="L1862" i="2" l="1"/>
  <c r="N1857" i="2"/>
  <c r="E1863" i="2" a="1"/>
  <c r="E1863" i="2" s="1"/>
  <c r="N1858" i="2"/>
  <c r="H1859" i="2"/>
  <c r="I1859" i="2" s="1"/>
  <c r="P1859" i="2" s="1"/>
  <c r="J1862" i="2"/>
  <c r="K1862" i="2" s="1"/>
  <c r="G1862" i="2"/>
  <c r="A1864" i="2"/>
  <c r="B1863" i="2"/>
  <c r="C1863" i="2" s="1"/>
  <c r="D1863" i="2" s="1"/>
  <c r="L1863" i="2" s="1"/>
  <c r="O1863" i="2"/>
  <c r="M1863" i="2"/>
  <c r="F1863" i="2"/>
  <c r="N1859" i="2" l="1"/>
  <c r="E1864" i="2" a="1"/>
  <c r="E1864" i="2" s="1"/>
  <c r="J1863" i="2"/>
  <c r="K1863" i="2" s="1"/>
  <c r="G1863" i="2"/>
  <c r="O1864" i="2"/>
  <c r="M1864" i="2"/>
  <c r="A1865" i="2"/>
  <c r="F1864" i="2"/>
  <c r="B1864" i="2"/>
  <c r="C1864" i="2" s="1"/>
  <c r="D1864" i="2" s="1"/>
  <c r="H1860" i="2"/>
  <c r="I1860" i="2" s="1"/>
  <c r="P1860" i="2" s="1"/>
  <c r="E1865" i="2" l="1" a="1"/>
  <c r="E1865" i="2" s="1"/>
  <c r="L1864" i="2"/>
  <c r="N1860" i="2"/>
  <c r="H1861" i="2"/>
  <c r="I1861" i="2" s="1"/>
  <c r="P1861" i="2" s="1"/>
  <c r="J1864" i="2"/>
  <c r="K1864" i="2" s="1"/>
  <c r="G1864" i="2"/>
  <c r="O1865" i="2"/>
  <c r="B1865" i="2"/>
  <c r="C1865" i="2" s="1"/>
  <c r="D1865" i="2" s="1"/>
  <c r="A1866" i="2"/>
  <c r="M1865" i="2"/>
  <c r="F1865" i="2"/>
  <c r="L1865" i="2" l="1"/>
  <c r="E1866" i="2" a="1"/>
  <c r="E1866" i="2" s="1"/>
  <c r="N1861" i="2"/>
  <c r="G1865" i="2"/>
  <c r="J1865" i="2"/>
  <c r="K1865" i="2" s="1"/>
  <c r="M1866" i="2"/>
  <c r="F1866" i="2"/>
  <c r="B1866" i="2"/>
  <c r="C1866" i="2" s="1"/>
  <c r="D1866" i="2" s="1"/>
  <c r="L1866" i="2" s="1"/>
  <c r="A1867" i="2"/>
  <c r="O1866" i="2"/>
  <c r="H1862" i="2"/>
  <c r="I1862" i="2" s="1"/>
  <c r="P1862" i="2" s="1"/>
  <c r="N1862" i="2" l="1"/>
  <c r="E1867" i="2" a="1"/>
  <c r="E1867" i="2" s="1"/>
  <c r="H1863" i="2"/>
  <c r="M1867" i="2"/>
  <c r="A1868" i="2"/>
  <c r="O1867" i="2"/>
  <c r="F1867" i="2"/>
  <c r="B1867" i="2"/>
  <c r="C1867" i="2" s="1"/>
  <c r="D1867" i="2" s="1"/>
  <c r="L1867" i="2" s="1"/>
  <c r="J1866" i="2"/>
  <c r="K1866" i="2" s="1"/>
  <c r="G1866" i="2"/>
  <c r="E1868" i="2" l="1" a="1"/>
  <c r="E1868" i="2" s="1"/>
  <c r="I1863" i="2"/>
  <c r="P1863" i="2" s="1"/>
  <c r="J1867" i="2"/>
  <c r="K1867" i="2" s="1"/>
  <c r="G1867" i="2"/>
  <c r="F1868" i="2"/>
  <c r="A1869" i="2"/>
  <c r="O1868" i="2"/>
  <c r="M1868" i="2"/>
  <c r="B1868" i="2"/>
  <c r="C1868" i="2" s="1"/>
  <c r="D1868" i="2" s="1"/>
  <c r="L1868" i="2" s="1"/>
  <c r="H1864" i="2"/>
  <c r="I1864" i="2" s="1"/>
  <c r="P1864" i="2" s="1"/>
  <c r="N1864" i="2" l="1"/>
  <c r="N1863" i="2"/>
  <c r="E1869" i="2" a="1"/>
  <c r="E1869" i="2" s="1"/>
  <c r="H1865" i="2"/>
  <c r="F1869" i="2"/>
  <c r="B1869" i="2"/>
  <c r="C1869" i="2" s="1"/>
  <c r="D1869" i="2" s="1"/>
  <c r="L1869" i="2" s="1"/>
  <c r="A1870" i="2"/>
  <c r="O1869" i="2"/>
  <c r="M1869" i="2"/>
  <c r="J1868" i="2"/>
  <c r="K1868" i="2" s="1"/>
  <c r="G1868" i="2"/>
  <c r="E1870" i="2" l="1" a="1"/>
  <c r="E1870" i="2" s="1"/>
  <c r="I1865" i="2"/>
  <c r="P1865" i="2" s="1"/>
  <c r="F1870" i="2"/>
  <c r="O1870" i="2"/>
  <c r="M1870" i="2"/>
  <c r="B1870" i="2"/>
  <c r="C1870" i="2" s="1"/>
  <c r="D1870" i="2" s="1"/>
  <c r="A1871" i="2"/>
  <c r="J1869" i="2"/>
  <c r="K1869" i="2" s="1"/>
  <c r="G1869" i="2"/>
  <c r="H1866" i="2"/>
  <c r="N1865" i="2" l="1"/>
  <c r="I1866" i="2"/>
  <c r="P1866" i="2" s="1"/>
  <c r="E1871" i="2" a="1"/>
  <c r="E1871" i="2" s="1"/>
  <c r="L1870" i="2"/>
  <c r="H1867" i="2"/>
  <c r="F1871" i="2"/>
  <c r="A1872" i="2"/>
  <c r="B1871" i="2"/>
  <c r="C1871" i="2" s="1"/>
  <c r="D1871" i="2" s="1"/>
  <c r="L1871" i="2" s="1"/>
  <c r="O1871" i="2"/>
  <c r="M1871" i="2"/>
  <c r="J1870" i="2"/>
  <c r="K1870" i="2" s="1"/>
  <c r="G1870" i="2"/>
  <c r="E1872" i="2" l="1" a="1"/>
  <c r="E1872" i="2" s="1"/>
  <c r="N1866" i="2"/>
  <c r="I1867" i="2"/>
  <c r="P1867" i="2" s="1"/>
  <c r="F1872" i="2"/>
  <c r="B1872" i="2"/>
  <c r="C1872" i="2" s="1"/>
  <c r="D1872" i="2" s="1"/>
  <c r="L1872" i="2" s="1"/>
  <c r="A1873" i="2"/>
  <c r="O1872" i="2"/>
  <c r="M1872" i="2"/>
  <c r="J1871" i="2"/>
  <c r="K1871" i="2" s="1"/>
  <c r="G1871" i="2"/>
  <c r="H1868" i="2"/>
  <c r="I1868" i="2" s="1"/>
  <c r="P1868" i="2" s="1"/>
  <c r="N1868" i="2" l="1"/>
  <c r="N1867" i="2"/>
  <c r="E1873" i="2" a="1"/>
  <c r="E1873" i="2" s="1"/>
  <c r="H1869" i="2"/>
  <c r="I1869" i="2" s="1"/>
  <c r="P1869" i="2" s="1"/>
  <c r="F1873" i="2"/>
  <c r="A1874" i="2"/>
  <c r="B1873" i="2"/>
  <c r="C1873" i="2" s="1"/>
  <c r="D1873" i="2" s="1"/>
  <c r="L1873" i="2" s="1"/>
  <c r="O1873" i="2"/>
  <c r="M1873" i="2"/>
  <c r="G1872" i="2"/>
  <c r="J1872" i="2"/>
  <c r="K1872" i="2" s="1"/>
  <c r="N1869" i="2" l="1"/>
  <c r="E1874" i="2" a="1"/>
  <c r="E1874" i="2" s="1"/>
  <c r="F1874" i="2"/>
  <c r="A1875" i="2"/>
  <c r="B1874" i="2"/>
  <c r="C1874" i="2" s="1"/>
  <c r="D1874" i="2" s="1"/>
  <c r="L1874" i="2" s="1"/>
  <c r="O1874" i="2"/>
  <c r="M1874" i="2"/>
  <c r="G1873" i="2"/>
  <c r="J1873" i="2"/>
  <c r="K1873" i="2" s="1"/>
  <c r="H1870" i="2"/>
  <c r="I1870" i="2" s="1"/>
  <c r="P1870" i="2" s="1"/>
  <c r="N1870" i="2" l="1"/>
  <c r="E1875" i="2" a="1"/>
  <c r="E1875" i="2" s="1"/>
  <c r="H1871" i="2"/>
  <c r="I1871" i="2" s="1"/>
  <c r="P1871" i="2" s="1"/>
  <c r="A1876" i="2"/>
  <c r="B1875" i="2"/>
  <c r="C1875" i="2" s="1"/>
  <c r="D1875" i="2" s="1"/>
  <c r="L1875" i="2" s="1"/>
  <c r="O1875" i="2"/>
  <c r="M1875" i="2"/>
  <c r="F1875" i="2"/>
  <c r="G1874" i="2"/>
  <c r="J1874" i="2"/>
  <c r="K1874" i="2" s="1"/>
  <c r="E1876" i="2" l="1" a="1"/>
  <c r="E1876" i="2" s="1"/>
  <c r="N1871" i="2"/>
  <c r="J1875" i="2"/>
  <c r="K1875" i="2" s="1"/>
  <c r="G1875" i="2"/>
  <c r="A1877" i="2"/>
  <c r="B1876" i="2"/>
  <c r="C1876" i="2" s="1"/>
  <c r="D1876" i="2" s="1"/>
  <c r="L1876" i="2" s="1"/>
  <c r="O1876" i="2"/>
  <c r="M1876" i="2"/>
  <c r="F1876" i="2"/>
  <c r="H1872" i="2"/>
  <c r="I1872" i="2" s="1"/>
  <c r="P1872" i="2" s="1"/>
  <c r="E1877" i="2" l="1" a="1"/>
  <c r="E1877" i="2" s="1"/>
  <c r="N1872" i="2"/>
  <c r="H1873" i="2"/>
  <c r="I1873" i="2" s="1"/>
  <c r="P1873" i="2" s="1"/>
  <c r="J1876" i="2"/>
  <c r="K1876" i="2" s="1"/>
  <c r="G1876" i="2"/>
  <c r="O1877" i="2"/>
  <c r="M1877" i="2"/>
  <c r="F1877" i="2"/>
  <c r="B1877" i="2"/>
  <c r="C1877" i="2" s="1"/>
  <c r="D1877" i="2" s="1"/>
  <c r="A1878" i="2"/>
  <c r="L1877" i="2" l="1"/>
  <c r="N1873" i="2"/>
  <c r="E1878" i="2" a="1"/>
  <c r="E1878" i="2" s="1"/>
  <c r="A1879" i="2"/>
  <c r="B1878" i="2"/>
  <c r="C1878" i="2" s="1"/>
  <c r="D1878" i="2" s="1"/>
  <c r="L1878" i="2" s="1"/>
  <c r="O1878" i="2"/>
  <c r="M1878" i="2"/>
  <c r="F1878" i="2"/>
  <c r="G1877" i="2"/>
  <c r="J1877" i="2"/>
  <c r="K1877" i="2" s="1"/>
  <c r="H1874" i="2"/>
  <c r="E1879" i="2" l="1" a="1"/>
  <c r="E1879" i="2" s="1"/>
  <c r="I1874" i="2"/>
  <c r="P1874" i="2" s="1"/>
  <c r="H1875" i="2"/>
  <c r="I1875" i="2" s="1"/>
  <c r="P1875" i="2" s="1"/>
  <c r="J1878" i="2"/>
  <c r="K1878" i="2" s="1"/>
  <c r="G1878" i="2"/>
  <c r="A1880" i="2"/>
  <c r="B1879" i="2"/>
  <c r="C1879" i="2" s="1"/>
  <c r="D1879" i="2" s="1"/>
  <c r="L1879" i="2" s="1"/>
  <c r="M1879" i="2"/>
  <c r="O1879" i="2"/>
  <c r="F1879" i="2"/>
  <c r="E1880" i="2" l="1" a="1"/>
  <c r="E1880" i="2" s="1"/>
  <c r="N1874" i="2"/>
  <c r="N1875" i="2"/>
  <c r="J1879" i="2"/>
  <c r="K1879" i="2" s="1"/>
  <c r="G1879" i="2"/>
  <c r="O1880" i="2"/>
  <c r="M1880" i="2"/>
  <c r="A1881" i="2"/>
  <c r="F1880" i="2"/>
  <c r="B1880" i="2"/>
  <c r="C1880" i="2" s="1"/>
  <c r="D1880" i="2" s="1"/>
  <c r="H1876" i="2"/>
  <c r="L1880" i="2" l="1"/>
  <c r="E1881" i="2" a="1"/>
  <c r="E1881" i="2" s="1"/>
  <c r="I1876" i="2"/>
  <c r="P1876" i="2" s="1"/>
  <c r="E1882" i="2" a="1"/>
  <c r="E1882" i="2" s="1"/>
  <c r="H1877" i="2"/>
  <c r="J1880" i="2"/>
  <c r="K1880" i="2" s="1"/>
  <c r="G1880" i="2"/>
  <c r="O1881" i="2"/>
  <c r="B1881" i="2"/>
  <c r="C1881" i="2" s="1"/>
  <c r="D1881" i="2" s="1"/>
  <c r="L1881" i="2" s="1"/>
  <c r="A1882" i="2"/>
  <c r="M1881" i="2"/>
  <c r="F1881" i="2"/>
  <c r="I1877" i="2" l="1"/>
  <c r="P1877" i="2" s="1"/>
  <c r="N1876" i="2"/>
  <c r="J1881" i="2"/>
  <c r="K1881" i="2" s="1"/>
  <c r="G1881" i="2"/>
  <c r="M1882" i="2"/>
  <c r="F1882" i="2"/>
  <c r="A1883" i="2"/>
  <c r="O1882" i="2"/>
  <c r="B1882" i="2"/>
  <c r="C1882" i="2" s="1"/>
  <c r="D1882" i="2" s="1"/>
  <c r="H1878" i="2"/>
  <c r="I1878" i="2" s="1"/>
  <c r="P1878" i="2" s="1"/>
  <c r="N1878" i="2" l="1"/>
  <c r="L1882" i="2"/>
  <c r="N1877" i="2"/>
  <c r="E1883" i="2" a="1"/>
  <c r="E1883" i="2" s="1"/>
  <c r="H1879" i="2"/>
  <c r="I1879" i="2" s="1"/>
  <c r="P1879" i="2" s="1"/>
  <c r="M1883" i="2"/>
  <c r="A1884" i="2"/>
  <c r="O1883" i="2"/>
  <c r="F1883" i="2"/>
  <c r="B1883" i="2"/>
  <c r="C1883" i="2" s="1"/>
  <c r="D1883" i="2" s="1"/>
  <c r="J1882" i="2"/>
  <c r="K1882" i="2" s="1"/>
  <c r="G1882" i="2"/>
  <c r="L1883" i="2" l="1"/>
  <c r="N1879" i="2"/>
  <c r="E1884" i="2" a="1"/>
  <c r="E1884" i="2" s="1"/>
  <c r="J1883" i="2"/>
  <c r="K1883" i="2" s="1"/>
  <c r="G1883" i="2"/>
  <c r="F1884" i="2"/>
  <c r="A1885" i="2"/>
  <c r="O1884" i="2"/>
  <c r="M1884" i="2"/>
  <c r="B1884" i="2"/>
  <c r="C1884" i="2" s="1"/>
  <c r="D1884" i="2" s="1"/>
  <c r="H1880" i="2"/>
  <c r="I1880" i="2" s="1"/>
  <c r="P1880" i="2" s="1"/>
  <c r="L1884" i="2" l="1"/>
  <c r="N1880" i="2"/>
  <c r="E1885" i="2" a="1"/>
  <c r="E1885" i="2" s="1"/>
  <c r="H1881" i="2"/>
  <c r="I1881" i="2" s="1"/>
  <c r="P1881" i="2" s="1"/>
  <c r="F1885" i="2"/>
  <c r="A1886" i="2"/>
  <c r="B1885" i="2"/>
  <c r="C1885" i="2" s="1"/>
  <c r="D1885" i="2" s="1"/>
  <c r="L1885" i="2" s="1"/>
  <c r="O1885" i="2"/>
  <c r="M1885" i="2"/>
  <c r="G1884" i="2"/>
  <c r="J1884" i="2"/>
  <c r="K1884" i="2" s="1"/>
  <c r="E1886" i="2" l="1" a="1"/>
  <c r="E1886" i="2" s="1"/>
  <c r="N1881" i="2"/>
  <c r="F1886" i="2"/>
  <c r="A1887" i="2"/>
  <c r="B1886" i="2"/>
  <c r="C1886" i="2" s="1"/>
  <c r="D1886" i="2" s="1"/>
  <c r="L1886" i="2" s="1"/>
  <c r="O1886" i="2"/>
  <c r="M1886" i="2"/>
  <c r="J1885" i="2"/>
  <c r="K1885" i="2" s="1"/>
  <c r="G1885" i="2"/>
  <c r="H1882" i="2"/>
  <c r="E1887" i="2" l="1" a="1"/>
  <c r="E1887" i="2" s="1"/>
  <c r="I1882" i="2"/>
  <c r="P1882" i="2" s="1"/>
  <c r="H1883" i="2"/>
  <c r="I1883" i="2" s="1"/>
  <c r="P1883" i="2" s="1"/>
  <c r="F1887" i="2"/>
  <c r="A1888" i="2"/>
  <c r="B1887" i="2"/>
  <c r="C1887" i="2" s="1"/>
  <c r="D1887" i="2" s="1"/>
  <c r="O1887" i="2"/>
  <c r="M1887" i="2"/>
  <c r="J1886" i="2"/>
  <c r="K1886" i="2" s="1"/>
  <c r="G1886" i="2"/>
  <c r="N1882" i="2" l="1"/>
  <c r="L1887" i="2"/>
  <c r="E1888" i="2" a="1"/>
  <c r="E1888" i="2" s="1"/>
  <c r="N1883" i="2"/>
  <c r="O1888" i="2"/>
  <c r="A1889" i="2"/>
  <c r="M1888" i="2"/>
  <c r="F1888" i="2"/>
  <c r="B1888" i="2"/>
  <c r="C1888" i="2" s="1"/>
  <c r="D1888" i="2" s="1"/>
  <c r="G1887" i="2"/>
  <c r="J1887" i="2"/>
  <c r="K1887" i="2" s="1"/>
  <c r="H1884" i="2"/>
  <c r="I1884" i="2" s="1"/>
  <c r="P1884" i="2" s="1"/>
  <c r="L1888" i="2" l="1"/>
  <c r="E1889" i="2" a="1"/>
  <c r="E1889" i="2" s="1"/>
  <c r="N1884" i="2"/>
  <c r="H1885" i="2"/>
  <c r="I1885" i="2" s="1"/>
  <c r="P1885" i="2" s="1"/>
  <c r="G1888" i="2"/>
  <c r="J1888" i="2"/>
  <c r="K1888" i="2" s="1"/>
  <c r="F1889" i="2"/>
  <c r="A1890" i="2"/>
  <c r="B1889" i="2"/>
  <c r="C1889" i="2" s="1"/>
  <c r="D1889" i="2" s="1"/>
  <c r="O1889" i="2"/>
  <c r="M1889" i="2"/>
  <c r="N1885" i="2" l="1"/>
  <c r="L1889" i="2"/>
  <c r="E1890" i="2" a="1"/>
  <c r="E1890" i="2" s="1"/>
  <c r="F1890" i="2"/>
  <c r="A1891" i="2"/>
  <c r="B1890" i="2"/>
  <c r="C1890" i="2" s="1"/>
  <c r="D1890" i="2" s="1"/>
  <c r="L1890" i="2" s="1"/>
  <c r="M1890" i="2"/>
  <c r="O1890" i="2"/>
  <c r="G1889" i="2"/>
  <c r="J1889" i="2"/>
  <c r="K1889" i="2" s="1"/>
  <c r="H1886" i="2"/>
  <c r="I1886" i="2" s="1"/>
  <c r="P1886" i="2" s="1"/>
  <c r="E1891" i="2" l="1" a="1"/>
  <c r="E1891" i="2" s="1"/>
  <c r="N1886" i="2"/>
  <c r="H1887" i="2"/>
  <c r="I1887" i="2" s="1"/>
  <c r="P1887" i="2" s="1"/>
  <c r="A1892" i="2"/>
  <c r="B1891" i="2"/>
  <c r="C1891" i="2" s="1"/>
  <c r="D1891" i="2" s="1"/>
  <c r="O1891" i="2"/>
  <c r="M1891" i="2"/>
  <c r="F1891" i="2"/>
  <c r="J1890" i="2"/>
  <c r="K1890" i="2" s="1"/>
  <c r="G1890" i="2"/>
  <c r="N1887" i="2" l="1"/>
  <c r="L1891" i="2"/>
  <c r="E1892" i="2" a="1"/>
  <c r="E1892" i="2" s="1"/>
  <c r="G1891" i="2"/>
  <c r="J1891" i="2"/>
  <c r="K1891" i="2" s="1"/>
  <c r="A1893" i="2"/>
  <c r="B1892" i="2"/>
  <c r="C1892" i="2" s="1"/>
  <c r="D1892" i="2" s="1"/>
  <c r="O1892" i="2"/>
  <c r="M1892" i="2"/>
  <c r="F1892" i="2"/>
  <c r="H1888" i="2"/>
  <c r="L1892" i="2" l="1"/>
  <c r="E1893" i="2" a="1"/>
  <c r="E1893" i="2" s="1"/>
  <c r="I1888" i="2"/>
  <c r="P1888" i="2" s="1"/>
  <c r="H1889" i="2"/>
  <c r="J1892" i="2"/>
  <c r="K1892" i="2" s="1"/>
  <c r="G1892" i="2"/>
  <c r="O1893" i="2"/>
  <c r="M1893" i="2"/>
  <c r="F1893" i="2"/>
  <c r="B1893" i="2"/>
  <c r="C1893" i="2" s="1"/>
  <c r="D1893" i="2" s="1"/>
  <c r="A1894" i="2"/>
  <c r="E1894" i="2" l="1" a="1"/>
  <c r="E1894" i="2" s="1"/>
  <c r="L1893" i="2"/>
  <c r="I1889" i="2"/>
  <c r="P1889" i="2" s="1"/>
  <c r="N1888" i="2"/>
  <c r="A1895" i="2"/>
  <c r="B1894" i="2"/>
  <c r="C1894" i="2" s="1"/>
  <c r="D1894" i="2" s="1"/>
  <c r="O1894" i="2"/>
  <c r="M1894" i="2"/>
  <c r="F1894" i="2"/>
  <c r="J1893" i="2"/>
  <c r="K1893" i="2" s="1"/>
  <c r="G1893" i="2"/>
  <c r="H1890" i="2"/>
  <c r="L1894" i="2" l="1"/>
  <c r="N1889" i="2"/>
  <c r="I1890" i="2"/>
  <c r="P1890" i="2" s="1"/>
  <c r="E1895" i="2" a="1"/>
  <c r="E1895" i="2" s="1"/>
  <c r="H1891" i="2"/>
  <c r="J1894" i="2"/>
  <c r="K1894" i="2" s="1"/>
  <c r="G1894" i="2"/>
  <c r="A1896" i="2"/>
  <c r="B1895" i="2"/>
  <c r="C1895" i="2" s="1"/>
  <c r="D1895" i="2" s="1"/>
  <c r="L1895" i="2" s="1"/>
  <c r="M1895" i="2"/>
  <c r="O1895" i="2"/>
  <c r="F1895" i="2"/>
  <c r="E1896" i="2" l="1" a="1"/>
  <c r="E1896" i="2" s="1"/>
  <c r="N1890" i="2"/>
  <c r="I1891" i="2"/>
  <c r="P1891" i="2" s="1"/>
  <c r="G1895" i="2"/>
  <c r="J1895" i="2"/>
  <c r="K1895" i="2" s="1"/>
  <c r="O1896" i="2"/>
  <c r="M1896" i="2"/>
  <c r="F1896" i="2"/>
  <c r="B1896" i="2"/>
  <c r="C1896" i="2" s="1"/>
  <c r="D1896" i="2" s="1"/>
  <c r="L1896" i="2" s="1"/>
  <c r="A1897" i="2"/>
  <c r="H1892" i="2"/>
  <c r="I1892" i="2" s="1"/>
  <c r="P1892" i="2" s="1"/>
  <c r="N1892" i="2" l="1"/>
  <c r="E1897" i="2" a="1"/>
  <c r="E1897" i="2" s="1"/>
  <c r="N1891" i="2"/>
  <c r="H1893" i="2"/>
  <c r="I1893" i="2" s="1"/>
  <c r="P1893" i="2" s="1"/>
  <c r="O1897" i="2"/>
  <c r="F1897" i="2"/>
  <c r="A1898" i="2"/>
  <c r="M1897" i="2"/>
  <c r="B1897" i="2"/>
  <c r="C1897" i="2" s="1"/>
  <c r="D1897" i="2" s="1"/>
  <c r="L1897" i="2" s="1"/>
  <c r="J1896" i="2"/>
  <c r="K1896" i="2" s="1"/>
  <c r="G1896" i="2"/>
  <c r="E1898" i="2" l="1" a="1"/>
  <c r="E1898" i="2" s="1"/>
  <c r="N1893" i="2"/>
  <c r="M1898" i="2"/>
  <c r="F1898" i="2"/>
  <c r="A1899" i="2"/>
  <c r="B1898" i="2"/>
  <c r="C1898" i="2" s="1"/>
  <c r="D1898" i="2" s="1"/>
  <c r="O1898" i="2"/>
  <c r="J1897" i="2"/>
  <c r="K1897" i="2" s="1"/>
  <c r="G1897" i="2"/>
  <c r="H1894" i="2"/>
  <c r="I1894" i="2" l="1"/>
  <c r="P1894" i="2" s="1"/>
  <c r="L1898" i="2"/>
  <c r="E1899" i="2" a="1"/>
  <c r="E1899" i="2" s="1"/>
  <c r="H1895" i="2"/>
  <c r="M1899" i="2"/>
  <c r="F1899" i="2"/>
  <c r="B1899" i="2"/>
  <c r="C1899" i="2" s="1"/>
  <c r="D1899" i="2" s="1"/>
  <c r="A1900" i="2"/>
  <c r="O1899" i="2"/>
  <c r="J1898" i="2"/>
  <c r="K1898" i="2" s="1"/>
  <c r="G1898" i="2"/>
  <c r="N1894" i="2" l="1"/>
  <c r="E1900" i="2" a="1"/>
  <c r="E1900" i="2" s="1"/>
  <c r="L1899" i="2"/>
  <c r="I1895" i="2"/>
  <c r="P1895" i="2" s="1"/>
  <c r="F1900" i="2"/>
  <c r="A1901" i="2"/>
  <c r="B1900" i="2"/>
  <c r="C1900" i="2" s="1"/>
  <c r="D1900" i="2" s="1"/>
  <c r="L1900" i="2" s="1"/>
  <c r="O1900" i="2"/>
  <c r="M1900" i="2"/>
  <c r="J1899" i="2"/>
  <c r="K1899" i="2" s="1"/>
  <c r="G1899" i="2"/>
  <c r="H1896" i="2"/>
  <c r="E1901" i="2" l="1" a="1"/>
  <c r="E1901" i="2" s="1"/>
  <c r="I1896" i="2"/>
  <c r="P1896" i="2" s="1"/>
  <c r="N1895" i="2"/>
  <c r="H1897" i="2"/>
  <c r="I1897" i="2" s="1"/>
  <c r="P1897" i="2" s="1"/>
  <c r="F1901" i="2"/>
  <c r="A1902" i="2"/>
  <c r="B1901" i="2"/>
  <c r="C1901" i="2" s="1"/>
  <c r="D1901" i="2" s="1"/>
  <c r="L1901" i="2" s="1"/>
  <c r="O1901" i="2"/>
  <c r="M1901" i="2"/>
  <c r="G1900" i="2"/>
  <c r="J1900" i="2"/>
  <c r="K1900" i="2" s="1"/>
  <c r="E1902" i="2" l="1" a="1"/>
  <c r="E1902" i="2" s="1"/>
  <c r="N1897" i="2"/>
  <c r="N1896" i="2"/>
  <c r="F1902" i="2"/>
  <c r="A1903" i="2"/>
  <c r="B1902" i="2"/>
  <c r="C1902" i="2" s="1"/>
  <c r="D1902" i="2" s="1"/>
  <c r="O1902" i="2"/>
  <c r="M1902" i="2"/>
  <c r="J1901" i="2"/>
  <c r="K1901" i="2" s="1"/>
  <c r="G1901" i="2"/>
  <c r="H1898" i="2"/>
  <c r="L1902" i="2" l="1"/>
  <c r="E1903" i="2" a="1"/>
  <c r="E1903" i="2" s="1"/>
  <c r="I1898" i="2"/>
  <c r="P1898" i="2" s="1"/>
  <c r="H1899" i="2"/>
  <c r="F1903" i="2"/>
  <c r="A1904" i="2"/>
  <c r="B1903" i="2"/>
  <c r="C1903" i="2" s="1"/>
  <c r="D1903" i="2" s="1"/>
  <c r="O1903" i="2"/>
  <c r="M1903" i="2"/>
  <c r="J1902" i="2"/>
  <c r="K1902" i="2" s="1"/>
  <c r="G1902" i="2"/>
  <c r="L1903" i="2" l="1"/>
  <c r="E1904" i="2" a="1"/>
  <c r="E1904" i="2" s="1"/>
  <c r="N1898" i="2"/>
  <c r="I1899" i="2"/>
  <c r="P1899" i="2" s="1"/>
  <c r="F1904" i="2"/>
  <c r="O1904" i="2"/>
  <c r="M1904" i="2"/>
  <c r="A1905" i="2"/>
  <c r="B1904" i="2"/>
  <c r="C1904" i="2" s="1"/>
  <c r="D1904" i="2" s="1"/>
  <c r="G1903" i="2"/>
  <c r="J1903" i="2"/>
  <c r="K1903" i="2" s="1"/>
  <c r="H1900" i="2"/>
  <c r="I1900" i="2" s="1"/>
  <c r="P1900" i="2" s="1"/>
  <c r="L1904" i="2" l="1"/>
  <c r="N1899" i="2"/>
  <c r="N1900" i="2"/>
  <c r="E1905" i="2" a="1"/>
  <c r="E1905" i="2" s="1"/>
  <c r="H1901" i="2"/>
  <c r="F1905" i="2"/>
  <c r="A1906" i="2"/>
  <c r="B1905" i="2"/>
  <c r="C1905" i="2" s="1"/>
  <c r="D1905" i="2" s="1"/>
  <c r="O1905" i="2"/>
  <c r="M1905" i="2"/>
  <c r="G1904" i="2"/>
  <c r="J1904" i="2"/>
  <c r="K1904" i="2" s="1"/>
  <c r="L1905" i="2" l="1"/>
  <c r="E1906" i="2" a="1"/>
  <c r="E1906" i="2" s="1"/>
  <c r="I1901" i="2"/>
  <c r="P1901" i="2" s="1"/>
  <c r="F1906" i="2"/>
  <c r="A1907" i="2"/>
  <c r="B1906" i="2"/>
  <c r="C1906" i="2" s="1"/>
  <c r="D1906" i="2" s="1"/>
  <c r="L1906" i="2" s="1"/>
  <c r="M1906" i="2"/>
  <c r="O1906" i="2"/>
  <c r="G1905" i="2"/>
  <c r="J1905" i="2"/>
  <c r="K1905" i="2" s="1"/>
  <c r="H1902" i="2"/>
  <c r="E1907" i="2" l="1" a="1"/>
  <c r="E1907" i="2" s="1"/>
  <c r="I1902" i="2"/>
  <c r="P1902" i="2" s="1"/>
  <c r="N1901" i="2"/>
  <c r="H1903" i="2"/>
  <c r="A1908" i="2"/>
  <c r="B1907" i="2"/>
  <c r="C1907" i="2" s="1"/>
  <c r="D1907" i="2" s="1"/>
  <c r="O1907" i="2"/>
  <c r="M1907" i="2"/>
  <c r="F1907" i="2"/>
  <c r="G1906" i="2"/>
  <c r="J1906" i="2"/>
  <c r="K1906" i="2" s="1"/>
  <c r="N1902" i="2" l="1"/>
  <c r="I1903" i="2"/>
  <c r="P1903" i="2" s="1"/>
  <c r="E1908" i="2" a="1"/>
  <c r="E1908" i="2" s="1"/>
  <c r="L1907" i="2"/>
  <c r="J1907" i="2"/>
  <c r="K1907" i="2" s="1"/>
  <c r="G1907" i="2"/>
  <c r="A1909" i="2"/>
  <c r="B1908" i="2"/>
  <c r="C1908" i="2" s="1"/>
  <c r="D1908" i="2" s="1"/>
  <c r="O1908" i="2"/>
  <c r="M1908" i="2"/>
  <c r="F1908" i="2"/>
  <c r="H1904" i="2"/>
  <c r="I1904" i="2" s="1"/>
  <c r="P1904" i="2" s="1"/>
  <c r="N1903" i="2" l="1"/>
  <c r="N1904" i="2"/>
  <c r="L1908" i="2"/>
  <c r="E1909" i="2" a="1"/>
  <c r="E1909" i="2" s="1"/>
  <c r="H1905" i="2"/>
  <c r="I1905" i="2" s="1"/>
  <c r="P1905" i="2" s="1"/>
  <c r="J1908" i="2"/>
  <c r="K1908" i="2" s="1"/>
  <c r="G1908" i="2"/>
  <c r="A1910" i="2"/>
  <c r="B1909" i="2"/>
  <c r="C1909" i="2" s="1"/>
  <c r="D1909" i="2" s="1"/>
  <c r="O1909" i="2"/>
  <c r="M1909" i="2"/>
  <c r="F1909" i="2"/>
  <c r="L1909" i="2" l="1"/>
  <c r="E1910" i="2" a="1"/>
  <c r="E1910" i="2" s="1"/>
  <c r="N1905" i="2"/>
  <c r="J1909" i="2"/>
  <c r="K1909" i="2" s="1"/>
  <c r="G1909" i="2"/>
  <c r="A1911" i="2"/>
  <c r="B1910" i="2"/>
  <c r="C1910" i="2" s="1"/>
  <c r="D1910" i="2" s="1"/>
  <c r="L1910" i="2" s="1"/>
  <c r="O1910" i="2"/>
  <c r="M1910" i="2"/>
  <c r="F1910" i="2"/>
  <c r="H1906" i="2"/>
  <c r="E1911" i="2" l="1" a="1"/>
  <c r="E1911" i="2" s="1"/>
  <c r="I1906" i="2"/>
  <c r="P1906" i="2" s="1"/>
  <c r="H1907" i="2"/>
  <c r="I1907" i="2" s="1"/>
  <c r="P1907" i="2" s="1"/>
  <c r="J1910" i="2"/>
  <c r="K1910" i="2" s="1"/>
  <c r="G1910" i="2"/>
  <c r="A1912" i="2"/>
  <c r="B1911" i="2"/>
  <c r="C1911" i="2" s="1"/>
  <c r="D1911" i="2" s="1"/>
  <c r="L1911" i="2" s="1"/>
  <c r="O1911" i="2"/>
  <c r="M1911" i="2"/>
  <c r="F1911" i="2"/>
  <c r="E1912" i="2" l="1" a="1"/>
  <c r="E1912" i="2" s="1"/>
  <c r="N1907" i="2"/>
  <c r="N1906" i="2"/>
  <c r="G1911" i="2"/>
  <c r="J1911" i="2"/>
  <c r="K1911" i="2" s="1"/>
  <c r="O1912" i="2"/>
  <c r="M1912" i="2"/>
  <c r="F1912" i="2"/>
  <c r="A1913" i="2"/>
  <c r="B1912" i="2"/>
  <c r="C1912" i="2" s="1"/>
  <c r="D1912" i="2" s="1"/>
  <c r="H1908" i="2"/>
  <c r="E1913" i="2" l="1" a="1"/>
  <c r="E1913" i="2" s="1"/>
  <c r="I1908" i="2"/>
  <c r="P1908" i="2" s="1"/>
  <c r="L1912" i="2"/>
  <c r="H1909" i="2"/>
  <c r="I1909" i="2" s="1"/>
  <c r="P1909" i="2" s="1"/>
  <c r="O1913" i="2"/>
  <c r="M1913" i="2"/>
  <c r="F1913" i="2"/>
  <c r="A1914" i="2"/>
  <c r="B1913" i="2"/>
  <c r="C1913" i="2" s="1"/>
  <c r="D1913" i="2" s="1"/>
  <c r="J1912" i="2"/>
  <c r="K1912" i="2" s="1"/>
  <c r="G1912" i="2"/>
  <c r="N1908" i="2" l="1"/>
  <c r="L1913" i="2"/>
  <c r="N1909" i="2"/>
  <c r="E1914" i="2" a="1"/>
  <c r="E1914" i="2" s="1"/>
  <c r="M1914" i="2"/>
  <c r="F1914" i="2"/>
  <c r="A1915" i="2"/>
  <c r="B1914" i="2"/>
  <c r="C1914" i="2" s="1"/>
  <c r="D1914" i="2" s="1"/>
  <c r="L1914" i="2" s="1"/>
  <c r="O1914" i="2"/>
  <c r="J1913" i="2"/>
  <c r="K1913" i="2" s="1"/>
  <c r="G1913" i="2"/>
  <c r="H1910" i="2"/>
  <c r="I1910" i="2" l="1"/>
  <c r="P1910" i="2" s="1"/>
  <c r="E1915" i="2" a="1"/>
  <c r="E1915" i="2" s="1"/>
  <c r="H1911" i="2"/>
  <c r="M1915" i="2"/>
  <c r="A1916" i="2"/>
  <c r="B1915" i="2"/>
  <c r="C1915" i="2" s="1"/>
  <c r="D1915" i="2" s="1"/>
  <c r="O1915" i="2"/>
  <c r="F1915" i="2"/>
  <c r="J1914" i="2"/>
  <c r="K1914" i="2" s="1"/>
  <c r="G1914" i="2"/>
  <c r="L1915" i="2" l="1"/>
  <c r="N1910" i="2"/>
  <c r="E1916" i="2" a="1"/>
  <c r="E1916" i="2" s="1"/>
  <c r="I1911" i="2"/>
  <c r="P1911" i="2" s="1"/>
  <c r="J1915" i="2"/>
  <c r="K1915" i="2" s="1"/>
  <c r="G1915" i="2"/>
  <c r="F1916" i="2"/>
  <c r="A1917" i="2"/>
  <c r="B1916" i="2"/>
  <c r="C1916" i="2" s="1"/>
  <c r="D1916" i="2" s="1"/>
  <c r="L1916" i="2" s="1"/>
  <c r="O1916" i="2"/>
  <c r="M1916" i="2"/>
  <c r="H1912" i="2"/>
  <c r="I1912" i="2" s="1"/>
  <c r="P1912" i="2" s="1"/>
  <c r="N1911" i="2" l="1"/>
  <c r="E1917" i="2" a="1"/>
  <c r="E1917" i="2" s="1"/>
  <c r="N1912" i="2"/>
  <c r="H1913" i="2"/>
  <c r="I1913" i="2" s="1"/>
  <c r="P1913" i="2" s="1"/>
  <c r="F1917" i="2"/>
  <c r="A1918" i="2"/>
  <c r="B1917" i="2"/>
  <c r="C1917" i="2" s="1"/>
  <c r="D1917" i="2" s="1"/>
  <c r="L1917" i="2" s="1"/>
  <c r="O1917" i="2"/>
  <c r="M1917" i="2"/>
  <c r="J1916" i="2"/>
  <c r="K1916" i="2" s="1"/>
  <c r="G1916" i="2"/>
  <c r="N1913" i="2" l="1"/>
  <c r="E1918" i="2" a="1"/>
  <c r="E1918" i="2" s="1"/>
  <c r="F1918" i="2"/>
  <c r="A1919" i="2"/>
  <c r="B1918" i="2"/>
  <c r="C1918" i="2" s="1"/>
  <c r="D1918" i="2" s="1"/>
  <c r="L1918" i="2" s="1"/>
  <c r="O1918" i="2"/>
  <c r="M1918" i="2"/>
  <c r="J1917" i="2"/>
  <c r="K1917" i="2" s="1"/>
  <c r="G1917" i="2"/>
  <c r="H1914" i="2"/>
  <c r="E1919" i="2" l="1" a="1"/>
  <c r="E1919" i="2" s="1"/>
  <c r="I1914" i="2"/>
  <c r="P1914" i="2" s="1"/>
  <c r="H1915" i="2"/>
  <c r="I1915" i="2" s="1"/>
  <c r="P1915" i="2" s="1"/>
  <c r="F1919" i="2"/>
  <c r="A1920" i="2"/>
  <c r="B1919" i="2"/>
  <c r="C1919" i="2" s="1"/>
  <c r="D1919" i="2" s="1"/>
  <c r="O1919" i="2"/>
  <c r="M1919" i="2"/>
  <c r="J1918" i="2"/>
  <c r="K1918" i="2" s="1"/>
  <c r="G1918" i="2"/>
  <c r="N1915" i="2" l="1"/>
  <c r="L1919" i="2"/>
  <c r="N1914" i="2"/>
  <c r="E1920" i="2" a="1"/>
  <c r="E1920" i="2" s="1"/>
  <c r="F1920" i="2"/>
  <c r="O1920" i="2"/>
  <c r="M1920" i="2"/>
  <c r="B1920" i="2"/>
  <c r="C1920" i="2" s="1"/>
  <c r="D1920" i="2" s="1"/>
  <c r="A1921" i="2"/>
  <c r="G1919" i="2"/>
  <c r="J1919" i="2"/>
  <c r="K1919" i="2" s="1"/>
  <c r="H1916" i="2"/>
  <c r="I1916" i="2" s="1"/>
  <c r="P1916" i="2" s="1"/>
  <c r="E1921" i="2" l="1" a="1"/>
  <c r="E1921" i="2" s="1"/>
  <c r="N1916" i="2"/>
  <c r="L1920" i="2"/>
  <c r="H1917" i="2"/>
  <c r="I1917" i="2" s="1"/>
  <c r="P1917" i="2" s="1"/>
  <c r="F1921" i="2"/>
  <c r="A1922" i="2"/>
  <c r="B1921" i="2"/>
  <c r="C1921" i="2" s="1"/>
  <c r="D1921" i="2" s="1"/>
  <c r="O1921" i="2"/>
  <c r="M1921" i="2"/>
  <c r="G1920" i="2"/>
  <c r="J1920" i="2"/>
  <c r="K1920" i="2" s="1"/>
  <c r="L1921" i="2" l="1"/>
  <c r="N1917" i="2"/>
  <c r="E1922" i="2" a="1"/>
  <c r="E1922" i="2" s="1"/>
  <c r="F1922" i="2"/>
  <c r="A1923" i="2"/>
  <c r="B1922" i="2"/>
  <c r="C1922" i="2" s="1"/>
  <c r="D1922" i="2" s="1"/>
  <c r="L1922" i="2" s="1"/>
  <c r="M1922" i="2"/>
  <c r="O1922" i="2"/>
  <c r="G1921" i="2"/>
  <c r="J1921" i="2"/>
  <c r="K1921" i="2" s="1"/>
  <c r="H1918" i="2"/>
  <c r="I1918" i="2" s="1"/>
  <c r="P1918" i="2" s="1"/>
  <c r="N1918" i="2" l="1"/>
  <c r="E1923" i="2" a="1"/>
  <c r="E1923" i="2" s="1"/>
  <c r="H1919" i="2"/>
  <c r="A1924" i="2"/>
  <c r="B1923" i="2"/>
  <c r="C1923" i="2" s="1"/>
  <c r="D1923" i="2" s="1"/>
  <c r="O1923" i="2"/>
  <c r="M1923" i="2"/>
  <c r="F1923" i="2"/>
  <c r="J1922" i="2"/>
  <c r="K1922" i="2" s="1"/>
  <c r="G1922" i="2"/>
  <c r="E1924" i="2" l="1" a="1"/>
  <c r="E1924" i="2" s="1"/>
  <c r="L1923" i="2"/>
  <c r="I1919" i="2"/>
  <c r="P1919" i="2" s="1"/>
  <c r="J1923" i="2"/>
  <c r="K1923" i="2" s="1"/>
  <c r="G1923" i="2"/>
  <c r="A1925" i="2"/>
  <c r="B1924" i="2"/>
  <c r="C1924" i="2" s="1"/>
  <c r="D1924" i="2" s="1"/>
  <c r="O1924" i="2"/>
  <c r="M1924" i="2"/>
  <c r="F1924" i="2"/>
  <c r="H1920" i="2"/>
  <c r="I1920" i="2" s="1"/>
  <c r="P1920" i="2" s="1"/>
  <c r="N1920" i="2" l="1"/>
  <c r="L1924" i="2"/>
  <c r="E1925" i="2" a="1"/>
  <c r="E1925" i="2" s="1"/>
  <c r="N1919" i="2"/>
  <c r="H1921" i="2"/>
  <c r="I1921" i="2" s="1"/>
  <c r="P1921" i="2" s="1"/>
  <c r="J1924" i="2"/>
  <c r="K1924" i="2" s="1"/>
  <c r="G1924" i="2"/>
  <c r="A1926" i="2"/>
  <c r="B1925" i="2"/>
  <c r="C1925" i="2" s="1"/>
  <c r="D1925" i="2" s="1"/>
  <c r="O1925" i="2"/>
  <c r="M1925" i="2"/>
  <c r="F1925" i="2"/>
  <c r="L1925" i="2" l="1"/>
  <c r="N1921" i="2"/>
  <c r="E1926" i="2" a="1"/>
  <c r="E1926" i="2" s="1"/>
  <c r="J1925" i="2"/>
  <c r="K1925" i="2" s="1"/>
  <c r="G1925" i="2"/>
  <c r="A1927" i="2"/>
  <c r="B1926" i="2"/>
  <c r="C1926" i="2" s="1"/>
  <c r="D1926" i="2" s="1"/>
  <c r="L1926" i="2" s="1"/>
  <c r="O1926" i="2"/>
  <c r="M1926" i="2"/>
  <c r="F1926" i="2"/>
  <c r="H1922" i="2"/>
  <c r="I1922" i="2" s="1"/>
  <c r="P1922" i="2" s="1"/>
  <c r="E1927" i="2" l="1" a="1"/>
  <c r="E1927" i="2" s="1"/>
  <c r="N1922" i="2"/>
  <c r="H1923" i="2"/>
  <c r="I1923" i="2" s="1"/>
  <c r="P1923" i="2" s="1"/>
  <c r="J1926" i="2"/>
  <c r="K1926" i="2" s="1"/>
  <c r="G1926" i="2"/>
  <c r="A1928" i="2"/>
  <c r="B1927" i="2"/>
  <c r="C1927" i="2" s="1"/>
  <c r="D1927" i="2" s="1"/>
  <c r="O1927" i="2"/>
  <c r="M1927" i="2"/>
  <c r="F1927" i="2"/>
  <c r="E1928" i="2" l="1" a="1"/>
  <c r="E1928" i="2" s="1"/>
  <c r="L1927" i="2"/>
  <c r="N1923" i="2"/>
  <c r="G1927" i="2"/>
  <c r="J1927" i="2"/>
  <c r="K1927" i="2" s="1"/>
  <c r="O1928" i="2"/>
  <c r="M1928" i="2"/>
  <c r="F1928" i="2"/>
  <c r="A1929" i="2"/>
  <c r="B1928" i="2"/>
  <c r="C1928" i="2" s="1"/>
  <c r="D1928" i="2" s="1"/>
  <c r="H1924" i="2"/>
  <c r="L1928" i="2" l="1"/>
  <c r="E1929" i="2" a="1"/>
  <c r="E1929" i="2" s="1"/>
  <c r="I1924" i="2"/>
  <c r="P1924" i="2" s="1"/>
  <c r="H1925" i="2"/>
  <c r="O1929" i="2"/>
  <c r="M1929" i="2"/>
  <c r="F1929" i="2"/>
  <c r="A1930" i="2"/>
  <c r="B1929" i="2"/>
  <c r="C1929" i="2" s="1"/>
  <c r="D1929" i="2" s="1"/>
  <c r="J1928" i="2"/>
  <c r="K1928" i="2" s="1"/>
  <c r="G1928" i="2"/>
  <c r="L1929" i="2" l="1"/>
  <c r="I1925" i="2"/>
  <c r="P1925" i="2" s="1"/>
  <c r="N1924" i="2"/>
  <c r="E1930" i="2" a="1"/>
  <c r="E1930" i="2" s="1"/>
  <c r="M1930" i="2"/>
  <c r="F1930" i="2"/>
  <c r="A1931" i="2"/>
  <c r="B1930" i="2"/>
  <c r="C1930" i="2" s="1"/>
  <c r="D1930" i="2" s="1"/>
  <c r="O1930" i="2"/>
  <c r="J1929" i="2"/>
  <c r="K1929" i="2" s="1"/>
  <c r="G1929" i="2"/>
  <c r="H1926" i="2"/>
  <c r="L1930" i="2" l="1"/>
  <c r="N1925" i="2"/>
  <c r="I1926" i="2"/>
  <c r="P1926" i="2" s="1"/>
  <c r="E1931" i="2" a="1"/>
  <c r="E1931" i="2" s="1"/>
  <c r="H1927" i="2"/>
  <c r="M1931" i="2"/>
  <c r="A1932" i="2"/>
  <c r="B1931" i="2"/>
  <c r="C1931" i="2" s="1"/>
  <c r="D1931" i="2" s="1"/>
  <c r="L1931" i="2" s="1"/>
  <c r="O1931" i="2"/>
  <c r="F1931" i="2"/>
  <c r="J1930" i="2"/>
  <c r="K1930" i="2" s="1"/>
  <c r="G1930" i="2"/>
  <c r="I1927" i="2" l="1"/>
  <c r="P1927" i="2" s="1"/>
  <c r="N1926" i="2"/>
  <c r="E1932" i="2" a="1"/>
  <c r="E1932" i="2" s="1"/>
  <c r="J1931" i="2"/>
  <c r="K1931" i="2" s="1"/>
  <c r="G1931" i="2"/>
  <c r="F1932" i="2"/>
  <c r="A1933" i="2"/>
  <c r="B1932" i="2"/>
  <c r="C1932" i="2" s="1"/>
  <c r="D1932" i="2" s="1"/>
  <c r="O1932" i="2"/>
  <c r="M1932" i="2"/>
  <c r="H1928" i="2"/>
  <c r="I1928" i="2" s="1"/>
  <c r="P1928" i="2" s="1"/>
  <c r="N1927" i="2" l="1"/>
  <c r="E1933" i="2" a="1"/>
  <c r="E1933" i="2" s="1"/>
  <c r="L1932" i="2"/>
  <c r="N1928" i="2"/>
  <c r="H1929" i="2"/>
  <c r="F1933" i="2"/>
  <c r="A1934" i="2"/>
  <c r="B1933" i="2"/>
  <c r="C1933" i="2" s="1"/>
  <c r="D1933" i="2" s="1"/>
  <c r="L1933" i="2" s="1"/>
  <c r="O1933" i="2"/>
  <c r="M1933" i="2"/>
  <c r="J1932" i="2"/>
  <c r="K1932" i="2" s="1"/>
  <c r="G1932" i="2"/>
  <c r="I1929" i="2" l="1"/>
  <c r="P1929" i="2" s="1"/>
  <c r="E1934" i="2" a="1"/>
  <c r="E1934" i="2" s="1"/>
  <c r="F1934" i="2"/>
  <c r="A1935" i="2"/>
  <c r="B1934" i="2"/>
  <c r="C1934" i="2" s="1"/>
  <c r="D1934" i="2" s="1"/>
  <c r="O1934" i="2"/>
  <c r="M1934" i="2"/>
  <c r="J1933" i="2"/>
  <c r="K1933" i="2" s="1"/>
  <c r="G1933" i="2"/>
  <c r="H1930" i="2"/>
  <c r="N1929" i="2" l="1"/>
  <c r="L1934" i="2"/>
  <c r="E1935" i="2" a="1"/>
  <c r="E1935" i="2" s="1"/>
  <c r="I1930" i="2"/>
  <c r="P1930" i="2" s="1"/>
  <c r="H1931" i="2"/>
  <c r="I1931" i="2" s="1"/>
  <c r="P1931" i="2" s="1"/>
  <c r="F1935" i="2"/>
  <c r="A1936" i="2"/>
  <c r="B1935" i="2"/>
  <c r="C1935" i="2" s="1"/>
  <c r="D1935" i="2" s="1"/>
  <c r="L1935" i="2" s="1"/>
  <c r="O1935" i="2"/>
  <c r="M1935" i="2"/>
  <c r="J1934" i="2"/>
  <c r="K1934" i="2" s="1"/>
  <c r="G1934" i="2"/>
  <c r="E1936" i="2" l="1" a="1"/>
  <c r="E1936" i="2" s="1"/>
  <c r="N1930" i="2"/>
  <c r="N1931" i="2"/>
  <c r="F1936" i="2"/>
  <c r="O1936" i="2"/>
  <c r="M1936" i="2"/>
  <c r="A1937" i="2"/>
  <c r="B1936" i="2"/>
  <c r="C1936" i="2" s="1"/>
  <c r="D1936" i="2" s="1"/>
  <c r="L1936" i="2" s="1"/>
  <c r="G1935" i="2"/>
  <c r="J1935" i="2"/>
  <c r="K1935" i="2" s="1"/>
  <c r="H1932" i="2"/>
  <c r="I1932" i="2" s="1"/>
  <c r="P1932" i="2" s="1"/>
  <c r="N1932" i="2" l="1"/>
  <c r="E1937" i="2" a="1"/>
  <c r="E1937" i="2" s="1"/>
  <c r="H1933" i="2"/>
  <c r="F1937" i="2"/>
  <c r="A1938" i="2"/>
  <c r="B1937" i="2"/>
  <c r="C1937" i="2" s="1"/>
  <c r="D1937" i="2" s="1"/>
  <c r="L1937" i="2" s="1"/>
  <c r="O1937" i="2"/>
  <c r="M1937" i="2"/>
  <c r="G1936" i="2"/>
  <c r="J1936" i="2"/>
  <c r="K1936" i="2" s="1"/>
  <c r="E1938" i="2" l="1" a="1"/>
  <c r="E1938" i="2" s="1"/>
  <c r="I1933" i="2"/>
  <c r="P1933" i="2" s="1"/>
  <c r="F1938" i="2"/>
  <c r="A1939" i="2"/>
  <c r="B1938" i="2"/>
  <c r="C1938" i="2" s="1"/>
  <c r="D1938" i="2" s="1"/>
  <c r="M1938" i="2"/>
  <c r="O1938" i="2"/>
  <c r="G1937" i="2"/>
  <c r="J1937" i="2"/>
  <c r="K1937" i="2" s="1"/>
  <c r="H1934" i="2"/>
  <c r="I1934" i="2" s="1"/>
  <c r="P1934" i="2" s="1"/>
  <c r="L1938" i="2" l="1"/>
  <c r="N1934" i="2"/>
  <c r="E1939" i="2" a="1"/>
  <c r="E1939" i="2" s="1"/>
  <c r="N1933" i="2"/>
  <c r="H1935" i="2"/>
  <c r="A1940" i="2"/>
  <c r="B1939" i="2"/>
  <c r="C1939" i="2" s="1"/>
  <c r="D1939" i="2" s="1"/>
  <c r="L1939" i="2" s="1"/>
  <c r="O1939" i="2"/>
  <c r="M1939" i="2"/>
  <c r="F1939" i="2"/>
  <c r="J1938" i="2"/>
  <c r="K1938" i="2" s="1"/>
  <c r="G1938" i="2"/>
  <c r="E1940" i="2" l="1" a="1"/>
  <c r="E1940" i="2" s="1"/>
  <c r="I1935" i="2"/>
  <c r="P1935" i="2" s="1"/>
  <c r="J1939" i="2"/>
  <c r="K1939" i="2" s="1"/>
  <c r="G1939" i="2"/>
  <c r="A1941" i="2"/>
  <c r="B1940" i="2"/>
  <c r="C1940" i="2" s="1"/>
  <c r="D1940" i="2" s="1"/>
  <c r="O1940" i="2"/>
  <c r="F1940" i="2"/>
  <c r="M1940" i="2"/>
  <c r="H1936" i="2"/>
  <c r="I1936" i="2" s="1"/>
  <c r="P1936" i="2" s="1"/>
  <c r="N1936" i="2" l="1"/>
  <c r="L1940" i="2"/>
  <c r="E1941" i="2" a="1"/>
  <c r="E1941" i="2" s="1"/>
  <c r="N1935" i="2"/>
  <c r="H1937" i="2"/>
  <c r="J1940" i="2"/>
  <c r="K1940" i="2" s="1"/>
  <c r="G1940" i="2"/>
  <c r="A1942" i="2"/>
  <c r="B1941" i="2"/>
  <c r="C1941" i="2" s="1"/>
  <c r="D1941" i="2" s="1"/>
  <c r="L1941" i="2" s="1"/>
  <c r="O1941" i="2"/>
  <c r="M1941" i="2"/>
  <c r="F1941" i="2"/>
  <c r="I1937" i="2" l="1"/>
  <c r="P1937" i="2" s="1"/>
  <c r="E1942" i="2" a="1"/>
  <c r="E1942" i="2" s="1"/>
  <c r="J1941" i="2"/>
  <c r="K1941" i="2" s="1"/>
  <c r="G1941" i="2"/>
  <c r="A1943" i="2"/>
  <c r="B1942" i="2"/>
  <c r="C1942" i="2" s="1"/>
  <c r="D1942" i="2" s="1"/>
  <c r="O1942" i="2"/>
  <c r="M1942" i="2"/>
  <c r="F1942" i="2"/>
  <c r="H1938" i="2"/>
  <c r="L1942" i="2" l="1"/>
  <c r="E1943" i="2" a="1"/>
  <c r="E1943" i="2" s="1"/>
  <c r="I1938" i="2"/>
  <c r="P1938" i="2" s="1"/>
  <c r="N1937" i="2"/>
  <c r="H1939" i="2"/>
  <c r="J1942" i="2"/>
  <c r="K1942" i="2" s="1"/>
  <c r="G1942" i="2"/>
  <c r="A1944" i="2"/>
  <c r="B1943" i="2"/>
  <c r="C1943" i="2" s="1"/>
  <c r="D1943" i="2" s="1"/>
  <c r="O1943" i="2"/>
  <c r="M1943" i="2"/>
  <c r="F1943" i="2"/>
  <c r="I1939" i="2" l="1"/>
  <c r="P1939" i="2" s="1"/>
  <c r="E1944" i="2" a="1"/>
  <c r="E1944" i="2" s="1"/>
  <c r="N1938" i="2"/>
  <c r="L1943" i="2"/>
  <c r="G1943" i="2"/>
  <c r="J1943" i="2"/>
  <c r="K1943" i="2" s="1"/>
  <c r="O1944" i="2"/>
  <c r="M1944" i="2"/>
  <c r="F1944" i="2"/>
  <c r="A1945" i="2"/>
  <c r="B1944" i="2"/>
  <c r="C1944" i="2" s="1"/>
  <c r="D1944" i="2" s="1"/>
  <c r="L1944" i="2" s="1"/>
  <c r="H1940" i="2"/>
  <c r="N1939" i="2" l="1"/>
  <c r="E1945" i="2" a="1"/>
  <c r="E1945" i="2" s="1"/>
  <c r="I1940" i="2"/>
  <c r="P1940" i="2" s="1"/>
  <c r="H1941" i="2"/>
  <c r="I1941" i="2" s="1"/>
  <c r="P1941" i="2" s="1"/>
  <c r="O1945" i="2"/>
  <c r="M1945" i="2"/>
  <c r="F1945" i="2"/>
  <c r="A1946" i="2"/>
  <c r="B1945" i="2"/>
  <c r="C1945" i="2" s="1"/>
  <c r="D1945" i="2" s="1"/>
  <c r="J1944" i="2"/>
  <c r="K1944" i="2" s="1"/>
  <c r="G1944" i="2"/>
  <c r="N1940" i="2" l="1"/>
  <c r="N1941" i="2"/>
  <c r="L1945" i="2"/>
  <c r="E1946" i="2" a="1"/>
  <c r="E1946" i="2" s="1"/>
  <c r="M1946" i="2"/>
  <c r="F1946" i="2"/>
  <c r="A1947" i="2"/>
  <c r="B1946" i="2"/>
  <c r="C1946" i="2" s="1"/>
  <c r="D1946" i="2" s="1"/>
  <c r="L1946" i="2" s="1"/>
  <c r="O1946" i="2"/>
  <c r="J1945" i="2"/>
  <c r="K1945" i="2" s="1"/>
  <c r="G1945" i="2"/>
  <c r="H1942" i="2"/>
  <c r="I1942" i="2" s="1"/>
  <c r="P1942" i="2" s="1"/>
  <c r="E1947" i="2" l="1" a="1"/>
  <c r="E1947" i="2" s="1"/>
  <c r="N1942" i="2"/>
  <c r="E1948" i="2" a="1"/>
  <c r="E1948" i="2" s="1"/>
  <c r="H1943" i="2"/>
  <c r="I1943" i="2" s="1"/>
  <c r="P1943" i="2" s="1"/>
  <c r="M1947" i="2"/>
  <c r="A1948" i="2"/>
  <c r="B1947" i="2"/>
  <c r="C1947" i="2" s="1"/>
  <c r="D1947" i="2" s="1"/>
  <c r="O1947" i="2"/>
  <c r="F1947" i="2"/>
  <c r="J1946" i="2"/>
  <c r="K1946" i="2" s="1"/>
  <c r="G1946" i="2"/>
  <c r="L1947" i="2" l="1"/>
  <c r="N1943" i="2"/>
  <c r="J1947" i="2"/>
  <c r="K1947" i="2" s="1"/>
  <c r="G1947" i="2"/>
  <c r="F1948" i="2"/>
  <c r="A1949" i="2"/>
  <c r="B1948" i="2"/>
  <c r="C1948" i="2" s="1"/>
  <c r="D1948" i="2" s="1"/>
  <c r="O1948" i="2"/>
  <c r="M1948" i="2"/>
  <c r="H1944" i="2"/>
  <c r="I1944" i="2" s="1"/>
  <c r="P1944" i="2" s="1"/>
  <c r="E1949" i="2" l="1" a="1"/>
  <c r="E1949" i="2" s="1"/>
  <c r="L1948" i="2"/>
  <c r="N1944" i="2"/>
  <c r="H1945" i="2"/>
  <c r="F1949" i="2"/>
  <c r="A1950" i="2"/>
  <c r="B1949" i="2"/>
  <c r="C1949" i="2" s="1"/>
  <c r="D1949" i="2" s="1"/>
  <c r="L1949" i="2" s="1"/>
  <c r="O1949" i="2"/>
  <c r="M1949" i="2"/>
  <c r="J1948" i="2"/>
  <c r="K1948" i="2" s="1"/>
  <c r="G1948" i="2"/>
  <c r="E1950" i="2" l="1" a="1"/>
  <c r="E1950" i="2" s="1"/>
  <c r="I1945" i="2"/>
  <c r="P1945" i="2" s="1"/>
  <c r="F1950" i="2"/>
  <c r="A1951" i="2"/>
  <c r="B1950" i="2"/>
  <c r="C1950" i="2" s="1"/>
  <c r="D1950" i="2" s="1"/>
  <c r="L1950" i="2" s="1"/>
  <c r="O1950" i="2"/>
  <c r="M1950" i="2"/>
  <c r="J1949" i="2"/>
  <c r="K1949" i="2" s="1"/>
  <c r="G1949" i="2"/>
  <c r="H1946" i="2"/>
  <c r="I1946" i="2" s="1"/>
  <c r="P1946" i="2" s="1"/>
  <c r="E1951" i="2" l="1" a="1"/>
  <c r="E1951" i="2" s="1"/>
  <c r="N1946" i="2"/>
  <c r="N1945" i="2"/>
  <c r="H1947" i="2"/>
  <c r="I1947" i="2" s="1"/>
  <c r="P1947" i="2" s="1"/>
  <c r="F1951" i="2"/>
  <c r="A1952" i="2"/>
  <c r="B1951" i="2"/>
  <c r="C1951" i="2" s="1"/>
  <c r="D1951" i="2" s="1"/>
  <c r="L1951" i="2" s="1"/>
  <c r="O1951" i="2"/>
  <c r="M1951" i="2"/>
  <c r="J1950" i="2"/>
  <c r="K1950" i="2" s="1"/>
  <c r="G1950" i="2"/>
  <c r="N1947" i="2" l="1"/>
  <c r="E1952" i="2" a="1"/>
  <c r="E1952" i="2" s="1"/>
  <c r="F1952" i="2"/>
  <c r="O1952" i="2"/>
  <c r="M1952" i="2"/>
  <c r="A1953" i="2"/>
  <c r="B1952" i="2"/>
  <c r="C1952" i="2" s="1"/>
  <c r="D1952" i="2" s="1"/>
  <c r="L1952" i="2" s="1"/>
  <c r="G1951" i="2"/>
  <c r="J1951" i="2"/>
  <c r="K1951" i="2" s="1"/>
  <c r="H1948" i="2"/>
  <c r="I1948" i="2" l="1"/>
  <c r="P1948" i="2" s="1"/>
  <c r="E1953" i="2" a="1"/>
  <c r="E1953" i="2" s="1"/>
  <c r="H1949" i="2"/>
  <c r="I1949" i="2" s="1"/>
  <c r="P1949" i="2" s="1"/>
  <c r="F1953" i="2"/>
  <c r="A1954" i="2"/>
  <c r="B1953" i="2"/>
  <c r="C1953" i="2" s="1"/>
  <c r="D1953" i="2" s="1"/>
  <c r="L1953" i="2" s="1"/>
  <c r="O1953" i="2"/>
  <c r="M1953" i="2"/>
  <c r="G1952" i="2"/>
  <c r="J1952" i="2"/>
  <c r="K1952" i="2" s="1"/>
  <c r="N1948" i="2" l="1"/>
  <c r="N1949" i="2"/>
  <c r="E1954" i="2" a="1"/>
  <c r="E1954" i="2" s="1"/>
  <c r="F1954" i="2"/>
  <c r="A1955" i="2"/>
  <c r="B1954" i="2"/>
  <c r="C1954" i="2" s="1"/>
  <c r="D1954" i="2" s="1"/>
  <c r="M1954" i="2"/>
  <c r="O1954" i="2"/>
  <c r="G1953" i="2"/>
  <c r="J1953" i="2"/>
  <c r="K1953" i="2" s="1"/>
  <c r="H1950" i="2"/>
  <c r="I1950" i="2" l="1"/>
  <c r="P1950" i="2" s="1"/>
  <c r="L1954" i="2"/>
  <c r="E1955" i="2" a="1"/>
  <c r="E1955" i="2" s="1"/>
  <c r="H1951" i="2"/>
  <c r="A1956" i="2"/>
  <c r="B1955" i="2"/>
  <c r="C1955" i="2" s="1"/>
  <c r="D1955" i="2" s="1"/>
  <c r="O1955" i="2"/>
  <c r="M1955" i="2"/>
  <c r="F1955" i="2"/>
  <c r="J1954" i="2"/>
  <c r="K1954" i="2" s="1"/>
  <c r="G1954" i="2"/>
  <c r="L1955" i="2" l="1"/>
  <c r="E1956" i="2" a="1"/>
  <c r="E1956" i="2" s="1"/>
  <c r="I1951" i="2"/>
  <c r="P1951" i="2" s="1"/>
  <c r="N1950" i="2"/>
  <c r="J1955" i="2"/>
  <c r="K1955" i="2" s="1"/>
  <c r="G1955" i="2"/>
  <c r="A1957" i="2"/>
  <c r="B1956" i="2"/>
  <c r="C1956" i="2" s="1"/>
  <c r="D1956" i="2" s="1"/>
  <c r="L1956" i="2" s="1"/>
  <c r="O1956" i="2"/>
  <c r="F1956" i="2"/>
  <c r="M1956" i="2"/>
  <c r="H1952" i="2"/>
  <c r="I1952" i="2" s="1"/>
  <c r="P1952" i="2" s="1"/>
  <c r="E1957" i="2" l="1" a="1"/>
  <c r="E1957" i="2" s="1"/>
  <c r="N1951" i="2"/>
  <c r="N1952" i="2"/>
  <c r="H1953" i="2"/>
  <c r="I1953" i="2" s="1"/>
  <c r="P1953" i="2" s="1"/>
  <c r="J1956" i="2"/>
  <c r="K1956" i="2" s="1"/>
  <c r="G1956" i="2"/>
  <c r="A1958" i="2"/>
  <c r="B1957" i="2"/>
  <c r="C1957" i="2" s="1"/>
  <c r="D1957" i="2" s="1"/>
  <c r="L1957" i="2" s="1"/>
  <c r="O1957" i="2"/>
  <c r="M1957" i="2"/>
  <c r="F1957" i="2"/>
  <c r="N1953" i="2" l="1"/>
  <c r="E1958" i="2" a="1"/>
  <c r="E1958" i="2" s="1"/>
  <c r="J1957" i="2"/>
  <c r="K1957" i="2" s="1"/>
  <c r="G1957" i="2"/>
  <c r="A1959" i="2"/>
  <c r="B1958" i="2"/>
  <c r="C1958" i="2" s="1"/>
  <c r="D1958" i="2" s="1"/>
  <c r="L1958" i="2" s="1"/>
  <c r="O1958" i="2"/>
  <c r="M1958" i="2"/>
  <c r="F1958" i="2"/>
  <c r="H1954" i="2"/>
  <c r="E1959" i="2" l="1" a="1"/>
  <c r="E1959" i="2" s="1"/>
  <c r="I1954" i="2"/>
  <c r="P1954" i="2" s="1"/>
  <c r="H1955" i="2"/>
  <c r="I1955" i="2" s="1"/>
  <c r="P1955" i="2" s="1"/>
  <c r="J1958" i="2"/>
  <c r="K1958" i="2" s="1"/>
  <c r="G1958" i="2"/>
  <c r="A1960" i="2"/>
  <c r="B1959" i="2"/>
  <c r="C1959" i="2" s="1"/>
  <c r="D1959" i="2" s="1"/>
  <c r="L1959" i="2" s="1"/>
  <c r="O1959" i="2"/>
  <c r="M1959" i="2"/>
  <c r="F1959" i="2"/>
  <c r="N1955" i="2" l="1"/>
  <c r="N1954" i="2"/>
  <c r="E1960" i="2" a="1"/>
  <c r="E1960" i="2" s="1"/>
  <c r="G1959" i="2"/>
  <c r="J1959" i="2"/>
  <c r="K1959" i="2" s="1"/>
  <c r="O1960" i="2"/>
  <c r="M1960" i="2"/>
  <c r="F1960" i="2"/>
  <c r="A1961" i="2"/>
  <c r="B1960" i="2"/>
  <c r="C1960" i="2" s="1"/>
  <c r="D1960" i="2" s="1"/>
  <c r="H1956" i="2"/>
  <c r="I1956" i="2" s="1"/>
  <c r="P1956" i="2" s="1"/>
  <c r="L1960" i="2" l="1"/>
  <c r="N1956" i="2"/>
  <c r="E1961" i="2" a="1"/>
  <c r="E1961" i="2" s="1"/>
  <c r="H1957" i="2"/>
  <c r="I1957" i="2" s="1"/>
  <c r="P1957" i="2" s="1"/>
  <c r="O1961" i="2"/>
  <c r="M1961" i="2"/>
  <c r="F1961" i="2"/>
  <c r="A1962" i="2"/>
  <c r="B1961" i="2"/>
  <c r="C1961" i="2" s="1"/>
  <c r="D1961" i="2" s="1"/>
  <c r="J1960" i="2"/>
  <c r="K1960" i="2" s="1"/>
  <c r="G1960" i="2"/>
  <c r="L1961" i="2" l="1"/>
  <c r="E1962" i="2" a="1"/>
  <c r="E1962" i="2" s="1"/>
  <c r="N1957" i="2"/>
  <c r="M1962" i="2"/>
  <c r="F1962" i="2"/>
  <c r="A1963" i="2"/>
  <c r="B1962" i="2"/>
  <c r="C1962" i="2" s="1"/>
  <c r="D1962" i="2" s="1"/>
  <c r="O1962" i="2"/>
  <c r="J1961" i="2"/>
  <c r="K1961" i="2" s="1"/>
  <c r="G1961" i="2"/>
  <c r="H1958" i="2"/>
  <c r="E1963" i="2" l="1" a="1"/>
  <c r="E1963" i="2" s="1"/>
  <c r="I1958" i="2"/>
  <c r="P1958" i="2" s="1"/>
  <c r="L1962" i="2"/>
  <c r="H1959" i="2"/>
  <c r="M1963" i="2"/>
  <c r="A1964" i="2"/>
  <c r="B1963" i="2"/>
  <c r="C1963" i="2" s="1"/>
  <c r="D1963" i="2" s="1"/>
  <c r="O1963" i="2"/>
  <c r="F1963" i="2"/>
  <c r="J1962" i="2"/>
  <c r="K1962" i="2" s="1"/>
  <c r="G1962" i="2"/>
  <c r="N1958" i="2" l="1"/>
  <c r="E1964" i="2" a="1"/>
  <c r="E1964" i="2" s="1"/>
  <c r="L1963" i="2"/>
  <c r="I1959" i="2"/>
  <c r="P1959" i="2" s="1"/>
  <c r="J1963" i="2"/>
  <c r="K1963" i="2" s="1"/>
  <c r="G1963" i="2"/>
  <c r="F1964" i="2"/>
  <c r="B1964" i="2"/>
  <c r="C1964" i="2" s="1"/>
  <c r="D1964" i="2" s="1"/>
  <c r="L1964" i="2" s="1"/>
  <c r="A1965" i="2"/>
  <c r="O1964" i="2"/>
  <c r="M1964" i="2"/>
  <c r="H1960" i="2"/>
  <c r="I1960" i="2" s="1"/>
  <c r="P1960" i="2" s="1"/>
  <c r="N1960" i="2" l="1"/>
  <c r="N1959" i="2"/>
  <c r="E1965" i="2" a="1"/>
  <c r="E1965" i="2" s="1"/>
  <c r="H1961" i="2"/>
  <c r="I1961" i="2" s="1"/>
  <c r="P1961" i="2" s="1"/>
  <c r="O1965" i="2"/>
  <c r="F1965" i="2"/>
  <c r="B1965" i="2"/>
  <c r="C1965" i="2" s="1"/>
  <c r="D1965" i="2" s="1"/>
  <c r="L1965" i="2" s="1"/>
  <c r="A1966" i="2"/>
  <c r="M1965" i="2"/>
  <c r="J1964" i="2"/>
  <c r="K1964" i="2" s="1"/>
  <c r="G1964" i="2"/>
  <c r="N1961" i="2" l="1"/>
  <c r="E1966" i="2" a="1"/>
  <c r="E1966" i="2" s="1"/>
  <c r="F1966" i="2"/>
  <c r="B1966" i="2"/>
  <c r="C1966" i="2" s="1"/>
  <c r="D1966" i="2" s="1"/>
  <c r="L1966" i="2" s="1"/>
  <c r="A1967" i="2"/>
  <c r="O1966" i="2"/>
  <c r="M1966" i="2"/>
  <c r="J1965" i="2"/>
  <c r="K1965" i="2" s="1"/>
  <c r="G1965" i="2"/>
  <c r="H1962" i="2"/>
  <c r="I1962" i="2" s="1"/>
  <c r="P1962" i="2" s="1"/>
  <c r="E1967" i="2" l="1" a="1"/>
  <c r="E1967" i="2" s="1"/>
  <c r="N1962" i="2"/>
  <c r="H1963" i="2"/>
  <c r="M1967" i="2"/>
  <c r="F1967" i="2"/>
  <c r="B1967" i="2"/>
  <c r="C1967" i="2" s="1"/>
  <c r="D1967" i="2" s="1"/>
  <c r="A1968" i="2"/>
  <c r="O1967" i="2"/>
  <c r="J1966" i="2"/>
  <c r="K1966" i="2" s="1"/>
  <c r="G1966" i="2"/>
  <c r="E1968" i="2" l="1" a="1"/>
  <c r="E1968" i="2" s="1"/>
  <c r="L1967" i="2"/>
  <c r="I1963" i="2"/>
  <c r="P1963" i="2" s="1"/>
  <c r="M1968" i="2"/>
  <c r="F1968" i="2"/>
  <c r="B1968" i="2"/>
  <c r="C1968" i="2" s="1"/>
  <c r="D1968" i="2" s="1"/>
  <c r="A1969" i="2"/>
  <c r="O1968" i="2"/>
  <c r="J1967" i="2"/>
  <c r="K1967" i="2" s="1"/>
  <c r="G1967" i="2"/>
  <c r="H1964" i="2"/>
  <c r="E1969" i="2" l="1" a="1"/>
  <c r="E1969" i="2" s="1"/>
  <c r="N1963" i="2"/>
  <c r="L1968" i="2"/>
  <c r="I1964" i="2"/>
  <c r="P1964" i="2" s="1"/>
  <c r="H1965" i="2"/>
  <c r="I1965" i="2" s="1"/>
  <c r="P1965" i="2" s="1"/>
  <c r="M1969" i="2"/>
  <c r="F1969" i="2"/>
  <c r="B1969" i="2"/>
  <c r="C1969" i="2" s="1"/>
  <c r="D1969" i="2" s="1"/>
  <c r="A1970" i="2"/>
  <c r="O1969" i="2"/>
  <c r="J1968" i="2"/>
  <c r="K1968" i="2" s="1"/>
  <c r="G1968" i="2"/>
  <c r="L1969" i="2" l="1"/>
  <c r="N1965" i="2"/>
  <c r="N1964" i="2"/>
  <c r="E1970" i="2" a="1"/>
  <c r="E1970" i="2" s="1"/>
  <c r="M1970" i="2"/>
  <c r="F1970" i="2"/>
  <c r="B1970" i="2"/>
  <c r="C1970" i="2" s="1"/>
  <c r="D1970" i="2" s="1"/>
  <c r="A1971" i="2"/>
  <c r="O1970" i="2"/>
  <c r="J1969" i="2"/>
  <c r="K1969" i="2" s="1"/>
  <c r="G1969" i="2"/>
  <c r="H1966" i="2"/>
  <c r="I1966" i="2" s="1"/>
  <c r="P1966" i="2" s="1"/>
  <c r="E1971" i="2" l="1" a="1"/>
  <c r="E1971" i="2" s="1"/>
  <c r="N1966" i="2"/>
  <c r="L1970" i="2"/>
  <c r="H1967" i="2"/>
  <c r="I1967" i="2" s="1"/>
  <c r="P1967" i="2" s="1"/>
  <c r="M1971" i="2"/>
  <c r="F1971" i="2"/>
  <c r="B1971" i="2"/>
  <c r="C1971" i="2" s="1"/>
  <c r="D1971" i="2" s="1"/>
  <c r="L1971" i="2" s="1"/>
  <c r="A1972" i="2"/>
  <c r="O1971" i="2"/>
  <c r="J1970" i="2"/>
  <c r="K1970" i="2" s="1"/>
  <c r="G1970" i="2"/>
  <c r="N1967" i="2" l="1"/>
  <c r="E1972" i="2" a="1"/>
  <c r="E1972" i="2" s="1"/>
  <c r="M1972" i="2"/>
  <c r="F1972" i="2"/>
  <c r="B1972" i="2"/>
  <c r="C1972" i="2" s="1"/>
  <c r="D1972" i="2" s="1"/>
  <c r="A1973" i="2"/>
  <c r="O1972" i="2"/>
  <c r="J1971" i="2"/>
  <c r="K1971" i="2" s="1"/>
  <c r="G1971" i="2"/>
  <c r="H1968" i="2"/>
  <c r="E1973" i="2" l="1" a="1"/>
  <c r="E1973" i="2" s="1"/>
  <c r="I1968" i="2"/>
  <c r="P1968" i="2" s="1"/>
  <c r="L1972" i="2"/>
  <c r="H1969" i="2"/>
  <c r="I1969" i="2" s="1"/>
  <c r="P1969" i="2" s="1"/>
  <c r="M1973" i="2"/>
  <c r="F1973" i="2"/>
  <c r="B1973" i="2"/>
  <c r="C1973" i="2" s="1"/>
  <c r="D1973" i="2" s="1"/>
  <c r="L1973" i="2" s="1"/>
  <c r="A1974" i="2"/>
  <c r="O1973" i="2"/>
  <c r="J1972" i="2"/>
  <c r="K1972" i="2" s="1"/>
  <c r="G1972" i="2"/>
  <c r="N1968" i="2" l="1"/>
  <c r="E1974" i="2" a="1"/>
  <c r="E1974" i="2" s="1"/>
  <c r="N1969" i="2"/>
  <c r="F1974" i="2"/>
  <c r="O1974" i="2"/>
  <c r="M1974" i="2"/>
  <c r="B1974" i="2"/>
  <c r="C1974" i="2" s="1"/>
  <c r="D1974" i="2" s="1"/>
  <c r="A1975" i="2"/>
  <c r="G1973" i="2"/>
  <c r="J1973" i="2"/>
  <c r="K1973" i="2" s="1"/>
  <c r="H1970" i="2"/>
  <c r="I1970" i="2" s="1"/>
  <c r="P1970" i="2" s="1"/>
  <c r="L1974" i="2" l="1"/>
  <c r="N1970" i="2"/>
  <c r="E1975" i="2" a="1"/>
  <c r="E1975" i="2" s="1"/>
  <c r="H1971" i="2"/>
  <c r="I1971" i="2" s="1"/>
  <c r="P1971" i="2" s="1"/>
  <c r="O1975" i="2"/>
  <c r="M1975" i="2"/>
  <c r="F1975" i="2"/>
  <c r="B1975" i="2"/>
  <c r="C1975" i="2" s="1"/>
  <c r="D1975" i="2" s="1"/>
  <c r="L1975" i="2" s="1"/>
  <c r="A1976" i="2"/>
  <c r="J1974" i="2"/>
  <c r="K1974" i="2" s="1"/>
  <c r="G1974" i="2"/>
  <c r="N1971" i="2" l="1"/>
  <c r="E1976" i="2" a="1"/>
  <c r="E1976" i="2" s="1"/>
  <c r="A1977" i="2"/>
  <c r="O1976" i="2"/>
  <c r="M1976" i="2"/>
  <c r="F1976" i="2"/>
  <c r="B1976" i="2"/>
  <c r="C1976" i="2" s="1"/>
  <c r="D1976" i="2" s="1"/>
  <c r="J1975" i="2"/>
  <c r="K1975" i="2" s="1"/>
  <c r="G1975" i="2"/>
  <c r="H1972" i="2"/>
  <c r="I1972" i="2" s="1"/>
  <c r="P1972" i="2" s="1"/>
  <c r="E1977" i="2" l="1" a="1"/>
  <c r="E1977" i="2" s="1"/>
  <c r="N1972" i="2"/>
  <c r="L1976" i="2"/>
  <c r="H1973" i="2"/>
  <c r="I1973" i="2" s="1"/>
  <c r="P1973" i="2" s="1"/>
  <c r="J1976" i="2"/>
  <c r="K1976" i="2" s="1"/>
  <c r="G1976" i="2"/>
  <c r="A1978" i="2"/>
  <c r="B1977" i="2"/>
  <c r="C1977" i="2" s="1"/>
  <c r="D1977" i="2" s="1"/>
  <c r="O1977" i="2"/>
  <c r="M1977" i="2"/>
  <c r="F1977" i="2"/>
  <c r="N1973" i="2" l="1"/>
  <c r="L1977" i="2"/>
  <c r="E1978" i="2" a="1"/>
  <c r="E1978" i="2" s="1"/>
  <c r="J1977" i="2"/>
  <c r="K1977" i="2" s="1"/>
  <c r="G1977" i="2"/>
  <c r="B1978" i="2"/>
  <c r="C1978" i="2" s="1"/>
  <c r="D1978" i="2" s="1"/>
  <c r="L1978" i="2" s="1"/>
  <c r="A1979" i="2"/>
  <c r="O1978" i="2"/>
  <c r="M1978" i="2"/>
  <c r="F1978" i="2"/>
  <c r="H1974" i="2"/>
  <c r="I1974" i="2" l="1"/>
  <c r="P1974" i="2" s="1"/>
  <c r="E1979" i="2" a="1"/>
  <c r="E1979" i="2" s="1"/>
  <c r="H1975" i="2"/>
  <c r="J1978" i="2"/>
  <c r="K1978" i="2" s="1"/>
  <c r="G1978" i="2"/>
  <c r="A1980" i="2"/>
  <c r="B1979" i="2"/>
  <c r="C1979" i="2" s="1"/>
  <c r="D1979" i="2" s="1"/>
  <c r="L1979" i="2" s="1"/>
  <c r="O1979" i="2"/>
  <c r="M1979" i="2"/>
  <c r="F1979" i="2"/>
  <c r="I1975" i="2" l="1"/>
  <c r="P1975" i="2" s="1"/>
  <c r="E1980" i="2" a="1"/>
  <c r="E1980" i="2" s="1"/>
  <c r="N1974" i="2"/>
  <c r="J1979" i="2"/>
  <c r="K1979" i="2" s="1"/>
  <c r="G1979" i="2"/>
  <c r="F1980" i="2"/>
  <c r="B1980" i="2"/>
  <c r="C1980" i="2" s="1"/>
  <c r="D1980" i="2" s="1"/>
  <c r="L1980" i="2" s="1"/>
  <c r="A1981" i="2"/>
  <c r="O1980" i="2"/>
  <c r="M1980" i="2"/>
  <c r="H1976" i="2"/>
  <c r="I1976" i="2" s="1"/>
  <c r="P1976" i="2" s="1"/>
  <c r="N1976" i="2" l="1"/>
  <c r="N1975" i="2"/>
  <c r="E1981" i="2" a="1"/>
  <c r="E1981" i="2" s="1"/>
  <c r="H1977" i="2"/>
  <c r="O1981" i="2"/>
  <c r="M1981" i="2"/>
  <c r="F1981" i="2"/>
  <c r="B1981" i="2"/>
  <c r="C1981" i="2" s="1"/>
  <c r="D1981" i="2" s="1"/>
  <c r="L1981" i="2" s="1"/>
  <c r="A1982" i="2"/>
  <c r="G1980" i="2"/>
  <c r="J1980" i="2"/>
  <c r="K1980" i="2" s="1"/>
  <c r="I1977" i="2" l="1"/>
  <c r="P1977" i="2" s="1"/>
  <c r="E1982" i="2" a="1"/>
  <c r="E1982" i="2" s="1"/>
  <c r="F1982" i="2"/>
  <c r="B1982" i="2"/>
  <c r="C1982" i="2" s="1"/>
  <c r="D1982" i="2" s="1"/>
  <c r="A1983" i="2"/>
  <c r="O1982" i="2"/>
  <c r="M1982" i="2"/>
  <c r="G1981" i="2"/>
  <c r="J1981" i="2"/>
  <c r="K1981" i="2" s="1"/>
  <c r="H1978" i="2"/>
  <c r="N1977" i="2" l="1"/>
  <c r="I1978" i="2"/>
  <c r="P1978" i="2" s="1"/>
  <c r="L1982" i="2"/>
  <c r="E1983" i="2" a="1"/>
  <c r="E1983" i="2" s="1"/>
  <c r="H1979" i="2"/>
  <c r="M1983" i="2"/>
  <c r="A1984" i="2"/>
  <c r="B1983" i="2"/>
  <c r="C1983" i="2" s="1"/>
  <c r="D1983" i="2" s="1"/>
  <c r="O1983" i="2"/>
  <c r="F1983" i="2"/>
  <c r="J1982" i="2"/>
  <c r="K1982" i="2" s="1"/>
  <c r="G1982" i="2"/>
  <c r="N1978" i="2" l="1"/>
  <c r="I1979" i="2"/>
  <c r="P1979" i="2" s="1"/>
  <c r="E1984" i="2" a="1"/>
  <c r="E1984" i="2" s="1"/>
  <c r="L1983" i="2"/>
  <c r="J1983" i="2"/>
  <c r="K1983" i="2" s="1"/>
  <c r="G1983" i="2"/>
  <c r="A1985" i="2"/>
  <c r="O1984" i="2"/>
  <c r="M1984" i="2"/>
  <c r="F1984" i="2"/>
  <c r="B1984" i="2"/>
  <c r="C1984" i="2" s="1"/>
  <c r="D1984" i="2" s="1"/>
  <c r="H1980" i="2"/>
  <c r="N1979" i="2" l="1"/>
  <c r="I1980" i="2"/>
  <c r="P1980" i="2" s="1"/>
  <c r="L1984" i="2"/>
  <c r="E1985" i="2" a="1"/>
  <c r="E1985" i="2" s="1"/>
  <c r="H1981" i="2"/>
  <c r="J1984" i="2"/>
  <c r="K1984" i="2" s="1"/>
  <c r="G1984" i="2"/>
  <c r="O1985" i="2"/>
  <c r="B1985" i="2"/>
  <c r="C1985" i="2" s="1"/>
  <c r="D1985" i="2" s="1"/>
  <c r="A1986" i="2"/>
  <c r="M1985" i="2"/>
  <c r="F1985" i="2"/>
  <c r="I1981" i="2" l="1"/>
  <c r="P1981" i="2" s="1"/>
  <c r="E1986" i="2" a="1"/>
  <c r="E1986" i="2" s="1"/>
  <c r="L1985" i="2"/>
  <c r="N1980" i="2"/>
  <c r="J1985" i="2"/>
  <c r="K1985" i="2" s="1"/>
  <c r="G1985" i="2"/>
  <c r="F1986" i="2"/>
  <c r="B1986" i="2"/>
  <c r="C1986" i="2" s="1"/>
  <c r="D1986" i="2" s="1"/>
  <c r="A1987" i="2"/>
  <c r="O1986" i="2"/>
  <c r="M1986" i="2"/>
  <c r="H1982" i="2"/>
  <c r="I1982" i="2" s="1"/>
  <c r="P1982" i="2" s="1"/>
  <c r="N1981" i="2" l="1"/>
  <c r="N1982" i="2"/>
  <c r="L1986" i="2"/>
  <c r="E1987" i="2" a="1"/>
  <c r="E1987" i="2" s="1"/>
  <c r="H1983" i="2"/>
  <c r="A1988" i="2"/>
  <c r="B1987" i="2"/>
  <c r="C1987" i="2" s="1"/>
  <c r="D1987" i="2" s="1"/>
  <c r="M1987" i="2"/>
  <c r="O1987" i="2"/>
  <c r="F1987" i="2"/>
  <c r="J1986" i="2"/>
  <c r="K1986" i="2" s="1"/>
  <c r="G1986" i="2"/>
  <c r="L1987" i="2" l="1"/>
  <c r="E1988" i="2" a="1"/>
  <c r="E1988" i="2" s="1"/>
  <c r="I1983" i="2"/>
  <c r="P1983" i="2" s="1"/>
  <c r="G1987" i="2"/>
  <c r="J1987" i="2"/>
  <c r="K1987" i="2" s="1"/>
  <c r="F1988" i="2"/>
  <c r="B1988" i="2"/>
  <c r="C1988" i="2" s="1"/>
  <c r="D1988" i="2" s="1"/>
  <c r="A1989" i="2"/>
  <c r="O1988" i="2"/>
  <c r="M1988" i="2"/>
  <c r="H1984" i="2"/>
  <c r="I1984" i="2" s="1"/>
  <c r="P1984" i="2" s="1"/>
  <c r="L1988" i="2" l="1"/>
  <c r="N1984" i="2"/>
  <c r="N1983" i="2"/>
  <c r="E1989" i="2" a="1"/>
  <c r="E1989" i="2" s="1"/>
  <c r="H1985" i="2"/>
  <c r="A1990" i="2"/>
  <c r="B1989" i="2"/>
  <c r="C1989" i="2" s="1"/>
  <c r="D1989" i="2" s="1"/>
  <c r="O1989" i="2"/>
  <c r="M1989" i="2"/>
  <c r="F1989" i="2"/>
  <c r="G1988" i="2"/>
  <c r="J1988" i="2"/>
  <c r="K1988" i="2" s="1"/>
  <c r="L1989" i="2" l="1"/>
  <c r="E1990" i="2" a="1"/>
  <c r="E1990" i="2" s="1"/>
  <c r="I1985" i="2"/>
  <c r="P1985" i="2" s="1"/>
  <c r="G1989" i="2"/>
  <c r="J1989" i="2"/>
  <c r="K1989" i="2" s="1"/>
  <c r="F1990" i="2"/>
  <c r="A1991" i="2"/>
  <c r="B1990" i="2"/>
  <c r="C1990" i="2" s="1"/>
  <c r="D1990" i="2" s="1"/>
  <c r="L1990" i="2" s="1"/>
  <c r="O1990" i="2"/>
  <c r="M1990" i="2"/>
  <c r="H1986" i="2"/>
  <c r="I1986" i="2" s="1"/>
  <c r="P1986" i="2" s="1"/>
  <c r="E1991" i="2" l="1" a="1"/>
  <c r="E1991" i="2" s="1"/>
  <c r="N1985" i="2"/>
  <c r="N1986" i="2"/>
  <c r="H1987" i="2"/>
  <c r="A1992" i="2"/>
  <c r="B1991" i="2"/>
  <c r="C1991" i="2" s="1"/>
  <c r="D1991" i="2" s="1"/>
  <c r="L1991" i="2" s="1"/>
  <c r="O1991" i="2"/>
  <c r="M1991" i="2"/>
  <c r="F1991" i="2"/>
  <c r="J1990" i="2"/>
  <c r="K1990" i="2" s="1"/>
  <c r="G1990" i="2"/>
  <c r="E1992" i="2" l="1" a="1"/>
  <c r="E1992" i="2" s="1"/>
  <c r="I1987" i="2"/>
  <c r="P1987" i="2" s="1"/>
  <c r="J1991" i="2"/>
  <c r="K1991" i="2" s="1"/>
  <c r="G1991" i="2"/>
  <c r="O1992" i="2"/>
  <c r="A1993" i="2"/>
  <c r="M1992" i="2"/>
  <c r="F1992" i="2"/>
  <c r="B1992" i="2"/>
  <c r="C1992" i="2" s="1"/>
  <c r="D1992" i="2" s="1"/>
  <c r="H1988" i="2"/>
  <c r="I1988" i="2" s="1"/>
  <c r="P1988" i="2" s="1"/>
  <c r="N1987" i="2" l="1"/>
  <c r="N1988" i="2"/>
  <c r="L1992" i="2"/>
  <c r="E1993" i="2" a="1"/>
  <c r="E1993" i="2" s="1"/>
  <c r="H1989" i="2"/>
  <c r="J1992" i="2"/>
  <c r="K1992" i="2" s="1"/>
  <c r="G1992" i="2"/>
  <c r="A1994" i="2"/>
  <c r="B1993" i="2"/>
  <c r="C1993" i="2" s="1"/>
  <c r="D1993" i="2" s="1"/>
  <c r="L1993" i="2" s="1"/>
  <c r="O1993" i="2"/>
  <c r="M1993" i="2"/>
  <c r="F1993" i="2"/>
  <c r="I1989" i="2" l="1"/>
  <c r="P1989" i="2" s="1"/>
  <c r="E1994" i="2" a="1"/>
  <c r="E1994" i="2" s="1"/>
  <c r="G1993" i="2"/>
  <c r="J1993" i="2"/>
  <c r="K1993" i="2" s="1"/>
  <c r="A1995" i="2"/>
  <c r="B1994" i="2"/>
  <c r="C1994" i="2" s="1"/>
  <c r="D1994" i="2" s="1"/>
  <c r="M1994" i="2"/>
  <c r="F1994" i="2"/>
  <c r="O1994" i="2"/>
  <c r="H1990" i="2"/>
  <c r="I1990" i="2" s="1"/>
  <c r="P1990" i="2" s="1"/>
  <c r="L1994" i="2" l="1"/>
  <c r="N1989" i="2"/>
  <c r="E1995" i="2" a="1"/>
  <c r="E1995" i="2" s="1"/>
  <c r="N1990" i="2"/>
  <c r="H1991" i="2"/>
  <c r="I1991" i="2" s="1"/>
  <c r="P1991" i="2" s="1"/>
  <c r="J1994" i="2"/>
  <c r="K1994" i="2" s="1"/>
  <c r="G1994" i="2"/>
  <c r="A1996" i="2"/>
  <c r="B1995" i="2"/>
  <c r="C1995" i="2" s="1"/>
  <c r="D1995" i="2" s="1"/>
  <c r="O1995" i="2"/>
  <c r="M1995" i="2"/>
  <c r="F1995" i="2"/>
  <c r="N1991" i="2" l="1"/>
  <c r="E1996" i="2" a="1"/>
  <c r="E1996" i="2" s="1"/>
  <c r="L1995" i="2"/>
  <c r="J1995" i="2"/>
  <c r="K1995" i="2" s="1"/>
  <c r="G1995" i="2"/>
  <c r="O1996" i="2"/>
  <c r="A1997" i="2"/>
  <c r="M1996" i="2"/>
  <c r="F1996" i="2"/>
  <c r="B1996" i="2"/>
  <c r="C1996" i="2" s="1"/>
  <c r="D1996" i="2" s="1"/>
  <c r="H1992" i="2"/>
  <c r="I1992" i="2" s="1"/>
  <c r="P1992" i="2" s="1"/>
  <c r="E1997" i="2" l="1" a="1"/>
  <c r="E1997" i="2" s="1"/>
  <c r="N1992" i="2"/>
  <c r="L1996" i="2"/>
  <c r="H1993" i="2"/>
  <c r="J1996" i="2"/>
  <c r="K1996" i="2" s="1"/>
  <c r="G1996" i="2"/>
  <c r="O1997" i="2"/>
  <c r="M1997" i="2"/>
  <c r="F1997" i="2"/>
  <c r="B1997" i="2"/>
  <c r="C1997" i="2" s="1"/>
  <c r="D1997" i="2" s="1"/>
  <c r="A1998" i="2"/>
  <c r="E1998" i="2" l="1" a="1"/>
  <c r="E1998" i="2" s="1"/>
  <c r="L1997" i="2"/>
  <c r="I1993" i="2"/>
  <c r="P1993" i="2" s="1"/>
  <c r="M1998" i="2"/>
  <c r="F1998" i="2"/>
  <c r="A1999" i="2"/>
  <c r="O1998" i="2"/>
  <c r="B1998" i="2"/>
  <c r="C1998" i="2" s="1"/>
  <c r="D1998" i="2" s="1"/>
  <c r="L1998" i="2" s="1"/>
  <c r="J1997" i="2"/>
  <c r="K1997" i="2" s="1"/>
  <c r="G1997" i="2"/>
  <c r="H1994" i="2"/>
  <c r="I1994" i="2" s="1"/>
  <c r="P1994" i="2" s="1"/>
  <c r="N1993" i="2" l="1"/>
  <c r="E1999" i="2" a="1"/>
  <c r="E1999" i="2" s="1"/>
  <c r="N1994" i="2"/>
  <c r="H1995" i="2"/>
  <c r="M1999" i="2"/>
  <c r="A2000" i="2"/>
  <c r="B1999" i="2"/>
  <c r="C1999" i="2" s="1"/>
  <c r="D1999" i="2" s="1"/>
  <c r="O1999" i="2"/>
  <c r="F1999" i="2"/>
  <c r="J1998" i="2"/>
  <c r="K1998" i="2" s="1"/>
  <c r="G1998" i="2"/>
  <c r="E2000" i="2" l="1" a="1"/>
  <c r="E2000" i="2" s="1"/>
  <c r="L1999" i="2"/>
  <c r="I1995" i="2"/>
  <c r="P1995" i="2" s="1"/>
  <c r="G1999" i="2"/>
  <c r="J1999" i="2"/>
  <c r="K1999" i="2" s="1"/>
  <c r="F2000" i="2"/>
  <c r="A2001" i="2"/>
  <c r="O2000" i="2"/>
  <c r="M2000" i="2"/>
  <c r="B2000" i="2"/>
  <c r="C2000" i="2" s="1"/>
  <c r="D2000" i="2" s="1"/>
  <c r="H1996" i="2"/>
  <c r="I1996" i="2" s="1"/>
  <c r="P1996" i="2" s="1"/>
  <c r="L2000" i="2" l="1"/>
  <c r="N1995" i="2"/>
  <c r="E2001" i="2" a="1"/>
  <c r="E2001" i="2" s="1"/>
  <c r="N1996" i="2"/>
  <c r="H1997" i="2"/>
  <c r="I1997" i="2" s="1"/>
  <c r="P1997" i="2" s="1"/>
  <c r="F2001" i="2"/>
  <c r="A2002" i="2"/>
  <c r="B2001" i="2"/>
  <c r="C2001" i="2" s="1"/>
  <c r="D2001" i="2" s="1"/>
  <c r="L2001" i="2" s="1"/>
  <c r="O2001" i="2"/>
  <c r="M2001" i="2"/>
  <c r="J2000" i="2"/>
  <c r="K2000" i="2" s="1"/>
  <c r="G2000" i="2"/>
  <c r="E2002" i="2" l="1" a="1"/>
  <c r="E2002" i="2" s="1"/>
  <c r="N1997" i="2"/>
  <c r="F2002" i="2"/>
  <c r="A2003" i="2"/>
  <c r="O2002" i="2"/>
  <c r="M2002" i="2"/>
  <c r="B2002" i="2"/>
  <c r="C2002" i="2" s="1"/>
  <c r="D2002" i="2" s="1"/>
  <c r="J2001" i="2"/>
  <c r="K2001" i="2" s="1"/>
  <c r="G2001" i="2"/>
  <c r="H1998" i="2"/>
  <c r="I1998" i="2" s="1"/>
  <c r="P1998" i="2" s="1"/>
  <c r="L2002" i="2" l="1"/>
  <c r="N1998" i="2"/>
  <c r="E2003" i="2" a="1"/>
  <c r="E2003" i="2" s="1"/>
  <c r="H1999" i="2"/>
  <c r="A2004" i="2"/>
  <c r="B2003" i="2"/>
  <c r="C2003" i="2" s="1"/>
  <c r="D2003" i="2" s="1"/>
  <c r="L2003" i="2" s="1"/>
  <c r="O2003" i="2"/>
  <c r="M2003" i="2"/>
  <c r="F2003" i="2"/>
  <c r="J2002" i="2"/>
  <c r="K2002" i="2" s="1"/>
  <c r="G2002" i="2"/>
  <c r="E2004" i="2" l="1" a="1"/>
  <c r="E2004" i="2" s="1"/>
  <c r="I1999" i="2"/>
  <c r="P1999" i="2" s="1"/>
  <c r="G2003" i="2"/>
  <c r="J2003" i="2"/>
  <c r="K2003" i="2" s="1"/>
  <c r="F2004" i="2"/>
  <c r="B2004" i="2"/>
  <c r="C2004" i="2" s="1"/>
  <c r="D2004" i="2" s="1"/>
  <c r="A2005" i="2"/>
  <c r="O2004" i="2"/>
  <c r="M2004" i="2"/>
  <c r="H2000" i="2"/>
  <c r="I2000" i="2" s="1"/>
  <c r="P2000" i="2" s="1"/>
  <c r="N2000" i="2" l="1"/>
  <c r="N1999" i="2"/>
  <c r="L2004" i="2"/>
  <c r="E2005" i="2" a="1"/>
  <c r="E2005" i="2" s="1"/>
  <c r="H2001" i="2"/>
  <c r="F2005" i="2"/>
  <c r="A2006" i="2"/>
  <c r="B2005" i="2"/>
  <c r="C2005" i="2" s="1"/>
  <c r="D2005" i="2" s="1"/>
  <c r="O2005" i="2"/>
  <c r="M2005" i="2"/>
  <c r="G2004" i="2"/>
  <c r="J2004" i="2"/>
  <c r="K2004" i="2" s="1"/>
  <c r="L2005" i="2" l="1"/>
  <c r="I2001" i="2"/>
  <c r="P2001" i="2" s="1"/>
  <c r="E2006" i="2" a="1"/>
  <c r="E2006" i="2" s="1"/>
  <c r="F2006" i="2"/>
  <c r="A2007" i="2"/>
  <c r="B2006" i="2"/>
  <c r="C2006" i="2" s="1"/>
  <c r="D2006" i="2" s="1"/>
  <c r="L2006" i="2" s="1"/>
  <c r="O2006" i="2"/>
  <c r="M2006" i="2"/>
  <c r="G2005" i="2"/>
  <c r="J2005" i="2"/>
  <c r="K2005" i="2" s="1"/>
  <c r="H2002" i="2"/>
  <c r="I2002" i="2" s="1"/>
  <c r="P2002" i="2" s="1"/>
  <c r="N2001" i="2" l="1"/>
  <c r="N2002" i="2"/>
  <c r="E2007" i="2" a="1"/>
  <c r="E2007" i="2" s="1"/>
  <c r="H2003" i="2"/>
  <c r="A2008" i="2"/>
  <c r="B2007" i="2"/>
  <c r="C2007" i="2" s="1"/>
  <c r="D2007" i="2" s="1"/>
  <c r="O2007" i="2"/>
  <c r="M2007" i="2"/>
  <c r="F2007" i="2"/>
  <c r="J2006" i="2"/>
  <c r="K2006" i="2" s="1"/>
  <c r="G2006" i="2"/>
  <c r="L2007" i="2" l="1"/>
  <c r="E2008" i="2" a="1"/>
  <c r="E2008" i="2" s="1"/>
  <c r="I2003" i="2"/>
  <c r="P2003" i="2" s="1"/>
  <c r="J2007" i="2"/>
  <c r="K2007" i="2" s="1"/>
  <c r="G2007" i="2"/>
  <c r="O2008" i="2"/>
  <c r="F2008" i="2"/>
  <c r="B2008" i="2"/>
  <c r="C2008" i="2" s="1"/>
  <c r="D2008" i="2" s="1"/>
  <c r="L2008" i="2" s="1"/>
  <c r="A2009" i="2"/>
  <c r="M2008" i="2"/>
  <c r="H2004" i="2"/>
  <c r="I2004" i="2" s="1"/>
  <c r="P2004" i="2" s="1"/>
  <c r="N2003" i="2" l="1"/>
  <c r="E2009" i="2" a="1"/>
  <c r="E2009" i="2" s="1"/>
  <c r="N2004" i="2"/>
  <c r="H2005" i="2"/>
  <c r="I2005" i="2" s="1"/>
  <c r="P2005" i="2" s="1"/>
  <c r="A2010" i="2"/>
  <c r="B2009" i="2"/>
  <c r="C2009" i="2" s="1"/>
  <c r="D2009" i="2" s="1"/>
  <c r="L2009" i="2" s="1"/>
  <c r="O2009" i="2"/>
  <c r="M2009" i="2"/>
  <c r="F2009" i="2"/>
  <c r="J2008" i="2"/>
  <c r="K2008" i="2" s="1"/>
  <c r="G2008" i="2"/>
  <c r="E2010" i="2" l="1" a="1"/>
  <c r="E2010" i="2" s="1"/>
  <c r="N2005" i="2"/>
  <c r="E2011" i="2" a="1"/>
  <c r="E2011" i="2" s="1"/>
  <c r="G2009" i="2"/>
  <c r="J2009" i="2"/>
  <c r="K2009" i="2" s="1"/>
  <c r="A2011" i="2"/>
  <c r="B2010" i="2"/>
  <c r="C2010" i="2" s="1"/>
  <c r="D2010" i="2" s="1"/>
  <c r="L2010" i="2" s="1"/>
  <c r="M2010" i="2"/>
  <c r="F2010" i="2"/>
  <c r="O2010" i="2"/>
  <c r="H2006" i="2"/>
  <c r="I2006" i="2" l="1"/>
  <c r="P2006" i="2" s="1"/>
  <c r="H2007" i="2"/>
  <c r="I2007" i="2" s="1"/>
  <c r="P2007" i="2" s="1"/>
  <c r="J2010" i="2"/>
  <c r="K2010" i="2" s="1"/>
  <c r="G2010" i="2"/>
  <c r="A2012" i="2"/>
  <c r="B2011" i="2"/>
  <c r="C2011" i="2" s="1"/>
  <c r="D2011" i="2" s="1"/>
  <c r="L2011" i="2" s="1"/>
  <c r="O2011" i="2"/>
  <c r="M2011" i="2"/>
  <c r="F2011" i="2"/>
  <c r="E2012" i="2" l="1" a="1"/>
  <c r="E2012" i="2" s="1"/>
  <c r="N2006" i="2"/>
  <c r="N2007" i="2"/>
  <c r="G2011" i="2"/>
  <c r="J2011" i="2"/>
  <c r="K2011" i="2" s="1"/>
  <c r="O2012" i="2"/>
  <c r="F2012" i="2"/>
  <c r="A2013" i="2"/>
  <c r="M2012" i="2"/>
  <c r="B2012" i="2"/>
  <c r="C2012" i="2" s="1"/>
  <c r="D2012" i="2" s="1"/>
  <c r="H2008" i="2"/>
  <c r="I2008" i="2" s="1"/>
  <c r="P2008" i="2" s="1"/>
  <c r="E2013" i="2" l="1" a="1"/>
  <c r="E2013" i="2" s="1"/>
  <c r="L2012" i="2"/>
  <c r="N2008" i="2"/>
  <c r="H2009" i="2"/>
  <c r="I2009" i="2" s="1"/>
  <c r="P2009" i="2" s="1"/>
  <c r="O2013" i="2"/>
  <c r="M2013" i="2"/>
  <c r="A2014" i="2"/>
  <c r="B2013" i="2"/>
  <c r="C2013" i="2" s="1"/>
  <c r="D2013" i="2" s="1"/>
  <c r="F2013" i="2"/>
  <c r="J2012" i="2"/>
  <c r="K2012" i="2" s="1"/>
  <c r="G2012" i="2"/>
  <c r="N2009" i="2" l="1"/>
  <c r="E2014" i="2" a="1"/>
  <c r="E2014" i="2" s="1"/>
  <c r="L2013" i="2"/>
  <c r="E2015" i="2" a="1"/>
  <c r="E2015" i="2" s="1"/>
  <c r="J2013" i="2"/>
  <c r="K2013" i="2" s="1"/>
  <c r="G2013" i="2"/>
  <c r="M2014" i="2"/>
  <c r="F2014" i="2"/>
  <c r="A2015" i="2"/>
  <c r="B2014" i="2"/>
  <c r="C2014" i="2" s="1"/>
  <c r="D2014" i="2" s="1"/>
  <c r="L2014" i="2" s="1"/>
  <c r="O2014" i="2"/>
  <c r="H2010" i="2"/>
  <c r="I2010" i="2" s="1"/>
  <c r="P2010" i="2" s="1"/>
  <c r="N2010" i="2" l="1"/>
  <c r="H2011" i="2"/>
  <c r="I2011" i="2" s="1"/>
  <c r="P2011" i="2" s="1"/>
  <c r="M2015" i="2"/>
  <c r="A2016" i="2"/>
  <c r="B2015" i="2"/>
  <c r="C2015" i="2" s="1"/>
  <c r="D2015" i="2" s="1"/>
  <c r="O2015" i="2"/>
  <c r="F2015" i="2"/>
  <c r="J2014" i="2"/>
  <c r="K2014" i="2" s="1"/>
  <c r="G2014" i="2"/>
  <c r="L2015" i="2" l="1"/>
  <c r="N2011" i="2"/>
  <c r="E2016" i="2" a="1"/>
  <c r="E2016" i="2" s="1"/>
  <c r="G2015" i="2"/>
  <c r="J2015" i="2"/>
  <c r="K2015" i="2" s="1"/>
  <c r="F2016" i="2"/>
  <c r="A2017" i="2"/>
  <c r="B2016" i="2"/>
  <c r="C2016" i="2" s="1"/>
  <c r="D2016" i="2" s="1"/>
  <c r="L2016" i="2" s="1"/>
  <c r="O2016" i="2"/>
  <c r="M2016" i="2"/>
  <c r="H2012" i="2"/>
  <c r="I2012" i="2" s="1"/>
  <c r="P2012" i="2" s="1"/>
  <c r="N2012" i="2" l="1"/>
  <c r="E2017" i="2" a="1"/>
  <c r="E2017" i="2" s="1"/>
  <c r="H2013" i="2"/>
  <c r="F2017" i="2"/>
  <c r="A2018" i="2"/>
  <c r="B2017" i="2"/>
  <c r="C2017" i="2" s="1"/>
  <c r="D2017" i="2" s="1"/>
  <c r="L2017" i="2" s="1"/>
  <c r="O2017" i="2"/>
  <c r="M2017" i="2"/>
  <c r="J2016" i="2"/>
  <c r="K2016" i="2" s="1"/>
  <c r="G2016" i="2"/>
  <c r="I2013" i="2" l="1"/>
  <c r="P2013" i="2" s="1"/>
  <c r="E2018" i="2" a="1"/>
  <c r="E2018" i="2" s="1"/>
  <c r="F2018" i="2"/>
  <c r="O2018" i="2"/>
  <c r="M2018" i="2"/>
  <c r="A2019" i="2"/>
  <c r="B2018" i="2"/>
  <c r="C2018" i="2" s="1"/>
  <c r="D2018" i="2" s="1"/>
  <c r="J2017" i="2"/>
  <c r="K2017" i="2" s="1"/>
  <c r="G2017" i="2"/>
  <c r="H2014" i="2"/>
  <c r="I2014" i="2" l="1"/>
  <c r="P2014" i="2" s="1"/>
  <c r="E2019" i="2" a="1"/>
  <c r="E2019" i="2" s="1"/>
  <c r="L2018" i="2"/>
  <c r="N2013" i="2"/>
  <c r="H2015" i="2"/>
  <c r="A2020" i="2"/>
  <c r="B2019" i="2"/>
  <c r="C2019" i="2" s="1"/>
  <c r="D2019" i="2" s="1"/>
  <c r="L2019" i="2" s="1"/>
  <c r="O2019" i="2"/>
  <c r="M2019" i="2"/>
  <c r="F2019" i="2"/>
  <c r="J2018" i="2"/>
  <c r="K2018" i="2" s="1"/>
  <c r="G2018" i="2"/>
  <c r="E2020" i="2" l="1" a="1"/>
  <c r="E2020" i="2" s="1"/>
  <c r="I2015" i="2"/>
  <c r="P2015" i="2" s="1"/>
  <c r="N2014" i="2"/>
  <c r="G2019" i="2"/>
  <c r="J2019" i="2"/>
  <c r="K2019" i="2" s="1"/>
  <c r="F2020" i="2"/>
  <c r="A2021" i="2"/>
  <c r="B2020" i="2"/>
  <c r="C2020" i="2" s="1"/>
  <c r="D2020" i="2" s="1"/>
  <c r="L2020" i="2" s="1"/>
  <c r="M2020" i="2"/>
  <c r="O2020" i="2"/>
  <c r="H2016" i="2"/>
  <c r="I2016" i="2" s="1"/>
  <c r="P2016" i="2" s="1"/>
  <c r="E2021" i="2" l="1" a="1"/>
  <c r="E2021" i="2" s="1"/>
  <c r="N2016" i="2"/>
  <c r="N2015" i="2"/>
  <c r="H2017" i="2"/>
  <c r="I2017" i="2" s="1"/>
  <c r="P2017" i="2" s="1"/>
  <c r="F2021" i="2"/>
  <c r="A2022" i="2"/>
  <c r="B2021" i="2"/>
  <c r="C2021" i="2" s="1"/>
  <c r="D2021" i="2" s="1"/>
  <c r="O2021" i="2"/>
  <c r="M2021" i="2"/>
  <c r="G2020" i="2"/>
  <c r="J2020" i="2"/>
  <c r="K2020" i="2" s="1"/>
  <c r="N2017" i="2" l="1"/>
  <c r="E2022" i="2" a="1"/>
  <c r="E2022" i="2" s="1"/>
  <c r="L2021" i="2"/>
  <c r="F2022" i="2"/>
  <c r="A2023" i="2"/>
  <c r="B2022" i="2"/>
  <c r="C2022" i="2" s="1"/>
  <c r="D2022" i="2" s="1"/>
  <c r="L2022" i="2" s="1"/>
  <c r="O2022" i="2"/>
  <c r="M2022" i="2"/>
  <c r="G2021" i="2"/>
  <c r="J2021" i="2"/>
  <c r="K2021" i="2" s="1"/>
  <c r="H2018" i="2"/>
  <c r="I2018" i="2" l="1"/>
  <c r="P2018" i="2" s="1"/>
  <c r="E2023" i="2" a="1"/>
  <c r="E2023" i="2" s="1"/>
  <c r="H2019" i="2"/>
  <c r="A2024" i="2"/>
  <c r="B2023" i="2"/>
  <c r="C2023" i="2" s="1"/>
  <c r="D2023" i="2" s="1"/>
  <c r="L2023" i="2" s="1"/>
  <c r="O2023" i="2"/>
  <c r="M2023" i="2"/>
  <c r="F2023" i="2"/>
  <c r="J2022" i="2"/>
  <c r="K2022" i="2" s="1"/>
  <c r="G2022" i="2"/>
  <c r="I2019" i="2" l="1"/>
  <c r="P2019" i="2" s="1"/>
  <c r="E2024" i="2" a="1"/>
  <c r="E2024" i="2" s="1"/>
  <c r="N2018" i="2"/>
  <c r="J2023" i="2"/>
  <c r="K2023" i="2" s="1"/>
  <c r="G2023" i="2"/>
  <c r="O2024" i="2"/>
  <c r="M2024" i="2"/>
  <c r="F2024" i="2"/>
  <c r="B2024" i="2"/>
  <c r="C2024" i="2" s="1"/>
  <c r="D2024" i="2" s="1"/>
  <c r="L2024" i="2" s="1"/>
  <c r="A2025" i="2"/>
  <c r="H2020" i="2"/>
  <c r="I2020" i="2" s="1"/>
  <c r="P2020" i="2" s="1"/>
  <c r="N2019" i="2" l="1"/>
  <c r="N2020" i="2"/>
  <c r="E2025" i="2" a="1"/>
  <c r="E2025" i="2" s="1"/>
  <c r="H2021" i="2"/>
  <c r="A2026" i="2"/>
  <c r="B2025" i="2"/>
  <c r="C2025" i="2" s="1"/>
  <c r="D2025" i="2" s="1"/>
  <c r="L2025" i="2" s="1"/>
  <c r="O2025" i="2"/>
  <c r="M2025" i="2"/>
  <c r="F2025" i="2"/>
  <c r="J2024" i="2"/>
  <c r="K2024" i="2" s="1"/>
  <c r="G2024" i="2"/>
  <c r="I2021" i="2" l="1"/>
  <c r="P2021" i="2" s="1"/>
  <c r="E2026" i="2" a="1"/>
  <c r="E2026" i="2" s="1"/>
  <c r="G2025" i="2"/>
  <c r="J2025" i="2"/>
  <c r="K2025" i="2" s="1"/>
  <c r="A2027" i="2"/>
  <c r="B2026" i="2"/>
  <c r="C2026" i="2" s="1"/>
  <c r="D2026" i="2" s="1"/>
  <c r="L2026" i="2" s="1"/>
  <c r="M2026" i="2"/>
  <c r="F2026" i="2"/>
  <c r="O2026" i="2"/>
  <c r="H2022" i="2"/>
  <c r="E2027" i="2" l="1" a="1"/>
  <c r="E2027" i="2" s="1"/>
  <c r="I2022" i="2"/>
  <c r="P2022" i="2" s="1"/>
  <c r="N2021" i="2"/>
  <c r="H2023" i="2"/>
  <c r="I2023" i="2" s="1"/>
  <c r="P2023" i="2" s="1"/>
  <c r="J2026" i="2"/>
  <c r="K2026" i="2" s="1"/>
  <c r="G2026" i="2"/>
  <c r="A2028" i="2"/>
  <c r="B2027" i="2"/>
  <c r="C2027" i="2" s="1"/>
  <c r="D2027" i="2" s="1"/>
  <c r="L2027" i="2" s="1"/>
  <c r="O2027" i="2"/>
  <c r="M2027" i="2"/>
  <c r="F2027" i="2"/>
  <c r="N2023" i="2" l="1"/>
  <c r="N2022" i="2"/>
  <c r="E2028" i="2" a="1"/>
  <c r="E2028" i="2" s="1"/>
  <c r="J2027" i="2"/>
  <c r="K2027" i="2" s="1"/>
  <c r="G2027" i="2"/>
  <c r="O2028" i="2"/>
  <c r="F2028" i="2"/>
  <c r="A2029" i="2"/>
  <c r="M2028" i="2"/>
  <c r="B2028" i="2"/>
  <c r="C2028" i="2" s="1"/>
  <c r="D2028" i="2" s="1"/>
  <c r="L2028" i="2" s="1"/>
  <c r="H2024" i="2"/>
  <c r="E2029" i="2" l="1" a="1"/>
  <c r="E2029" i="2" s="1"/>
  <c r="I2024" i="2"/>
  <c r="P2024" i="2" s="1"/>
  <c r="H2025" i="2"/>
  <c r="I2025" i="2" s="1"/>
  <c r="P2025" i="2" s="1"/>
  <c r="O2029" i="2"/>
  <c r="M2029" i="2"/>
  <c r="A2030" i="2"/>
  <c r="B2029" i="2"/>
  <c r="C2029" i="2" s="1"/>
  <c r="D2029" i="2" s="1"/>
  <c r="L2029" i="2" s="1"/>
  <c r="F2029" i="2"/>
  <c r="J2028" i="2"/>
  <c r="K2028" i="2" s="1"/>
  <c r="G2028" i="2"/>
  <c r="N2024" i="2" l="1"/>
  <c r="E2030" i="2" a="1"/>
  <c r="E2030" i="2" s="1"/>
  <c r="N2025" i="2"/>
  <c r="J2029" i="2"/>
  <c r="K2029" i="2" s="1"/>
  <c r="G2029" i="2"/>
  <c r="M2030" i="2"/>
  <c r="F2030" i="2"/>
  <c r="A2031" i="2"/>
  <c r="B2030" i="2"/>
  <c r="C2030" i="2" s="1"/>
  <c r="D2030" i="2" s="1"/>
  <c r="O2030" i="2"/>
  <c r="H2026" i="2"/>
  <c r="I2026" i="2" s="1"/>
  <c r="P2026" i="2" s="1"/>
  <c r="L2030" i="2" l="1"/>
  <c r="N2026" i="2"/>
  <c r="E2031" i="2" a="1"/>
  <c r="E2031" i="2" s="1"/>
  <c r="H2027" i="2"/>
  <c r="M2031" i="2"/>
  <c r="F2031" i="2"/>
  <c r="A2032" i="2"/>
  <c r="B2031" i="2"/>
  <c r="C2031" i="2" s="1"/>
  <c r="D2031" i="2" s="1"/>
  <c r="L2031" i="2" s="1"/>
  <c r="O2031" i="2"/>
  <c r="J2030" i="2"/>
  <c r="K2030" i="2" s="1"/>
  <c r="G2030" i="2"/>
  <c r="E2032" i="2" l="1" a="1"/>
  <c r="E2032" i="2" s="1"/>
  <c r="I2027" i="2"/>
  <c r="P2027" i="2" s="1"/>
  <c r="F2032" i="2"/>
  <c r="A2033" i="2"/>
  <c r="B2032" i="2"/>
  <c r="C2032" i="2" s="1"/>
  <c r="D2032" i="2" s="1"/>
  <c r="O2032" i="2"/>
  <c r="M2032" i="2"/>
  <c r="G2031" i="2"/>
  <c r="J2031" i="2"/>
  <c r="K2031" i="2" s="1"/>
  <c r="H2028" i="2"/>
  <c r="I2028" i="2" s="1"/>
  <c r="P2028" i="2" s="1"/>
  <c r="N2028" i="2" l="1"/>
  <c r="N2027" i="2"/>
  <c r="E2033" i="2" a="1"/>
  <c r="E2033" i="2" s="1"/>
  <c r="L2032" i="2"/>
  <c r="H2029" i="2"/>
  <c r="F2033" i="2"/>
  <c r="A2034" i="2"/>
  <c r="B2033" i="2"/>
  <c r="C2033" i="2" s="1"/>
  <c r="D2033" i="2" s="1"/>
  <c r="L2033" i="2" s="1"/>
  <c r="O2033" i="2"/>
  <c r="M2033" i="2"/>
  <c r="J2032" i="2"/>
  <c r="K2032" i="2" s="1"/>
  <c r="G2032" i="2"/>
  <c r="I2029" i="2" l="1"/>
  <c r="P2029" i="2" s="1"/>
  <c r="E2034" i="2" a="1"/>
  <c r="E2034" i="2" s="1"/>
  <c r="F2034" i="2"/>
  <c r="O2034" i="2"/>
  <c r="M2034" i="2"/>
  <c r="B2034" i="2"/>
  <c r="C2034" i="2" s="1"/>
  <c r="D2034" i="2" s="1"/>
  <c r="A2035" i="2"/>
  <c r="J2033" i="2"/>
  <c r="K2033" i="2" s="1"/>
  <c r="G2033" i="2"/>
  <c r="H2030" i="2"/>
  <c r="I2030" i="2" s="1"/>
  <c r="P2030" i="2" s="1"/>
  <c r="E2035" i="2" l="1" a="1"/>
  <c r="E2035" i="2" s="1"/>
  <c r="L2034" i="2"/>
  <c r="N2030" i="2"/>
  <c r="N2029" i="2"/>
  <c r="H2031" i="2"/>
  <c r="A2036" i="2"/>
  <c r="B2035" i="2"/>
  <c r="C2035" i="2" s="1"/>
  <c r="D2035" i="2" s="1"/>
  <c r="L2035" i="2" s="1"/>
  <c r="O2035" i="2"/>
  <c r="M2035" i="2"/>
  <c r="F2035" i="2"/>
  <c r="J2034" i="2"/>
  <c r="K2034" i="2" s="1"/>
  <c r="G2034" i="2"/>
  <c r="E2036" i="2" l="1" a="1"/>
  <c r="E2036" i="2" s="1"/>
  <c r="I2031" i="2"/>
  <c r="P2031" i="2" s="1"/>
  <c r="G2035" i="2"/>
  <c r="J2035" i="2"/>
  <c r="K2035" i="2" s="1"/>
  <c r="F2036" i="2"/>
  <c r="A2037" i="2"/>
  <c r="B2036" i="2"/>
  <c r="C2036" i="2" s="1"/>
  <c r="D2036" i="2" s="1"/>
  <c r="M2036" i="2"/>
  <c r="O2036" i="2"/>
  <c r="H2032" i="2"/>
  <c r="I2032" i="2" s="1"/>
  <c r="P2032" i="2" s="1"/>
  <c r="N2031" i="2" l="1"/>
  <c r="N2032" i="2"/>
  <c r="E2037" i="2" a="1"/>
  <c r="E2037" i="2" s="1"/>
  <c r="L2036" i="2"/>
  <c r="H2033" i="2"/>
  <c r="I2033" i="2" s="1"/>
  <c r="P2033" i="2" s="1"/>
  <c r="F2037" i="2"/>
  <c r="A2038" i="2"/>
  <c r="B2037" i="2"/>
  <c r="C2037" i="2" s="1"/>
  <c r="D2037" i="2" s="1"/>
  <c r="L2037" i="2" s="1"/>
  <c r="O2037" i="2"/>
  <c r="M2037" i="2"/>
  <c r="G2036" i="2"/>
  <c r="J2036" i="2"/>
  <c r="K2036" i="2" s="1"/>
  <c r="E2038" i="2" l="1" a="1"/>
  <c r="E2038" i="2" s="1"/>
  <c r="N2033" i="2"/>
  <c r="F2038" i="2"/>
  <c r="A2039" i="2"/>
  <c r="B2038" i="2"/>
  <c r="C2038" i="2" s="1"/>
  <c r="D2038" i="2" s="1"/>
  <c r="L2038" i="2" s="1"/>
  <c r="O2038" i="2"/>
  <c r="M2038" i="2"/>
  <c r="G2037" i="2"/>
  <c r="J2037" i="2"/>
  <c r="K2037" i="2" s="1"/>
  <c r="H2034" i="2"/>
  <c r="I2034" i="2" l="1"/>
  <c r="P2034" i="2" s="1"/>
  <c r="E2039" i="2" a="1"/>
  <c r="E2039" i="2" s="1"/>
  <c r="H2035" i="2"/>
  <c r="A2040" i="2"/>
  <c r="B2039" i="2"/>
  <c r="C2039" i="2" s="1"/>
  <c r="D2039" i="2" s="1"/>
  <c r="O2039" i="2"/>
  <c r="M2039" i="2"/>
  <c r="F2039" i="2"/>
  <c r="J2038" i="2"/>
  <c r="K2038" i="2" s="1"/>
  <c r="G2038" i="2"/>
  <c r="L2039" i="2" l="1"/>
  <c r="I2035" i="2"/>
  <c r="P2035" i="2" s="1"/>
  <c r="N2034" i="2"/>
  <c r="E2040" i="2" a="1"/>
  <c r="E2040" i="2" s="1"/>
  <c r="J2039" i="2"/>
  <c r="K2039" i="2" s="1"/>
  <c r="G2039" i="2"/>
  <c r="O2040" i="2"/>
  <c r="M2040" i="2"/>
  <c r="F2040" i="2"/>
  <c r="A2041" i="2"/>
  <c r="B2040" i="2"/>
  <c r="C2040" i="2" s="1"/>
  <c r="D2040" i="2" s="1"/>
  <c r="H2036" i="2"/>
  <c r="I2036" i="2" s="1"/>
  <c r="P2036" i="2" s="1"/>
  <c r="L2040" i="2" l="1"/>
  <c r="N2036" i="2"/>
  <c r="N2035" i="2"/>
  <c r="E2042" i="2" a="1"/>
  <c r="E2042" i="2" s="1"/>
  <c r="E2041" i="2" a="1"/>
  <c r="E2041" i="2" s="1"/>
  <c r="H2037" i="2"/>
  <c r="A2042" i="2"/>
  <c r="B2041" i="2"/>
  <c r="C2041" i="2" s="1"/>
  <c r="D2041" i="2" s="1"/>
  <c r="L2041" i="2" s="1"/>
  <c r="O2041" i="2"/>
  <c r="M2041" i="2"/>
  <c r="F2041" i="2"/>
  <c r="J2040" i="2"/>
  <c r="K2040" i="2" s="1"/>
  <c r="G2040" i="2"/>
  <c r="I2037" i="2" l="1"/>
  <c r="P2037" i="2" s="1"/>
  <c r="G2041" i="2"/>
  <c r="J2041" i="2"/>
  <c r="K2041" i="2" s="1"/>
  <c r="A2043" i="2"/>
  <c r="B2042" i="2"/>
  <c r="C2042" i="2" s="1"/>
  <c r="D2042" i="2" s="1"/>
  <c r="L2042" i="2" s="1"/>
  <c r="M2042" i="2"/>
  <c r="F2042" i="2"/>
  <c r="O2042" i="2"/>
  <c r="H2038" i="2"/>
  <c r="E2043" i="2" l="1" a="1"/>
  <c r="E2043" i="2" s="1"/>
  <c r="I2038" i="2"/>
  <c r="P2038" i="2" s="1"/>
  <c r="N2037" i="2"/>
  <c r="H2039" i="2"/>
  <c r="I2039" i="2" s="1"/>
  <c r="P2039" i="2" s="1"/>
  <c r="J2042" i="2"/>
  <c r="K2042" i="2" s="1"/>
  <c r="G2042" i="2"/>
  <c r="A2044" i="2"/>
  <c r="B2043" i="2"/>
  <c r="C2043" i="2" s="1"/>
  <c r="D2043" i="2" s="1"/>
  <c r="O2043" i="2"/>
  <c r="M2043" i="2"/>
  <c r="F2043" i="2"/>
  <c r="N2039" i="2" l="1"/>
  <c r="N2038" i="2"/>
  <c r="E2044" i="2" a="1"/>
  <c r="E2044" i="2" s="1"/>
  <c r="L2043" i="2"/>
  <c r="E2045" i="2" a="1"/>
  <c r="E2045" i="2" s="1"/>
  <c r="J2043" i="2"/>
  <c r="K2043" i="2" s="1"/>
  <c r="G2043" i="2"/>
  <c r="O2044" i="2"/>
  <c r="F2044" i="2"/>
  <c r="A2045" i="2"/>
  <c r="B2044" i="2"/>
  <c r="C2044" i="2" s="1"/>
  <c r="D2044" i="2" s="1"/>
  <c r="L2044" i="2" s="1"/>
  <c r="M2044" i="2"/>
  <c r="H2040" i="2"/>
  <c r="I2040" i="2" s="1"/>
  <c r="P2040" i="2" s="1"/>
  <c r="N2040" i="2" l="1"/>
  <c r="H2041" i="2"/>
  <c r="O2045" i="2"/>
  <c r="M2045" i="2"/>
  <c r="A2046" i="2"/>
  <c r="B2045" i="2"/>
  <c r="C2045" i="2" s="1"/>
  <c r="D2045" i="2" s="1"/>
  <c r="L2045" i="2" s="1"/>
  <c r="F2045" i="2"/>
  <c r="J2044" i="2"/>
  <c r="K2044" i="2" s="1"/>
  <c r="G2044" i="2"/>
  <c r="E2046" i="2" l="1" a="1"/>
  <c r="E2046" i="2" s="1"/>
  <c r="I2041" i="2"/>
  <c r="P2041" i="2" s="1"/>
  <c r="J2045" i="2"/>
  <c r="K2045" i="2" s="1"/>
  <c r="G2045" i="2"/>
  <c r="M2046" i="2"/>
  <c r="F2046" i="2"/>
  <c r="A2047" i="2"/>
  <c r="B2046" i="2"/>
  <c r="C2046" i="2" s="1"/>
  <c r="D2046" i="2" s="1"/>
  <c r="O2046" i="2"/>
  <c r="H2042" i="2"/>
  <c r="I2042" i="2" s="1"/>
  <c r="P2042" i="2" s="1"/>
  <c r="L2046" i="2" l="1"/>
  <c r="N2041" i="2"/>
  <c r="E2047" i="2" a="1"/>
  <c r="E2047" i="2" s="1"/>
  <c r="N2042" i="2"/>
  <c r="H2043" i="2"/>
  <c r="I2043" i="2" s="1"/>
  <c r="P2043" i="2" s="1"/>
  <c r="M2047" i="2"/>
  <c r="F2047" i="2"/>
  <c r="A2048" i="2"/>
  <c r="B2047" i="2"/>
  <c r="C2047" i="2" s="1"/>
  <c r="D2047" i="2" s="1"/>
  <c r="O2047" i="2"/>
  <c r="J2046" i="2"/>
  <c r="K2046" i="2" s="1"/>
  <c r="G2046" i="2"/>
  <c r="N2043" i="2" l="1"/>
  <c r="E2048" i="2" a="1"/>
  <c r="E2048" i="2" s="1"/>
  <c r="L2047" i="2"/>
  <c r="F2048" i="2"/>
  <c r="A2049" i="2"/>
  <c r="B2048" i="2"/>
  <c r="C2048" i="2" s="1"/>
  <c r="D2048" i="2" s="1"/>
  <c r="O2048" i="2"/>
  <c r="M2048" i="2"/>
  <c r="G2047" i="2"/>
  <c r="J2047" i="2"/>
  <c r="K2047" i="2" s="1"/>
  <c r="H2044" i="2"/>
  <c r="I2044" i="2" l="1"/>
  <c r="P2044" i="2" s="1"/>
  <c r="L2048" i="2"/>
  <c r="E2049" i="2" a="1"/>
  <c r="E2049" i="2" s="1"/>
  <c r="H2045" i="2"/>
  <c r="I2045" i="2" s="1"/>
  <c r="P2045" i="2" s="1"/>
  <c r="F2049" i="2"/>
  <c r="A2050" i="2"/>
  <c r="B2049" i="2"/>
  <c r="C2049" i="2" s="1"/>
  <c r="D2049" i="2" s="1"/>
  <c r="L2049" i="2" s="1"/>
  <c r="O2049" i="2"/>
  <c r="M2049" i="2"/>
  <c r="J2048" i="2"/>
  <c r="K2048" i="2" s="1"/>
  <c r="G2048" i="2"/>
  <c r="E2050" i="2" l="1" a="1"/>
  <c r="E2050" i="2" s="1"/>
  <c r="N2044" i="2"/>
  <c r="N2045" i="2"/>
  <c r="F2050" i="2"/>
  <c r="A2051" i="2"/>
  <c r="B2050" i="2"/>
  <c r="C2050" i="2" s="1"/>
  <c r="D2050" i="2" s="1"/>
  <c r="O2050" i="2"/>
  <c r="M2050" i="2"/>
  <c r="J2049" i="2"/>
  <c r="K2049" i="2" s="1"/>
  <c r="G2049" i="2"/>
  <c r="H2046" i="2"/>
  <c r="I2046" i="2" s="1"/>
  <c r="P2046" i="2" s="1"/>
  <c r="N2046" i="2" l="1"/>
  <c r="E2051" i="2" a="1"/>
  <c r="E2051" i="2" s="1"/>
  <c r="L2050" i="2"/>
  <c r="H2047" i="2"/>
  <c r="A2052" i="2"/>
  <c r="B2051" i="2"/>
  <c r="C2051" i="2" s="1"/>
  <c r="D2051" i="2" s="1"/>
  <c r="L2051" i="2" s="1"/>
  <c r="O2051" i="2"/>
  <c r="M2051" i="2"/>
  <c r="F2051" i="2"/>
  <c r="J2050" i="2"/>
  <c r="K2050" i="2" s="1"/>
  <c r="G2050" i="2"/>
  <c r="I2047" i="2" l="1"/>
  <c r="P2047" i="2" s="1"/>
  <c r="E2052" i="2" a="1"/>
  <c r="E2052" i="2" s="1"/>
  <c r="G2051" i="2"/>
  <c r="J2051" i="2"/>
  <c r="K2051" i="2" s="1"/>
  <c r="F2052" i="2"/>
  <c r="A2053" i="2"/>
  <c r="B2052" i="2"/>
  <c r="C2052" i="2" s="1"/>
  <c r="D2052" i="2" s="1"/>
  <c r="O2052" i="2"/>
  <c r="M2052" i="2"/>
  <c r="H2048" i="2"/>
  <c r="I2048" i="2" s="1"/>
  <c r="P2048" i="2" s="1"/>
  <c r="N2047" i="2" l="1"/>
  <c r="E2053" i="2" a="1"/>
  <c r="E2053" i="2" s="1"/>
  <c r="N2048" i="2"/>
  <c r="L2052" i="2"/>
  <c r="H2049" i="2"/>
  <c r="I2049" i="2" s="1"/>
  <c r="P2049" i="2" s="1"/>
  <c r="F2053" i="2"/>
  <c r="A2054" i="2"/>
  <c r="B2053" i="2"/>
  <c r="C2053" i="2" s="1"/>
  <c r="D2053" i="2" s="1"/>
  <c r="L2053" i="2" s="1"/>
  <c r="O2053" i="2"/>
  <c r="M2053" i="2"/>
  <c r="G2052" i="2"/>
  <c r="J2052" i="2"/>
  <c r="K2052" i="2" s="1"/>
  <c r="E2054" i="2" l="1" a="1"/>
  <c r="E2054" i="2" s="1"/>
  <c r="N2049" i="2"/>
  <c r="F2054" i="2"/>
  <c r="A2055" i="2"/>
  <c r="B2054" i="2"/>
  <c r="C2054" i="2" s="1"/>
  <c r="D2054" i="2" s="1"/>
  <c r="O2054" i="2"/>
  <c r="M2054" i="2"/>
  <c r="G2053" i="2"/>
  <c r="J2053" i="2"/>
  <c r="K2053" i="2" s="1"/>
  <c r="H2050" i="2"/>
  <c r="E2055" i="2" l="1" a="1"/>
  <c r="E2055" i="2" s="1"/>
  <c r="I2050" i="2"/>
  <c r="P2050" i="2" s="1"/>
  <c r="L2054" i="2"/>
  <c r="E2056" i="2" a="1"/>
  <c r="E2056" i="2" s="1"/>
  <c r="H2051" i="2"/>
  <c r="I2051" i="2" s="1"/>
  <c r="P2051" i="2" s="1"/>
  <c r="A2056" i="2"/>
  <c r="B2055" i="2"/>
  <c r="C2055" i="2" s="1"/>
  <c r="D2055" i="2" s="1"/>
  <c r="L2055" i="2" s="1"/>
  <c r="O2055" i="2"/>
  <c r="M2055" i="2"/>
  <c r="F2055" i="2"/>
  <c r="J2054" i="2"/>
  <c r="K2054" i="2" s="1"/>
  <c r="G2054" i="2"/>
  <c r="N2051" i="2" l="1"/>
  <c r="N2050" i="2"/>
  <c r="J2055" i="2"/>
  <c r="K2055" i="2" s="1"/>
  <c r="G2055" i="2"/>
  <c r="O2056" i="2"/>
  <c r="M2056" i="2"/>
  <c r="F2056" i="2"/>
  <c r="A2057" i="2"/>
  <c r="B2056" i="2"/>
  <c r="C2056" i="2" s="1"/>
  <c r="D2056" i="2" s="1"/>
  <c r="L2056" i="2" s="1"/>
  <c r="H2052" i="2"/>
  <c r="I2052" i="2" s="1"/>
  <c r="P2052" i="2" s="1"/>
  <c r="E2057" i="2" l="1" a="1"/>
  <c r="E2057" i="2" s="1"/>
  <c r="N2052" i="2"/>
  <c r="H2053" i="2"/>
  <c r="I2053" i="2" s="1"/>
  <c r="P2053" i="2" s="1"/>
  <c r="A2058" i="2"/>
  <c r="B2057" i="2"/>
  <c r="C2057" i="2" s="1"/>
  <c r="D2057" i="2" s="1"/>
  <c r="O2057" i="2"/>
  <c r="M2057" i="2"/>
  <c r="F2057" i="2"/>
  <c r="J2056" i="2"/>
  <c r="K2056" i="2" s="1"/>
  <c r="G2056" i="2"/>
  <c r="E2058" i="2" l="1" a="1"/>
  <c r="E2058" i="2" s="1"/>
  <c r="N2053" i="2"/>
  <c r="L2057" i="2"/>
  <c r="J2057" i="2"/>
  <c r="K2057" i="2" s="1"/>
  <c r="G2057" i="2"/>
  <c r="A2059" i="2"/>
  <c r="B2058" i="2"/>
  <c r="C2058" i="2" s="1"/>
  <c r="D2058" i="2" s="1"/>
  <c r="M2058" i="2"/>
  <c r="F2058" i="2"/>
  <c r="O2058" i="2"/>
  <c r="H2054" i="2"/>
  <c r="E2059" i="2" l="1" a="1"/>
  <c r="E2059" i="2" s="1"/>
  <c r="I2054" i="2"/>
  <c r="P2054" i="2" s="1"/>
  <c r="L2058" i="2"/>
  <c r="H2055" i="2"/>
  <c r="I2055" i="2" s="1"/>
  <c r="P2055" i="2" s="1"/>
  <c r="J2058" i="2"/>
  <c r="K2058" i="2" s="1"/>
  <c r="G2058" i="2"/>
  <c r="A2060" i="2"/>
  <c r="B2059" i="2"/>
  <c r="C2059" i="2" s="1"/>
  <c r="D2059" i="2" s="1"/>
  <c r="L2059" i="2" s="1"/>
  <c r="O2059" i="2"/>
  <c r="M2059" i="2"/>
  <c r="F2059" i="2"/>
  <c r="N2054" i="2" l="1"/>
  <c r="E2060" i="2" a="1"/>
  <c r="E2060" i="2" s="1"/>
  <c r="N2055" i="2"/>
  <c r="J2059" i="2"/>
  <c r="K2059" i="2" s="1"/>
  <c r="G2059" i="2"/>
  <c r="O2060" i="2"/>
  <c r="F2060" i="2"/>
  <c r="A2061" i="2"/>
  <c r="B2060" i="2"/>
  <c r="C2060" i="2" s="1"/>
  <c r="D2060" i="2" s="1"/>
  <c r="L2060" i="2" s="1"/>
  <c r="M2060" i="2"/>
  <c r="H2056" i="2"/>
  <c r="E2061" i="2" l="1" a="1"/>
  <c r="E2061" i="2" s="1"/>
  <c r="I2056" i="2"/>
  <c r="P2056" i="2" s="1"/>
  <c r="H2057" i="2"/>
  <c r="I2057" i="2" s="1"/>
  <c r="P2057" i="2" s="1"/>
  <c r="O2061" i="2"/>
  <c r="M2061" i="2"/>
  <c r="F2061" i="2"/>
  <c r="A2062" i="2"/>
  <c r="B2061" i="2"/>
  <c r="C2061" i="2" s="1"/>
  <c r="D2061" i="2" s="1"/>
  <c r="L2061" i="2" s="1"/>
  <c r="J2060" i="2"/>
  <c r="K2060" i="2" s="1"/>
  <c r="G2060" i="2"/>
  <c r="N2056" i="2" l="1"/>
  <c r="E2062" i="2" a="1"/>
  <c r="E2062" i="2" s="1"/>
  <c r="N2057" i="2"/>
  <c r="M2062" i="2"/>
  <c r="F2062" i="2"/>
  <c r="A2063" i="2"/>
  <c r="B2062" i="2"/>
  <c r="C2062" i="2" s="1"/>
  <c r="D2062" i="2" s="1"/>
  <c r="O2062" i="2"/>
  <c r="J2061" i="2"/>
  <c r="K2061" i="2" s="1"/>
  <c r="G2061" i="2"/>
  <c r="H2058" i="2"/>
  <c r="E2063" i="2" l="1" a="1"/>
  <c r="E2063" i="2" s="1"/>
  <c r="L2062" i="2"/>
  <c r="I2058" i="2"/>
  <c r="P2058" i="2" s="1"/>
  <c r="H2059" i="2"/>
  <c r="M2063" i="2"/>
  <c r="F2063" i="2"/>
  <c r="A2064" i="2"/>
  <c r="B2063" i="2"/>
  <c r="C2063" i="2" s="1"/>
  <c r="D2063" i="2" s="1"/>
  <c r="L2063" i="2" s="1"/>
  <c r="O2063" i="2"/>
  <c r="J2062" i="2"/>
  <c r="K2062" i="2" s="1"/>
  <c r="G2062" i="2"/>
  <c r="N2058" i="2" l="1"/>
  <c r="E2064" i="2" a="1"/>
  <c r="E2064" i="2" s="1"/>
  <c r="I2059" i="2"/>
  <c r="P2059" i="2" s="1"/>
  <c r="F2064" i="2"/>
  <c r="A2065" i="2"/>
  <c r="B2064" i="2"/>
  <c r="C2064" i="2" s="1"/>
  <c r="D2064" i="2" s="1"/>
  <c r="L2064" i="2" s="1"/>
  <c r="O2064" i="2"/>
  <c r="M2064" i="2"/>
  <c r="G2063" i="2"/>
  <c r="J2063" i="2"/>
  <c r="K2063" i="2" s="1"/>
  <c r="H2060" i="2"/>
  <c r="I2060" i="2" s="1"/>
  <c r="P2060" i="2" s="1"/>
  <c r="E2065" i="2" l="1" a="1"/>
  <c r="E2065" i="2" s="1"/>
  <c r="N2060" i="2"/>
  <c r="N2059" i="2"/>
  <c r="H2061" i="2"/>
  <c r="F2065" i="2"/>
  <c r="A2066" i="2"/>
  <c r="B2065" i="2"/>
  <c r="C2065" i="2" s="1"/>
  <c r="D2065" i="2" s="1"/>
  <c r="O2065" i="2"/>
  <c r="M2065" i="2"/>
  <c r="J2064" i="2"/>
  <c r="K2064" i="2" s="1"/>
  <c r="G2064" i="2"/>
  <c r="L2065" i="2" l="1"/>
  <c r="I2061" i="2"/>
  <c r="P2061" i="2" s="1"/>
  <c r="E2066" i="2" a="1"/>
  <c r="E2066" i="2" s="1"/>
  <c r="F2066" i="2"/>
  <c r="A2067" i="2"/>
  <c r="B2066" i="2"/>
  <c r="C2066" i="2" s="1"/>
  <c r="D2066" i="2" s="1"/>
  <c r="O2066" i="2"/>
  <c r="M2066" i="2"/>
  <c r="J2065" i="2"/>
  <c r="K2065" i="2" s="1"/>
  <c r="G2065" i="2"/>
  <c r="H2062" i="2"/>
  <c r="L2066" i="2" l="1"/>
  <c r="N2061" i="2"/>
  <c r="I2062" i="2"/>
  <c r="P2062" i="2" s="1"/>
  <c r="E2067" i="2" a="1"/>
  <c r="E2067" i="2" s="1"/>
  <c r="H2063" i="2"/>
  <c r="A2068" i="2"/>
  <c r="B2067" i="2"/>
  <c r="C2067" i="2" s="1"/>
  <c r="D2067" i="2" s="1"/>
  <c r="L2067" i="2" s="1"/>
  <c r="O2067" i="2"/>
  <c r="M2067" i="2"/>
  <c r="F2067" i="2"/>
  <c r="J2066" i="2"/>
  <c r="K2066" i="2" s="1"/>
  <c r="G2066" i="2"/>
  <c r="E2068" i="2" l="1" a="1"/>
  <c r="E2068" i="2" s="1"/>
  <c r="I2063" i="2"/>
  <c r="P2063" i="2" s="1"/>
  <c r="N2062" i="2"/>
  <c r="G2067" i="2"/>
  <c r="J2067" i="2"/>
  <c r="K2067" i="2" s="1"/>
  <c r="F2068" i="2"/>
  <c r="A2069" i="2"/>
  <c r="B2068" i="2"/>
  <c r="C2068" i="2" s="1"/>
  <c r="D2068" i="2" s="1"/>
  <c r="O2068" i="2"/>
  <c r="M2068" i="2"/>
  <c r="H2064" i="2"/>
  <c r="I2064" i="2" s="1"/>
  <c r="P2064" i="2" s="1"/>
  <c r="N2064" i="2" l="1"/>
  <c r="L2068" i="2"/>
  <c r="N2063" i="2"/>
  <c r="E2069" i="2" a="1"/>
  <c r="E2069" i="2" s="1"/>
  <c r="H2065" i="2"/>
  <c r="I2065" i="2" s="1"/>
  <c r="P2065" i="2" s="1"/>
  <c r="F2069" i="2"/>
  <c r="A2070" i="2"/>
  <c r="B2069" i="2"/>
  <c r="C2069" i="2" s="1"/>
  <c r="D2069" i="2" s="1"/>
  <c r="L2069" i="2" s="1"/>
  <c r="O2069" i="2"/>
  <c r="M2069" i="2"/>
  <c r="G2068" i="2"/>
  <c r="J2068" i="2"/>
  <c r="K2068" i="2" s="1"/>
  <c r="N2065" i="2" l="1"/>
  <c r="E2070" i="2" a="1"/>
  <c r="E2070" i="2" s="1"/>
  <c r="F2070" i="2"/>
  <c r="A2071" i="2"/>
  <c r="B2070" i="2"/>
  <c r="C2070" i="2" s="1"/>
  <c r="D2070" i="2" s="1"/>
  <c r="O2070" i="2"/>
  <c r="M2070" i="2"/>
  <c r="G2069" i="2"/>
  <c r="J2069" i="2"/>
  <c r="K2069" i="2" s="1"/>
  <c r="H2066" i="2"/>
  <c r="I2066" i="2" l="1"/>
  <c r="P2066" i="2" s="1"/>
  <c r="L2070" i="2"/>
  <c r="E2071" i="2" a="1"/>
  <c r="E2071" i="2" s="1"/>
  <c r="H2067" i="2"/>
  <c r="A2072" i="2"/>
  <c r="B2071" i="2"/>
  <c r="C2071" i="2" s="1"/>
  <c r="D2071" i="2" s="1"/>
  <c r="L2071" i="2" s="1"/>
  <c r="O2071" i="2"/>
  <c r="M2071" i="2"/>
  <c r="F2071" i="2"/>
  <c r="J2070" i="2"/>
  <c r="K2070" i="2" s="1"/>
  <c r="G2070" i="2"/>
  <c r="N2066" i="2" l="1"/>
  <c r="I2067" i="2"/>
  <c r="P2067" i="2" s="1"/>
  <c r="E2072" i="2" a="1"/>
  <c r="E2072" i="2" s="1"/>
  <c r="J2071" i="2"/>
  <c r="K2071" i="2" s="1"/>
  <c r="G2071" i="2"/>
  <c r="O2072" i="2"/>
  <c r="M2072" i="2"/>
  <c r="F2072" i="2"/>
  <c r="A2073" i="2"/>
  <c r="B2072" i="2"/>
  <c r="C2072" i="2" s="1"/>
  <c r="D2072" i="2" s="1"/>
  <c r="H2068" i="2"/>
  <c r="I2068" i="2" s="1"/>
  <c r="P2068" i="2" s="1"/>
  <c r="N2068" i="2" l="1"/>
  <c r="N2067" i="2"/>
  <c r="L2072" i="2"/>
  <c r="E2073" i="2" a="1"/>
  <c r="E2073" i="2" s="1"/>
  <c r="H2069" i="2"/>
  <c r="I2069" i="2" s="1"/>
  <c r="P2069" i="2" s="1"/>
  <c r="A2074" i="2"/>
  <c r="B2073" i="2"/>
  <c r="C2073" i="2" s="1"/>
  <c r="D2073" i="2" s="1"/>
  <c r="L2073" i="2" s="1"/>
  <c r="O2073" i="2"/>
  <c r="M2073" i="2"/>
  <c r="F2073" i="2"/>
  <c r="J2072" i="2"/>
  <c r="K2072" i="2" s="1"/>
  <c r="G2072" i="2"/>
  <c r="N2069" i="2" l="1"/>
  <c r="E2074" i="2" a="1"/>
  <c r="E2074" i="2" s="1"/>
  <c r="J2073" i="2"/>
  <c r="K2073" i="2" s="1"/>
  <c r="G2073" i="2"/>
  <c r="A2075" i="2"/>
  <c r="B2074" i="2"/>
  <c r="C2074" i="2" s="1"/>
  <c r="D2074" i="2" s="1"/>
  <c r="L2074" i="2" s="1"/>
  <c r="M2074" i="2"/>
  <c r="F2074" i="2"/>
  <c r="O2074" i="2"/>
  <c r="H2070" i="2"/>
  <c r="I2070" i="2" l="1"/>
  <c r="P2070" i="2" s="1"/>
  <c r="E2075" i="2" a="1"/>
  <c r="E2075" i="2" s="1"/>
  <c r="H2071" i="2"/>
  <c r="J2074" i="2"/>
  <c r="K2074" i="2" s="1"/>
  <c r="G2074" i="2"/>
  <c r="A2076" i="2"/>
  <c r="B2075" i="2"/>
  <c r="C2075" i="2" s="1"/>
  <c r="D2075" i="2" s="1"/>
  <c r="L2075" i="2" s="1"/>
  <c r="O2075" i="2"/>
  <c r="M2075" i="2"/>
  <c r="F2075" i="2"/>
  <c r="N2070" i="2" l="1"/>
  <c r="E2076" i="2" a="1"/>
  <c r="E2076" i="2" s="1"/>
  <c r="I2071" i="2"/>
  <c r="P2071" i="2" s="1"/>
  <c r="J2075" i="2"/>
  <c r="K2075" i="2" s="1"/>
  <c r="G2075" i="2"/>
  <c r="O2076" i="2"/>
  <c r="F2076" i="2"/>
  <c r="A2077" i="2"/>
  <c r="B2076" i="2"/>
  <c r="C2076" i="2" s="1"/>
  <c r="D2076" i="2" s="1"/>
  <c r="M2076" i="2"/>
  <c r="H2072" i="2"/>
  <c r="I2072" i="2" s="1"/>
  <c r="P2072" i="2" s="1"/>
  <c r="L2076" i="2" l="1"/>
  <c r="N2072" i="2"/>
  <c r="N2071" i="2"/>
  <c r="E2077" i="2" a="1"/>
  <c r="E2077" i="2" s="1"/>
  <c r="H2073" i="2"/>
  <c r="O2077" i="2"/>
  <c r="M2077" i="2"/>
  <c r="F2077" i="2"/>
  <c r="A2078" i="2"/>
  <c r="B2077" i="2"/>
  <c r="C2077" i="2" s="1"/>
  <c r="D2077" i="2" s="1"/>
  <c r="L2077" i="2" s="1"/>
  <c r="J2076" i="2"/>
  <c r="K2076" i="2" s="1"/>
  <c r="G2076" i="2"/>
  <c r="I2073" i="2" l="1"/>
  <c r="P2073" i="2" s="1"/>
  <c r="E2078" i="2" a="1"/>
  <c r="E2078" i="2" s="1"/>
  <c r="M2078" i="2"/>
  <c r="F2078" i="2"/>
  <c r="A2079" i="2"/>
  <c r="B2078" i="2"/>
  <c r="C2078" i="2" s="1"/>
  <c r="D2078" i="2" s="1"/>
  <c r="O2078" i="2"/>
  <c r="J2077" i="2"/>
  <c r="K2077" i="2" s="1"/>
  <c r="G2077" i="2"/>
  <c r="H2074" i="2"/>
  <c r="L2078" i="2" l="1"/>
  <c r="I2074" i="2"/>
  <c r="P2074" i="2" s="1"/>
  <c r="N2073" i="2"/>
  <c r="E2079" i="2" a="1"/>
  <c r="E2079" i="2" s="1"/>
  <c r="H2075" i="2"/>
  <c r="M2079" i="2"/>
  <c r="F2079" i="2"/>
  <c r="A2080" i="2"/>
  <c r="B2079" i="2"/>
  <c r="C2079" i="2" s="1"/>
  <c r="D2079" i="2" s="1"/>
  <c r="O2079" i="2"/>
  <c r="J2078" i="2"/>
  <c r="K2078" i="2" s="1"/>
  <c r="G2078" i="2"/>
  <c r="L2079" i="2" l="1"/>
  <c r="N2074" i="2"/>
  <c r="I2075" i="2"/>
  <c r="P2075" i="2" s="1"/>
  <c r="E2080" i="2" a="1"/>
  <c r="E2080" i="2" s="1"/>
  <c r="E2081" i="2" a="1"/>
  <c r="E2081" i="2" s="1"/>
  <c r="F2080" i="2"/>
  <c r="A2081" i="2"/>
  <c r="B2080" i="2"/>
  <c r="C2080" i="2" s="1"/>
  <c r="D2080" i="2" s="1"/>
  <c r="L2080" i="2" s="1"/>
  <c r="O2080" i="2"/>
  <c r="M2080" i="2"/>
  <c r="G2079" i="2"/>
  <c r="J2079" i="2"/>
  <c r="K2079" i="2" s="1"/>
  <c r="H2076" i="2"/>
  <c r="I2076" i="2" s="1"/>
  <c r="P2076" i="2" s="1"/>
  <c r="N2075" i="2" l="1"/>
  <c r="N2076" i="2"/>
  <c r="H2077" i="2"/>
  <c r="F2081" i="2"/>
  <c r="A2082" i="2"/>
  <c r="B2081" i="2"/>
  <c r="C2081" i="2" s="1"/>
  <c r="D2081" i="2" s="1"/>
  <c r="O2081" i="2"/>
  <c r="M2081" i="2"/>
  <c r="J2080" i="2"/>
  <c r="K2080" i="2" s="1"/>
  <c r="G2080" i="2"/>
  <c r="I2077" i="2" l="1"/>
  <c r="P2077" i="2" s="1"/>
  <c r="L2081" i="2"/>
  <c r="E2082" i="2" a="1"/>
  <c r="E2082" i="2" s="1"/>
  <c r="F2082" i="2"/>
  <c r="A2083" i="2"/>
  <c r="B2082" i="2"/>
  <c r="C2082" i="2" s="1"/>
  <c r="D2082" i="2" s="1"/>
  <c r="L2082" i="2" s="1"/>
  <c r="O2082" i="2"/>
  <c r="M2082" i="2"/>
  <c r="J2081" i="2"/>
  <c r="K2081" i="2" s="1"/>
  <c r="G2081" i="2"/>
  <c r="H2078" i="2"/>
  <c r="N2077" i="2" l="1"/>
  <c r="I2078" i="2"/>
  <c r="P2078" i="2" s="1"/>
  <c r="E2083" i="2" a="1"/>
  <c r="E2083" i="2" s="1"/>
  <c r="H2079" i="2"/>
  <c r="A2084" i="2"/>
  <c r="B2083" i="2"/>
  <c r="C2083" i="2" s="1"/>
  <c r="D2083" i="2" s="1"/>
  <c r="L2083" i="2" s="1"/>
  <c r="O2083" i="2"/>
  <c r="M2083" i="2"/>
  <c r="F2083" i="2"/>
  <c r="J2082" i="2"/>
  <c r="K2082" i="2" s="1"/>
  <c r="G2082" i="2"/>
  <c r="N2078" i="2" l="1"/>
  <c r="I2079" i="2"/>
  <c r="P2079" i="2" s="1"/>
  <c r="E2084" i="2" a="1"/>
  <c r="E2084" i="2" s="1"/>
  <c r="G2083" i="2"/>
  <c r="J2083" i="2"/>
  <c r="K2083" i="2" s="1"/>
  <c r="F2084" i="2"/>
  <c r="A2085" i="2"/>
  <c r="B2084" i="2"/>
  <c r="C2084" i="2" s="1"/>
  <c r="D2084" i="2" s="1"/>
  <c r="L2084" i="2" s="1"/>
  <c r="O2084" i="2"/>
  <c r="M2084" i="2"/>
  <c r="H2080" i="2"/>
  <c r="I2080" i="2" s="1"/>
  <c r="P2080" i="2" s="1"/>
  <c r="N2079" i="2" l="1"/>
  <c r="E2085" i="2" a="1"/>
  <c r="E2085" i="2" s="1"/>
  <c r="N2080" i="2"/>
  <c r="H2081" i="2"/>
  <c r="I2081" i="2" s="1"/>
  <c r="P2081" i="2" s="1"/>
  <c r="F2085" i="2"/>
  <c r="B2085" i="2"/>
  <c r="C2085" i="2" s="1"/>
  <c r="D2085" i="2" s="1"/>
  <c r="A2086" i="2"/>
  <c r="O2085" i="2"/>
  <c r="M2085" i="2"/>
  <c r="G2084" i="2"/>
  <c r="J2084" i="2"/>
  <c r="K2084" i="2" s="1"/>
  <c r="L2085" i="2" l="1"/>
  <c r="N2081" i="2"/>
  <c r="E2086" i="2" a="1"/>
  <c r="E2086" i="2" s="1"/>
  <c r="F2086" i="2"/>
  <c r="B2086" i="2"/>
  <c r="C2086" i="2" s="1"/>
  <c r="D2086" i="2" s="1"/>
  <c r="L2086" i="2" s="1"/>
  <c r="A2087" i="2"/>
  <c r="O2086" i="2"/>
  <c r="M2086" i="2"/>
  <c r="G2085" i="2"/>
  <c r="J2085" i="2"/>
  <c r="K2085" i="2" s="1"/>
  <c r="H2082" i="2"/>
  <c r="I2082" i="2" s="1"/>
  <c r="P2082" i="2" s="1"/>
  <c r="E2087" i="2" l="1" a="1"/>
  <c r="E2087" i="2" s="1"/>
  <c r="N2082" i="2"/>
  <c r="H2083" i="2"/>
  <c r="F2087" i="2"/>
  <c r="B2087" i="2"/>
  <c r="C2087" i="2" s="1"/>
  <c r="D2087" i="2" s="1"/>
  <c r="L2087" i="2" s="1"/>
  <c r="A2088" i="2"/>
  <c r="O2087" i="2"/>
  <c r="M2087" i="2"/>
  <c r="G2086" i="2"/>
  <c r="J2086" i="2"/>
  <c r="K2086" i="2" s="1"/>
  <c r="I2083" i="2" l="1"/>
  <c r="P2083" i="2" s="1"/>
  <c r="E2088" i="2" a="1"/>
  <c r="E2088" i="2" s="1"/>
  <c r="F2088" i="2"/>
  <c r="B2088" i="2"/>
  <c r="C2088" i="2" s="1"/>
  <c r="D2088" i="2" s="1"/>
  <c r="A2089" i="2"/>
  <c r="O2088" i="2"/>
  <c r="M2088" i="2"/>
  <c r="G2087" i="2"/>
  <c r="J2087" i="2"/>
  <c r="K2087" i="2" s="1"/>
  <c r="H2084" i="2"/>
  <c r="I2084" i="2" s="1"/>
  <c r="P2084" i="2" s="1"/>
  <c r="N2084" i="2" l="1"/>
  <c r="L2088" i="2"/>
  <c r="E2089" i="2" a="1"/>
  <c r="E2089" i="2" s="1"/>
  <c r="N2083" i="2"/>
  <c r="H2085" i="2"/>
  <c r="A2090" i="2"/>
  <c r="B2089" i="2"/>
  <c r="C2089" i="2" s="1"/>
  <c r="D2089" i="2" s="1"/>
  <c r="F2089" i="2"/>
  <c r="O2089" i="2"/>
  <c r="M2089" i="2"/>
  <c r="G2088" i="2"/>
  <c r="J2088" i="2"/>
  <c r="K2088" i="2" s="1"/>
  <c r="L2089" i="2" l="1"/>
  <c r="I2085" i="2"/>
  <c r="P2085" i="2" s="1"/>
  <c r="E2090" i="2" a="1"/>
  <c r="E2090" i="2" s="1"/>
  <c r="G2089" i="2"/>
  <c r="J2089" i="2"/>
  <c r="K2089" i="2" s="1"/>
  <c r="F2090" i="2"/>
  <c r="B2090" i="2"/>
  <c r="C2090" i="2" s="1"/>
  <c r="D2090" i="2" s="1"/>
  <c r="L2090" i="2" s="1"/>
  <c r="A2091" i="2"/>
  <c r="O2090" i="2"/>
  <c r="M2090" i="2"/>
  <c r="H2086" i="2"/>
  <c r="I2086" i="2" s="1"/>
  <c r="P2086" i="2" s="1"/>
  <c r="N2086" i="2" l="1"/>
  <c r="N2085" i="2"/>
  <c r="E2091" i="2" a="1"/>
  <c r="E2091" i="2" s="1"/>
  <c r="H2087" i="2"/>
  <c r="I2087" i="2" s="1"/>
  <c r="P2087" i="2" s="1"/>
  <c r="O2091" i="2"/>
  <c r="F2091" i="2"/>
  <c r="B2091" i="2"/>
  <c r="C2091" i="2" s="1"/>
  <c r="D2091" i="2" s="1"/>
  <c r="L2091" i="2" s="1"/>
  <c r="A2092" i="2"/>
  <c r="M2091" i="2"/>
  <c r="G2090" i="2"/>
  <c r="J2090" i="2"/>
  <c r="K2090" i="2" s="1"/>
  <c r="E2092" i="2" l="1" a="1"/>
  <c r="E2092" i="2" s="1"/>
  <c r="N2087" i="2"/>
  <c r="F2092" i="2"/>
  <c r="B2092" i="2"/>
  <c r="C2092" i="2" s="1"/>
  <c r="D2092" i="2" s="1"/>
  <c r="A2093" i="2"/>
  <c r="O2092" i="2"/>
  <c r="M2092" i="2"/>
  <c r="G2091" i="2"/>
  <c r="J2091" i="2"/>
  <c r="K2091" i="2" s="1"/>
  <c r="H2088" i="2"/>
  <c r="I2088" i="2" s="1"/>
  <c r="P2088" i="2" s="1"/>
  <c r="N2088" i="2" l="1"/>
  <c r="E2093" i="2" a="1"/>
  <c r="E2093" i="2" s="1"/>
  <c r="L2092" i="2"/>
  <c r="H2089" i="2"/>
  <c r="I2089" i="2" s="1"/>
  <c r="P2089" i="2" s="1"/>
  <c r="M2093" i="2"/>
  <c r="F2093" i="2"/>
  <c r="B2093" i="2"/>
  <c r="C2093" i="2" s="1"/>
  <c r="D2093" i="2" s="1"/>
  <c r="L2093" i="2" s="1"/>
  <c r="A2094" i="2"/>
  <c r="O2093" i="2"/>
  <c r="G2092" i="2"/>
  <c r="J2092" i="2"/>
  <c r="K2092" i="2" s="1"/>
  <c r="N2089" i="2" l="1"/>
  <c r="E2094" i="2" a="1"/>
  <c r="E2094" i="2" s="1"/>
  <c r="F2094" i="2"/>
  <c r="B2094" i="2"/>
  <c r="C2094" i="2" s="1"/>
  <c r="D2094" i="2" s="1"/>
  <c r="A2095" i="2"/>
  <c r="O2094" i="2"/>
  <c r="M2094" i="2"/>
  <c r="G2093" i="2"/>
  <c r="J2093" i="2"/>
  <c r="K2093" i="2" s="1"/>
  <c r="H2090" i="2"/>
  <c r="I2090" i="2" s="1"/>
  <c r="P2090" i="2" s="1"/>
  <c r="E2095" i="2" l="1" a="1"/>
  <c r="E2095" i="2" s="1"/>
  <c r="N2090" i="2"/>
  <c r="L2094" i="2"/>
  <c r="H2091" i="2"/>
  <c r="I2091" i="2" s="1"/>
  <c r="P2091" i="2" s="1"/>
  <c r="F2095" i="2"/>
  <c r="B2095" i="2"/>
  <c r="C2095" i="2" s="1"/>
  <c r="D2095" i="2" s="1"/>
  <c r="L2095" i="2" s="1"/>
  <c r="A2096" i="2"/>
  <c r="O2095" i="2"/>
  <c r="M2095" i="2"/>
  <c r="G2094" i="2"/>
  <c r="J2094" i="2"/>
  <c r="K2094" i="2" s="1"/>
  <c r="E2096" i="2" l="1" a="1"/>
  <c r="E2096" i="2" s="1"/>
  <c r="N2091" i="2"/>
  <c r="F2096" i="2"/>
  <c r="B2096" i="2"/>
  <c r="C2096" i="2" s="1"/>
  <c r="D2096" i="2" s="1"/>
  <c r="A2097" i="2"/>
  <c r="O2096" i="2"/>
  <c r="M2096" i="2"/>
  <c r="G2095" i="2"/>
  <c r="J2095" i="2"/>
  <c r="K2095" i="2" s="1"/>
  <c r="H2092" i="2"/>
  <c r="I2092" i="2" s="1"/>
  <c r="P2092" i="2" s="1"/>
  <c r="E2097" i="2" l="1" a="1"/>
  <c r="E2097" i="2" s="1"/>
  <c r="N2092" i="2"/>
  <c r="L2096" i="2"/>
  <c r="H2093" i="2"/>
  <c r="I2093" i="2" s="1"/>
  <c r="P2093" i="2" s="1"/>
  <c r="F2097" i="2"/>
  <c r="B2097" i="2"/>
  <c r="C2097" i="2" s="1"/>
  <c r="D2097" i="2" s="1"/>
  <c r="A2098" i="2"/>
  <c r="O2097" i="2"/>
  <c r="M2097" i="2"/>
  <c r="J2096" i="2"/>
  <c r="K2096" i="2" s="1"/>
  <c r="G2096" i="2"/>
  <c r="E2098" i="2" l="1" a="1"/>
  <c r="E2098" i="2" s="1"/>
  <c r="N2093" i="2"/>
  <c r="L2097" i="2"/>
  <c r="F2098" i="2"/>
  <c r="B2098" i="2"/>
  <c r="C2098" i="2" s="1"/>
  <c r="D2098" i="2" s="1"/>
  <c r="L2098" i="2" s="1"/>
  <c r="A2099" i="2"/>
  <c r="O2098" i="2"/>
  <c r="M2098" i="2"/>
  <c r="J2097" i="2"/>
  <c r="K2097" i="2" s="1"/>
  <c r="G2097" i="2"/>
  <c r="H2094" i="2"/>
  <c r="E2099" i="2" l="1" a="1"/>
  <c r="E2099" i="2" s="1"/>
  <c r="I2094" i="2"/>
  <c r="P2094" i="2" s="1"/>
  <c r="H2095" i="2"/>
  <c r="I2095" i="2" s="1"/>
  <c r="P2095" i="2" s="1"/>
  <c r="F2099" i="2"/>
  <c r="B2099" i="2"/>
  <c r="C2099" i="2" s="1"/>
  <c r="D2099" i="2" s="1"/>
  <c r="A2100" i="2"/>
  <c r="O2099" i="2"/>
  <c r="M2099" i="2"/>
  <c r="J2098" i="2"/>
  <c r="K2098" i="2" s="1"/>
  <c r="G2098" i="2"/>
  <c r="L2099" i="2" l="1"/>
  <c r="N2095" i="2"/>
  <c r="N2094" i="2"/>
  <c r="E2100" i="2" a="1"/>
  <c r="E2100" i="2" s="1"/>
  <c r="F2100" i="2"/>
  <c r="M2100" i="2"/>
  <c r="B2100" i="2"/>
  <c r="C2100" i="2" s="1"/>
  <c r="D2100" i="2" s="1"/>
  <c r="A2101" i="2"/>
  <c r="O2100" i="2"/>
  <c r="G2099" i="2"/>
  <c r="J2099" i="2"/>
  <c r="K2099" i="2" s="1"/>
  <c r="H2096" i="2"/>
  <c r="I2096" i="2" s="1"/>
  <c r="P2096" i="2" s="1"/>
  <c r="N2096" i="2" l="1"/>
  <c r="L2100" i="2"/>
  <c r="E2101" i="2" a="1"/>
  <c r="E2101" i="2" s="1"/>
  <c r="H2097" i="2"/>
  <c r="A2102" i="2"/>
  <c r="B2101" i="2"/>
  <c r="C2101" i="2" s="1"/>
  <c r="D2101" i="2" s="1"/>
  <c r="M2101" i="2"/>
  <c r="F2101" i="2"/>
  <c r="O2101" i="2"/>
  <c r="J2100" i="2"/>
  <c r="K2100" i="2" s="1"/>
  <c r="G2100" i="2"/>
  <c r="L2101" i="2" l="1"/>
  <c r="E2102" i="2" a="1"/>
  <c r="E2102" i="2" s="1"/>
  <c r="I2097" i="2"/>
  <c r="P2097" i="2" s="1"/>
  <c r="J2101" i="2"/>
  <c r="K2101" i="2" s="1"/>
  <c r="G2101" i="2"/>
  <c r="A2103" i="2"/>
  <c r="O2102" i="2"/>
  <c r="M2102" i="2"/>
  <c r="F2102" i="2"/>
  <c r="B2102" i="2"/>
  <c r="C2102" i="2" s="1"/>
  <c r="D2102" i="2" s="1"/>
  <c r="H2098" i="2"/>
  <c r="I2098" i="2" s="1"/>
  <c r="P2098" i="2" s="1"/>
  <c r="E2103" i="2" l="1" a="1"/>
  <c r="E2103" i="2" s="1"/>
  <c r="N2097" i="2"/>
  <c r="N2098" i="2"/>
  <c r="L2102" i="2"/>
  <c r="H2099" i="2"/>
  <c r="J2102" i="2"/>
  <c r="K2102" i="2" s="1"/>
  <c r="G2102" i="2"/>
  <c r="O2103" i="2"/>
  <c r="A2104" i="2"/>
  <c r="M2103" i="2"/>
  <c r="F2103" i="2"/>
  <c r="B2103" i="2"/>
  <c r="C2103" i="2" s="1"/>
  <c r="D2103" i="2" s="1"/>
  <c r="L2103" i="2" l="1"/>
  <c r="I2099" i="2"/>
  <c r="P2099" i="2" s="1"/>
  <c r="E2104" i="2" a="1"/>
  <c r="E2104" i="2" s="1"/>
  <c r="J2103" i="2"/>
  <c r="K2103" i="2" s="1"/>
  <c r="G2103" i="2"/>
  <c r="B2104" i="2"/>
  <c r="C2104" i="2" s="1"/>
  <c r="D2104" i="2" s="1"/>
  <c r="A2105" i="2"/>
  <c r="O2104" i="2"/>
  <c r="M2104" i="2"/>
  <c r="F2104" i="2"/>
  <c r="H2100" i="2"/>
  <c r="I2100" i="2" s="1"/>
  <c r="P2100" i="2" s="1"/>
  <c r="E2105" i="2" l="1" a="1"/>
  <c r="E2105" i="2" s="1"/>
  <c r="N2100" i="2"/>
  <c r="N2099" i="2"/>
  <c r="L2104" i="2"/>
  <c r="H2101" i="2"/>
  <c r="J2104" i="2"/>
  <c r="K2104" i="2" s="1"/>
  <c r="G2104" i="2"/>
  <c r="A2106" i="2"/>
  <c r="B2105" i="2"/>
  <c r="C2105" i="2" s="1"/>
  <c r="D2105" i="2" s="1"/>
  <c r="M2105" i="2"/>
  <c r="F2105" i="2"/>
  <c r="O2105" i="2"/>
  <c r="L2105" i="2" l="1"/>
  <c r="E2106" i="2" a="1"/>
  <c r="E2106" i="2" s="1"/>
  <c r="I2101" i="2"/>
  <c r="P2101" i="2" s="1"/>
  <c r="J2105" i="2"/>
  <c r="K2105" i="2" s="1"/>
  <c r="G2105" i="2"/>
  <c r="A2107" i="2"/>
  <c r="B2106" i="2"/>
  <c r="C2106" i="2" s="1"/>
  <c r="D2106" i="2" s="1"/>
  <c r="L2106" i="2" s="1"/>
  <c r="F2106" i="2"/>
  <c r="O2106" i="2"/>
  <c r="M2106" i="2"/>
  <c r="H2102" i="2"/>
  <c r="I2102" i="2" s="1"/>
  <c r="P2102" i="2" s="1"/>
  <c r="N2101" i="2" l="1"/>
  <c r="N2102" i="2"/>
  <c r="E2107" i="2" a="1"/>
  <c r="E2107" i="2" s="1"/>
  <c r="H2103" i="2"/>
  <c r="G2106" i="2"/>
  <c r="J2106" i="2"/>
  <c r="K2106" i="2" s="1"/>
  <c r="O2107" i="2"/>
  <c r="M2107" i="2"/>
  <c r="F2107" i="2"/>
  <c r="B2107" i="2"/>
  <c r="C2107" i="2" s="1"/>
  <c r="D2107" i="2" s="1"/>
  <c r="A2108" i="2"/>
  <c r="E2108" i="2" l="1" a="1"/>
  <c r="E2108" i="2" s="1"/>
  <c r="L2107" i="2"/>
  <c r="I2103" i="2"/>
  <c r="P2103" i="2" s="1"/>
  <c r="O2108" i="2"/>
  <c r="A2109" i="2"/>
  <c r="M2108" i="2"/>
  <c r="F2108" i="2"/>
  <c r="B2108" i="2"/>
  <c r="C2108" i="2" s="1"/>
  <c r="D2108" i="2" s="1"/>
  <c r="J2107" i="2"/>
  <c r="K2107" i="2" s="1"/>
  <c r="G2107" i="2"/>
  <c r="H2104" i="2"/>
  <c r="I2104" i="2" l="1"/>
  <c r="P2104" i="2" s="1"/>
  <c r="E2109" i="2" a="1"/>
  <c r="E2109" i="2" s="1"/>
  <c r="N2103" i="2"/>
  <c r="L2108" i="2"/>
  <c r="H2105" i="2"/>
  <c r="J2108" i="2"/>
  <c r="K2108" i="2" s="1"/>
  <c r="G2108" i="2"/>
  <c r="M2109" i="2"/>
  <c r="O2109" i="2"/>
  <c r="B2109" i="2"/>
  <c r="C2109" i="2" s="1"/>
  <c r="D2109" i="2" s="1"/>
  <c r="L2109" i="2" s="1"/>
  <c r="A2110" i="2"/>
  <c r="F2109" i="2"/>
  <c r="I2105" i="2" l="1"/>
  <c r="P2105" i="2" s="1"/>
  <c r="E2110" i="2" a="1"/>
  <c r="E2110" i="2" s="1"/>
  <c r="N2104" i="2"/>
  <c r="J2109" i="2"/>
  <c r="K2109" i="2" s="1"/>
  <c r="G2109" i="2"/>
  <c r="M2110" i="2"/>
  <c r="A2111" i="2"/>
  <c r="B2110" i="2"/>
  <c r="C2110" i="2" s="1"/>
  <c r="D2110" i="2" s="1"/>
  <c r="F2110" i="2"/>
  <c r="O2110" i="2"/>
  <c r="H2106" i="2"/>
  <c r="I2106" i="2" s="1"/>
  <c r="P2106" i="2" s="1"/>
  <c r="N2105" i="2" l="1"/>
  <c r="N2106" i="2"/>
  <c r="E2111" i="2" a="1"/>
  <c r="E2111" i="2" s="1"/>
  <c r="L2110" i="2"/>
  <c r="H2107" i="2"/>
  <c r="G2110" i="2"/>
  <c r="J2110" i="2"/>
  <c r="K2110" i="2" s="1"/>
  <c r="M2111" i="2"/>
  <c r="A2112" i="2"/>
  <c r="O2111" i="2"/>
  <c r="F2111" i="2"/>
  <c r="B2111" i="2"/>
  <c r="C2111" i="2" s="1"/>
  <c r="D2111" i="2" s="1"/>
  <c r="L2111" i="2" l="1"/>
  <c r="I2107" i="2"/>
  <c r="P2107" i="2" s="1"/>
  <c r="E2112" i="2" a="1"/>
  <c r="E2112" i="2" s="1"/>
  <c r="G2111" i="2"/>
  <c r="J2111" i="2"/>
  <c r="K2111" i="2" s="1"/>
  <c r="F2112" i="2"/>
  <c r="A2113" i="2"/>
  <c r="B2112" i="2"/>
  <c r="C2112" i="2" s="1"/>
  <c r="D2112" i="2" s="1"/>
  <c r="L2112" i="2" s="1"/>
  <c r="O2112" i="2"/>
  <c r="M2112" i="2"/>
  <c r="H2108" i="2"/>
  <c r="N2107" i="2" l="1"/>
  <c r="E2113" i="2" a="1"/>
  <c r="E2113" i="2" s="1"/>
  <c r="I2108" i="2"/>
  <c r="P2108" i="2" s="1"/>
  <c r="H2109" i="2"/>
  <c r="F2113" i="2"/>
  <c r="M2113" i="2"/>
  <c r="B2113" i="2"/>
  <c r="C2113" i="2" s="1"/>
  <c r="D2113" i="2" s="1"/>
  <c r="A2114" i="2"/>
  <c r="O2113" i="2"/>
  <c r="J2112" i="2"/>
  <c r="K2112" i="2" s="1"/>
  <c r="G2112" i="2"/>
  <c r="E2114" i="2" l="1" a="1"/>
  <c r="E2114" i="2" s="1"/>
  <c r="L2113" i="2"/>
  <c r="I2109" i="2"/>
  <c r="P2109" i="2" s="1"/>
  <c r="N2108" i="2"/>
  <c r="O2114" i="2"/>
  <c r="M2114" i="2"/>
  <c r="A2115" i="2"/>
  <c r="F2114" i="2"/>
  <c r="B2114" i="2"/>
  <c r="C2114" i="2" s="1"/>
  <c r="D2114" i="2" s="1"/>
  <c r="J2113" i="2"/>
  <c r="K2113" i="2" s="1"/>
  <c r="G2113" i="2"/>
  <c r="H2110" i="2"/>
  <c r="I2110" i="2" s="1"/>
  <c r="P2110" i="2" s="1"/>
  <c r="N2109" i="2" l="1"/>
  <c r="N2110" i="2"/>
  <c r="E2115" i="2" a="1"/>
  <c r="E2115" i="2" s="1"/>
  <c r="L2114" i="2"/>
  <c r="H2111" i="2"/>
  <c r="I2111" i="2" s="1"/>
  <c r="P2111" i="2" s="1"/>
  <c r="J2114" i="2"/>
  <c r="K2114" i="2" s="1"/>
  <c r="G2114" i="2"/>
  <c r="F2115" i="2"/>
  <c r="B2115" i="2"/>
  <c r="C2115" i="2" s="1"/>
  <c r="D2115" i="2" s="1"/>
  <c r="A2116" i="2"/>
  <c r="O2115" i="2"/>
  <c r="M2115" i="2"/>
  <c r="E2116" i="2" l="1" a="1"/>
  <c r="E2116" i="2" s="1"/>
  <c r="L2115" i="2"/>
  <c r="N2111" i="2"/>
  <c r="F2116" i="2"/>
  <c r="M2116" i="2"/>
  <c r="A2117" i="2"/>
  <c r="O2116" i="2"/>
  <c r="B2116" i="2"/>
  <c r="C2116" i="2" s="1"/>
  <c r="D2116" i="2" s="1"/>
  <c r="G2115" i="2"/>
  <c r="J2115" i="2"/>
  <c r="K2115" i="2" s="1"/>
  <c r="H2112" i="2"/>
  <c r="E2117" i="2" l="1" a="1"/>
  <c r="E2117" i="2" s="1"/>
  <c r="I2112" i="2"/>
  <c r="P2112" i="2" s="1"/>
  <c r="L2116" i="2"/>
  <c r="H2113" i="2"/>
  <c r="F2117" i="2"/>
  <c r="A2118" i="2"/>
  <c r="B2117" i="2"/>
  <c r="C2117" i="2" s="1"/>
  <c r="D2117" i="2" s="1"/>
  <c r="O2117" i="2"/>
  <c r="M2117" i="2"/>
  <c r="G2116" i="2"/>
  <c r="J2116" i="2"/>
  <c r="K2116" i="2" s="1"/>
  <c r="N2112" i="2" l="1"/>
  <c r="L2117" i="2"/>
  <c r="E2118" i="2" a="1"/>
  <c r="E2118" i="2" s="1"/>
  <c r="I2113" i="2"/>
  <c r="P2113" i="2" s="1"/>
  <c r="A2119" i="2"/>
  <c r="B2118" i="2"/>
  <c r="C2118" i="2" s="1"/>
  <c r="D2118" i="2" s="1"/>
  <c r="L2118" i="2" s="1"/>
  <c r="F2118" i="2"/>
  <c r="O2118" i="2"/>
  <c r="M2118" i="2"/>
  <c r="J2117" i="2"/>
  <c r="K2117" i="2" s="1"/>
  <c r="G2117" i="2"/>
  <c r="H2114" i="2"/>
  <c r="E2119" i="2" l="1" a="1"/>
  <c r="E2119" i="2" s="1"/>
  <c r="N2113" i="2"/>
  <c r="I2114" i="2"/>
  <c r="P2114" i="2" s="1"/>
  <c r="H2115" i="2"/>
  <c r="I2115" i="2" s="1"/>
  <c r="P2115" i="2" s="1"/>
  <c r="J2118" i="2"/>
  <c r="K2118" i="2" s="1"/>
  <c r="G2118" i="2"/>
  <c r="O2119" i="2"/>
  <c r="B2119" i="2"/>
  <c r="C2119" i="2" s="1"/>
  <c r="D2119" i="2" s="1"/>
  <c r="L2119" i="2" s="1"/>
  <c r="A2120" i="2"/>
  <c r="M2119" i="2"/>
  <c r="F2119" i="2"/>
  <c r="N2115" i="2" l="1"/>
  <c r="N2114" i="2"/>
  <c r="E2120" i="2" a="1"/>
  <c r="E2120" i="2" s="1"/>
  <c r="J2119" i="2"/>
  <c r="K2119" i="2" s="1"/>
  <c r="G2119" i="2"/>
  <c r="A2121" i="2"/>
  <c r="B2120" i="2"/>
  <c r="C2120" i="2" s="1"/>
  <c r="D2120" i="2" s="1"/>
  <c r="O2120" i="2"/>
  <c r="M2120" i="2"/>
  <c r="F2120" i="2"/>
  <c r="H2116" i="2"/>
  <c r="I2116" i="2" s="1"/>
  <c r="P2116" i="2" s="1"/>
  <c r="E2121" i="2" l="1" a="1"/>
  <c r="E2121" i="2" s="1"/>
  <c r="N2116" i="2"/>
  <c r="L2120" i="2"/>
  <c r="H2117" i="2"/>
  <c r="G2120" i="2"/>
  <c r="J2120" i="2"/>
  <c r="K2120" i="2" s="1"/>
  <c r="A2122" i="2"/>
  <c r="B2121" i="2"/>
  <c r="C2121" i="2" s="1"/>
  <c r="D2121" i="2" s="1"/>
  <c r="L2121" i="2" s="1"/>
  <c r="M2121" i="2"/>
  <c r="F2121" i="2"/>
  <c r="O2121" i="2"/>
  <c r="E2122" i="2" l="1" a="1"/>
  <c r="E2122" i="2" s="1"/>
  <c r="I2117" i="2"/>
  <c r="P2117" i="2" s="1"/>
  <c r="J2121" i="2"/>
  <c r="K2121" i="2" s="1"/>
  <c r="G2121" i="2"/>
  <c r="A2123" i="2"/>
  <c r="B2122" i="2"/>
  <c r="C2122" i="2" s="1"/>
  <c r="D2122" i="2" s="1"/>
  <c r="O2122" i="2"/>
  <c r="M2122" i="2"/>
  <c r="F2122" i="2"/>
  <c r="H2118" i="2"/>
  <c r="N2117" i="2" l="1"/>
  <c r="I2118" i="2"/>
  <c r="P2118" i="2" s="1"/>
  <c r="L2122" i="2"/>
  <c r="E2123" i="2" a="1"/>
  <c r="E2123" i="2" s="1"/>
  <c r="H2119" i="2"/>
  <c r="I2119" i="2" s="1"/>
  <c r="P2119" i="2" s="1"/>
  <c r="G2122" i="2"/>
  <c r="J2122" i="2"/>
  <c r="K2122" i="2" s="1"/>
  <c r="O2123" i="2"/>
  <c r="F2123" i="2"/>
  <c r="A2124" i="2"/>
  <c r="B2123" i="2"/>
  <c r="C2123" i="2" s="1"/>
  <c r="D2123" i="2" s="1"/>
  <c r="M2123" i="2"/>
  <c r="E2124" i="2" l="1" a="1"/>
  <c r="E2124" i="2" s="1"/>
  <c r="N2118" i="2"/>
  <c r="L2123" i="2"/>
  <c r="N2119" i="2"/>
  <c r="O2124" i="2"/>
  <c r="M2124" i="2"/>
  <c r="A2125" i="2"/>
  <c r="F2124" i="2"/>
  <c r="B2124" i="2"/>
  <c r="C2124" i="2" s="1"/>
  <c r="D2124" i="2" s="1"/>
  <c r="J2123" i="2"/>
  <c r="K2123" i="2" s="1"/>
  <c r="G2123" i="2"/>
  <c r="H2120" i="2"/>
  <c r="L2124" i="2" l="1"/>
  <c r="E2125" i="2" a="1"/>
  <c r="E2125" i="2" s="1"/>
  <c r="I2120" i="2"/>
  <c r="P2120" i="2" s="1"/>
  <c r="H2121" i="2"/>
  <c r="I2121" i="2" s="1"/>
  <c r="P2121" i="2" s="1"/>
  <c r="J2124" i="2"/>
  <c r="K2124" i="2" s="1"/>
  <c r="G2124" i="2"/>
  <c r="M2125" i="2"/>
  <c r="O2125" i="2"/>
  <c r="B2125" i="2"/>
  <c r="C2125" i="2" s="1"/>
  <c r="D2125" i="2" s="1"/>
  <c r="A2126" i="2"/>
  <c r="F2125" i="2"/>
  <c r="N2120" i="2" l="1"/>
  <c r="L2125" i="2"/>
  <c r="N2121" i="2"/>
  <c r="E2126" i="2" a="1"/>
  <c r="E2126" i="2" s="1"/>
  <c r="J2125" i="2"/>
  <c r="K2125" i="2" s="1"/>
  <c r="G2125" i="2"/>
  <c r="M2126" i="2"/>
  <c r="A2127" i="2"/>
  <c r="B2126" i="2"/>
  <c r="C2126" i="2" s="1"/>
  <c r="D2126" i="2" s="1"/>
  <c r="O2126" i="2"/>
  <c r="F2126" i="2"/>
  <c r="H2122" i="2"/>
  <c r="E2127" i="2" l="1" a="1"/>
  <c r="E2127" i="2" s="1"/>
  <c r="I2122" i="2"/>
  <c r="P2122" i="2" s="1"/>
  <c r="L2126" i="2"/>
  <c r="H2123" i="2"/>
  <c r="J2126" i="2"/>
  <c r="K2126" i="2" s="1"/>
  <c r="G2126" i="2"/>
  <c r="A2128" i="2"/>
  <c r="B2127" i="2"/>
  <c r="C2127" i="2" s="1"/>
  <c r="D2127" i="2" s="1"/>
  <c r="L2127" i="2" s="1"/>
  <c r="M2127" i="2"/>
  <c r="F2127" i="2"/>
  <c r="O2127" i="2"/>
  <c r="N2122" i="2" l="1"/>
  <c r="E2128" i="2" a="1"/>
  <c r="E2128" i="2" s="1"/>
  <c r="I2123" i="2"/>
  <c r="P2123" i="2" s="1"/>
  <c r="J2127" i="2"/>
  <c r="K2127" i="2" s="1"/>
  <c r="G2127" i="2"/>
  <c r="F2128" i="2"/>
  <c r="A2129" i="2"/>
  <c r="B2128" i="2"/>
  <c r="C2128" i="2" s="1"/>
  <c r="D2128" i="2" s="1"/>
  <c r="L2128" i="2" s="1"/>
  <c r="O2128" i="2"/>
  <c r="M2128" i="2"/>
  <c r="H2124" i="2"/>
  <c r="N2123" i="2" l="1"/>
  <c r="E2129" i="2" a="1"/>
  <c r="E2129" i="2" s="1"/>
  <c r="I2124" i="2"/>
  <c r="P2124" i="2" s="1"/>
  <c r="H2125" i="2"/>
  <c r="F2129" i="2"/>
  <c r="A2130" i="2"/>
  <c r="B2129" i="2"/>
  <c r="C2129" i="2" s="1"/>
  <c r="D2129" i="2" s="1"/>
  <c r="O2129" i="2"/>
  <c r="M2129" i="2"/>
  <c r="J2128" i="2"/>
  <c r="K2128" i="2" s="1"/>
  <c r="G2128" i="2"/>
  <c r="N2124" i="2" l="1"/>
  <c r="I2125" i="2"/>
  <c r="P2125" i="2" s="1"/>
  <c r="E2130" i="2" a="1"/>
  <c r="E2130" i="2" s="1"/>
  <c r="L2129" i="2"/>
  <c r="O2130" i="2"/>
  <c r="M2130" i="2"/>
  <c r="B2130" i="2"/>
  <c r="C2130" i="2" s="1"/>
  <c r="D2130" i="2" s="1"/>
  <c r="L2130" i="2" s="1"/>
  <c r="A2131" i="2"/>
  <c r="F2130" i="2"/>
  <c r="J2129" i="2"/>
  <c r="K2129" i="2" s="1"/>
  <c r="G2129" i="2"/>
  <c r="H2126" i="2"/>
  <c r="I2126" i="2" s="1"/>
  <c r="P2126" i="2" s="1"/>
  <c r="N2125" i="2" l="1"/>
  <c r="N2126" i="2"/>
  <c r="E2131" i="2" a="1"/>
  <c r="E2131" i="2" s="1"/>
  <c r="H2127" i="2"/>
  <c r="G2130" i="2"/>
  <c r="J2130" i="2"/>
  <c r="K2130" i="2" s="1"/>
  <c r="F2131" i="2"/>
  <c r="O2131" i="2"/>
  <c r="M2131" i="2"/>
  <c r="A2132" i="2"/>
  <c r="B2131" i="2"/>
  <c r="C2131" i="2" s="1"/>
  <c r="D2131" i="2" s="1"/>
  <c r="E2132" i="2" l="1" a="1"/>
  <c r="E2132" i="2" s="1"/>
  <c r="L2131" i="2"/>
  <c r="I2127" i="2"/>
  <c r="P2127" i="2" s="1"/>
  <c r="F2132" i="2"/>
  <c r="M2132" i="2"/>
  <c r="O2132" i="2"/>
  <c r="B2132" i="2"/>
  <c r="C2132" i="2" s="1"/>
  <c r="D2132" i="2" s="1"/>
  <c r="A2133" i="2"/>
  <c r="G2131" i="2"/>
  <c r="J2131" i="2"/>
  <c r="K2131" i="2" s="1"/>
  <c r="H2128" i="2"/>
  <c r="I2128" i="2" s="1"/>
  <c r="P2128" i="2" s="1"/>
  <c r="E2133" i="2" l="1" a="1"/>
  <c r="E2133" i="2" s="1"/>
  <c r="L2132" i="2"/>
  <c r="N2128" i="2"/>
  <c r="N2127" i="2"/>
  <c r="H2129" i="2"/>
  <c r="I2129" i="2" s="1"/>
  <c r="P2129" i="2" s="1"/>
  <c r="F2133" i="2"/>
  <c r="A2134" i="2"/>
  <c r="B2133" i="2"/>
  <c r="C2133" i="2" s="1"/>
  <c r="D2133" i="2" s="1"/>
  <c r="L2133" i="2" s="1"/>
  <c r="M2133" i="2"/>
  <c r="O2133" i="2"/>
  <c r="G2132" i="2"/>
  <c r="J2132" i="2"/>
  <c r="K2132" i="2" s="1"/>
  <c r="E2134" i="2" l="1" a="1"/>
  <c r="E2134" i="2" s="1"/>
  <c r="N2129" i="2"/>
  <c r="A2135" i="2"/>
  <c r="B2134" i="2"/>
  <c r="C2134" i="2" s="1"/>
  <c r="D2134" i="2" s="1"/>
  <c r="L2134" i="2" s="1"/>
  <c r="F2134" i="2"/>
  <c r="O2134" i="2"/>
  <c r="M2134" i="2"/>
  <c r="J2133" i="2"/>
  <c r="K2133" i="2" s="1"/>
  <c r="G2133" i="2"/>
  <c r="H2130" i="2"/>
  <c r="I2130" i="2" s="1"/>
  <c r="P2130" i="2" s="1"/>
  <c r="E2135" i="2" l="1" a="1"/>
  <c r="E2135" i="2" s="1"/>
  <c r="N2130" i="2"/>
  <c r="H2131" i="2"/>
  <c r="I2131" i="2" s="1"/>
  <c r="P2131" i="2" s="1"/>
  <c r="J2134" i="2"/>
  <c r="K2134" i="2" s="1"/>
  <c r="G2134" i="2"/>
  <c r="A2136" i="2"/>
  <c r="B2135" i="2"/>
  <c r="C2135" i="2" s="1"/>
  <c r="D2135" i="2" s="1"/>
  <c r="L2135" i="2" s="1"/>
  <c r="O2135" i="2"/>
  <c r="M2135" i="2"/>
  <c r="F2135" i="2"/>
  <c r="N2131" i="2" l="1"/>
  <c r="E2136" i="2" a="1"/>
  <c r="E2136" i="2" s="1"/>
  <c r="J2135" i="2"/>
  <c r="K2135" i="2" s="1"/>
  <c r="G2135" i="2"/>
  <c r="A2137" i="2"/>
  <c r="B2136" i="2"/>
  <c r="C2136" i="2" s="1"/>
  <c r="D2136" i="2" s="1"/>
  <c r="L2136" i="2" s="1"/>
  <c r="O2136" i="2"/>
  <c r="M2136" i="2"/>
  <c r="F2136" i="2"/>
  <c r="H2132" i="2"/>
  <c r="I2132" i="2" s="1"/>
  <c r="P2132" i="2" s="1"/>
  <c r="E2137" i="2" l="1" a="1"/>
  <c r="E2137" i="2" s="1"/>
  <c r="N2132" i="2"/>
  <c r="H2133" i="2"/>
  <c r="I2133" i="2" s="1"/>
  <c r="P2133" i="2" s="1"/>
  <c r="J2136" i="2"/>
  <c r="K2136" i="2" s="1"/>
  <c r="G2136" i="2"/>
  <c r="A2138" i="2"/>
  <c r="B2137" i="2"/>
  <c r="C2137" i="2" s="1"/>
  <c r="D2137" i="2" s="1"/>
  <c r="L2137" i="2" s="1"/>
  <c r="O2137" i="2"/>
  <c r="M2137" i="2"/>
  <c r="F2137" i="2"/>
  <c r="N2133" i="2" l="1"/>
  <c r="E2138" i="2" a="1"/>
  <c r="E2138" i="2" s="1"/>
  <c r="G2137" i="2"/>
  <c r="J2137" i="2"/>
  <c r="K2137" i="2" s="1"/>
  <c r="A2139" i="2"/>
  <c r="B2138" i="2"/>
  <c r="C2138" i="2" s="1"/>
  <c r="D2138" i="2" s="1"/>
  <c r="L2138" i="2" s="1"/>
  <c r="O2138" i="2"/>
  <c r="M2138" i="2"/>
  <c r="F2138" i="2"/>
  <c r="H2134" i="2"/>
  <c r="E2139" i="2" l="1" a="1"/>
  <c r="E2139" i="2" s="1"/>
  <c r="I2134" i="2"/>
  <c r="P2134" i="2" s="1"/>
  <c r="H2135" i="2"/>
  <c r="I2135" i="2" s="1"/>
  <c r="P2135" i="2" s="1"/>
  <c r="G2138" i="2"/>
  <c r="J2138" i="2"/>
  <c r="K2138" i="2" s="1"/>
  <c r="O2139" i="2"/>
  <c r="M2139" i="2"/>
  <c r="F2139" i="2"/>
  <c r="A2140" i="2"/>
  <c r="B2139" i="2"/>
  <c r="C2139" i="2" s="1"/>
  <c r="D2139" i="2" s="1"/>
  <c r="L2139" i="2" l="1"/>
  <c r="E2140" i="2" a="1"/>
  <c r="E2140" i="2" s="1"/>
  <c r="N2135" i="2"/>
  <c r="N2134" i="2"/>
  <c r="O2140" i="2"/>
  <c r="M2140" i="2"/>
  <c r="F2140" i="2"/>
  <c r="A2141" i="2"/>
  <c r="B2140" i="2"/>
  <c r="C2140" i="2" s="1"/>
  <c r="D2140" i="2" s="1"/>
  <c r="G2139" i="2"/>
  <c r="J2139" i="2"/>
  <c r="K2139" i="2" s="1"/>
  <c r="H2136" i="2"/>
  <c r="I2136" i="2" s="1"/>
  <c r="P2136" i="2" s="1"/>
  <c r="N2136" i="2" l="1"/>
  <c r="E2141" i="2" a="1"/>
  <c r="E2141" i="2" s="1"/>
  <c r="L2140" i="2"/>
  <c r="H2137" i="2"/>
  <c r="M2141" i="2"/>
  <c r="O2141" i="2"/>
  <c r="A2142" i="2"/>
  <c r="F2141" i="2"/>
  <c r="B2141" i="2"/>
  <c r="C2141" i="2" s="1"/>
  <c r="D2141" i="2" s="1"/>
  <c r="J2140" i="2"/>
  <c r="K2140" i="2" s="1"/>
  <c r="G2140" i="2"/>
  <c r="E2142" i="2" l="1" a="1"/>
  <c r="E2142" i="2" s="1"/>
  <c r="L2141" i="2"/>
  <c r="I2137" i="2"/>
  <c r="P2137" i="2" s="1"/>
  <c r="J2141" i="2"/>
  <c r="K2141" i="2" s="1"/>
  <c r="G2141" i="2"/>
  <c r="M2142" i="2"/>
  <c r="A2143" i="2"/>
  <c r="B2142" i="2"/>
  <c r="C2142" i="2" s="1"/>
  <c r="D2142" i="2" s="1"/>
  <c r="O2142" i="2"/>
  <c r="F2142" i="2"/>
  <c r="H2138" i="2"/>
  <c r="I2138" i="2" s="1"/>
  <c r="P2138" i="2" s="1"/>
  <c r="E2143" i="2" l="1" a="1"/>
  <c r="E2143" i="2" s="1"/>
  <c r="N2138" i="2"/>
  <c r="L2142" i="2"/>
  <c r="N2137" i="2"/>
  <c r="H2139" i="2"/>
  <c r="I2139" i="2" s="1"/>
  <c r="P2139" i="2" s="1"/>
  <c r="J2142" i="2"/>
  <c r="K2142" i="2" s="1"/>
  <c r="G2142" i="2"/>
  <c r="A2144" i="2"/>
  <c r="B2143" i="2"/>
  <c r="C2143" i="2" s="1"/>
  <c r="D2143" i="2" s="1"/>
  <c r="M2143" i="2"/>
  <c r="O2143" i="2"/>
  <c r="F2143" i="2"/>
  <c r="E2144" i="2" l="1" a="1"/>
  <c r="E2144" i="2" s="1"/>
  <c r="L2143" i="2"/>
  <c r="N2139" i="2"/>
  <c r="J2143" i="2"/>
  <c r="K2143" i="2" s="1"/>
  <c r="G2143" i="2"/>
  <c r="F2144" i="2"/>
  <c r="A2145" i="2"/>
  <c r="B2144" i="2"/>
  <c r="C2144" i="2" s="1"/>
  <c r="D2144" i="2" s="1"/>
  <c r="L2144" i="2" s="1"/>
  <c r="O2144" i="2"/>
  <c r="M2144" i="2"/>
  <c r="H2140" i="2"/>
  <c r="E2145" i="2" l="1" a="1"/>
  <c r="E2145" i="2" s="1"/>
  <c r="I2140" i="2"/>
  <c r="P2140" i="2" s="1"/>
  <c r="H2141" i="2"/>
  <c r="M2145" i="2"/>
  <c r="B2145" i="2"/>
  <c r="C2145" i="2" s="1"/>
  <c r="D2145" i="2" s="1"/>
  <c r="A2146" i="2"/>
  <c r="O2145" i="2"/>
  <c r="F2145" i="2"/>
  <c r="J2144" i="2"/>
  <c r="K2144" i="2" s="1"/>
  <c r="G2144" i="2"/>
  <c r="E2146" i="2" l="1" a="1"/>
  <c r="E2146" i="2" s="1"/>
  <c r="L2145" i="2"/>
  <c r="I2141" i="2"/>
  <c r="P2141" i="2" s="1"/>
  <c r="N2140" i="2"/>
  <c r="J2145" i="2"/>
  <c r="K2145" i="2" s="1"/>
  <c r="G2145" i="2"/>
  <c r="A2147" i="2"/>
  <c r="B2146" i="2"/>
  <c r="C2146" i="2" s="1"/>
  <c r="D2146" i="2" s="1"/>
  <c r="L2146" i="2" s="1"/>
  <c r="O2146" i="2"/>
  <c r="M2146" i="2"/>
  <c r="F2146" i="2"/>
  <c r="H2142" i="2"/>
  <c r="I2142" i="2" s="1"/>
  <c r="P2142" i="2" s="1"/>
  <c r="E2147" i="2" l="1" a="1"/>
  <c r="E2147" i="2" s="1"/>
  <c r="N2141" i="2"/>
  <c r="N2142" i="2"/>
  <c r="H2143" i="2"/>
  <c r="J2146" i="2"/>
  <c r="K2146" i="2" s="1"/>
  <c r="G2146" i="2"/>
  <c r="A2148" i="2"/>
  <c r="B2147" i="2"/>
  <c r="C2147" i="2" s="1"/>
  <c r="D2147" i="2" s="1"/>
  <c r="L2147" i="2" s="1"/>
  <c r="O2147" i="2"/>
  <c r="M2147" i="2"/>
  <c r="F2147" i="2"/>
  <c r="E2148" i="2" l="1" a="1"/>
  <c r="E2148" i="2" s="1"/>
  <c r="I2143" i="2"/>
  <c r="P2143" i="2" s="1"/>
  <c r="G2147" i="2"/>
  <c r="J2147" i="2"/>
  <c r="K2147" i="2" s="1"/>
  <c r="A2149" i="2"/>
  <c r="B2148" i="2"/>
  <c r="C2148" i="2" s="1"/>
  <c r="D2148" i="2" s="1"/>
  <c r="O2148" i="2"/>
  <c r="M2148" i="2"/>
  <c r="F2148" i="2"/>
  <c r="H2144" i="2"/>
  <c r="I2144" i="2" l="1"/>
  <c r="P2144" i="2" s="1"/>
  <c r="L2148" i="2"/>
  <c r="N2143" i="2"/>
  <c r="E2149" i="2" a="1"/>
  <c r="E2149" i="2" s="1"/>
  <c r="H2145" i="2"/>
  <c r="J2148" i="2"/>
  <c r="K2148" i="2" s="1"/>
  <c r="G2148" i="2"/>
  <c r="O2149" i="2"/>
  <c r="B2149" i="2"/>
  <c r="C2149" i="2" s="1"/>
  <c r="D2149" i="2" s="1"/>
  <c r="M2149" i="2"/>
  <c r="F2149" i="2"/>
  <c r="A2150" i="2"/>
  <c r="L2149" i="2" l="1"/>
  <c r="N2144" i="2"/>
  <c r="I2145" i="2"/>
  <c r="P2145" i="2" s="1"/>
  <c r="E2150" i="2" a="1"/>
  <c r="E2150" i="2" s="1"/>
  <c r="O2150" i="2"/>
  <c r="M2150" i="2"/>
  <c r="F2150" i="2"/>
  <c r="B2150" i="2"/>
  <c r="C2150" i="2" s="1"/>
  <c r="D2150" i="2" s="1"/>
  <c r="A2151" i="2"/>
  <c r="J2149" i="2"/>
  <c r="K2149" i="2" s="1"/>
  <c r="G2149" i="2"/>
  <c r="H2146" i="2"/>
  <c r="I2146" i="2" s="1"/>
  <c r="P2146" i="2" s="1"/>
  <c r="L2150" i="2" l="1"/>
  <c r="E2151" i="2" a="1"/>
  <c r="E2151" i="2" s="1"/>
  <c r="N2146" i="2"/>
  <c r="N2145" i="2"/>
  <c r="H2147" i="2"/>
  <c r="M2151" i="2"/>
  <c r="F2151" i="2"/>
  <c r="B2151" i="2"/>
  <c r="C2151" i="2" s="1"/>
  <c r="D2151" i="2" s="1"/>
  <c r="L2151" i="2" s="1"/>
  <c r="A2152" i="2"/>
  <c r="O2151" i="2"/>
  <c r="G2150" i="2"/>
  <c r="J2150" i="2"/>
  <c r="K2150" i="2" s="1"/>
  <c r="E2152" i="2" l="1" a="1"/>
  <c r="E2152" i="2" s="1"/>
  <c r="I2147" i="2"/>
  <c r="P2147" i="2" s="1"/>
  <c r="M2152" i="2"/>
  <c r="F2152" i="2"/>
  <c r="B2152" i="2"/>
  <c r="C2152" i="2" s="1"/>
  <c r="D2152" i="2" s="1"/>
  <c r="O2152" i="2"/>
  <c r="A2153" i="2"/>
  <c r="G2151" i="2"/>
  <c r="J2151" i="2"/>
  <c r="K2151" i="2" s="1"/>
  <c r="H2148" i="2"/>
  <c r="L2152" i="2" l="1"/>
  <c r="E2153" i="2" a="1"/>
  <c r="E2153" i="2" s="1"/>
  <c r="I2148" i="2"/>
  <c r="P2148" i="2" s="1"/>
  <c r="N2147" i="2"/>
  <c r="H2149" i="2"/>
  <c r="I2149" i="2" s="1"/>
  <c r="P2149" i="2" s="1"/>
  <c r="O2153" i="2"/>
  <c r="M2153" i="2"/>
  <c r="B2153" i="2"/>
  <c r="C2153" i="2" s="1"/>
  <c r="D2153" i="2" s="1"/>
  <c r="A2154" i="2"/>
  <c r="F2153" i="2"/>
  <c r="J2152" i="2"/>
  <c r="K2152" i="2" s="1"/>
  <c r="G2152" i="2"/>
  <c r="L2153" i="2" l="1"/>
  <c r="N2149" i="2"/>
  <c r="E2154" i="2" a="1"/>
  <c r="E2154" i="2" s="1"/>
  <c r="N2148" i="2"/>
  <c r="J2153" i="2"/>
  <c r="K2153" i="2" s="1"/>
  <c r="G2153" i="2"/>
  <c r="A2155" i="2"/>
  <c r="O2154" i="2"/>
  <c r="M2154" i="2"/>
  <c r="F2154" i="2"/>
  <c r="B2154" i="2"/>
  <c r="C2154" i="2" s="1"/>
  <c r="D2154" i="2" s="1"/>
  <c r="H2150" i="2"/>
  <c r="I2150" i="2" l="1"/>
  <c r="P2150" i="2" s="1"/>
  <c r="E2155" i="2" a="1"/>
  <c r="E2155" i="2" s="1"/>
  <c r="L2154" i="2"/>
  <c r="H2151" i="2"/>
  <c r="J2154" i="2"/>
  <c r="K2154" i="2" s="1"/>
  <c r="G2154" i="2"/>
  <c r="B2155" i="2"/>
  <c r="C2155" i="2" s="1"/>
  <c r="D2155" i="2" s="1"/>
  <c r="A2156" i="2"/>
  <c r="O2155" i="2"/>
  <c r="F2155" i="2"/>
  <c r="M2155" i="2"/>
  <c r="N2150" i="2" l="1"/>
  <c r="I2151" i="2"/>
  <c r="P2151" i="2" s="1"/>
  <c r="L2155" i="2"/>
  <c r="E2156" i="2" a="1"/>
  <c r="E2156" i="2" s="1"/>
  <c r="J2155" i="2"/>
  <c r="K2155" i="2" s="1"/>
  <c r="G2155" i="2"/>
  <c r="B2156" i="2"/>
  <c r="C2156" i="2" s="1"/>
  <c r="D2156" i="2" s="1"/>
  <c r="A2157" i="2"/>
  <c r="M2156" i="2"/>
  <c r="O2156" i="2"/>
  <c r="F2156" i="2"/>
  <c r="H2152" i="2"/>
  <c r="I2152" i="2" l="1"/>
  <c r="P2152" i="2" s="1"/>
  <c r="L2156" i="2"/>
  <c r="E2157" i="2" a="1"/>
  <c r="E2157" i="2" s="1"/>
  <c r="N2151" i="2"/>
  <c r="H2153" i="2"/>
  <c r="G2156" i="2"/>
  <c r="J2156" i="2"/>
  <c r="K2156" i="2" s="1"/>
  <c r="F2157" i="2"/>
  <c r="B2157" i="2"/>
  <c r="C2157" i="2" s="1"/>
  <c r="D2157" i="2" s="1"/>
  <c r="L2157" i="2" s="1"/>
  <c r="A2158" i="2"/>
  <c r="O2157" i="2"/>
  <c r="M2157" i="2"/>
  <c r="I2153" i="2" l="1"/>
  <c r="P2153" i="2" s="1"/>
  <c r="N2152" i="2"/>
  <c r="E2158" i="2" a="1"/>
  <c r="E2158" i="2" s="1"/>
  <c r="F2158" i="2"/>
  <c r="A2159" i="2"/>
  <c r="M2158" i="2"/>
  <c r="O2158" i="2"/>
  <c r="B2158" i="2"/>
  <c r="C2158" i="2" s="1"/>
  <c r="D2158" i="2" s="1"/>
  <c r="G2157" i="2"/>
  <c r="J2157" i="2"/>
  <c r="K2157" i="2" s="1"/>
  <c r="H2154" i="2"/>
  <c r="N2153" i="2" l="1"/>
  <c r="I2154" i="2"/>
  <c r="P2154" i="2" s="1"/>
  <c r="E2159" i="2" a="1"/>
  <c r="E2159" i="2" s="1"/>
  <c r="L2158" i="2"/>
  <c r="H2155" i="2"/>
  <c r="F2159" i="2"/>
  <c r="O2159" i="2"/>
  <c r="M2159" i="2"/>
  <c r="B2159" i="2"/>
  <c r="C2159" i="2" s="1"/>
  <c r="D2159" i="2" s="1"/>
  <c r="A2160" i="2"/>
  <c r="G2158" i="2"/>
  <c r="J2158" i="2"/>
  <c r="K2158" i="2" s="1"/>
  <c r="N2154" i="2" l="1"/>
  <c r="L2159" i="2"/>
  <c r="I2155" i="2"/>
  <c r="P2155" i="2" s="1"/>
  <c r="E2160" i="2" a="1"/>
  <c r="E2160" i="2" s="1"/>
  <c r="A2161" i="2"/>
  <c r="O2160" i="2"/>
  <c r="M2160" i="2"/>
  <c r="F2160" i="2"/>
  <c r="B2160" i="2"/>
  <c r="C2160" i="2" s="1"/>
  <c r="D2160" i="2" s="1"/>
  <c r="J2159" i="2"/>
  <c r="K2159" i="2" s="1"/>
  <c r="G2159" i="2"/>
  <c r="H2156" i="2"/>
  <c r="N2155" i="2" l="1"/>
  <c r="L2160" i="2"/>
  <c r="E2161" i="2" a="1"/>
  <c r="E2161" i="2" s="1"/>
  <c r="I2156" i="2"/>
  <c r="P2156" i="2" s="1"/>
  <c r="H2157" i="2"/>
  <c r="I2157" i="2" s="1"/>
  <c r="P2157" i="2" s="1"/>
  <c r="J2160" i="2"/>
  <c r="K2160" i="2" s="1"/>
  <c r="G2160" i="2"/>
  <c r="A2162" i="2"/>
  <c r="B2161" i="2"/>
  <c r="C2161" i="2" s="1"/>
  <c r="D2161" i="2" s="1"/>
  <c r="O2161" i="2"/>
  <c r="M2161" i="2"/>
  <c r="F2161" i="2"/>
  <c r="N2157" i="2" l="1"/>
  <c r="N2156" i="2"/>
  <c r="E2162" i="2" a="1"/>
  <c r="E2162" i="2" s="1"/>
  <c r="L2161" i="2"/>
  <c r="J2161" i="2"/>
  <c r="K2161" i="2" s="1"/>
  <c r="G2161" i="2"/>
  <c r="A2163" i="2"/>
  <c r="B2162" i="2"/>
  <c r="C2162" i="2" s="1"/>
  <c r="D2162" i="2" s="1"/>
  <c r="L2162" i="2" s="1"/>
  <c r="F2162" i="2"/>
  <c r="O2162" i="2"/>
  <c r="M2162" i="2"/>
  <c r="H2158" i="2"/>
  <c r="I2158" i="2" l="1"/>
  <c r="P2158" i="2" s="1"/>
  <c r="E2163" i="2" a="1"/>
  <c r="E2163" i="2" s="1"/>
  <c r="H2159" i="2"/>
  <c r="G2162" i="2"/>
  <c r="J2162" i="2"/>
  <c r="K2162" i="2" s="1"/>
  <c r="A2164" i="2"/>
  <c r="B2163" i="2"/>
  <c r="C2163" i="2" s="1"/>
  <c r="D2163" i="2" s="1"/>
  <c r="L2163" i="2" s="1"/>
  <c r="O2163" i="2"/>
  <c r="F2163" i="2"/>
  <c r="M2163" i="2"/>
  <c r="E2164" i="2" l="1" a="1"/>
  <c r="E2164" i="2" s="1"/>
  <c r="I2159" i="2"/>
  <c r="P2159" i="2" s="1"/>
  <c r="N2158" i="2"/>
  <c r="J2163" i="2"/>
  <c r="K2163" i="2" s="1"/>
  <c r="G2163" i="2"/>
  <c r="A2165" i="2"/>
  <c r="B2164" i="2"/>
  <c r="C2164" i="2" s="1"/>
  <c r="D2164" i="2" s="1"/>
  <c r="O2164" i="2"/>
  <c r="M2164" i="2"/>
  <c r="F2164" i="2"/>
  <c r="H2160" i="2"/>
  <c r="N2159" i="2" l="1"/>
  <c r="L2164" i="2"/>
  <c r="I2160" i="2"/>
  <c r="P2160" i="2" s="1"/>
  <c r="E2165" i="2" a="1"/>
  <c r="E2165" i="2" s="1"/>
  <c r="H2161" i="2"/>
  <c r="I2161" i="2" s="1"/>
  <c r="P2161" i="2" s="1"/>
  <c r="J2164" i="2"/>
  <c r="K2164" i="2" s="1"/>
  <c r="G2164" i="2"/>
  <c r="O2165" i="2"/>
  <c r="M2165" i="2"/>
  <c r="B2165" i="2"/>
  <c r="C2165" i="2" s="1"/>
  <c r="D2165" i="2" s="1"/>
  <c r="L2165" i="2" s="1"/>
  <c r="F2165" i="2"/>
  <c r="A2166" i="2"/>
  <c r="N2161" i="2" l="1"/>
  <c r="N2160" i="2"/>
  <c r="E2166" i="2" a="1"/>
  <c r="E2166" i="2" s="1"/>
  <c r="O2166" i="2"/>
  <c r="M2166" i="2"/>
  <c r="F2166" i="2"/>
  <c r="B2166" i="2"/>
  <c r="C2166" i="2" s="1"/>
  <c r="D2166" i="2" s="1"/>
  <c r="A2167" i="2"/>
  <c r="J2165" i="2"/>
  <c r="K2165" i="2" s="1"/>
  <c r="G2165" i="2"/>
  <c r="H2162" i="2"/>
  <c r="I2162" i="2" s="1"/>
  <c r="P2162" i="2" s="1"/>
  <c r="E2167" i="2" l="1" a="1"/>
  <c r="E2167" i="2" s="1"/>
  <c r="L2166" i="2"/>
  <c r="N2162" i="2"/>
  <c r="H2163" i="2"/>
  <c r="A2168" i="2"/>
  <c r="B2167" i="2"/>
  <c r="C2167" i="2" s="1"/>
  <c r="D2167" i="2" s="1"/>
  <c r="M2167" i="2"/>
  <c r="O2167" i="2"/>
  <c r="F2167" i="2"/>
  <c r="G2166" i="2"/>
  <c r="J2166" i="2"/>
  <c r="K2166" i="2" s="1"/>
  <c r="L2167" i="2" l="1"/>
  <c r="I2163" i="2"/>
  <c r="P2163" i="2" s="1"/>
  <c r="E2168" i="2" a="1"/>
  <c r="E2168" i="2" s="1"/>
  <c r="J2167" i="2"/>
  <c r="K2167" i="2" s="1"/>
  <c r="G2167" i="2"/>
  <c r="M2168" i="2"/>
  <c r="A2169" i="2"/>
  <c r="O2168" i="2"/>
  <c r="F2168" i="2"/>
  <c r="B2168" i="2"/>
  <c r="C2168" i="2" s="1"/>
  <c r="D2168" i="2" s="1"/>
  <c r="H2164" i="2"/>
  <c r="I2164" i="2" s="1"/>
  <c r="P2164" i="2" s="1"/>
  <c r="N2164" i="2" l="1"/>
  <c r="L2168" i="2"/>
  <c r="N2163" i="2"/>
  <c r="E2169" i="2" a="1"/>
  <c r="E2169" i="2" s="1"/>
  <c r="H2165" i="2"/>
  <c r="J2168" i="2"/>
  <c r="K2168" i="2" s="1"/>
  <c r="G2168" i="2"/>
  <c r="O2169" i="2"/>
  <c r="B2169" i="2"/>
  <c r="C2169" i="2" s="1"/>
  <c r="D2169" i="2" s="1"/>
  <c r="A2170" i="2"/>
  <c r="M2169" i="2"/>
  <c r="F2169" i="2"/>
  <c r="L2169" i="2" l="1"/>
  <c r="E2170" i="2" a="1"/>
  <c r="E2170" i="2" s="1"/>
  <c r="I2165" i="2"/>
  <c r="P2165" i="2" s="1"/>
  <c r="J2169" i="2"/>
  <c r="K2169" i="2" s="1"/>
  <c r="G2169" i="2"/>
  <c r="F2170" i="2"/>
  <c r="B2170" i="2"/>
  <c r="C2170" i="2" s="1"/>
  <c r="D2170" i="2" s="1"/>
  <c r="L2170" i="2" s="1"/>
  <c r="A2171" i="2"/>
  <c r="O2170" i="2"/>
  <c r="M2170" i="2"/>
  <c r="H2166" i="2"/>
  <c r="I2166" i="2" s="1"/>
  <c r="P2166" i="2" s="1"/>
  <c r="N2166" i="2" l="1"/>
  <c r="N2165" i="2"/>
  <c r="E2171" i="2" a="1"/>
  <c r="E2171" i="2" s="1"/>
  <c r="H2167" i="2"/>
  <c r="M2171" i="2"/>
  <c r="A2172" i="2"/>
  <c r="O2171" i="2"/>
  <c r="F2171" i="2"/>
  <c r="B2171" i="2"/>
  <c r="C2171" i="2" s="1"/>
  <c r="D2171" i="2" s="1"/>
  <c r="L2171" i="2" s="1"/>
  <c r="J2170" i="2"/>
  <c r="K2170" i="2" s="1"/>
  <c r="G2170" i="2"/>
  <c r="E2172" i="2" l="1" a="1"/>
  <c r="E2172" i="2" s="1"/>
  <c r="I2167" i="2"/>
  <c r="P2167" i="2" s="1"/>
  <c r="J2171" i="2"/>
  <c r="K2171" i="2" s="1"/>
  <c r="G2171" i="2"/>
  <c r="F2172" i="2"/>
  <c r="A2173" i="2"/>
  <c r="O2172" i="2"/>
  <c r="M2172" i="2"/>
  <c r="B2172" i="2"/>
  <c r="C2172" i="2" s="1"/>
  <c r="D2172" i="2" s="1"/>
  <c r="L2172" i="2" s="1"/>
  <c r="H2168" i="2"/>
  <c r="E2173" i="2" l="1" a="1"/>
  <c r="E2173" i="2" s="1"/>
  <c r="I2168" i="2"/>
  <c r="P2168" i="2" s="1"/>
  <c r="N2167" i="2"/>
  <c r="H2169" i="2"/>
  <c r="I2169" i="2" s="1"/>
  <c r="P2169" i="2" s="1"/>
  <c r="F2173" i="2"/>
  <c r="B2173" i="2"/>
  <c r="C2173" i="2" s="1"/>
  <c r="D2173" i="2" s="1"/>
  <c r="L2173" i="2" s="1"/>
  <c r="A2174" i="2"/>
  <c r="O2173" i="2"/>
  <c r="M2173" i="2"/>
  <c r="G2172" i="2"/>
  <c r="J2172" i="2"/>
  <c r="K2172" i="2" s="1"/>
  <c r="N2168" i="2" l="1"/>
  <c r="N2169" i="2"/>
  <c r="E2174" i="2" a="1"/>
  <c r="E2174" i="2" s="1"/>
  <c r="F2174" i="2"/>
  <c r="O2174" i="2"/>
  <c r="M2174" i="2"/>
  <c r="B2174" i="2"/>
  <c r="C2174" i="2" s="1"/>
  <c r="D2174" i="2" s="1"/>
  <c r="A2175" i="2"/>
  <c r="G2173" i="2"/>
  <c r="J2173" i="2"/>
  <c r="K2173" i="2" s="1"/>
  <c r="H2170" i="2"/>
  <c r="L2174" i="2" l="1"/>
  <c r="E2175" i="2" a="1"/>
  <c r="E2175" i="2" s="1"/>
  <c r="I2170" i="2"/>
  <c r="P2170" i="2" s="1"/>
  <c r="H2171" i="2"/>
  <c r="I2171" i="2" s="1"/>
  <c r="P2171" i="2" s="1"/>
  <c r="F2175" i="2"/>
  <c r="A2176" i="2"/>
  <c r="O2175" i="2"/>
  <c r="M2175" i="2"/>
  <c r="B2175" i="2"/>
  <c r="C2175" i="2" s="1"/>
  <c r="D2175" i="2" s="1"/>
  <c r="J2174" i="2"/>
  <c r="K2174" i="2" s="1"/>
  <c r="G2174" i="2"/>
  <c r="N2170" i="2" l="1"/>
  <c r="L2175" i="2"/>
  <c r="N2171" i="2"/>
  <c r="E2176" i="2" a="1"/>
  <c r="E2176" i="2" s="1"/>
  <c r="A2177" i="2"/>
  <c r="B2176" i="2"/>
  <c r="C2176" i="2" s="1"/>
  <c r="D2176" i="2" s="1"/>
  <c r="F2176" i="2"/>
  <c r="O2176" i="2"/>
  <c r="M2176" i="2"/>
  <c r="J2175" i="2"/>
  <c r="K2175" i="2" s="1"/>
  <c r="G2175" i="2"/>
  <c r="H2172" i="2"/>
  <c r="I2172" i="2" s="1"/>
  <c r="P2172" i="2" s="1"/>
  <c r="N2172" i="2" l="1"/>
  <c r="L2176" i="2"/>
  <c r="E2177" i="2" a="1"/>
  <c r="E2177" i="2" s="1"/>
  <c r="H2173" i="2"/>
  <c r="I2173" i="2" s="1"/>
  <c r="P2173" i="2" s="1"/>
  <c r="J2176" i="2"/>
  <c r="K2176" i="2" s="1"/>
  <c r="G2176" i="2"/>
  <c r="A2178" i="2"/>
  <c r="B2177" i="2"/>
  <c r="C2177" i="2" s="1"/>
  <c r="D2177" i="2" s="1"/>
  <c r="L2177" i="2" s="1"/>
  <c r="O2177" i="2"/>
  <c r="M2177" i="2"/>
  <c r="F2177" i="2"/>
  <c r="N2173" i="2" l="1"/>
  <c r="E2178" i="2" a="1"/>
  <c r="E2178" i="2" s="1"/>
  <c r="G2177" i="2"/>
  <c r="J2177" i="2"/>
  <c r="K2177" i="2" s="1"/>
  <c r="F2178" i="2"/>
  <c r="A2179" i="2"/>
  <c r="B2178" i="2"/>
  <c r="C2178" i="2" s="1"/>
  <c r="D2178" i="2" s="1"/>
  <c r="L2178" i="2" s="1"/>
  <c r="O2178" i="2"/>
  <c r="M2178" i="2"/>
  <c r="H2174" i="2"/>
  <c r="I2174" i="2" s="1"/>
  <c r="P2174" i="2" s="1"/>
  <c r="E2179" i="2" l="1" a="1"/>
  <c r="E2179" i="2" s="1"/>
  <c r="N2174" i="2"/>
  <c r="H2175" i="2"/>
  <c r="A2180" i="2"/>
  <c r="B2179" i="2"/>
  <c r="C2179" i="2" s="1"/>
  <c r="D2179" i="2" s="1"/>
  <c r="L2179" i="2" s="1"/>
  <c r="O2179" i="2"/>
  <c r="F2179" i="2"/>
  <c r="M2179" i="2"/>
  <c r="J2178" i="2"/>
  <c r="K2178" i="2" s="1"/>
  <c r="G2178" i="2"/>
  <c r="I2175" i="2" l="1"/>
  <c r="P2175" i="2" s="1"/>
  <c r="E2180" i="2" a="1"/>
  <c r="E2180" i="2" s="1"/>
  <c r="G2179" i="2"/>
  <c r="J2179" i="2"/>
  <c r="K2179" i="2" s="1"/>
  <c r="A2181" i="2"/>
  <c r="B2180" i="2"/>
  <c r="C2180" i="2" s="1"/>
  <c r="D2180" i="2" s="1"/>
  <c r="L2180" i="2" s="1"/>
  <c r="O2180" i="2"/>
  <c r="M2180" i="2"/>
  <c r="F2180" i="2"/>
  <c r="H2176" i="2"/>
  <c r="I2176" i="2" s="1"/>
  <c r="P2176" i="2" s="1"/>
  <c r="N2175" i="2" l="1"/>
  <c r="N2176" i="2"/>
  <c r="E2181" i="2" a="1"/>
  <c r="E2181" i="2" s="1"/>
  <c r="H2177" i="2"/>
  <c r="I2177" i="2" s="1"/>
  <c r="P2177" i="2" s="1"/>
  <c r="J2180" i="2"/>
  <c r="K2180" i="2" s="1"/>
  <c r="G2180" i="2"/>
  <c r="O2181" i="2"/>
  <c r="M2181" i="2"/>
  <c r="B2181" i="2"/>
  <c r="C2181" i="2" s="1"/>
  <c r="D2181" i="2" s="1"/>
  <c r="A2182" i="2"/>
  <c r="F2181" i="2"/>
  <c r="E2182" i="2" l="1" a="1"/>
  <c r="E2182" i="2" s="1"/>
  <c r="N2177" i="2"/>
  <c r="L2181" i="2"/>
  <c r="J2181" i="2"/>
  <c r="K2181" i="2" s="1"/>
  <c r="G2181" i="2"/>
  <c r="O2182" i="2"/>
  <c r="M2182" i="2"/>
  <c r="F2182" i="2"/>
  <c r="B2182" i="2"/>
  <c r="C2182" i="2" s="1"/>
  <c r="D2182" i="2" s="1"/>
  <c r="L2182" i="2" s="1"/>
  <c r="A2183" i="2"/>
  <c r="H2178" i="2"/>
  <c r="I2178" i="2" l="1"/>
  <c r="P2178" i="2" s="1"/>
  <c r="E2183" i="2" a="1"/>
  <c r="E2183" i="2" s="1"/>
  <c r="H2179" i="2"/>
  <c r="I2179" i="2" s="1"/>
  <c r="P2179" i="2" s="1"/>
  <c r="A2184" i="2"/>
  <c r="B2183" i="2"/>
  <c r="C2183" i="2" s="1"/>
  <c r="D2183" i="2" s="1"/>
  <c r="L2183" i="2" s="1"/>
  <c r="M2183" i="2"/>
  <c r="O2183" i="2"/>
  <c r="F2183" i="2"/>
  <c r="G2182" i="2"/>
  <c r="J2182" i="2"/>
  <c r="K2182" i="2" s="1"/>
  <c r="N2179" i="2" l="1"/>
  <c r="N2178" i="2"/>
  <c r="E2184" i="2" a="1"/>
  <c r="E2184" i="2" s="1"/>
  <c r="J2183" i="2"/>
  <c r="K2183" i="2" s="1"/>
  <c r="G2183" i="2"/>
  <c r="M2184" i="2"/>
  <c r="B2184" i="2"/>
  <c r="C2184" i="2" s="1"/>
  <c r="D2184" i="2" s="1"/>
  <c r="A2185" i="2"/>
  <c r="O2184" i="2"/>
  <c r="F2184" i="2"/>
  <c r="H2180" i="2"/>
  <c r="I2180" i="2" s="1"/>
  <c r="P2180" i="2" s="1"/>
  <c r="N2180" i="2" l="1"/>
  <c r="E2185" i="2" a="1"/>
  <c r="E2185" i="2" s="1"/>
  <c r="L2184" i="2"/>
  <c r="H2181" i="2"/>
  <c r="J2184" i="2"/>
  <c r="K2184" i="2" s="1"/>
  <c r="G2184" i="2"/>
  <c r="O2185" i="2"/>
  <c r="F2185" i="2"/>
  <c r="B2185" i="2"/>
  <c r="C2185" i="2" s="1"/>
  <c r="D2185" i="2" s="1"/>
  <c r="L2185" i="2" s="1"/>
  <c r="A2186" i="2"/>
  <c r="M2185" i="2"/>
  <c r="I2181" i="2" l="1"/>
  <c r="P2181" i="2" s="1"/>
  <c r="E2186" i="2" a="1"/>
  <c r="E2186" i="2" s="1"/>
  <c r="A2187" i="2"/>
  <c r="O2186" i="2"/>
  <c r="M2186" i="2"/>
  <c r="F2186" i="2"/>
  <c r="B2186" i="2"/>
  <c r="C2186" i="2" s="1"/>
  <c r="D2186" i="2" s="1"/>
  <c r="J2185" i="2"/>
  <c r="K2185" i="2" s="1"/>
  <c r="G2185" i="2"/>
  <c r="H2182" i="2"/>
  <c r="I2182" i="2" s="1"/>
  <c r="P2182" i="2" s="1"/>
  <c r="N2182" i="2" l="1"/>
  <c r="N2181" i="2"/>
  <c r="L2186" i="2"/>
  <c r="E2187" i="2" a="1"/>
  <c r="E2187" i="2" s="1"/>
  <c r="H2183" i="2"/>
  <c r="J2186" i="2"/>
  <c r="K2186" i="2" s="1"/>
  <c r="G2186" i="2"/>
  <c r="M2187" i="2"/>
  <c r="F2187" i="2"/>
  <c r="A2188" i="2"/>
  <c r="B2187" i="2"/>
  <c r="C2187" i="2" s="1"/>
  <c r="D2187" i="2" s="1"/>
  <c r="O2187" i="2"/>
  <c r="L2187" i="2" l="1"/>
  <c r="I2183" i="2"/>
  <c r="P2183" i="2" s="1"/>
  <c r="E2188" i="2" a="1"/>
  <c r="E2188" i="2" s="1"/>
  <c r="F2188" i="2"/>
  <c r="O2188" i="2"/>
  <c r="M2188" i="2"/>
  <c r="B2188" i="2"/>
  <c r="C2188" i="2" s="1"/>
  <c r="D2188" i="2" s="1"/>
  <c r="A2189" i="2"/>
  <c r="J2187" i="2"/>
  <c r="K2187" i="2" s="1"/>
  <c r="G2187" i="2"/>
  <c r="H2184" i="2"/>
  <c r="I2184" i="2" s="1"/>
  <c r="P2184" i="2" s="1"/>
  <c r="N2183" i="2" l="1"/>
  <c r="N2184" i="2"/>
  <c r="E2189" i="2" a="1"/>
  <c r="E2189" i="2" s="1"/>
  <c r="L2188" i="2"/>
  <c r="H2185" i="2"/>
  <c r="F2189" i="2"/>
  <c r="O2189" i="2"/>
  <c r="A2190" i="2"/>
  <c r="M2189" i="2"/>
  <c r="B2189" i="2"/>
  <c r="C2189" i="2" s="1"/>
  <c r="D2189" i="2" s="1"/>
  <c r="L2189" i="2" s="1"/>
  <c r="G2188" i="2"/>
  <c r="J2188" i="2"/>
  <c r="K2188" i="2" s="1"/>
  <c r="I2185" i="2" l="1"/>
  <c r="P2185" i="2" s="1"/>
  <c r="E2190" i="2" a="1"/>
  <c r="E2190" i="2" s="1"/>
  <c r="F2190" i="2"/>
  <c r="M2190" i="2"/>
  <c r="B2190" i="2"/>
  <c r="C2190" i="2" s="1"/>
  <c r="D2190" i="2" s="1"/>
  <c r="L2190" i="2" s="1"/>
  <c r="O2190" i="2"/>
  <c r="A2191" i="2"/>
  <c r="G2189" i="2"/>
  <c r="J2189" i="2"/>
  <c r="K2189" i="2" s="1"/>
  <c r="H2186" i="2"/>
  <c r="E2191" i="2" l="1" a="1"/>
  <c r="E2191" i="2" s="1"/>
  <c r="I2186" i="2"/>
  <c r="P2186" i="2" s="1"/>
  <c r="N2185" i="2"/>
  <c r="H2187" i="2"/>
  <c r="I2187" i="2" s="1"/>
  <c r="P2187" i="2" s="1"/>
  <c r="F2191" i="2"/>
  <c r="A2192" i="2"/>
  <c r="B2191" i="2"/>
  <c r="C2191" i="2" s="1"/>
  <c r="D2191" i="2" s="1"/>
  <c r="L2191" i="2" s="1"/>
  <c r="M2191" i="2"/>
  <c r="O2191" i="2"/>
  <c r="J2190" i="2"/>
  <c r="K2190" i="2" s="1"/>
  <c r="G2190" i="2"/>
  <c r="N2186" i="2" l="1"/>
  <c r="N2187" i="2"/>
  <c r="E2192" i="2" a="1"/>
  <c r="E2192" i="2" s="1"/>
  <c r="A2193" i="2"/>
  <c r="B2192" i="2"/>
  <c r="C2192" i="2" s="1"/>
  <c r="D2192" i="2" s="1"/>
  <c r="F2192" i="2"/>
  <c r="M2192" i="2"/>
  <c r="O2192" i="2"/>
  <c r="J2191" i="2"/>
  <c r="K2191" i="2" s="1"/>
  <c r="G2191" i="2"/>
  <c r="H2188" i="2"/>
  <c r="L2192" i="2" l="1"/>
  <c r="E2193" i="2" a="1"/>
  <c r="E2193" i="2" s="1"/>
  <c r="I2188" i="2"/>
  <c r="P2188" i="2" s="1"/>
  <c r="H2189" i="2"/>
  <c r="I2189" i="2" s="1"/>
  <c r="P2189" i="2" s="1"/>
  <c r="J2192" i="2"/>
  <c r="K2192" i="2" s="1"/>
  <c r="G2192" i="2"/>
  <c r="A2194" i="2"/>
  <c r="B2193" i="2"/>
  <c r="C2193" i="2" s="1"/>
  <c r="D2193" i="2" s="1"/>
  <c r="L2193" i="2" s="1"/>
  <c r="O2193" i="2"/>
  <c r="M2193" i="2"/>
  <c r="F2193" i="2"/>
  <c r="N2189" i="2" l="1"/>
  <c r="N2188" i="2"/>
  <c r="E2194" i="2" a="1"/>
  <c r="E2194" i="2" s="1"/>
  <c r="G2193" i="2"/>
  <c r="J2193" i="2"/>
  <c r="K2193" i="2" s="1"/>
  <c r="F2194" i="2"/>
  <c r="A2195" i="2"/>
  <c r="B2194" i="2"/>
  <c r="C2194" i="2" s="1"/>
  <c r="D2194" i="2" s="1"/>
  <c r="L2194" i="2" s="1"/>
  <c r="O2194" i="2"/>
  <c r="M2194" i="2"/>
  <c r="H2190" i="2"/>
  <c r="I2190" i="2" l="1"/>
  <c r="P2190" i="2" s="1"/>
  <c r="E2195" i="2" a="1"/>
  <c r="E2195" i="2" s="1"/>
  <c r="H2191" i="2"/>
  <c r="A2196" i="2"/>
  <c r="B2195" i="2"/>
  <c r="C2195" i="2" s="1"/>
  <c r="D2195" i="2" s="1"/>
  <c r="O2195" i="2"/>
  <c r="M2195" i="2"/>
  <c r="F2195" i="2"/>
  <c r="J2194" i="2"/>
  <c r="K2194" i="2" s="1"/>
  <c r="G2194" i="2"/>
  <c r="L2195" i="2" l="1"/>
  <c r="N2190" i="2"/>
  <c r="E2196" i="2" a="1"/>
  <c r="E2196" i="2" s="1"/>
  <c r="I2191" i="2"/>
  <c r="P2191" i="2" s="1"/>
  <c r="J2195" i="2"/>
  <c r="K2195" i="2" s="1"/>
  <c r="G2195" i="2"/>
  <c r="A2197" i="2"/>
  <c r="B2196" i="2"/>
  <c r="C2196" i="2" s="1"/>
  <c r="D2196" i="2" s="1"/>
  <c r="L2196" i="2" s="1"/>
  <c r="O2196" i="2"/>
  <c r="M2196" i="2"/>
  <c r="F2196" i="2"/>
  <c r="H2192" i="2"/>
  <c r="I2192" i="2" s="1"/>
  <c r="P2192" i="2" s="1"/>
  <c r="E2197" i="2" l="1" a="1"/>
  <c r="E2197" i="2" s="1"/>
  <c r="N2191" i="2"/>
  <c r="N2192" i="2"/>
  <c r="H2193" i="2"/>
  <c r="I2193" i="2" s="1"/>
  <c r="P2193" i="2" s="1"/>
  <c r="J2196" i="2"/>
  <c r="K2196" i="2" s="1"/>
  <c r="G2196" i="2"/>
  <c r="A2198" i="2"/>
  <c r="B2197" i="2"/>
  <c r="C2197" i="2" s="1"/>
  <c r="D2197" i="2" s="1"/>
  <c r="O2197" i="2"/>
  <c r="M2197" i="2"/>
  <c r="F2197" i="2"/>
  <c r="E2198" i="2" l="1" a="1"/>
  <c r="E2198" i="2" s="1"/>
  <c r="N2193" i="2"/>
  <c r="L2197" i="2"/>
  <c r="G2197" i="2"/>
  <c r="J2197" i="2"/>
  <c r="K2197" i="2" s="1"/>
  <c r="O2198" i="2"/>
  <c r="M2198" i="2"/>
  <c r="F2198" i="2"/>
  <c r="A2199" i="2"/>
  <c r="B2198" i="2"/>
  <c r="C2198" i="2" s="1"/>
  <c r="D2198" i="2" s="1"/>
  <c r="L2198" i="2" s="1"/>
  <c r="H2194" i="2"/>
  <c r="I2194" i="2" s="1"/>
  <c r="P2194" i="2" s="1"/>
  <c r="E2199" i="2" l="1" a="1"/>
  <c r="E2199" i="2" s="1"/>
  <c r="N2194" i="2"/>
  <c r="H2195" i="2"/>
  <c r="I2195" i="2" s="1"/>
  <c r="P2195" i="2" s="1"/>
  <c r="A2200" i="2"/>
  <c r="B2199" i="2"/>
  <c r="C2199" i="2" s="1"/>
  <c r="D2199" i="2" s="1"/>
  <c r="O2199" i="2"/>
  <c r="M2199" i="2"/>
  <c r="F2199" i="2"/>
  <c r="J2198" i="2"/>
  <c r="K2198" i="2" s="1"/>
  <c r="G2198" i="2"/>
  <c r="E2200" i="2" l="1" a="1"/>
  <c r="E2200" i="2" s="1"/>
  <c r="L2199" i="2"/>
  <c r="N2195" i="2"/>
  <c r="J2199" i="2"/>
  <c r="K2199" i="2" s="1"/>
  <c r="G2199" i="2"/>
  <c r="M2200" i="2"/>
  <c r="A2201" i="2"/>
  <c r="O2200" i="2"/>
  <c r="F2200" i="2"/>
  <c r="B2200" i="2"/>
  <c r="C2200" i="2" s="1"/>
  <c r="D2200" i="2" s="1"/>
  <c r="L2200" i="2" s="1"/>
  <c r="H2196" i="2"/>
  <c r="I2196" i="2" s="1"/>
  <c r="P2196" i="2" s="1"/>
  <c r="E2201" i="2" l="1" a="1"/>
  <c r="E2201" i="2" s="1"/>
  <c r="N2196" i="2"/>
  <c r="H2197" i="2"/>
  <c r="J2200" i="2"/>
  <c r="K2200" i="2" s="1"/>
  <c r="G2200" i="2"/>
  <c r="O2201" i="2"/>
  <c r="M2201" i="2"/>
  <c r="B2201" i="2"/>
  <c r="C2201" i="2" s="1"/>
  <c r="D2201" i="2" s="1"/>
  <c r="A2202" i="2"/>
  <c r="F2201" i="2"/>
  <c r="L2201" i="2" l="1"/>
  <c r="E2202" i="2" a="1"/>
  <c r="E2202" i="2" s="1"/>
  <c r="I2197" i="2"/>
  <c r="P2197" i="2" s="1"/>
  <c r="J2201" i="2"/>
  <c r="K2201" i="2" s="1"/>
  <c r="G2201" i="2"/>
  <c r="F2202" i="2"/>
  <c r="A2203" i="2"/>
  <c r="O2202" i="2"/>
  <c r="M2202" i="2"/>
  <c r="B2202" i="2"/>
  <c r="C2202" i="2" s="1"/>
  <c r="D2202" i="2" s="1"/>
  <c r="L2202" i="2" s="1"/>
  <c r="H2198" i="2"/>
  <c r="N2197" i="2" l="1"/>
  <c r="I2198" i="2"/>
  <c r="P2198" i="2" s="1"/>
  <c r="E2203" i="2" a="1"/>
  <c r="E2203" i="2" s="1"/>
  <c r="H2199" i="2"/>
  <c r="M2203" i="2"/>
  <c r="F2203" i="2"/>
  <c r="A2204" i="2"/>
  <c r="B2203" i="2"/>
  <c r="C2203" i="2" s="1"/>
  <c r="D2203" i="2" s="1"/>
  <c r="O2203" i="2"/>
  <c r="J2202" i="2"/>
  <c r="K2202" i="2" s="1"/>
  <c r="G2202" i="2"/>
  <c r="N2198" i="2" l="1"/>
  <c r="E2204" i="2" a="1"/>
  <c r="E2204" i="2" s="1"/>
  <c r="L2203" i="2"/>
  <c r="I2199" i="2"/>
  <c r="P2199" i="2" s="1"/>
  <c r="F2204" i="2"/>
  <c r="A2205" i="2"/>
  <c r="O2204" i="2"/>
  <c r="M2204" i="2"/>
  <c r="B2204" i="2"/>
  <c r="C2204" i="2" s="1"/>
  <c r="D2204" i="2" s="1"/>
  <c r="J2203" i="2"/>
  <c r="K2203" i="2" s="1"/>
  <c r="G2203" i="2"/>
  <c r="H2200" i="2"/>
  <c r="N2199" i="2" l="1"/>
  <c r="I2200" i="2"/>
  <c r="P2200" i="2" s="1"/>
  <c r="L2204" i="2"/>
  <c r="E2205" i="2" a="1"/>
  <c r="E2205" i="2" s="1"/>
  <c r="H2201" i="2"/>
  <c r="I2201" i="2" s="1"/>
  <c r="P2201" i="2" s="1"/>
  <c r="F2205" i="2"/>
  <c r="A2206" i="2"/>
  <c r="B2205" i="2"/>
  <c r="C2205" i="2" s="1"/>
  <c r="D2205" i="2" s="1"/>
  <c r="L2205" i="2" s="1"/>
  <c r="O2205" i="2"/>
  <c r="M2205" i="2"/>
  <c r="J2204" i="2"/>
  <c r="K2204" i="2" s="1"/>
  <c r="G2204" i="2"/>
  <c r="N2200" i="2" l="1"/>
  <c r="N2201" i="2"/>
  <c r="E2206" i="2" a="1"/>
  <c r="E2206" i="2" s="1"/>
  <c r="F2206" i="2"/>
  <c r="B2206" i="2"/>
  <c r="C2206" i="2" s="1"/>
  <c r="D2206" i="2" s="1"/>
  <c r="L2206" i="2" s="1"/>
  <c r="A2207" i="2"/>
  <c r="O2206" i="2"/>
  <c r="M2206" i="2"/>
  <c r="G2205" i="2"/>
  <c r="J2205" i="2"/>
  <c r="K2205" i="2" s="1"/>
  <c r="H2202" i="2"/>
  <c r="E2207" i="2" l="1" a="1"/>
  <c r="E2207" i="2" s="1"/>
  <c r="I2202" i="2"/>
  <c r="P2202" i="2" s="1"/>
  <c r="H2203" i="2"/>
  <c r="F2207" i="2"/>
  <c r="A2208" i="2"/>
  <c r="B2207" i="2"/>
  <c r="C2207" i="2" s="1"/>
  <c r="D2207" i="2" s="1"/>
  <c r="L2207" i="2" s="1"/>
  <c r="O2207" i="2"/>
  <c r="M2207" i="2"/>
  <c r="J2206" i="2"/>
  <c r="K2206" i="2" s="1"/>
  <c r="G2206" i="2"/>
  <c r="E2208" i="2" l="1" a="1"/>
  <c r="E2208" i="2" s="1"/>
  <c r="I2203" i="2"/>
  <c r="P2203" i="2" s="1"/>
  <c r="N2202" i="2"/>
  <c r="F2208" i="2"/>
  <c r="A2209" i="2"/>
  <c r="B2208" i="2"/>
  <c r="C2208" i="2" s="1"/>
  <c r="D2208" i="2" s="1"/>
  <c r="L2208" i="2" s="1"/>
  <c r="M2208" i="2"/>
  <c r="O2208" i="2"/>
  <c r="G2207" i="2"/>
  <c r="J2207" i="2"/>
  <c r="K2207" i="2" s="1"/>
  <c r="H2204" i="2"/>
  <c r="I2204" i="2" l="1"/>
  <c r="P2204" i="2" s="1"/>
  <c r="N2203" i="2"/>
  <c r="E2209" i="2" a="1"/>
  <c r="E2209" i="2" s="1"/>
  <c r="H2205" i="2"/>
  <c r="A2210" i="2"/>
  <c r="B2209" i="2"/>
  <c r="C2209" i="2" s="1"/>
  <c r="D2209" i="2" s="1"/>
  <c r="O2209" i="2"/>
  <c r="M2209" i="2"/>
  <c r="F2209" i="2"/>
  <c r="J2208" i="2"/>
  <c r="K2208" i="2" s="1"/>
  <c r="G2208" i="2"/>
  <c r="E2210" i="2" l="1" a="1"/>
  <c r="E2210" i="2" s="1"/>
  <c r="L2209" i="2"/>
  <c r="I2205" i="2"/>
  <c r="P2205" i="2" s="1"/>
  <c r="N2204" i="2"/>
  <c r="G2209" i="2"/>
  <c r="J2209" i="2"/>
  <c r="K2209" i="2" s="1"/>
  <c r="F2210" i="2"/>
  <c r="A2211" i="2"/>
  <c r="B2210" i="2"/>
  <c r="C2210" i="2" s="1"/>
  <c r="D2210" i="2" s="1"/>
  <c r="L2210" i="2" s="1"/>
  <c r="O2210" i="2"/>
  <c r="M2210" i="2"/>
  <c r="H2206" i="2"/>
  <c r="I2206" i="2" s="1"/>
  <c r="P2206" i="2" s="1"/>
  <c r="E2211" i="2" l="1" a="1"/>
  <c r="E2211" i="2" s="1"/>
  <c r="N2205" i="2"/>
  <c r="N2206" i="2"/>
  <c r="H2207" i="2"/>
  <c r="I2207" i="2" s="1"/>
  <c r="P2207" i="2" s="1"/>
  <c r="A2212" i="2"/>
  <c r="B2211" i="2"/>
  <c r="C2211" i="2" s="1"/>
  <c r="D2211" i="2" s="1"/>
  <c r="L2211" i="2" s="1"/>
  <c r="O2211" i="2"/>
  <c r="M2211" i="2"/>
  <c r="F2211" i="2"/>
  <c r="J2210" i="2"/>
  <c r="K2210" i="2" s="1"/>
  <c r="G2210" i="2"/>
  <c r="N2207" i="2" l="1"/>
  <c r="E2212" i="2" a="1"/>
  <c r="E2212" i="2" s="1"/>
  <c r="J2211" i="2"/>
  <c r="K2211" i="2" s="1"/>
  <c r="G2211" i="2"/>
  <c r="A2213" i="2"/>
  <c r="B2212" i="2"/>
  <c r="C2212" i="2" s="1"/>
  <c r="D2212" i="2" s="1"/>
  <c r="L2212" i="2" s="1"/>
  <c r="O2212" i="2"/>
  <c r="M2212" i="2"/>
  <c r="F2212" i="2"/>
  <c r="H2208" i="2"/>
  <c r="E2213" i="2" l="1" a="1"/>
  <c r="E2213" i="2" s="1"/>
  <c r="I2208" i="2"/>
  <c r="P2208" i="2" s="1"/>
  <c r="H2209" i="2"/>
  <c r="J2212" i="2"/>
  <c r="K2212" i="2" s="1"/>
  <c r="G2212" i="2"/>
  <c r="A2214" i="2"/>
  <c r="B2213" i="2"/>
  <c r="C2213" i="2" s="1"/>
  <c r="D2213" i="2" s="1"/>
  <c r="O2213" i="2"/>
  <c r="M2213" i="2"/>
  <c r="F2213" i="2"/>
  <c r="E2214" i="2" l="1" a="1"/>
  <c r="E2214" i="2" s="1"/>
  <c r="I2209" i="2"/>
  <c r="P2209" i="2" s="1"/>
  <c r="L2213" i="2"/>
  <c r="N2208" i="2"/>
  <c r="G2213" i="2"/>
  <c r="J2213" i="2"/>
  <c r="K2213" i="2" s="1"/>
  <c r="A2215" i="2"/>
  <c r="B2214" i="2"/>
  <c r="C2214" i="2" s="1"/>
  <c r="D2214" i="2" s="1"/>
  <c r="O2214" i="2"/>
  <c r="M2214" i="2"/>
  <c r="F2214" i="2"/>
  <c r="H2210" i="2"/>
  <c r="N2209" i="2" l="1"/>
  <c r="L2214" i="2"/>
  <c r="I2210" i="2"/>
  <c r="P2210" i="2" s="1"/>
  <c r="E2215" i="2" a="1"/>
  <c r="E2215" i="2" s="1"/>
  <c r="H2211" i="2"/>
  <c r="J2214" i="2"/>
  <c r="K2214" i="2" s="1"/>
  <c r="G2214" i="2"/>
  <c r="A2216" i="2"/>
  <c r="B2215" i="2"/>
  <c r="C2215" i="2" s="1"/>
  <c r="D2215" i="2" s="1"/>
  <c r="L2215" i="2" s="1"/>
  <c r="O2215" i="2"/>
  <c r="M2215" i="2"/>
  <c r="F2215" i="2"/>
  <c r="E2216" i="2" l="1" a="1"/>
  <c r="E2216" i="2" s="1"/>
  <c r="I2211" i="2"/>
  <c r="P2211" i="2" s="1"/>
  <c r="N2210" i="2"/>
  <c r="J2215" i="2"/>
  <c r="K2215" i="2" s="1"/>
  <c r="G2215" i="2"/>
  <c r="A2217" i="2"/>
  <c r="B2216" i="2"/>
  <c r="C2216" i="2" s="1"/>
  <c r="D2216" i="2" s="1"/>
  <c r="O2216" i="2"/>
  <c r="M2216" i="2"/>
  <c r="F2216" i="2"/>
  <c r="H2212" i="2"/>
  <c r="I2212" i="2" s="1"/>
  <c r="P2212" i="2" s="1"/>
  <c r="N2212" i="2" l="1"/>
  <c r="E2217" i="2" a="1"/>
  <c r="E2217" i="2" s="1"/>
  <c r="L2216" i="2"/>
  <c r="N2211" i="2"/>
  <c r="H2213" i="2"/>
  <c r="J2216" i="2"/>
  <c r="K2216" i="2" s="1"/>
  <c r="G2216" i="2"/>
  <c r="O2217" i="2"/>
  <c r="M2217" i="2"/>
  <c r="A2218" i="2"/>
  <c r="B2217" i="2"/>
  <c r="C2217" i="2" s="1"/>
  <c r="D2217" i="2" s="1"/>
  <c r="F2217" i="2"/>
  <c r="I2213" i="2" l="1"/>
  <c r="P2213" i="2" s="1"/>
  <c r="L2217" i="2"/>
  <c r="E2218" i="2" a="1"/>
  <c r="E2218" i="2" s="1"/>
  <c r="J2217" i="2"/>
  <c r="K2217" i="2" s="1"/>
  <c r="G2217" i="2"/>
  <c r="O2218" i="2"/>
  <c r="M2218" i="2"/>
  <c r="F2218" i="2"/>
  <c r="A2219" i="2"/>
  <c r="B2218" i="2"/>
  <c r="C2218" i="2" s="1"/>
  <c r="D2218" i="2" s="1"/>
  <c r="H2214" i="2"/>
  <c r="I2214" i="2" s="1"/>
  <c r="P2214" i="2" s="1"/>
  <c r="N2213" i="2" l="1"/>
  <c r="N2214" i="2"/>
  <c r="E2219" i="2" a="1"/>
  <c r="E2219" i="2" s="1"/>
  <c r="L2218" i="2"/>
  <c r="H2215" i="2"/>
  <c r="I2215" i="2" s="1"/>
  <c r="P2215" i="2" s="1"/>
  <c r="M2219" i="2"/>
  <c r="F2219" i="2"/>
  <c r="A2220" i="2"/>
  <c r="B2219" i="2"/>
  <c r="C2219" i="2" s="1"/>
  <c r="D2219" i="2" s="1"/>
  <c r="O2219" i="2"/>
  <c r="J2218" i="2"/>
  <c r="K2218" i="2" s="1"/>
  <c r="G2218" i="2"/>
  <c r="E2220" i="2" l="1" a="1"/>
  <c r="E2220" i="2" s="1"/>
  <c r="L2219" i="2"/>
  <c r="N2215" i="2"/>
  <c r="M2220" i="2"/>
  <c r="F2220" i="2"/>
  <c r="A2221" i="2"/>
  <c r="B2220" i="2"/>
  <c r="C2220" i="2" s="1"/>
  <c r="D2220" i="2" s="1"/>
  <c r="O2220" i="2"/>
  <c r="J2219" i="2"/>
  <c r="K2219" i="2" s="1"/>
  <c r="G2219" i="2"/>
  <c r="H2216" i="2"/>
  <c r="I2216" i="2" s="1"/>
  <c r="P2216" i="2" s="1"/>
  <c r="L2220" i="2" l="1"/>
  <c r="N2216" i="2"/>
  <c r="E2221" i="2" a="1"/>
  <c r="E2221" i="2" s="1"/>
  <c r="H2217" i="2"/>
  <c r="I2217" i="2" s="1"/>
  <c r="P2217" i="2" s="1"/>
  <c r="F2221" i="2"/>
  <c r="A2222" i="2"/>
  <c r="B2221" i="2"/>
  <c r="C2221" i="2" s="1"/>
  <c r="D2221" i="2" s="1"/>
  <c r="O2221" i="2"/>
  <c r="M2221" i="2"/>
  <c r="J2220" i="2"/>
  <c r="K2220" i="2" s="1"/>
  <c r="G2220" i="2"/>
  <c r="L2221" i="2" l="1"/>
  <c r="N2217" i="2"/>
  <c r="E2222" i="2" a="1"/>
  <c r="E2222" i="2" s="1"/>
  <c r="F2222" i="2"/>
  <c r="A2223" i="2"/>
  <c r="B2222" i="2"/>
  <c r="C2222" i="2" s="1"/>
  <c r="D2222" i="2" s="1"/>
  <c r="L2222" i="2" s="1"/>
  <c r="O2222" i="2"/>
  <c r="M2222" i="2"/>
  <c r="J2221" i="2"/>
  <c r="K2221" i="2" s="1"/>
  <c r="G2221" i="2"/>
  <c r="H2218" i="2"/>
  <c r="I2218" i="2" s="1"/>
  <c r="P2218" i="2" s="1"/>
  <c r="N2218" i="2" l="1"/>
  <c r="E2223" i="2" a="1"/>
  <c r="E2223" i="2" s="1"/>
  <c r="H2219" i="2"/>
  <c r="I2219" i="2" s="1"/>
  <c r="P2219" i="2" s="1"/>
  <c r="F2223" i="2"/>
  <c r="A2224" i="2"/>
  <c r="B2223" i="2"/>
  <c r="C2223" i="2" s="1"/>
  <c r="D2223" i="2" s="1"/>
  <c r="O2223" i="2"/>
  <c r="M2223" i="2"/>
  <c r="J2222" i="2"/>
  <c r="K2222" i="2" s="1"/>
  <c r="G2222" i="2"/>
  <c r="L2223" i="2" l="1"/>
  <c r="N2219" i="2"/>
  <c r="E2224" i="2" a="1"/>
  <c r="E2224" i="2" s="1"/>
  <c r="F2224" i="2"/>
  <c r="A2225" i="2"/>
  <c r="B2224" i="2"/>
  <c r="C2224" i="2" s="1"/>
  <c r="D2224" i="2" s="1"/>
  <c r="L2224" i="2" s="1"/>
  <c r="O2224" i="2"/>
  <c r="M2224" i="2"/>
  <c r="J2223" i="2"/>
  <c r="K2223" i="2" s="1"/>
  <c r="G2223" i="2"/>
  <c r="H2220" i="2"/>
  <c r="E2225" i="2" l="1" a="1"/>
  <c r="E2225" i="2" s="1"/>
  <c r="I2220" i="2"/>
  <c r="P2220" i="2" s="1"/>
  <c r="H2221" i="2"/>
  <c r="I2221" i="2" s="1"/>
  <c r="P2221" i="2" s="1"/>
  <c r="F2225" i="2"/>
  <c r="A2226" i="2"/>
  <c r="B2225" i="2"/>
  <c r="C2225" i="2" s="1"/>
  <c r="D2225" i="2" s="1"/>
  <c r="L2225" i="2" s="1"/>
  <c r="O2225" i="2"/>
  <c r="M2225" i="2"/>
  <c r="G2224" i="2"/>
  <c r="J2224" i="2"/>
  <c r="K2224" i="2" s="1"/>
  <c r="N2220" i="2" l="1"/>
  <c r="N2221" i="2"/>
  <c r="E2226" i="2" a="1"/>
  <c r="E2226" i="2" s="1"/>
  <c r="F2226" i="2"/>
  <c r="A2227" i="2"/>
  <c r="B2226" i="2"/>
  <c r="C2226" i="2" s="1"/>
  <c r="D2226" i="2" s="1"/>
  <c r="L2226" i="2" s="1"/>
  <c r="O2226" i="2"/>
  <c r="M2226" i="2"/>
  <c r="G2225" i="2"/>
  <c r="J2225" i="2"/>
  <c r="K2225" i="2" s="1"/>
  <c r="H2222" i="2"/>
  <c r="I2222" i="2" s="1"/>
  <c r="P2222" i="2" s="1"/>
  <c r="E2227" i="2" l="1" a="1"/>
  <c r="E2227" i="2" s="1"/>
  <c r="N2222" i="2"/>
  <c r="H2223" i="2"/>
  <c r="F2227" i="2"/>
  <c r="A2228" i="2"/>
  <c r="B2227" i="2"/>
  <c r="C2227" i="2" s="1"/>
  <c r="D2227" i="2" s="1"/>
  <c r="O2227" i="2"/>
  <c r="M2227" i="2"/>
  <c r="G2226" i="2"/>
  <c r="J2226" i="2"/>
  <c r="K2226" i="2" s="1"/>
  <c r="L2227" i="2" l="1"/>
  <c r="I2223" i="2"/>
  <c r="P2223" i="2" s="1"/>
  <c r="E2228" i="2" a="1"/>
  <c r="E2228" i="2" s="1"/>
  <c r="A2229" i="2"/>
  <c r="B2228" i="2"/>
  <c r="C2228" i="2" s="1"/>
  <c r="D2228" i="2" s="1"/>
  <c r="O2228" i="2"/>
  <c r="M2228" i="2"/>
  <c r="F2228" i="2"/>
  <c r="J2227" i="2"/>
  <c r="K2227" i="2" s="1"/>
  <c r="G2227" i="2"/>
  <c r="H2224" i="2"/>
  <c r="I2224" i="2" l="1"/>
  <c r="P2224" i="2" s="1"/>
  <c r="L2228" i="2"/>
  <c r="N2223" i="2"/>
  <c r="E2229" i="2" a="1"/>
  <c r="E2229" i="2" s="1"/>
  <c r="H2225" i="2"/>
  <c r="I2225" i="2" s="1"/>
  <c r="P2225" i="2" s="1"/>
  <c r="J2228" i="2"/>
  <c r="K2228" i="2" s="1"/>
  <c r="G2228" i="2"/>
  <c r="A2230" i="2"/>
  <c r="B2229" i="2"/>
  <c r="C2229" i="2" s="1"/>
  <c r="D2229" i="2" s="1"/>
  <c r="L2229" i="2" s="1"/>
  <c r="O2229" i="2"/>
  <c r="M2229" i="2"/>
  <c r="F2229" i="2"/>
  <c r="N2225" i="2" l="1"/>
  <c r="E2230" i="2" a="1"/>
  <c r="E2230" i="2" s="1"/>
  <c r="N2224" i="2"/>
  <c r="J2229" i="2"/>
  <c r="K2229" i="2" s="1"/>
  <c r="G2229" i="2"/>
  <c r="A2231" i="2"/>
  <c r="B2230" i="2"/>
  <c r="C2230" i="2" s="1"/>
  <c r="D2230" i="2" s="1"/>
  <c r="O2230" i="2"/>
  <c r="M2230" i="2"/>
  <c r="F2230" i="2"/>
  <c r="H2226" i="2"/>
  <c r="I2226" i="2" s="1"/>
  <c r="P2226" i="2" s="1"/>
  <c r="E2231" i="2" l="1" a="1"/>
  <c r="E2231" i="2" s="1"/>
  <c r="L2230" i="2"/>
  <c r="N2226" i="2"/>
  <c r="H2227" i="2"/>
  <c r="J2230" i="2"/>
  <c r="K2230" i="2" s="1"/>
  <c r="G2230" i="2"/>
  <c r="A2232" i="2"/>
  <c r="B2231" i="2"/>
  <c r="C2231" i="2" s="1"/>
  <c r="D2231" i="2" s="1"/>
  <c r="L2231" i="2" s="1"/>
  <c r="O2231" i="2"/>
  <c r="M2231" i="2"/>
  <c r="F2231" i="2"/>
  <c r="E2232" i="2" l="1" a="1"/>
  <c r="E2232" i="2" s="1"/>
  <c r="I2227" i="2"/>
  <c r="P2227" i="2" s="1"/>
  <c r="J2231" i="2"/>
  <c r="K2231" i="2" s="1"/>
  <c r="G2231" i="2"/>
  <c r="A2233" i="2"/>
  <c r="B2232" i="2"/>
  <c r="C2232" i="2" s="1"/>
  <c r="D2232" i="2" s="1"/>
  <c r="O2232" i="2"/>
  <c r="M2232" i="2"/>
  <c r="F2232" i="2"/>
  <c r="H2228" i="2"/>
  <c r="N2227" i="2" l="1"/>
  <c r="L2232" i="2"/>
  <c r="E2233" i="2" a="1"/>
  <c r="E2233" i="2" s="1"/>
  <c r="I2228" i="2"/>
  <c r="P2228" i="2" s="1"/>
  <c r="H2229" i="2"/>
  <c r="I2229" i="2" s="1"/>
  <c r="P2229" i="2" s="1"/>
  <c r="J2232" i="2"/>
  <c r="K2232" i="2" s="1"/>
  <c r="G2232" i="2"/>
  <c r="O2233" i="2"/>
  <c r="M2233" i="2"/>
  <c r="F2233" i="2"/>
  <c r="A2234" i="2"/>
  <c r="B2233" i="2"/>
  <c r="C2233" i="2" s="1"/>
  <c r="D2233" i="2" s="1"/>
  <c r="L2233" i="2" s="1"/>
  <c r="E2234" i="2" l="1" a="1"/>
  <c r="E2234" i="2" s="1"/>
  <c r="N2228" i="2"/>
  <c r="N2229" i="2"/>
  <c r="O2234" i="2"/>
  <c r="M2234" i="2"/>
  <c r="F2234" i="2"/>
  <c r="A2235" i="2"/>
  <c r="B2234" i="2"/>
  <c r="C2234" i="2" s="1"/>
  <c r="D2234" i="2" s="1"/>
  <c r="L2234" i="2" s="1"/>
  <c r="J2233" i="2"/>
  <c r="K2233" i="2" s="1"/>
  <c r="G2233" i="2"/>
  <c r="H2230" i="2"/>
  <c r="I2230" i="2" s="1"/>
  <c r="P2230" i="2" s="1"/>
  <c r="N2230" i="2" l="1"/>
  <c r="E2235" i="2" a="1"/>
  <c r="E2235" i="2" s="1"/>
  <c r="H2231" i="2"/>
  <c r="I2231" i="2" s="1"/>
  <c r="P2231" i="2" s="1"/>
  <c r="M2235" i="2"/>
  <c r="F2235" i="2"/>
  <c r="A2236" i="2"/>
  <c r="B2235" i="2"/>
  <c r="C2235" i="2" s="1"/>
  <c r="D2235" i="2" s="1"/>
  <c r="O2235" i="2"/>
  <c r="J2234" i="2"/>
  <c r="K2234" i="2" s="1"/>
  <c r="G2234" i="2"/>
  <c r="L2235" i="2" l="1"/>
  <c r="N2231" i="2"/>
  <c r="E2236" i="2" a="1"/>
  <c r="E2236" i="2" s="1"/>
  <c r="M2236" i="2"/>
  <c r="F2236" i="2"/>
  <c r="A2237" i="2"/>
  <c r="B2236" i="2"/>
  <c r="C2236" i="2" s="1"/>
  <c r="D2236" i="2" s="1"/>
  <c r="O2236" i="2"/>
  <c r="J2235" i="2"/>
  <c r="K2235" i="2" s="1"/>
  <c r="G2235" i="2"/>
  <c r="H2232" i="2"/>
  <c r="L2236" i="2" l="1"/>
  <c r="E2237" i="2" a="1"/>
  <c r="E2237" i="2" s="1"/>
  <c r="I2232" i="2"/>
  <c r="P2232" i="2" s="1"/>
  <c r="H2233" i="2"/>
  <c r="I2233" i="2" s="1"/>
  <c r="P2233" i="2" s="1"/>
  <c r="F2237" i="2"/>
  <c r="A2238" i="2"/>
  <c r="B2237" i="2"/>
  <c r="C2237" i="2" s="1"/>
  <c r="D2237" i="2" s="1"/>
  <c r="L2237" i="2" s="1"/>
  <c r="O2237" i="2"/>
  <c r="M2237" i="2"/>
  <c r="J2236" i="2"/>
  <c r="K2236" i="2" s="1"/>
  <c r="G2236" i="2"/>
  <c r="N2232" i="2" l="1"/>
  <c r="E2238" i="2" a="1"/>
  <c r="E2238" i="2" s="1"/>
  <c r="N2233" i="2"/>
  <c r="F2238" i="2"/>
  <c r="A2239" i="2"/>
  <c r="B2238" i="2"/>
  <c r="C2238" i="2" s="1"/>
  <c r="D2238" i="2" s="1"/>
  <c r="L2238" i="2" s="1"/>
  <c r="O2238" i="2"/>
  <c r="M2238" i="2"/>
  <c r="J2237" i="2"/>
  <c r="K2237" i="2" s="1"/>
  <c r="G2237" i="2"/>
  <c r="H2234" i="2"/>
  <c r="I2234" i="2" s="1"/>
  <c r="P2234" i="2" s="1"/>
  <c r="E2239" i="2" l="1" a="1"/>
  <c r="E2239" i="2" s="1"/>
  <c r="N2234" i="2"/>
  <c r="H2235" i="2"/>
  <c r="I2235" i="2" s="1"/>
  <c r="P2235" i="2" s="1"/>
  <c r="F2239" i="2"/>
  <c r="A2240" i="2"/>
  <c r="B2239" i="2"/>
  <c r="C2239" i="2" s="1"/>
  <c r="D2239" i="2" s="1"/>
  <c r="L2239" i="2" s="1"/>
  <c r="O2239" i="2"/>
  <c r="M2239" i="2"/>
  <c r="J2238" i="2"/>
  <c r="K2238" i="2" s="1"/>
  <c r="G2238" i="2"/>
  <c r="E2240" i="2" l="1" a="1"/>
  <c r="E2240" i="2" s="1"/>
  <c r="N2235" i="2"/>
  <c r="F2240" i="2"/>
  <c r="A2241" i="2"/>
  <c r="B2240" i="2"/>
  <c r="C2240" i="2" s="1"/>
  <c r="D2240" i="2" s="1"/>
  <c r="O2240" i="2"/>
  <c r="M2240" i="2"/>
  <c r="J2239" i="2"/>
  <c r="K2239" i="2" s="1"/>
  <c r="G2239" i="2"/>
  <c r="H2236" i="2"/>
  <c r="I2236" i="2" l="1"/>
  <c r="P2236" i="2" s="1"/>
  <c r="L2240" i="2"/>
  <c r="E2241" i="2" a="1"/>
  <c r="E2241" i="2" s="1"/>
  <c r="H2237" i="2"/>
  <c r="I2237" i="2" s="1"/>
  <c r="P2237" i="2" s="1"/>
  <c r="F2241" i="2"/>
  <c r="A2242" i="2"/>
  <c r="B2241" i="2"/>
  <c r="C2241" i="2" s="1"/>
  <c r="D2241" i="2" s="1"/>
  <c r="L2241" i="2" s="1"/>
  <c r="O2241" i="2"/>
  <c r="M2241" i="2"/>
  <c r="G2240" i="2"/>
  <c r="J2240" i="2"/>
  <c r="K2240" i="2" s="1"/>
  <c r="N2236" i="2" l="1"/>
  <c r="N2237" i="2"/>
  <c r="E2242" i="2" a="1"/>
  <c r="E2242" i="2" s="1"/>
  <c r="F2242" i="2"/>
  <c r="A2243" i="2"/>
  <c r="B2242" i="2"/>
  <c r="C2242" i="2" s="1"/>
  <c r="D2242" i="2" s="1"/>
  <c r="O2242" i="2"/>
  <c r="M2242" i="2"/>
  <c r="G2241" i="2"/>
  <c r="J2241" i="2"/>
  <c r="K2241" i="2" s="1"/>
  <c r="H2238" i="2"/>
  <c r="L2242" i="2" l="1"/>
  <c r="E2243" i="2" a="1"/>
  <c r="E2243" i="2" s="1"/>
  <c r="I2238" i="2"/>
  <c r="P2238" i="2" s="1"/>
  <c r="H2239" i="2"/>
  <c r="I2239" i="2" s="1"/>
  <c r="P2239" i="2" s="1"/>
  <c r="F2243" i="2"/>
  <c r="A2244" i="2"/>
  <c r="B2243" i="2"/>
  <c r="C2243" i="2" s="1"/>
  <c r="D2243" i="2" s="1"/>
  <c r="L2243" i="2" s="1"/>
  <c r="O2243" i="2"/>
  <c r="M2243" i="2"/>
  <c r="G2242" i="2"/>
  <c r="J2242" i="2"/>
  <c r="K2242" i="2" s="1"/>
  <c r="E2244" i="2" l="1" a="1"/>
  <c r="E2244" i="2" s="1"/>
  <c r="N2238" i="2"/>
  <c r="N2239" i="2"/>
  <c r="A2245" i="2"/>
  <c r="B2244" i="2"/>
  <c r="C2244" i="2" s="1"/>
  <c r="D2244" i="2" s="1"/>
  <c r="O2244" i="2"/>
  <c r="M2244" i="2"/>
  <c r="F2244" i="2"/>
  <c r="J2243" i="2"/>
  <c r="K2243" i="2" s="1"/>
  <c r="G2243" i="2"/>
  <c r="H2240" i="2"/>
  <c r="L2244" i="2" l="1"/>
  <c r="I2240" i="2"/>
  <c r="P2240" i="2" s="1"/>
  <c r="E2245" i="2" a="1"/>
  <c r="E2245" i="2" s="1"/>
  <c r="H2241" i="2"/>
  <c r="I2241" i="2" s="1"/>
  <c r="P2241" i="2" s="1"/>
  <c r="J2244" i="2"/>
  <c r="K2244" i="2" s="1"/>
  <c r="G2244" i="2"/>
  <c r="A2246" i="2"/>
  <c r="B2245" i="2"/>
  <c r="C2245" i="2" s="1"/>
  <c r="D2245" i="2" s="1"/>
  <c r="L2245" i="2" s="1"/>
  <c r="O2245" i="2"/>
  <c r="M2245" i="2"/>
  <c r="F2245" i="2"/>
  <c r="N2240" i="2" l="1"/>
  <c r="N2241" i="2"/>
  <c r="E2246" i="2" a="1"/>
  <c r="E2246" i="2" s="1"/>
  <c r="J2245" i="2"/>
  <c r="K2245" i="2" s="1"/>
  <c r="G2245" i="2"/>
  <c r="A2247" i="2"/>
  <c r="B2246" i="2"/>
  <c r="C2246" i="2" s="1"/>
  <c r="D2246" i="2" s="1"/>
  <c r="O2246" i="2"/>
  <c r="M2246" i="2"/>
  <c r="F2246" i="2"/>
  <c r="H2242" i="2"/>
  <c r="L2246" i="2" l="1"/>
  <c r="E2247" i="2" a="1"/>
  <c r="E2247" i="2" s="1"/>
  <c r="I2242" i="2"/>
  <c r="P2242" i="2" s="1"/>
  <c r="H2243" i="2"/>
  <c r="J2246" i="2"/>
  <c r="K2246" i="2" s="1"/>
  <c r="G2246" i="2"/>
  <c r="A2248" i="2"/>
  <c r="B2247" i="2"/>
  <c r="C2247" i="2" s="1"/>
  <c r="D2247" i="2" s="1"/>
  <c r="L2247" i="2" s="1"/>
  <c r="O2247" i="2"/>
  <c r="M2247" i="2"/>
  <c r="F2247" i="2"/>
  <c r="N2242" i="2" l="1"/>
  <c r="E2248" i="2" a="1"/>
  <c r="E2248" i="2" s="1"/>
  <c r="I2243" i="2"/>
  <c r="P2243" i="2" s="1"/>
  <c r="J2247" i="2"/>
  <c r="K2247" i="2" s="1"/>
  <c r="G2247" i="2"/>
  <c r="A2249" i="2"/>
  <c r="B2248" i="2"/>
  <c r="C2248" i="2" s="1"/>
  <c r="D2248" i="2" s="1"/>
  <c r="L2248" i="2" s="1"/>
  <c r="O2248" i="2"/>
  <c r="M2248" i="2"/>
  <c r="F2248" i="2"/>
  <c r="H2244" i="2"/>
  <c r="I2244" i="2" s="1"/>
  <c r="P2244" i="2" s="1"/>
  <c r="N2243" i="2" l="1"/>
  <c r="E2249" i="2" a="1"/>
  <c r="E2249" i="2" s="1"/>
  <c r="N2244" i="2"/>
  <c r="H2245" i="2"/>
  <c r="J2248" i="2"/>
  <c r="K2248" i="2" s="1"/>
  <c r="G2248" i="2"/>
  <c r="O2249" i="2"/>
  <c r="M2249" i="2"/>
  <c r="F2249" i="2"/>
  <c r="B2249" i="2"/>
  <c r="C2249" i="2" s="1"/>
  <c r="D2249" i="2" s="1"/>
  <c r="A2250" i="2"/>
  <c r="L2249" i="2" l="1"/>
  <c r="I2245" i="2"/>
  <c r="P2245" i="2" s="1"/>
  <c r="E2250" i="2" a="1"/>
  <c r="E2250" i="2" s="1"/>
  <c r="O2250" i="2"/>
  <c r="M2250" i="2"/>
  <c r="F2250" i="2"/>
  <c r="A2251" i="2"/>
  <c r="B2250" i="2"/>
  <c r="C2250" i="2" s="1"/>
  <c r="D2250" i="2" s="1"/>
  <c r="L2250" i="2" s="1"/>
  <c r="J2249" i="2"/>
  <c r="K2249" i="2" s="1"/>
  <c r="G2249" i="2"/>
  <c r="H2246" i="2"/>
  <c r="N2245" i="2" l="1"/>
  <c r="I2246" i="2"/>
  <c r="P2246" i="2" s="1"/>
  <c r="E2251" i="2" a="1"/>
  <c r="E2251" i="2" s="1"/>
  <c r="H2247" i="2"/>
  <c r="M2251" i="2"/>
  <c r="F2251" i="2"/>
  <c r="A2252" i="2"/>
  <c r="B2251" i="2"/>
  <c r="C2251" i="2" s="1"/>
  <c r="D2251" i="2" s="1"/>
  <c r="O2251" i="2"/>
  <c r="J2250" i="2"/>
  <c r="K2250" i="2" s="1"/>
  <c r="G2250" i="2"/>
  <c r="N2246" i="2" l="1"/>
  <c r="I2247" i="2"/>
  <c r="P2247" i="2" s="1"/>
  <c r="L2251" i="2"/>
  <c r="E2252" i="2" a="1"/>
  <c r="E2252" i="2" s="1"/>
  <c r="M2252" i="2"/>
  <c r="F2252" i="2"/>
  <c r="A2253" i="2"/>
  <c r="B2252" i="2"/>
  <c r="C2252" i="2" s="1"/>
  <c r="D2252" i="2" s="1"/>
  <c r="L2252" i="2" s="1"/>
  <c r="O2252" i="2"/>
  <c r="J2251" i="2"/>
  <c r="K2251" i="2" s="1"/>
  <c r="G2251" i="2"/>
  <c r="H2248" i="2"/>
  <c r="I2248" i="2" l="1"/>
  <c r="P2248" i="2" s="1"/>
  <c r="N2247" i="2"/>
  <c r="E2253" i="2" a="1"/>
  <c r="E2253" i="2" s="1"/>
  <c r="H2249" i="2"/>
  <c r="F2253" i="2"/>
  <c r="A2254" i="2"/>
  <c r="B2253" i="2"/>
  <c r="C2253" i="2" s="1"/>
  <c r="D2253" i="2" s="1"/>
  <c r="O2253" i="2"/>
  <c r="M2253" i="2"/>
  <c r="J2252" i="2"/>
  <c r="K2252" i="2" s="1"/>
  <c r="G2252" i="2"/>
  <c r="L2253" i="2" l="1"/>
  <c r="I2249" i="2"/>
  <c r="P2249" i="2" s="1"/>
  <c r="E2254" i="2" a="1"/>
  <c r="E2254" i="2" s="1"/>
  <c r="N2248" i="2"/>
  <c r="F2254" i="2"/>
  <c r="A2255" i="2"/>
  <c r="B2254" i="2"/>
  <c r="C2254" i="2" s="1"/>
  <c r="D2254" i="2" s="1"/>
  <c r="L2254" i="2" s="1"/>
  <c r="O2254" i="2"/>
  <c r="M2254" i="2"/>
  <c r="J2253" i="2"/>
  <c r="K2253" i="2" s="1"/>
  <c r="G2253" i="2"/>
  <c r="H2250" i="2"/>
  <c r="E2255" i="2" l="1" a="1"/>
  <c r="E2255" i="2" s="1"/>
  <c r="N2249" i="2"/>
  <c r="I2250" i="2"/>
  <c r="P2250" i="2" s="1"/>
  <c r="H2251" i="2"/>
  <c r="F2255" i="2"/>
  <c r="A2256" i="2"/>
  <c r="B2255" i="2"/>
  <c r="C2255" i="2" s="1"/>
  <c r="D2255" i="2" s="1"/>
  <c r="O2255" i="2"/>
  <c r="M2255" i="2"/>
  <c r="J2254" i="2"/>
  <c r="K2254" i="2" s="1"/>
  <c r="G2254" i="2"/>
  <c r="L2255" i="2" l="1"/>
  <c r="E2256" i="2" a="1"/>
  <c r="E2256" i="2" s="1"/>
  <c r="I2251" i="2"/>
  <c r="P2251" i="2" s="1"/>
  <c r="N2250" i="2"/>
  <c r="F2256" i="2"/>
  <c r="A2257" i="2"/>
  <c r="B2256" i="2"/>
  <c r="C2256" i="2" s="1"/>
  <c r="D2256" i="2" s="1"/>
  <c r="L2256" i="2" s="1"/>
  <c r="O2256" i="2"/>
  <c r="M2256" i="2"/>
  <c r="J2255" i="2"/>
  <c r="K2255" i="2" s="1"/>
  <c r="G2255" i="2"/>
  <c r="H2252" i="2"/>
  <c r="I2252" i="2" s="1"/>
  <c r="P2252" i="2" s="1"/>
  <c r="N2251" i="2" l="1"/>
  <c r="E2257" i="2" a="1"/>
  <c r="E2257" i="2" s="1"/>
  <c r="N2252" i="2"/>
  <c r="H2253" i="2"/>
  <c r="I2253" i="2" s="1"/>
  <c r="P2253" i="2" s="1"/>
  <c r="F2257" i="2"/>
  <c r="A2258" i="2"/>
  <c r="B2257" i="2"/>
  <c r="C2257" i="2" s="1"/>
  <c r="D2257" i="2" s="1"/>
  <c r="L2257" i="2" s="1"/>
  <c r="O2257" i="2"/>
  <c r="M2257" i="2"/>
  <c r="G2256" i="2"/>
  <c r="J2256" i="2"/>
  <c r="K2256" i="2" s="1"/>
  <c r="E2258" i="2" l="1" a="1"/>
  <c r="E2258" i="2" s="1"/>
  <c r="N2253" i="2"/>
  <c r="F2258" i="2"/>
  <c r="A2259" i="2"/>
  <c r="B2258" i="2"/>
  <c r="C2258" i="2" s="1"/>
  <c r="D2258" i="2" s="1"/>
  <c r="O2258" i="2"/>
  <c r="M2258" i="2"/>
  <c r="G2257" i="2"/>
  <c r="J2257" i="2"/>
  <c r="K2257" i="2" s="1"/>
  <c r="H2254" i="2"/>
  <c r="I2254" i="2" l="1"/>
  <c r="P2254" i="2" s="1"/>
  <c r="L2258" i="2"/>
  <c r="E2259" i="2" a="1"/>
  <c r="E2259" i="2" s="1"/>
  <c r="H2255" i="2"/>
  <c r="I2255" i="2" s="1"/>
  <c r="P2255" i="2" s="1"/>
  <c r="F2259" i="2"/>
  <c r="A2260" i="2"/>
  <c r="B2259" i="2"/>
  <c r="C2259" i="2" s="1"/>
  <c r="D2259" i="2" s="1"/>
  <c r="L2259" i="2" s="1"/>
  <c r="O2259" i="2"/>
  <c r="M2259" i="2"/>
  <c r="G2258" i="2"/>
  <c r="J2258" i="2"/>
  <c r="K2258" i="2" s="1"/>
  <c r="E2260" i="2" l="1" a="1"/>
  <c r="E2260" i="2" s="1"/>
  <c r="N2255" i="2"/>
  <c r="N2254" i="2"/>
  <c r="A2261" i="2"/>
  <c r="B2260" i="2"/>
  <c r="C2260" i="2" s="1"/>
  <c r="D2260" i="2" s="1"/>
  <c r="L2260" i="2" s="1"/>
  <c r="O2260" i="2"/>
  <c r="M2260" i="2"/>
  <c r="F2260" i="2"/>
  <c r="J2259" i="2"/>
  <c r="K2259" i="2" s="1"/>
  <c r="G2259" i="2"/>
  <c r="H2256" i="2"/>
  <c r="I2256" i="2" l="1"/>
  <c r="P2256" i="2" s="1"/>
  <c r="E2261" i="2" a="1"/>
  <c r="E2261" i="2" s="1"/>
  <c r="H2257" i="2"/>
  <c r="I2257" i="2" s="1"/>
  <c r="P2257" i="2" s="1"/>
  <c r="J2260" i="2"/>
  <c r="K2260" i="2" s="1"/>
  <c r="G2260" i="2"/>
  <c r="A2262" i="2"/>
  <c r="B2261" i="2"/>
  <c r="C2261" i="2" s="1"/>
  <c r="D2261" i="2" s="1"/>
  <c r="L2261" i="2" s="1"/>
  <c r="O2261" i="2"/>
  <c r="M2261" i="2"/>
  <c r="F2261" i="2"/>
  <c r="N2257" i="2" l="1"/>
  <c r="E2262" i="2" a="1"/>
  <c r="E2262" i="2" s="1"/>
  <c r="N2256" i="2"/>
  <c r="J2261" i="2"/>
  <c r="K2261" i="2" s="1"/>
  <c r="G2261" i="2"/>
  <c r="A2263" i="2"/>
  <c r="B2262" i="2"/>
  <c r="C2262" i="2" s="1"/>
  <c r="D2262" i="2" s="1"/>
  <c r="L2262" i="2" s="1"/>
  <c r="O2262" i="2"/>
  <c r="M2262" i="2"/>
  <c r="F2262" i="2"/>
  <c r="H2258" i="2"/>
  <c r="I2258" i="2" s="1"/>
  <c r="P2258" i="2" s="1"/>
  <c r="N2258" i="2" l="1"/>
  <c r="E2263" i="2" a="1"/>
  <c r="E2263" i="2" s="1"/>
  <c r="H2259" i="2"/>
  <c r="J2262" i="2"/>
  <c r="K2262" i="2" s="1"/>
  <c r="G2262" i="2"/>
  <c r="A2264" i="2"/>
  <c r="B2263" i="2"/>
  <c r="C2263" i="2" s="1"/>
  <c r="D2263" i="2" s="1"/>
  <c r="O2263" i="2"/>
  <c r="M2263" i="2"/>
  <c r="F2263" i="2"/>
  <c r="L2263" i="2" l="1"/>
  <c r="I2259" i="2"/>
  <c r="P2259" i="2" s="1"/>
  <c r="E2264" i="2" a="1"/>
  <c r="E2264" i="2" s="1"/>
  <c r="J2263" i="2"/>
  <c r="K2263" i="2" s="1"/>
  <c r="G2263" i="2"/>
  <c r="A2265" i="2"/>
  <c r="B2264" i="2"/>
  <c r="C2264" i="2" s="1"/>
  <c r="D2264" i="2" s="1"/>
  <c r="O2264" i="2"/>
  <c r="M2264" i="2"/>
  <c r="F2264" i="2"/>
  <c r="H2260" i="2"/>
  <c r="I2260" i="2" s="1"/>
  <c r="P2260" i="2" s="1"/>
  <c r="L2264" i="2" l="1"/>
  <c r="N2259" i="2"/>
  <c r="E2265" i="2" a="1"/>
  <c r="E2265" i="2" s="1"/>
  <c r="N2260" i="2"/>
  <c r="H2261" i="2"/>
  <c r="J2264" i="2"/>
  <c r="K2264" i="2" s="1"/>
  <c r="G2264" i="2"/>
  <c r="O2265" i="2"/>
  <c r="M2265" i="2"/>
  <c r="F2265" i="2"/>
  <c r="A2266" i="2"/>
  <c r="B2265" i="2"/>
  <c r="C2265" i="2" s="1"/>
  <c r="D2265" i="2" s="1"/>
  <c r="E2266" i="2" l="1" a="1"/>
  <c r="E2266" i="2" s="1"/>
  <c r="L2265" i="2"/>
  <c r="I2261" i="2"/>
  <c r="P2261" i="2" s="1"/>
  <c r="O2266" i="2"/>
  <c r="M2266" i="2"/>
  <c r="F2266" i="2"/>
  <c r="A2267" i="2"/>
  <c r="B2266" i="2"/>
  <c r="C2266" i="2" s="1"/>
  <c r="D2266" i="2" s="1"/>
  <c r="J2265" i="2"/>
  <c r="K2265" i="2" s="1"/>
  <c r="G2265" i="2"/>
  <c r="H2262" i="2"/>
  <c r="E2267" i="2" l="1" a="1"/>
  <c r="E2267" i="2" s="1"/>
  <c r="L2266" i="2"/>
  <c r="I2262" i="2"/>
  <c r="P2262" i="2" s="1"/>
  <c r="N2261" i="2"/>
  <c r="H2263" i="2"/>
  <c r="M2267" i="2"/>
  <c r="F2267" i="2"/>
  <c r="A2268" i="2"/>
  <c r="B2267" i="2"/>
  <c r="C2267" i="2" s="1"/>
  <c r="D2267" i="2" s="1"/>
  <c r="L2267" i="2" s="1"/>
  <c r="O2267" i="2"/>
  <c r="J2266" i="2"/>
  <c r="K2266" i="2" s="1"/>
  <c r="G2266" i="2"/>
  <c r="I2263" i="2" l="1"/>
  <c r="P2263" i="2" s="1"/>
  <c r="E2268" i="2" a="1"/>
  <c r="E2268" i="2" s="1"/>
  <c r="N2262" i="2"/>
  <c r="M2268" i="2"/>
  <c r="F2268" i="2"/>
  <c r="B2268" i="2"/>
  <c r="C2268" i="2" s="1"/>
  <c r="D2268" i="2" s="1"/>
  <c r="A2269" i="2"/>
  <c r="O2268" i="2"/>
  <c r="J2267" i="2"/>
  <c r="K2267" i="2" s="1"/>
  <c r="G2267" i="2"/>
  <c r="H2264" i="2"/>
  <c r="N2263" i="2" l="1"/>
  <c r="I2264" i="2"/>
  <c r="P2264" i="2" s="1"/>
  <c r="L2268" i="2"/>
  <c r="E2269" i="2" a="1"/>
  <c r="E2269" i="2" s="1"/>
  <c r="H2265" i="2"/>
  <c r="I2265" i="2" s="1"/>
  <c r="P2265" i="2" s="1"/>
  <c r="O2269" i="2"/>
  <c r="M2269" i="2"/>
  <c r="F2269" i="2"/>
  <c r="B2269" i="2"/>
  <c r="C2269" i="2" s="1"/>
  <c r="D2269" i="2" s="1"/>
  <c r="A2270" i="2"/>
  <c r="J2268" i="2"/>
  <c r="K2268" i="2" s="1"/>
  <c r="G2268" i="2"/>
  <c r="E2270" i="2" l="1" a="1"/>
  <c r="E2270" i="2" s="1"/>
  <c r="L2269" i="2"/>
  <c r="N2265" i="2"/>
  <c r="N2264" i="2"/>
  <c r="A2271" i="2"/>
  <c r="B2270" i="2"/>
  <c r="C2270" i="2" s="1"/>
  <c r="D2270" i="2" s="1"/>
  <c r="L2270" i="2" s="1"/>
  <c r="O2270" i="2"/>
  <c r="M2270" i="2"/>
  <c r="F2270" i="2"/>
  <c r="J2269" i="2"/>
  <c r="K2269" i="2" s="1"/>
  <c r="G2269" i="2"/>
  <c r="H2266" i="2"/>
  <c r="E2271" i="2" l="1" a="1"/>
  <c r="E2271" i="2" s="1"/>
  <c r="I2266" i="2"/>
  <c r="P2266" i="2" s="1"/>
  <c r="H2267" i="2"/>
  <c r="J2270" i="2"/>
  <c r="K2270" i="2" s="1"/>
  <c r="G2270" i="2"/>
  <c r="A2272" i="2"/>
  <c r="O2271" i="2"/>
  <c r="M2271" i="2"/>
  <c r="F2271" i="2"/>
  <c r="B2271" i="2"/>
  <c r="C2271" i="2" s="1"/>
  <c r="D2271" i="2" s="1"/>
  <c r="L2271" i="2" l="1"/>
  <c r="E2272" i="2" a="1"/>
  <c r="E2272" i="2" s="1"/>
  <c r="N2266" i="2"/>
  <c r="I2267" i="2"/>
  <c r="P2267" i="2" s="1"/>
  <c r="J2271" i="2"/>
  <c r="K2271" i="2" s="1"/>
  <c r="G2271" i="2"/>
  <c r="O2272" i="2"/>
  <c r="B2272" i="2"/>
  <c r="C2272" i="2" s="1"/>
  <c r="D2272" i="2" s="1"/>
  <c r="L2272" i="2" s="1"/>
  <c r="A2273" i="2"/>
  <c r="M2272" i="2"/>
  <c r="F2272" i="2"/>
  <c r="H2268" i="2"/>
  <c r="N2267" i="2" l="1"/>
  <c r="I2268" i="2"/>
  <c r="P2268" i="2" s="1"/>
  <c r="E2273" i="2" a="1"/>
  <c r="E2273" i="2" s="1"/>
  <c r="H2269" i="2"/>
  <c r="I2269" i="2" s="1"/>
  <c r="P2269" i="2" s="1"/>
  <c r="J2272" i="2"/>
  <c r="K2272" i="2" s="1"/>
  <c r="G2272" i="2"/>
  <c r="A2274" i="2"/>
  <c r="B2273" i="2"/>
  <c r="C2273" i="2" s="1"/>
  <c r="D2273" i="2" s="1"/>
  <c r="L2273" i="2" s="1"/>
  <c r="O2273" i="2"/>
  <c r="M2273" i="2"/>
  <c r="F2273" i="2"/>
  <c r="N2268" i="2" l="1"/>
  <c r="E2274" i="2" a="1"/>
  <c r="E2274" i="2" s="1"/>
  <c r="N2269" i="2"/>
  <c r="J2273" i="2"/>
  <c r="K2273" i="2" s="1"/>
  <c r="G2273" i="2"/>
  <c r="M2274" i="2"/>
  <c r="F2274" i="2"/>
  <c r="B2274" i="2"/>
  <c r="C2274" i="2" s="1"/>
  <c r="D2274" i="2" s="1"/>
  <c r="L2274" i="2" s="1"/>
  <c r="A2275" i="2"/>
  <c r="O2274" i="2"/>
  <c r="H2270" i="2"/>
  <c r="E2275" i="2" l="1" a="1"/>
  <c r="E2275" i="2" s="1"/>
  <c r="I2270" i="2"/>
  <c r="P2270" i="2" s="1"/>
  <c r="H2271" i="2"/>
  <c r="O2275" i="2"/>
  <c r="F2275" i="2"/>
  <c r="B2275" i="2"/>
  <c r="C2275" i="2" s="1"/>
  <c r="D2275" i="2" s="1"/>
  <c r="L2275" i="2" s="1"/>
  <c r="A2276" i="2"/>
  <c r="M2275" i="2"/>
  <c r="G2274" i="2"/>
  <c r="J2274" i="2"/>
  <c r="K2274" i="2" s="1"/>
  <c r="E2276" i="2" l="1" a="1"/>
  <c r="E2276" i="2" s="1"/>
  <c r="N2270" i="2"/>
  <c r="I2271" i="2"/>
  <c r="P2271" i="2" s="1"/>
  <c r="A2277" i="2"/>
  <c r="B2276" i="2"/>
  <c r="C2276" i="2" s="1"/>
  <c r="D2276" i="2" s="1"/>
  <c r="L2276" i="2" s="1"/>
  <c r="O2276" i="2"/>
  <c r="M2276" i="2"/>
  <c r="F2276" i="2"/>
  <c r="J2275" i="2"/>
  <c r="K2275" i="2" s="1"/>
  <c r="G2275" i="2"/>
  <c r="H2272" i="2"/>
  <c r="N2271" i="2" l="1"/>
  <c r="I2272" i="2"/>
  <c r="P2272" i="2" s="1"/>
  <c r="E2277" i="2" a="1"/>
  <c r="E2277" i="2" s="1"/>
  <c r="H2273" i="2"/>
  <c r="I2273" i="2" s="1"/>
  <c r="P2273" i="2" s="1"/>
  <c r="J2276" i="2"/>
  <c r="K2276" i="2" s="1"/>
  <c r="G2276" i="2"/>
  <c r="M2277" i="2"/>
  <c r="A2278" i="2"/>
  <c r="O2277" i="2"/>
  <c r="F2277" i="2"/>
  <c r="B2277" i="2"/>
  <c r="C2277" i="2" s="1"/>
  <c r="D2277" i="2" s="1"/>
  <c r="N2272" i="2" l="1"/>
  <c r="L2277" i="2"/>
  <c r="N2273" i="2"/>
  <c r="E2278" i="2" a="1"/>
  <c r="E2278" i="2" s="1"/>
  <c r="J2277" i="2"/>
  <c r="K2277" i="2" s="1"/>
  <c r="G2277" i="2"/>
  <c r="O2278" i="2"/>
  <c r="F2278" i="2"/>
  <c r="B2278" i="2"/>
  <c r="C2278" i="2" s="1"/>
  <c r="D2278" i="2" s="1"/>
  <c r="L2278" i="2" s="1"/>
  <c r="A2279" i="2"/>
  <c r="M2278" i="2"/>
  <c r="H2274" i="2"/>
  <c r="I2274" i="2" s="1"/>
  <c r="P2274" i="2" s="1"/>
  <c r="E2279" i="2" l="1" a="1"/>
  <c r="E2279" i="2" s="1"/>
  <c r="N2274" i="2"/>
  <c r="H2275" i="2"/>
  <c r="I2275" i="2" s="1"/>
  <c r="P2275" i="2" s="1"/>
  <c r="A2280" i="2"/>
  <c r="B2279" i="2"/>
  <c r="C2279" i="2" s="1"/>
  <c r="D2279" i="2" s="1"/>
  <c r="L2279" i="2" s="1"/>
  <c r="O2279" i="2"/>
  <c r="M2279" i="2"/>
  <c r="F2279" i="2"/>
  <c r="J2278" i="2"/>
  <c r="K2278" i="2" s="1"/>
  <c r="G2278" i="2"/>
  <c r="E2280" i="2" l="1" a="1"/>
  <c r="E2280" i="2" s="1"/>
  <c r="N2275" i="2"/>
  <c r="J2279" i="2"/>
  <c r="K2279" i="2" s="1"/>
  <c r="G2279" i="2"/>
  <c r="M2280" i="2"/>
  <c r="A2281" i="2"/>
  <c r="O2280" i="2"/>
  <c r="F2280" i="2"/>
  <c r="B2280" i="2"/>
  <c r="C2280" i="2" s="1"/>
  <c r="D2280" i="2" s="1"/>
  <c r="L2280" i="2" s="1"/>
  <c r="H2276" i="2"/>
  <c r="I2276" i="2" l="1"/>
  <c r="P2276" i="2" s="1"/>
  <c r="E2281" i="2" a="1"/>
  <c r="E2281" i="2" s="1"/>
  <c r="H2277" i="2"/>
  <c r="J2280" i="2"/>
  <c r="K2280" i="2" s="1"/>
  <c r="G2280" i="2"/>
  <c r="F2281" i="2"/>
  <c r="A2282" i="2"/>
  <c r="B2281" i="2"/>
  <c r="C2281" i="2" s="1"/>
  <c r="D2281" i="2" s="1"/>
  <c r="L2281" i="2" s="1"/>
  <c r="O2281" i="2"/>
  <c r="M2281" i="2"/>
  <c r="I2277" i="2" l="1"/>
  <c r="P2277" i="2" s="1"/>
  <c r="N2276" i="2"/>
  <c r="E2282" i="2" a="1"/>
  <c r="E2282" i="2" s="1"/>
  <c r="A2283" i="2"/>
  <c r="B2282" i="2"/>
  <c r="C2282" i="2" s="1"/>
  <c r="D2282" i="2" s="1"/>
  <c r="L2282" i="2" s="1"/>
  <c r="O2282" i="2"/>
  <c r="M2282" i="2"/>
  <c r="F2282" i="2"/>
  <c r="J2281" i="2"/>
  <c r="K2281" i="2" s="1"/>
  <c r="G2281" i="2"/>
  <c r="H2278" i="2"/>
  <c r="N2277" i="2" l="1"/>
  <c r="E2283" i="2" a="1"/>
  <c r="E2283" i="2" s="1"/>
  <c r="I2278" i="2"/>
  <c r="P2278" i="2" s="1"/>
  <c r="H2279" i="2"/>
  <c r="I2279" i="2" s="1"/>
  <c r="P2279" i="2" s="1"/>
  <c r="J2282" i="2"/>
  <c r="K2282" i="2" s="1"/>
  <c r="G2282" i="2"/>
  <c r="A2284" i="2"/>
  <c r="B2283" i="2"/>
  <c r="C2283" i="2" s="1"/>
  <c r="D2283" i="2" s="1"/>
  <c r="L2283" i="2" s="1"/>
  <c r="O2283" i="2"/>
  <c r="M2283" i="2"/>
  <c r="F2283" i="2"/>
  <c r="E2284" i="2" l="1" a="1"/>
  <c r="E2284" i="2" s="1"/>
  <c r="N2279" i="2"/>
  <c r="N2278" i="2"/>
  <c r="J2283" i="2"/>
  <c r="K2283" i="2" s="1"/>
  <c r="G2283" i="2"/>
  <c r="F2284" i="2"/>
  <c r="O2284" i="2"/>
  <c r="A2285" i="2"/>
  <c r="M2284" i="2"/>
  <c r="B2284" i="2"/>
  <c r="C2284" i="2" s="1"/>
  <c r="D2284" i="2" s="1"/>
  <c r="H2280" i="2"/>
  <c r="L2284" i="2" l="1"/>
  <c r="E2285" i="2" a="1"/>
  <c r="E2285" i="2" s="1"/>
  <c r="I2280" i="2"/>
  <c r="P2280" i="2" s="1"/>
  <c r="H2281" i="2"/>
  <c r="I2281" i="2" s="1"/>
  <c r="P2281" i="2" s="1"/>
  <c r="A2286" i="2"/>
  <c r="B2285" i="2"/>
  <c r="C2285" i="2" s="1"/>
  <c r="D2285" i="2" s="1"/>
  <c r="L2285" i="2" s="1"/>
  <c r="O2285" i="2"/>
  <c r="M2285" i="2"/>
  <c r="F2285" i="2"/>
  <c r="J2284" i="2"/>
  <c r="K2284" i="2" s="1"/>
  <c r="G2284" i="2"/>
  <c r="N2280" i="2" l="1"/>
  <c r="N2281" i="2"/>
  <c r="E2286" i="2" a="1"/>
  <c r="E2286" i="2" s="1"/>
  <c r="G2285" i="2"/>
  <c r="J2285" i="2"/>
  <c r="K2285" i="2" s="1"/>
  <c r="A2287" i="2"/>
  <c r="B2286" i="2"/>
  <c r="C2286" i="2" s="1"/>
  <c r="D2286" i="2" s="1"/>
  <c r="L2286" i="2" s="1"/>
  <c r="M2286" i="2"/>
  <c r="O2286" i="2"/>
  <c r="F2286" i="2"/>
  <c r="H2282" i="2"/>
  <c r="I2282" i="2" s="1"/>
  <c r="P2282" i="2" s="1"/>
  <c r="E2287" i="2" l="1" a="1"/>
  <c r="E2287" i="2" s="1"/>
  <c r="N2282" i="2"/>
  <c r="H2283" i="2"/>
  <c r="G2286" i="2"/>
  <c r="J2286" i="2"/>
  <c r="K2286" i="2" s="1"/>
  <c r="F2287" i="2"/>
  <c r="O2287" i="2"/>
  <c r="M2287" i="2"/>
  <c r="B2287" i="2"/>
  <c r="C2287" i="2" s="1"/>
  <c r="D2287" i="2" s="1"/>
  <c r="A2288" i="2"/>
  <c r="L2287" i="2" l="1"/>
  <c r="I2283" i="2"/>
  <c r="P2283" i="2" s="1"/>
  <c r="E2288" i="2" a="1"/>
  <c r="E2288" i="2" s="1"/>
  <c r="O2288" i="2"/>
  <c r="A2289" i="2"/>
  <c r="M2288" i="2"/>
  <c r="F2288" i="2"/>
  <c r="B2288" i="2"/>
  <c r="C2288" i="2" s="1"/>
  <c r="D2288" i="2" s="1"/>
  <c r="L2288" i="2" s="1"/>
  <c r="G2287" i="2"/>
  <c r="J2287" i="2"/>
  <c r="K2287" i="2" s="1"/>
  <c r="H2284" i="2"/>
  <c r="I2284" i="2" l="1"/>
  <c r="P2284" i="2" s="1"/>
  <c r="N2283" i="2"/>
  <c r="E2289" i="2" a="1"/>
  <c r="E2289" i="2" s="1"/>
  <c r="H2285" i="2"/>
  <c r="I2285" i="2" s="1"/>
  <c r="P2285" i="2" s="1"/>
  <c r="J2288" i="2"/>
  <c r="K2288" i="2" s="1"/>
  <c r="G2288" i="2"/>
  <c r="A2290" i="2"/>
  <c r="B2289" i="2"/>
  <c r="C2289" i="2" s="1"/>
  <c r="D2289" i="2" s="1"/>
  <c r="M2289" i="2"/>
  <c r="F2289" i="2"/>
  <c r="O2289" i="2"/>
  <c r="N2284" i="2" l="1"/>
  <c r="L2289" i="2"/>
  <c r="E2290" i="2" a="1"/>
  <c r="E2290" i="2" s="1"/>
  <c r="N2285" i="2"/>
  <c r="J2289" i="2"/>
  <c r="K2289" i="2" s="1"/>
  <c r="G2289" i="2"/>
  <c r="M2290" i="2"/>
  <c r="F2290" i="2"/>
  <c r="A2291" i="2"/>
  <c r="O2290" i="2"/>
  <c r="B2290" i="2"/>
  <c r="C2290" i="2" s="1"/>
  <c r="D2290" i="2" s="1"/>
  <c r="H2286" i="2"/>
  <c r="I2286" i="2" s="1"/>
  <c r="P2286" i="2" s="1"/>
  <c r="L2290" i="2" l="1"/>
  <c r="N2286" i="2"/>
  <c r="E2291" i="2" a="1"/>
  <c r="E2291" i="2" s="1"/>
  <c r="H2287" i="2"/>
  <c r="I2287" i="2" s="1"/>
  <c r="P2287" i="2" s="1"/>
  <c r="A2292" i="2"/>
  <c r="B2291" i="2"/>
  <c r="C2291" i="2" s="1"/>
  <c r="D2291" i="2" s="1"/>
  <c r="L2291" i="2" s="1"/>
  <c r="O2291" i="2"/>
  <c r="M2291" i="2"/>
  <c r="F2291" i="2"/>
  <c r="J2290" i="2"/>
  <c r="K2290" i="2" s="1"/>
  <c r="G2290" i="2"/>
  <c r="E2292" i="2" l="1" a="1"/>
  <c r="E2292" i="2" s="1"/>
  <c r="N2287" i="2"/>
  <c r="G2291" i="2"/>
  <c r="J2291" i="2"/>
  <c r="K2291" i="2" s="1"/>
  <c r="A2293" i="2"/>
  <c r="B2292" i="2"/>
  <c r="C2292" i="2" s="1"/>
  <c r="D2292" i="2" s="1"/>
  <c r="F2292" i="2"/>
  <c r="O2292" i="2"/>
  <c r="M2292" i="2"/>
  <c r="H2288" i="2"/>
  <c r="I2288" i="2" s="1"/>
  <c r="P2288" i="2" s="1"/>
  <c r="E2293" i="2" l="1" a="1"/>
  <c r="E2293" i="2" s="1"/>
  <c r="N2288" i="2"/>
  <c r="L2292" i="2"/>
  <c r="H2289" i="2"/>
  <c r="I2289" i="2" s="1"/>
  <c r="P2289" i="2" s="1"/>
  <c r="J2292" i="2"/>
  <c r="K2292" i="2" s="1"/>
  <c r="G2292" i="2"/>
  <c r="O2293" i="2"/>
  <c r="M2293" i="2"/>
  <c r="F2293" i="2"/>
  <c r="B2293" i="2"/>
  <c r="C2293" i="2" s="1"/>
  <c r="D2293" i="2" s="1"/>
  <c r="A2294" i="2"/>
  <c r="L2293" i="2" l="1"/>
  <c r="N2289" i="2"/>
  <c r="E2294" i="2" a="1"/>
  <c r="E2294" i="2" s="1"/>
  <c r="O2294" i="2"/>
  <c r="F2294" i="2"/>
  <c r="A2295" i="2"/>
  <c r="M2294" i="2"/>
  <c r="B2294" i="2"/>
  <c r="C2294" i="2" s="1"/>
  <c r="D2294" i="2" s="1"/>
  <c r="L2294" i="2" s="1"/>
  <c r="J2293" i="2"/>
  <c r="K2293" i="2" s="1"/>
  <c r="G2293" i="2"/>
  <c r="H2290" i="2"/>
  <c r="E2295" i="2" l="1" a="1"/>
  <c r="E2295" i="2" s="1"/>
  <c r="I2290" i="2"/>
  <c r="P2290" i="2" s="1"/>
  <c r="H2291" i="2"/>
  <c r="M2295" i="2"/>
  <c r="A2296" i="2"/>
  <c r="B2295" i="2"/>
  <c r="C2295" i="2" s="1"/>
  <c r="D2295" i="2" s="1"/>
  <c r="O2295" i="2"/>
  <c r="F2295" i="2"/>
  <c r="J2294" i="2"/>
  <c r="K2294" i="2" s="1"/>
  <c r="G2294" i="2"/>
  <c r="L2295" i="2" l="1"/>
  <c r="N2290" i="2"/>
  <c r="I2291" i="2"/>
  <c r="P2291" i="2" s="1"/>
  <c r="E2296" i="2" a="1"/>
  <c r="E2296" i="2" s="1"/>
  <c r="G2295" i="2"/>
  <c r="J2295" i="2"/>
  <c r="K2295" i="2" s="1"/>
  <c r="M2296" i="2"/>
  <c r="F2296" i="2"/>
  <c r="A2297" i="2"/>
  <c r="O2296" i="2"/>
  <c r="B2296" i="2"/>
  <c r="C2296" i="2" s="1"/>
  <c r="D2296" i="2" s="1"/>
  <c r="L2296" i="2" s="1"/>
  <c r="H2292" i="2"/>
  <c r="I2292" i="2" s="1"/>
  <c r="P2292" i="2" s="1"/>
  <c r="N2292" i="2" l="1"/>
  <c r="E2297" i="2" a="1"/>
  <c r="E2297" i="2" s="1"/>
  <c r="N2291" i="2"/>
  <c r="H2293" i="2"/>
  <c r="F2297" i="2"/>
  <c r="A2298" i="2"/>
  <c r="B2297" i="2"/>
  <c r="C2297" i="2" s="1"/>
  <c r="D2297" i="2" s="1"/>
  <c r="L2297" i="2" s="1"/>
  <c r="O2297" i="2"/>
  <c r="M2297" i="2"/>
  <c r="J2296" i="2"/>
  <c r="K2296" i="2" s="1"/>
  <c r="G2296" i="2"/>
  <c r="I2293" i="2" l="1"/>
  <c r="P2293" i="2" s="1"/>
  <c r="E2298" i="2" a="1"/>
  <c r="E2298" i="2" s="1"/>
  <c r="A2299" i="2"/>
  <c r="B2298" i="2"/>
  <c r="C2298" i="2" s="1"/>
  <c r="D2298" i="2" s="1"/>
  <c r="L2298" i="2" s="1"/>
  <c r="O2298" i="2"/>
  <c r="M2298" i="2"/>
  <c r="F2298" i="2"/>
  <c r="J2297" i="2"/>
  <c r="K2297" i="2" s="1"/>
  <c r="G2297" i="2"/>
  <c r="H2294" i="2"/>
  <c r="I2294" i="2" s="1"/>
  <c r="P2294" i="2" s="1"/>
  <c r="E2299" i="2" l="1" a="1"/>
  <c r="E2299" i="2" s="1"/>
  <c r="N2293" i="2"/>
  <c r="N2294" i="2"/>
  <c r="H2295" i="2"/>
  <c r="I2295" i="2" s="1"/>
  <c r="P2295" i="2" s="1"/>
  <c r="J2298" i="2"/>
  <c r="K2298" i="2" s="1"/>
  <c r="G2298" i="2"/>
  <c r="A2300" i="2"/>
  <c r="B2299" i="2"/>
  <c r="C2299" i="2" s="1"/>
  <c r="D2299" i="2" s="1"/>
  <c r="L2299" i="2" s="1"/>
  <c r="O2299" i="2"/>
  <c r="M2299" i="2"/>
  <c r="F2299" i="2"/>
  <c r="N2295" i="2" l="1"/>
  <c r="E2300" i="2" a="1"/>
  <c r="E2300" i="2" s="1"/>
  <c r="J2299" i="2"/>
  <c r="K2299" i="2" s="1"/>
  <c r="G2299" i="2"/>
  <c r="F2300" i="2"/>
  <c r="O2300" i="2"/>
  <c r="B2300" i="2"/>
  <c r="C2300" i="2" s="1"/>
  <c r="D2300" i="2" s="1"/>
  <c r="A2301" i="2"/>
  <c r="M2300" i="2"/>
  <c r="H2296" i="2"/>
  <c r="I2296" i="2" s="1"/>
  <c r="P2296" i="2" s="1"/>
  <c r="N2296" i="2" l="1"/>
  <c r="L2300" i="2"/>
  <c r="E2301" i="2" a="1"/>
  <c r="E2301" i="2" s="1"/>
  <c r="H2297" i="2"/>
  <c r="A2302" i="2"/>
  <c r="B2301" i="2"/>
  <c r="C2301" i="2" s="1"/>
  <c r="D2301" i="2" s="1"/>
  <c r="L2301" i="2" s="1"/>
  <c r="O2301" i="2"/>
  <c r="M2301" i="2"/>
  <c r="F2301" i="2"/>
  <c r="J2300" i="2"/>
  <c r="K2300" i="2" s="1"/>
  <c r="G2300" i="2"/>
  <c r="E2302" i="2" l="1" a="1"/>
  <c r="E2302" i="2" s="1"/>
  <c r="I2297" i="2"/>
  <c r="P2297" i="2" s="1"/>
  <c r="G2301" i="2"/>
  <c r="J2301" i="2"/>
  <c r="K2301" i="2" s="1"/>
  <c r="F2302" i="2"/>
  <c r="A2303" i="2"/>
  <c r="B2302" i="2"/>
  <c r="C2302" i="2" s="1"/>
  <c r="D2302" i="2" s="1"/>
  <c r="L2302" i="2" s="1"/>
  <c r="M2302" i="2"/>
  <c r="O2302" i="2"/>
  <c r="H2298" i="2"/>
  <c r="I2298" i="2" s="1"/>
  <c r="P2298" i="2" s="1"/>
  <c r="N2297" i="2" l="1"/>
  <c r="E2303" i="2" a="1"/>
  <c r="E2303" i="2" s="1"/>
  <c r="N2298" i="2"/>
  <c r="H2299" i="2"/>
  <c r="F2303" i="2"/>
  <c r="O2303" i="2"/>
  <c r="M2303" i="2"/>
  <c r="A2304" i="2"/>
  <c r="B2303" i="2"/>
  <c r="C2303" i="2" s="1"/>
  <c r="D2303" i="2" s="1"/>
  <c r="L2303" i="2" s="1"/>
  <c r="G2302" i="2"/>
  <c r="J2302" i="2"/>
  <c r="K2302" i="2" s="1"/>
  <c r="E2304" i="2" l="1" a="1"/>
  <c r="E2304" i="2" s="1"/>
  <c r="I2299" i="2"/>
  <c r="P2299" i="2" s="1"/>
  <c r="O2304" i="2"/>
  <c r="A2305" i="2"/>
  <c r="M2304" i="2"/>
  <c r="F2304" i="2"/>
  <c r="B2304" i="2"/>
  <c r="C2304" i="2" s="1"/>
  <c r="D2304" i="2" s="1"/>
  <c r="L2304" i="2" s="1"/>
  <c r="J2303" i="2"/>
  <c r="K2303" i="2" s="1"/>
  <c r="G2303" i="2"/>
  <c r="H2300" i="2"/>
  <c r="I2300" i="2" s="1"/>
  <c r="P2300" i="2" s="1"/>
  <c r="N2299" i="2" l="1"/>
  <c r="N2300" i="2"/>
  <c r="E2305" i="2" a="1"/>
  <c r="E2305" i="2" s="1"/>
  <c r="H2301" i="2"/>
  <c r="I2301" i="2" s="1"/>
  <c r="P2301" i="2" s="1"/>
  <c r="J2304" i="2"/>
  <c r="K2304" i="2" s="1"/>
  <c r="G2304" i="2"/>
  <c r="A2306" i="2"/>
  <c r="B2305" i="2"/>
  <c r="C2305" i="2" s="1"/>
  <c r="D2305" i="2" s="1"/>
  <c r="M2305" i="2"/>
  <c r="O2305" i="2"/>
  <c r="F2305" i="2"/>
  <c r="E2306" i="2" l="1" a="1"/>
  <c r="E2306" i="2" s="1"/>
  <c r="L2305" i="2"/>
  <c r="N2301" i="2"/>
  <c r="J2305" i="2"/>
  <c r="K2305" i="2" s="1"/>
  <c r="G2305" i="2"/>
  <c r="A2307" i="2"/>
  <c r="B2306" i="2"/>
  <c r="C2306" i="2" s="1"/>
  <c r="D2306" i="2" s="1"/>
  <c r="L2306" i="2" s="1"/>
  <c r="M2306" i="2"/>
  <c r="F2306" i="2"/>
  <c r="O2306" i="2"/>
  <c r="H2302" i="2"/>
  <c r="I2302" i="2" l="1"/>
  <c r="P2302" i="2" s="1"/>
  <c r="E2307" i="2" a="1"/>
  <c r="E2307" i="2" s="1"/>
  <c r="H2303" i="2"/>
  <c r="I2303" i="2" s="1"/>
  <c r="P2303" i="2" s="1"/>
  <c r="J2306" i="2"/>
  <c r="K2306" i="2" s="1"/>
  <c r="G2306" i="2"/>
  <c r="A2308" i="2"/>
  <c r="B2307" i="2"/>
  <c r="C2307" i="2" s="1"/>
  <c r="D2307" i="2" s="1"/>
  <c r="L2307" i="2" s="1"/>
  <c r="O2307" i="2"/>
  <c r="M2307" i="2"/>
  <c r="F2307" i="2"/>
  <c r="E2308" i="2" l="1" a="1"/>
  <c r="E2308" i="2" s="1"/>
  <c r="N2303" i="2"/>
  <c r="N2302" i="2"/>
  <c r="G2307" i="2"/>
  <c r="J2307" i="2"/>
  <c r="K2307" i="2" s="1"/>
  <c r="A2309" i="2"/>
  <c r="B2308" i="2"/>
  <c r="C2308" i="2" s="1"/>
  <c r="D2308" i="2" s="1"/>
  <c r="L2308" i="2" s="1"/>
  <c r="O2308" i="2"/>
  <c r="F2308" i="2"/>
  <c r="M2308" i="2"/>
  <c r="H2304" i="2"/>
  <c r="I2304" i="2" s="1"/>
  <c r="P2304" i="2" s="1"/>
  <c r="N2304" i="2" l="1"/>
  <c r="E2309" i="2" a="1"/>
  <c r="E2309" i="2" s="1"/>
  <c r="H2305" i="2"/>
  <c r="I2305" i="2" s="1"/>
  <c r="P2305" i="2" s="1"/>
  <c r="J2308" i="2"/>
  <c r="K2308" i="2" s="1"/>
  <c r="G2308" i="2"/>
  <c r="A2310" i="2"/>
  <c r="B2309" i="2"/>
  <c r="C2309" i="2" s="1"/>
  <c r="D2309" i="2" s="1"/>
  <c r="L2309" i="2" s="1"/>
  <c r="O2309" i="2"/>
  <c r="M2309" i="2"/>
  <c r="F2309" i="2"/>
  <c r="E2310" i="2" l="1" a="1"/>
  <c r="E2310" i="2" s="1"/>
  <c r="N2305" i="2"/>
  <c r="J2309" i="2"/>
  <c r="K2309" i="2" s="1"/>
  <c r="G2309" i="2"/>
  <c r="O2310" i="2"/>
  <c r="M2310" i="2"/>
  <c r="F2310" i="2"/>
  <c r="A2311" i="2"/>
  <c r="B2310" i="2"/>
  <c r="C2310" i="2" s="1"/>
  <c r="D2310" i="2" s="1"/>
  <c r="H2306" i="2"/>
  <c r="I2306" i="2" l="1"/>
  <c r="P2306" i="2" s="1"/>
  <c r="L2310" i="2"/>
  <c r="E2311" i="2" a="1"/>
  <c r="E2311" i="2" s="1"/>
  <c r="H2307" i="2"/>
  <c r="O2311" i="2"/>
  <c r="M2311" i="2"/>
  <c r="A2312" i="2"/>
  <c r="B2311" i="2"/>
  <c r="C2311" i="2" s="1"/>
  <c r="D2311" i="2" s="1"/>
  <c r="L2311" i="2" s="1"/>
  <c r="F2311" i="2"/>
  <c r="J2310" i="2"/>
  <c r="K2310" i="2" s="1"/>
  <c r="G2310" i="2"/>
  <c r="I2307" i="2" l="1"/>
  <c r="P2307" i="2" s="1"/>
  <c r="E2312" i="2" a="1"/>
  <c r="E2312" i="2" s="1"/>
  <c r="N2306" i="2"/>
  <c r="G2311" i="2"/>
  <c r="J2311" i="2"/>
  <c r="K2311" i="2" s="1"/>
  <c r="M2312" i="2"/>
  <c r="F2312" i="2"/>
  <c r="A2313" i="2"/>
  <c r="O2312" i="2"/>
  <c r="B2312" i="2"/>
  <c r="C2312" i="2" s="1"/>
  <c r="D2312" i="2" s="1"/>
  <c r="L2312" i="2" s="1"/>
  <c r="H2308" i="2"/>
  <c r="I2308" i="2" s="1"/>
  <c r="P2308" i="2" s="1"/>
  <c r="N2307" i="2" l="1"/>
  <c r="N2308" i="2"/>
  <c r="E2313" i="2" a="1"/>
  <c r="E2313" i="2" s="1"/>
  <c r="H2309" i="2"/>
  <c r="I2309" i="2" s="1"/>
  <c r="P2309" i="2" s="1"/>
  <c r="M2313" i="2"/>
  <c r="F2313" i="2"/>
  <c r="A2314" i="2"/>
  <c r="B2313" i="2"/>
  <c r="C2313" i="2" s="1"/>
  <c r="D2313" i="2" s="1"/>
  <c r="O2313" i="2"/>
  <c r="J2312" i="2"/>
  <c r="K2312" i="2" s="1"/>
  <c r="G2312" i="2"/>
  <c r="L2313" i="2" l="1"/>
  <c r="N2309" i="2"/>
  <c r="E2314" i="2" a="1"/>
  <c r="E2314" i="2" s="1"/>
  <c r="A2315" i="2"/>
  <c r="B2314" i="2"/>
  <c r="C2314" i="2" s="1"/>
  <c r="D2314" i="2" s="1"/>
  <c r="M2314" i="2"/>
  <c r="F2314" i="2"/>
  <c r="O2314" i="2"/>
  <c r="J2313" i="2"/>
  <c r="K2313" i="2" s="1"/>
  <c r="G2313" i="2"/>
  <c r="H2310" i="2"/>
  <c r="L2314" i="2" l="1"/>
  <c r="I2310" i="2"/>
  <c r="P2310" i="2" s="1"/>
  <c r="E2315" i="2" a="1"/>
  <c r="E2315" i="2" s="1"/>
  <c r="H2311" i="2"/>
  <c r="I2311" i="2" s="1"/>
  <c r="P2311" i="2" s="1"/>
  <c r="J2314" i="2"/>
  <c r="K2314" i="2" s="1"/>
  <c r="G2314" i="2"/>
  <c r="A2316" i="2"/>
  <c r="B2315" i="2"/>
  <c r="C2315" i="2" s="1"/>
  <c r="D2315" i="2" s="1"/>
  <c r="L2315" i="2" s="1"/>
  <c r="O2315" i="2"/>
  <c r="M2315" i="2"/>
  <c r="F2315" i="2"/>
  <c r="N2310" i="2" l="1"/>
  <c r="E2316" i="2" a="1"/>
  <c r="E2316" i="2" s="1"/>
  <c r="N2311" i="2"/>
  <c r="J2315" i="2"/>
  <c r="K2315" i="2" s="1"/>
  <c r="G2315" i="2"/>
  <c r="F2316" i="2"/>
  <c r="A2317" i="2"/>
  <c r="B2316" i="2"/>
  <c r="C2316" i="2" s="1"/>
  <c r="D2316" i="2" s="1"/>
  <c r="O2316" i="2"/>
  <c r="M2316" i="2"/>
  <c r="H2312" i="2"/>
  <c r="I2312" i="2" l="1"/>
  <c r="P2312" i="2" s="1"/>
  <c r="L2316" i="2"/>
  <c r="E2317" i="2" a="1"/>
  <c r="E2317" i="2" s="1"/>
  <c r="H2313" i="2"/>
  <c r="I2313" i="2" s="1"/>
  <c r="P2313" i="2" s="1"/>
  <c r="F2317" i="2"/>
  <c r="A2318" i="2"/>
  <c r="B2317" i="2"/>
  <c r="C2317" i="2" s="1"/>
  <c r="D2317" i="2" s="1"/>
  <c r="L2317" i="2" s="1"/>
  <c r="O2317" i="2"/>
  <c r="M2317" i="2"/>
  <c r="J2316" i="2"/>
  <c r="K2316" i="2" s="1"/>
  <c r="G2316" i="2"/>
  <c r="E2318" i="2" l="1" a="1"/>
  <c r="E2318" i="2" s="1"/>
  <c r="N2313" i="2"/>
  <c r="N2312" i="2"/>
  <c r="F2318" i="2"/>
  <c r="A2319" i="2"/>
  <c r="B2318" i="2"/>
  <c r="C2318" i="2" s="1"/>
  <c r="D2318" i="2" s="1"/>
  <c r="O2318" i="2"/>
  <c r="M2318" i="2"/>
  <c r="G2317" i="2"/>
  <c r="J2317" i="2"/>
  <c r="K2317" i="2" s="1"/>
  <c r="H2314" i="2"/>
  <c r="I2314" i="2" l="1"/>
  <c r="P2314" i="2" s="1"/>
  <c r="L2318" i="2"/>
  <c r="E2319" i="2" a="1"/>
  <c r="E2319" i="2" s="1"/>
  <c r="H2315" i="2"/>
  <c r="F2319" i="2"/>
  <c r="O2319" i="2"/>
  <c r="M2319" i="2"/>
  <c r="B2319" i="2"/>
  <c r="C2319" i="2" s="1"/>
  <c r="D2319" i="2" s="1"/>
  <c r="A2320" i="2"/>
  <c r="G2318" i="2"/>
  <c r="J2318" i="2"/>
  <c r="K2318" i="2" s="1"/>
  <c r="N2314" i="2" l="1"/>
  <c r="I2315" i="2"/>
  <c r="P2315" i="2" s="1"/>
  <c r="L2319" i="2"/>
  <c r="E2320" i="2" a="1"/>
  <c r="E2320" i="2" s="1"/>
  <c r="F2320" i="2"/>
  <c r="A2321" i="2"/>
  <c r="B2320" i="2"/>
  <c r="C2320" i="2" s="1"/>
  <c r="D2320" i="2" s="1"/>
  <c r="L2320" i="2" s="1"/>
  <c r="O2320" i="2"/>
  <c r="M2320" i="2"/>
  <c r="G2319" i="2"/>
  <c r="J2319" i="2"/>
  <c r="K2319" i="2" s="1"/>
  <c r="H2316" i="2"/>
  <c r="I2316" i="2" s="1"/>
  <c r="P2316" i="2" s="1"/>
  <c r="N2316" i="2" l="1"/>
  <c r="E2321" i="2" a="1"/>
  <c r="E2321" i="2" s="1"/>
  <c r="N2315" i="2"/>
  <c r="H2317" i="2"/>
  <c r="A2322" i="2"/>
  <c r="B2321" i="2"/>
  <c r="C2321" i="2" s="1"/>
  <c r="D2321" i="2" s="1"/>
  <c r="L2321" i="2" s="1"/>
  <c r="M2321" i="2"/>
  <c r="O2321" i="2"/>
  <c r="F2321" i="2"/>
  <c r="J2320" i="2"/>
  <c r="K2320" i="2" s="1"/>
  <c r="G2320" i="2"/>
  <c r="I2317" i="2" l="1"/>
  <c r="P2317" i="2" s="1"/>
  <c r="E2322" i="2" a="1"/>
  <c r="E2322" i="2" s="1"/>
  <c r="J2321" i="2"/>
  <c r="K2321" i="2" s="1"/>
  <c r="G2321" i="2"/>
  <c r="A2323" i="2"/>
  <c r="B2322" i="2"/>
  <c r="C2322" i="2" s="1"/>
  <c r="D2322" i="2" s="1"/>
  <c r="L2322" i="2" s="1"/>
  <c r="O2322" i="2"/>
  <c r="M2322" i="2"/>
  <c r="F2322" i="2"/>
  <c r="H2318" i="2"/>
  <c r="I2318" i="2" s="1"/>
  <c r="P2318" i="2" s="1"/>
  <c r="N2317" i="2" l="1"/>
  <c r="E2323" i="2" a="1"/>
  <c r="E2323" i="2" s="1"/>
  <c r="N2318" i="2"/>
  <c r="E2324" i="2" a="1"/>
  <c r="E2324" i="2" s="1"/>
  <c r="H2319" i="2"/>
  <c r="J2322" i="2"/>
  <c r="K2322" i="2" s="1"/>
  <c r="G2322" i="2"/>
  <c r="A2324" i="2"/>
  <c r="B2323" i="2"/>
  <c r="C2323" i="2" s="1"/>
  <c r="D2323" i="2" s="1"/>
  <c r="O2323" i="2"/>
  <c r="M2323" i="2"/>
  <c r="F2323" i="2"/>
  <c r="I2319" i="2" l="1"/>
  <c r="P2319" i="2" s="1"/>
  <c r="L2323" i="2"/>
  <c r="J2323" i="2"/>
  <c r="K2323" i="2" s="1"/>
  <c r="G2323" i="2"/>
  <c r="A2325" i="2"/>
  <c r="B2324" i="2"/>
  <c r="C2324" i="2" s="1"/>
  <c r="D2324" i="2" s="1"/>
  <c r="L2324" i="2" s="1"/>
  <c r="O2324" i="2"/>
  <c r="M2324" i="2"/>
  <c r="F2324" i="2"/>
  <c r="H2320" i="2"/>
  <c r="I2320" i="2" s="1"/>
  <c r="P2320" i="2" s="1"/>
  <c r="N2319" i="2" l="1"/>
  <c r="N2320" i="2"/>
  <c r="E2325" i="2" a="1"/>
  <c r="E2325" i="2" s="1"/>
  <c r="H2321" i="2"/>
  <c r="J2324" i="2"/>
  <c r="K2324" i="2" s="1"/>
  <c r="G2324" i="2"/>
  <c r="A2326" i="2"/>
  <c r="B2325" i="2"/>
  <c r="C2325" i="2" s="1"/>
  <c r="D2325" i="2" s="1"/>
  <c r="L2325" i="2" s="1"/>
  <c r="O2325" i="2"/>
  <c r="M2325" i="2"/>
  <c r="F2325" i="2"/>
  <c r="I2321" i="2" l="1"/>
  <c r="P2321" i="2" s="1"/>
  <c r="E2326" i="2" a="1"/>
  <c r="E2326" i="2" s="1"/>
  <c r="J2325" i="2"/>
  <c r="K2325" i="2" s="1"/>
  <c r="G2325" i="2"/>
  <c r="O2326" i="2"/>
  <c r="M2326" i="2"/>
  <c r="F2326" i="2"/>
  <c r="A2327" i="2"/>
  <c r="B2326" i="2"/>
  <c r="C2326" i="2" s="1"/>
  <c r="D2326" i="2" s="1"/>
  <c r="L2326" i="2" s="1"/>
  <c r="H2322" i="2"/>
  <c r="I2322" i="2" s="1"/>
  <c r="P2322" i="2" s="1"/>
  <c r="N2322" i="2" l="1"/>
  <c r="E2327" i="2" a="1"/>
  <c r="E2327" i="2" s="1"/>
  <c r="N2321" i="2"/>
  <c r="H2323" i="2"/>
  <c r="O2327" i="2"/>
  <c r="M2327" i="2"/>
  <c r="F2327" i="2"/>
  <c r="A2328" i="2"/>
  <c r="B2327" i="2"/>
  <c r="C2327" i="2" s="1"/>
  <c r="D2327" i="2" s="1"/>
  <c r="L2327" i="2" s="1"/>
  <c r="G2326" i="2"/>
  <c r="J2326" i="2"/>
  <c r="K2326" i="2" s="1"/>
  <c r="E2328" i="2" l="1" a="1"/>
  <c r="E2328" i="2" s="1"/>
  <c r="I2323" i="2"/>
  <c r="P2323" i="2" s="1"/>
  <c r="M2328" i="2"/>
  <c r="F2328" i="2"/>
  <c r="A2329" i="2"/>
  <c r="B2328" i="2"/>
  <c r="C2328" i="2" s="1"/>
  <c r="D2328" i="2" s="1"/>
  <c r="L2328" i="2" s="1"/>
  <c r="O2328" i="2"/>
  <c r="J2327" i="2"/>
  <c r="K2327" i="2" s="1"/>
  <c r="G2327" i="2"/>
  <c r="H2324" i="2"/>
  <c r="I2324" i="2" s="1"/>
  <c r="P2324" i="2" s="1"/>
  <c r="E2329" i="2" l="1" a="1"/>
  <c r="E2329" i="2" s="1"/>
  <c r="N2324" i="2"/>
  <c r="N2323" i="2"/>
  <c r="H2325" i="2"/>
  <c r="I2325" i="2" s="1"/>
  <c r="P2325" i="2" s="1"/>
  <c r="M2329" i="2"/>
  <c r="F2329" i="2"/>
  <c r="A2330" i="2"/>
  <c r="B2329" i="2"/>
  <c r="C2329" i="2" s="1"/>
  <c r="D2329" i="2" s="1"/>
  <c r="O2329" i="2"/>
  <c r="J2328" i="2"/>
  <c r="K2328" i="2" s="1"/>
  <c r="G2328" i="2"/>
  <c r="L2329" i="2" l="1"/>
  <c r="N2325" i="2"/>
  <c r="E2330" i="2" a="1"/>
  <c r="E2330" i="2" s="1"/>
  <c r="A2331" i="2"/>
  <c r="B2330" i="2"/>
  <c r="C2330" i="2" s="1"/>
  <c r="D2330" i="2" s="1"/>
  <c r="O2330" i="2"/>
  <c r="M2330" i="2"/>
  <c r="F2330" i="2"/>
  <c r="J2329" i="2"/>
  <c r="K2329" i="2" s="1"/>
  <c r="G2329" i="2"/>
  <c r="H2326" i="2"/>
  <c r="I2326" i="2" s="1"/>
  <c r="P2326" i="2" s="1"/>
  <c r="L2330" i="2" l="1"/>
  <c r="N2326" i="2"/>
  <c r="E2331" i="2" a="1"/>
  <c r="E2331" i="2" s="1"/>
  <c r="H2327" i="2"/>
  <c r="I2327" i="2" s="1"/>
  <c r="P2327" i="2" s="1"/>
  <c r="J2330" i="2"/>
  <c r="K2330" i="2" s="1"/>
  <c r="G2330" i="2"/>
  <c r="F2331" i="2"/>
  <c r="A2332" i="2"/>
  <c r="B2331" i="2"/>
  <c r="C2331" i="2" s="1"/>
  <c r="D2331" i="2" s="1"/>
  <c r="O2331" i="2"/>
  <c r="M2331" i="2"/>
  <c r="L2331" i="2" l="1"/>
  <c r="E2332" i="2" a="1"/>
  <c r="E2332" i="2" s="1"/>
  <c r="N2327" i="2"/>
  <c r="F2332" i="2"/>
  <c r="A2333" i="2"/>
  <c r="B2332" i="2"/>
  <c r="C2332" i="2" s="1"/>
  <c r="D2332" i="2" s="1"/>
  <c r="L2332" i="2" s="1"/>
  <c r="O2332" i="2"/>
  <c r="M2332" i="2"/>
  <c r="J2331" i="2"/>
  <c r="K2331" i="2" s="1"/>
  <c r="G2331" i="2"/>
  <c r="H2328" i="2"/>
  <c r="I2328" i="2" s="1"/>
  <c r="P2328" i="2" s="1"/>
  <c r="N2328" i="2" l="1"/>
  <c r="E2333" i="2" a="1"/>
  <c r="E2333" i="2" s="1"/>
  <c r="H2329" i="2"/>
  <c r="F2333" i="2"/>
  <c r="A2334" i="2"/>
  <c r="B2333" i="2"/>
  <c r="C2333" i="2" s="1"/>
  <c r="D2333" i="2" s="1"/>
  <c r="L2333" i="2" s="1"/>
  <c r="O2333" i="2"/>
  <c r="M2333" i="2"/>
  <c r="J2332" i="2"/>
  <c r="K2332" i="2" s="1"/>
  <c r="G2332" i="2"/>
  <c r="I2329" i="2" l="1"/>
  <c r="P2329" i="2" s="1"/>
  <c r="E2334" i="2" a="1"/>
  <c r="E2334" i="2" s="1"/>
  <c r="F2334" i="2"/>
  <c r="A2335" i="2"/>
  <c r="B2334" i="2"/>
  <c r="C2334" i="2" s="1"/>
  <c r="D2334" i="2" s="1"/>
  <c r="L2334" i="2" s="1"/>
  <c r="O2334" i="2"/>
  <c r="M2334" i="2"/>
  <c r="G2333" i="2"/>
  <c r="J2333" i="2"/>
  <c r="K2333" i="2" s="1"/>
  <c r="H2330" i="2"/>
  <c r="N2329" i="2" l="1"/>
  <c r="E2335" i="2" a="1"/>
  <c r="E2335" i="2" s="1"/>
  <c r="I2330" i="2"/>
  <c r="P2330" i="2" s="1"/>
  <c r="H2331" i="2"/>
  <c r="F2335" i="2"/>
  <c r="O2335" i="2"/>
  <c r="M2335" i="2"/>
  <c r="A2336" i="2"/>
  <c r="B2335" i="2"/>
  <c r="C2335" i="2" s="1"/>
  <c r="D2335" i="2" s="1"/>
  <c r="G2334" i="2"/>
  <c r="J2334" i="2"/>
  <c r="K2334" i="2" s="1"/>
  <c r="E2336" i="2" l="1" a="1"/>
  <c r="E2336" i="2" s="1"/>
  <c r="N2330" i="2"/>
  <c r="I2331" i="2"/>
  <c r="P2331" i="2" s="1"/>
  <c r="L2335" i="2"/>
  <c r="F2336" i="2"/>
  <c r="A2337" i="2"/>
  <c r="B2336" i="2"/>
  <c r="C2336" i="2" s="1"/>
  <c r="D2336" i="2" s="1"/>
  <c r="O2336" i="2"/>
  <c r="M2336" i="2"/>
  <c r="G2335" i="2"/>
  <c r="J2335" i="2"/>
  <c r="K2335" i="2" s="1"/>
  <c r="H2332" i="2"/>
  <c r="I2332" i="2" s="1"/>
  <c r="P2332" i="2" s="1"/>
  <c r="N2332" i="2" l="1"/>
  <c r="L2336" i="2"/>
  <c r="N2331" i="2"/>
  <c r="E2337" i="2" a="1"/>
  <c r="E2337" i="2" s="1"/>
  <c r="H2333" i="2"/>
  <c r="I2333" i="2" s="1"/>
  <c r="P2333" i="2" s="1"/>
  <c r="A2338" i="2"/>
  <c r="B2337" i="2"/>
  <c r="C2337" i="2" s="1"/>
  <c r="D2337" i="2" s="1"/>
  <c r="M2337" i="2"/>
  <c r="O2337" i="2"/>
  <c r="F2337" i="2"/>
  <c r="J2336" i="2"/>
  <c r="K2336" i="2" s="1"/>
  <c r="G2336" i="2"/>
  <c r="E2338" i="2" l="1" a="1"/>
  <c r="E2338" i="2" s="1"/>
  <c r="L2337" i="2"/>
  <c r="N2333" i="2"/>
  <c r="J2337" i="2"/>
  <c r="K2337" i="2" s="1"/>
  <c r="G2337" i="2"/>
  <c r="A2339" i="2"/>
  <c r="B2338" i="2"/>
  <c r="C2338" i="2" s="1"/>
  <c r="D2338" i="2" s="1"/>
  <c r="L2338" i="2" s="1"/>
  <c r="O2338" i="2"/>
  <c r="M2338" i="2"/>
  <c r="F2338" i="2"/>
  <c r="H2334" i="2"/>
  <c r="I2334" i="2" s="1"/>
  <c r="P2334" i="2" s="1"/>
  <c r="N2334" i="2" l="1"/>
  <c r="E2339" i="2" a="1"/>
  <c r="E2339" i="2" s="1"/>
  <c r="H2335" i="2"/>
  <c r="J2338" i="2"/>
  <c r="K2338" i="2" s="1"/>
  <c r="G2338" i="2"/>
  <c r="A2340" i="2"/>
  <c r="B2339" i="2"/>
  <c r="C2339" i="2" s="1"/>
  <c r="D2339" i="2" s="1"/>
  <c r="O2339" i="2"/>
  <c r="F2339" i="2"/>
  <c r="M2339" i="2"/>
  <c r="E2340" i="2" l="1" a="1"/>
  <c r="E2340" i="2" s="1"/>
  <c r="L2339" i="2"/>
  <c r="I2335" i="2"/>
  <c r="P2335" i="2" s="1"/>
  <c r="J2339" i="2"/>
  <c r="K2339" i="2" s="1"/>
  <c r="G2339" i="2"/>
  <c r="A2341" i="2"/>
  <c r="B2340" i="2"/>
  <c r="C2340" i="2" s="1"/>
  <c r="D2340" i="2" s="1"/>
  <c r="L2340" i="2" s="1"/>
  <c r="O2340" i="2"/>
  <c r="M2340" i="2"/>
  <c r="F2340" i="2"/>
  <c r="H2336" i="2"/>
  <c r="I2336" i="2" l="1"/>
  <c r="P2336" i="2" s="1"/>
  <c r="E2341" i="2" a="1"/>
  <c r="E2341" i="2" s="1"/>
  <c r="N2335" i="2"/>
  <c r="H2337" i="2"/>
  <c r="J2340" i="2"/>
  <c r="K2340" i="2" s="1"/>
  <c r="G2340" i="2"/>
  <c r="A2342" i="2"/>
  <c r="B2341" i="2"/>
  <c r="C2341" i="2" s="1"/>
  <c r="D2341" i="2" s="1"/>
  <c r="L2341" i="2" s="1"/>
  <c r="O2341" i="2"/>
  <c r="M2341" i="2"/>
  <c r="F2341" i="2"/>
  <c r="I2337" i="2" l="1"/>
  <c r="P2337" i="2" s="1"/>
  <c r="E2342" i="2" a="1"/>
  <c r="E2342" i="2" s="1"/>
  <c r="N2336" i="2"/>
  <c r="J2341" i="2"/>
  <c r="K2341" i="2" s="1"/>
  <c r="G2341" i="2"/>
  <c r="O2342" i="2"/>
  <c r="M2342" i="2"/>
  <c r="F2342" i="2"/>
  <c r="A2343" i="2"/>
  <c r="B2342" i="2"/>
  <c r="C2342" i="2" s="1"/>
  <c r="D2342" i="2" s="1"/>
  <c r="H2338" i="2"/>
  <c r="I2338" i="2" s="1"/>
  <c r="P2338" i="2" s="1"/>
  <c r="E2343" i="2" l="1" a="1"/>
  <c r="E2343" i="2" s="1"/>
  <c r="N2338" i="2"/>
  <c r="N2337" i="2"/>
  <c r="L2342" i="2"/>
  <c r="H2339" i="2"/>
  <c r="O2343" i="2"/>
  <c r="M2343" i="2"/>
  <c r="F2343" i="2"/>
  <c r="A2344" i="2"/>
  <c r="B2343" i="2"/>
  <c r="C2343" i="2" s="1"/>
  <c r="D2343" i="2" s="1"/>
  <c r="L2343" i="2" s="1"/>
  <c r="G2342" i="2"/>
  <c r="J2342" i="2"/>
  <c r="K2342" i="2" s="1"/>
  <c r="I2339" i="2" l="1"/>
  <c r="P2339" i="2" s="1"/>
  <c r="E2344" i="2" a="1"/>
  <c r="E2344" i="2" s="1"/>
  <c r="M2344" i="2"/>
  <c r="F2344" i="2"/>
  <c r="A2345" i="2"/>
  <c r="B2344" i="2"/>
  <c r="C2344" i="2" s="1"/>
  <c r="D2344" i="2" s="1"/>
  <c r="L2344" i="2" s="1"/>
  <c r="O2344" i="2"/>
  <c r="J2343" i="2"/>
  <c r="K2343" i="2" s="1"/>
  <c r="G2343" i="2"/>
  <c r="H2340" i="2"/>
  <c r="I2340" i="2" s="1"/>
  <c r="P2340" i="2" s="1"/>
  <c r="N2339" i="2" l="1"/>
  <c r="E2345" i="2" a="1"/>
  <c r="E2345" i="2" s="1"/>
  <c r="N2340" i="2"/>
  <c r="H2341" i="2"/>
  <c r="I2341" i="2" s="1"/>
  <c r="P2341" i="2" s="1"/>
  <c r="M2345" i="2"/>
  <c r="F2345" i="2"/>
  <c r="A2346" i="2"/>
  <c r="B2345" i="2"/>
  <c r="C2345" i="2" s="1"/>
  <c r="D2345" i="2" s="1"/>
  <c r="L2345" i="2" s="1"/>
  <c r="O2345" i="2"/>
  <c r="J2344" i="2"/>
  <c r="K2344" i="2" s="1"/>
  <c r="G2344" i="2"/>
  <c r="N2341" i="2" l="1"/>
  <c r="E2346" i="2" a="1"/>
  <c r="E2346" i="2" s="1"/>
  <c r="A2347" i="2"/>
  <c r="B2346" i="2"/>
  <c r="C2346" i="2" s="1"/>
  <c r="D2346" i="2" s="1"/>
  <c r="L2346" i="2" s="1"/>
  <c r="O2346" i="2"/>
  <c r="M2346" i="2"/>
  <c r="F2346" i="2"/>
  <c r="J2345" i="2"/>
  <c r="K2345" i="2" s="1"/>
  <c r="G2345" i="2"/>
  <c r="H2342" i="2"/>
  <c r="I2342" i="2" l="1"/>
  <c r="P2342" i="2" s="1"/>
  <c r="E2347" i="2" a="1"/>
  <c r="E2347" i="2" s="1"/>
  <c r="H2343" i="2"/>
  <c r="I2343" i="2" s="1"/>
  <c r="P2343" i="2" s="1"/>
  <c r="J2346" i="2"/>
  <c r="K2346" i="2" s="1"/>
  <c r="G2346" i="2"/>
  <c r="F2347" i="2"/>
  <c r="A2348" i="2"/>
  <c r="B2347" i="2"/>
  <c r="C2347" i="2" s="1"/>
  <c r="D2347" i="2" s="1"/>
  <c r="L2347" i="2" s="1"/>
  <c r="O2347" i="2"/>
  <c r="M2347" i="2"/>
  <c r="N2342" i="2" l="1"/>
  <c r="E2348" i="2" a="1"/>
  <c r="E2348" i="2" s="1"/>
  <c r="N2343" i="2"/>
  <c r="F2348" i="2"/>
  <c r="A2349" i="2"/>
  <c r="B2348" i="2"/>
  <c r="C2348" i="2" s="1"/>
  <c r="D2348" i="2" s="1"/>
  <c r="L2348" i="2" s="1"/>
  <c r="O2348" i="2"/>
  <c r="M2348" i="2"/>
  <c r="J2347" i="2"/>
  <c r="K2347" i="2" s="1"/>
  <c r="G2347" i="2"/>
  <c r="H2344" i="2"/>
  <c r="I2344" i="2" l="1"/>
  <c r="P2344" i="2" s="1"/>
  <c r="E2349" i="2" a="1"/>
  <c r="E2349" i="2" s="1"/>
  <c r="H2345" i="2"/>
  <c r="F2349" i="2"/>
  <c r="A2350" i="2"/>
  <c r="B2349" i="2"/>
  <c r="C2349" i="2" s="1"/>
  <c r="D2349" i="2" s="1"/>
  <c r="L2349" i="2" s="1"/>
  <c r="O2349" i="2"/>
  <c r="M2349" i="2"/>
  <c r="J2348" i="2"/>
  <c r="K2348" i="2" s="1"/>
  <c r="G2348" i="2"/>
  <c r="E2350" i="2" l="1" a="1"/>
  <c r="E2350" i="2" s="1"/>
  <c r="I2345" i="2"/>
  <c r="P2345" i="2" s="1"/>
  <c r="N2344" i="2"/>
  <c r="F2350" i="2"/>
  <c r="A2351" i="2"/>
  <c r="B2350" i="2"/>
  <c r="C2350" i="2" s="1"/>
  <c r="D2350" i="2" s="1"/>
  <c r="L2350" i="2" s="1"/>
  <c r="O2350" i="2"/>
  <c r="M2350" i="2"/>
  <c r="G2349" i="2"/>
  <c r="J2349" i="2"/>
  <c r="K2349" i="2" s="1"/>
  <c r="H2346" i="2"/>
  <c r="N2345" i="2" l="1"/>
  <c r="E2351" i="2" a="1"/>
  <c r="E2351" i="2" s="1"/>
  <c r="I2346" i="2"/>
  <c r="P2346" i="2" s="1"/>
  <c r="H2347" i="2"/>
  <c r="F2351" i="2"/>
  <c r="O2351" i="2"/>
  <c r="M2351" i="2"/>
  <c r="A2352" i="2"/>
  <c r="B2351" i="2"/>
  <c r="C2351" i="2" s="1"/>
  <c r="D2351" i="2" s="1"/>
  <c r="G2350" i="2"/>
  <c r="J2350" i="2"/>
  <c r="K2350" i="2" s="1"/>
  <c r="N2346" i="2" l="1"/>
  <c r="L2351" i="2"/>
  <c r="I2347" i="2"/>
  <c r="P2347" i="2" s="1"/>
  <c r="E2352" i="2" a="1"/>
  <c r="E2352" i="2" s="1"/>
  <c r="F2352" i="2"/>
  <c r="A2353" i="2"/>
  <c r="B2352" i="2"/>
  <c r="C2352" i="2" s="1"/>
  <c r="D2352" i="2" s="1"/>
  <c r="L2352" i="2" s="1"/>
  <c r="O2352" i="2"/>
  <c r="M2352" i="2"/>
  <c r="G2351" i="2"/>
  <c r="J2351" i="2"/>
  <c r="K2351" i="2" s="1"/>
  <c r="H2348" i="2"/>
  <c r="N2347" i="2" l="1"/>
  <c r="I2348" i="2"/>
  <c r="P2348" i="2" s="1"/>
  <c r="E2353" i="2" a="1"/>
  <c r="E2353" i="2" s="1"/>
  <c r="H2349" i="2"/>
  <c r="A2354" i="2"/>
  <c r="B2353" i="2"/>
  <c r="C2353" i="2" s="1"/>
  <c r="D2353" i="2" s="1"/>
  <c r="L2353" i="2" s="1"/>
  <c r="M2353" i="2"/>
  <c r="O2353" i="2"/>
  <c r="F2353" i="2"/>
  <c r="J2352" i="2"/>
  <c r="K2352" i="2" s="1"/>
  <c r="G2352" i="2"/>
  <c r="I2349" i="2" l="1"/>
  <c r="P2349" i="2" s="1"/>
  <c r="E2354" i="2" a="1"/>
  <c r="E2354" i="2" s="1"/>
  <c r="N2348" i="2"/>
  <c r="J2353" i="2"/>
  <c r="K2353" i="2" s="1"/>
  <c r="G2353" i="2"/>
  <c r="A2355" i="2"/>
  <c r="B2354" i="2"/>
  <c r="C2354" i="2" s="1"/>
  <c r="D2354" i="2" s="1"/>
  <c r="O2354" i="2"/>
  <c r="M2354" i="2"/>
  <c r="F2354" i="2"/>
  <c r="H2350" i="2"/>
  <c r="I2350" i="2" s="1"/>
  <c r="P2350" i="2" s="1"/>
  <c r="N2350" i="2" l="1"/>
  <c r="L2354" i="2"/>
  <c r="N2349" i="2"/>
  <c r="E2355" i="2" a="1"/>
  <c r="E2355" i="2" s="1"/>
  <c r="H2351" i="2"/>
  <c r="J2354" i="2"/>
  <c r="K2354" i="2" s="1"/>
  <c r="G2354" i="2"/>
  <c r="A2356" i="2"/>
  <c r="B2355" i="2"/>
  <c r="C2355" i="2" s="1"/>
  <c r="D2355" i="2" s="1"/>
  <c r="L2355" i="2" s="1"/>
  <c r="O2355" i="2"/>
  <c r="F2355" i="2"/>
  <c r="M2355" i="2"/>
  <c r="E2356" i="2" l="1" a="1"/>
  <c r="E2356" i="2" s="1"/>
  <c r="I2351" i="2"/>
  <c r="P2351" i="2" s="1"/>
  <c r="J2355" i="2"/>
  <c r="K2355" i="2" s="1"/>
  <c r="G2355" i="2"/>
  <c r="A2357" i="2"/>
  <c r="B2356" i="2"/>
  <c r="C2356" i="2" s="1"/>
  <c r="D2356" i="2" s="1"/>
  <c r="L2356" i="2" s="1"/>
  <c r="O2356" i="2"/>
  <c r="M2356" i="2"/>
  <c r="F2356" i="2"/>
  <c r="H2352" i="2"/>
  <c r="I2352" i="2" s="1"/>
  <c r="P2352" i="2" s="1"/>
  <c r="N2352" i="2" l="1"/>
  <c r="E2357" i="2" a="1"/>
  <c r="E2357" i="2" s="1"/>
  <c r="N2351" i="2"/>
  <c r="H2353" i="2"/>
  <c r="I2353" i="2" s="1"/>
  <c r="P2353" i="2" s="1"/>
  <c r="J2356" i="2"/>
  <c r="K2356" i="2" s="1"/>
  <c r="G2356" i="2"/>
  <c r="A2358" i="2"/>
  <c r="B2357" i="2"/>
  <c r="C2357" i="2" s="1"/>
  <c r="D2357" i="2" s="1"/>
  <c r="L2357" i="2" s="1"/>
  <c r="O2357" i="2"/>
  <c r="M2357" i="2"/>
  <c r="F2357" i="2"/>
  <c r="N2353" i="2" l="1"/>
  <c r="E2358" i="2" a="1"/>
  <c r="E2358" i="2" s="1"/>
  <c r="J2357" i="2"/>
  <c r="K2357" i="2" s="1"/>
  <c r="G2357" i="2"/>
  <c r="O2358" i="2"/>
  <c r="M2358" i="2"/>
  <c r="F2358" i="2"/>
  <c r="A2359" i="2"/>
  <c r="B2358" i="2"/>
  <c r="C2358" i="2" s="1"/>
  <c r="D2358" i="2" s="1"/>
  <c r="H2354" i="2"/>
  <c r="E2359" i="2" l="1" a="1"/>
  <c r="E2359" i="2" s="1"/>
  <c r="I2354" i="2"/>
  <c r="P2354" i="2" s="1"/>
  <c r="L2358" i="2"/>
  <c r="H2355" i="2"/>
  <c r="I2355" i="2" s="1"/>
  <c r="P2355" i="2" s="1"/>
  <c r="O2359" i="2"/>
  <c r="M2359" i="2"/>
  <c r="F2359" i="2"/>
  <c r="A2360" i="2"/>
  <c r="B2359" i="2"/>
  <c r="C2359" i="2" s="1"/>
  <c r="D2359" i="2" s="1"/>
  <c r="G2358" i="2"/>
  <c r="J2358" i="2"/>
  <c r="K2358" i="2" s="1"/>
  <c r="E2360" i="2" l="1" a="1"/>
  <c r="E2360" i="2" s="1"/>
  <c r="L2359" i="2"/>
  <c r="N2355" i="2"/>
  <c r="N2354" i="2"/>
  <c r="M2360" i="2"/>
  <c r="F2360" i="2"/>
  <c r="A2361" i="2"/>
  <c r="B2360" i="2"/>
  <c r="C2360" i="2" s="1"/>
  <c r="D2360" i="2" s="1"/>
  <c r="L2360" i="2" s="1"/>
  <c r="O2360" i="2"/>
  <c r="J2359" i="2"/>
  <c r="K2359" i="2" s="1"/>
  <c r="G2359" i="2"/>
  <c r="H2356" i="2"/>
  <c r="I2356" i="2" s="1"/>
  <c r="P2356" i="2" s="1"/>
  <c r="E2361" i="2" l="1" a="1"/>
  <c r="E2361" i="2" s="1"/>
  <c r="N2356" i="2"/>
  <c r="H2357" i="2"/>
  <c r="I2357" i="2" s="1"/>
  <c r="P2357" i="2" s="1"/>
  <c r="M2361" i="2"/>
  <c r="F2361" i="2"/>
  <c r="A2362" i="2"/>
  <c r="B2361" i="2"/>
  <c r="C2361" i="2" s="1"/>
  <c r="D2361" i="2" s="1"/>
  <c r="O2361" i="2"/>
  <c r="J2360" i="2"/>
  <c r="K2360" i="2" s="1"/>
  <c r="G2360" i="2"/>
  <c r="L2361" i="2" l="1"/>
  <c r="N2357" i="2"/>
  <c r="E2362" i="2" a="1"/>
  <c r="E2362" i="2" s="1"/>
  <c r="A2363" i="2"/>
  <c r="B2362" i="2"/>
  <c r="C2362" i="2" s="1"/>
  <c r="D2362" i="2" s="1"/>
  <c r="O2362" i="2"/>
  <c r="F2362" i="2"/>
  <c r="M2362" i="2"/>
  <c r="J2361" i="2"/>
  <c r="K2361" i="2" s="1"/>
  <c r="G2361" i="2"/>
  <c r="H2358" i="2"/>
  <c r="I2358" i="2" s="1"/>
  <c r="P2358" i="2" s="1"/>
  <c r="L2362" i="2" l="1"/>
  <c r="E2363" i="2" a="1"/>
  <c r="E2363" i="2" s="1"/>
  <c r="N2358" i="2"/>
  <c r="H2359" i="2"/>
  <c r="I2359" i="2" s="1"/>
  <c r="P2359" i="2" s="1"/>
  <c r="J2362" i="2"/>
  <c r="K2362" i="2" s="1"/>
  <c r="G2362" i="2"/>
  <c r="F2363" i="2"/>
  <c r="A2364" i="2"/>
  <c r="B2363" i="2"/>
  <c r="C2363" i="2" s="1"/>
  <c r="D2363" i="2" s="1"/>
  <c r="L2363" i="2" s="1"/>
  <c r="O2363" i="2"/>
  <c r="M2363" i="2"/>
  <c r="N2359" i="2" l="1"/>
  <c r="E2364" i="2" a="1"/>
  <c r="E2364" i="2" s="1"/>
  <c r="F2364" i="2"/>
  <c r="A2365" i="2"/>
  <c r="B2364" i="2"/>
  <c r="C2364" i="2" s="1"/>
  <c r="D2364" i="2" s="1"/>
  <c r="L2364" i="2" s="1"/>
  <c r="O2364" i="2"/>
  <c r="M2364" i="2"/>
  <c r="J2363" i="2"/>
  <c r="K2363" i="2" s="1"/>
  <c r="G2363" i="2"/>
  <c r="H2360" i="2"/>
  <c r="I2360" i="2" l="1"/>
  <c r="P2360" i="2" s="1"/>
  <c r="E2365" i="2" a="1"/>
  <c r="E2365" i="2" s="1"/>
  <c r="H2361" i="2"/>
  <c r="F2365" i="2"/>
  <c r="A2366" i="2"/>
  <c r="B2365" i="2"/>
  <c r="C2365" i="2" s="1"/>
  <c r="D2365" i="2" s="1"/>
  <c r="L2365" i="2" s="1"/>
  <c r="O2365" i="2"/>
  <c r="M2365" i="2"/>
  <c r="J2364" i="2"/>
  <c r="K2364" i="2" s="1"/>
  <c r="G2364" i="2"/>
  <c r="N2360" i="2" l="1"/>
  <c r="I2361" i="2"/>
  <c r="P2361" i="2" s="1"/>
  <c r="E2366" i="2" a="1"/>
  <c r="E2366" i="2" s="1"/>
  <c r="F2366" i="2"/>
  <c r="A2367" i="2"/>
  <c r="B2366" i="2"/>
  <c r="C2366" i="2" s="1"/>
  <c r="D2366" i="2" s="1"/>
  <c r="O2366" i="2"/>
  <c r="M2366" i="2"/>
  <c r="G2365" i="2"/>
  <c r="J2365" i="2"/>
  <c r="K2365" i="2" s="1"/>
  <c r="H2362" i="2"/>
  <c r="I2362" i="2" s="1"/>
  <c r="P2362" i="2" s="1"/>
  <c r="N2361" i="2" l="1"/>
  <c r="E2367" i="2" a="1"/>
  <c r="E2367" i="2" s="1"/>
  <c r="L2366" i="2"/>
  <c r="N2362" i="2"/>
  <c r="H2363" i="2"/>
  <c r="I2363" i="2" s="1"/>
  <c r="P2363" i="2" s="1"/>
  <c r="F2367" i="2"/>
  <c r="O2367" i="2"/>
  <c r="M2367" i="2"/>
  <c r="A2368" i="2"/>
  <c r="B2367" i="2"/>
  <c r="C2367" i="2" s="1"/>
  <c r="D2367" i="2" s="1"/>
  <c r="G2366" i="2"/>
  <c r="J2366" i="2"/>
  <c r="K2366" i="2" s="1"/>
  <c r="E2368" i="2" l="1" a="1"/>
  <c r="E2368" i="2" s="1"/>
  <c r="N2363" i="2"/>
  <c r="L2367" i="2"/>
  <c r="F2368" i="2"/>
  <c r="A2369" i="2"/>
  <c r="B2368" i="2"/>
  <c r="C2368" i="2" s="1"/>
  <c r="D2368" i="2" s="1"/>
  <c r="L2368" i="2" s="1"/>
  <c r="O2368" i="2"/>
  <c r="M2368" i="2"/>
  <c r="G2367" i="2"/>
  <c r="J2367" i="2"/>
  <c r="K2367" i="2" s="1"/>
  <c r="H2364" i="2"/>
  <c r="I2364" i="2" s="1"/>
  <c r="P2364" i="2" s="1"/>
  <c r="E2369" i="2" l="1" a="1"/>
  <c r="E2369" i="2" s="1"/>
  <c r="N2364" i="2"/>
  <c r="H2365" i="2"/>
  <c r="A2370" i="2"/>
  <c r="B2369" i="2"/>
  <c r="C2369" i="2" s="1"/>
  <c r="D2369" i="2" s="1"/>
  <c r="L2369" i="2" s="1"/>
  <c r="M2369" i="2"/>
  <c r="O2369" i="2"/>
  <c r="F2369" i="2"/>
  <c r="J2368" i="2"/>
  <c r="K2368" i="2" s="1"/>
  <c r="G2368" i="2"/>
  <c r="E2370" i="2" l="1" a="1"/>
  <c r="E2370" i="2" s="1"/>
  <c r="I2365" i="2"/>
  <c r="P2365" i="2" s="1"/>
  <c r="J2369" i="2"/>
  <c r="K2369" i="2" s="1"/>
  <c r="G2369" i="2"/>
  <c r="A2371" i="2"/>
  <c r="B2370" i="2"/>
  <c r="C2370" i="2" s="1"/>
  <c r="D2370" i="2" s="1"/>
  <c r="L2370" i="2" s="1"/>
  <c r="O2370" i="2"/>
  <c r="M2370" i="2"/>
  <c r="F2370" i="2"/>
  <c r="H2366" i="2"/>
  <c r="I2366" i="2" s="1"/>
  <c r="P2366" i="2" s="1"/>
  <c r="E2371" i="2" l="1" a="1"/>
  <c r="E2371" i="2" s="1"/>
  <c r="N2366" i="2"/>
  <c r="N2365" i="2"/>
  <c r="H2367" i="2"/>
  <c r="I2367" i="2" s="1"/>
  <c r="P2367" i="2" s="1"/>
  <c r="J2370" i="2"/>
  <c r="K2370" i="2" s="1"/>
  <c r="G2370" i="2"/>
  <c r="A2372" i="2"/>
  <c r="B2371" i="2"/>
  <c r="C2371" i="2" s="1"/>
  <c r="D2371" i="2" s="1"/>
  <c r="L2371" i="2" s="1"/>
  <c r="O2371" i="2"/>
  <c r="F2371" i="2"/>
  <c r="M2371" i="2"/>
  <c r="E2372" i="2" l="1" a="1"/>
  <c r="E2372" i="2" s="1"/>
  <c r="N2367" i="2"/>
  <c r="J2371" i="2"/>
  <c r="K2371" i="2" s="1"/>
  <c r="G2371" i="2"/>
  <c r="A2373" i="2"/>
  <c r="B2372" i="2"/>
  <c r="C2372" i="2" s="1"/>
  <c r="D2372" i="2" s="1"/>
  <c r="L2372" i="2" s="1"/>
  <c r="O2372" i="2"/>
  <c r="M2372" i="2"/>
  <c r="F2372" i="2"/>
  <c r="H2368" i="2"/>
  <c r="E2373" i="2" l="1" a="1"/>
  <c r="E2373" i="2" s="1"/>
  <c r="I2368" i="2"/>
  <c r="P2368" i="2" s="1"/>
  <c r="H2369" i="2"/>
  <c r="J2372" i="2"/>
  <c r="K2372" i="2" s="1"/>
  <c r="G2372" i="2"/>
  <c r="A2374" i="2"/>
  <c r="B2373" i="2"/>
  <c r="C2373" i="2" s="1"/>
  <c r="D2373" i="2" s="1"/>
  <c r="O2373" i="2"/>
  <c r="M2373" i="2"/>
  <c r="F2373" i="2"/>
  <c r="E2374" i="2" l="1" a="1"/>
  <c r="E2374" i="2" s="1"/>
  <c r="I2369" i="2"/>
  <c r="P2369" i="2" s="1"/>
  <c r="L2373" i="2"/>
  <c r="N2368" i="2"/>
  <c r="J2373" i="2"/>
  <c r="K2373" i="2" s="1"/>
  <c r="G2373" i="2"/>
  <c r="O2374" i="2"/>
  <c r="M2374" i="2"/>
  <c r="F2374" i="2"/>
  <c r="A2375" i="2"/>
  <c r="B2374" i="2"/>
  <c r="C2374" i="2" s="1"/>
  <c r="D2374" i="2" s="1"/>
  <c r="H2370" i="2"/>
  <c r="L2374" i="2" l="1"/>
  <c r="N2369" i="2"/>
  <c r="E2375" i="2" a="1"/>
  <c r="E2375" i="2" s="1"/>
  <c r="I2370" i="2"/>
  <c r="P2370" i="2" s="1"/>
  <c r="H2371" i="2"/>
  <c r="O2375" i="2"/>
  <c r="M2375" i="2"/>
  <c r="F2375" i="2"/>
  <c r="A2376" i="2"/>
  <c r="B2375" i="2"/>
  <c r="C2375" i="2" s="1"/>
  <c r="D2375" i="2" s="1"/>
  <c r="L2375" i="2" s="1"/>
  <c r="G2374" i="2"/>
  <c r="J2374" i="2"/>
  <c r="K2374" i="2" s="1"/>
  <c r="I2371" i="2" l="1"/>
  <c r="P2371" i="2" s="1"/>
  <c r="N2370" i="2"/>
  <c r="E2376" i="2" a="1"/>
  <c r="E2376" i="2" s="1"/>
  <c r="M2376" i="2"/>
  <c r="F2376" i="2"/>
  <c r="A2377" i="2"/>
  <c r="B2376" i="2"/>
  <c r="C2376" i="2" s="1"/>
  <c r="D2376" i="2" s="1"/>
  <c r="O2376" i="2"/>
  <c r="J2375" i="2"/>
  <c r="K2375" i="2" s="1"/>
  <c r="G2375" i="2"/>
  <c r="H2372" i="2"/>
  <c r="I2372" i="2" s="1"/>
  <c r="P2372" i="2" s="1"/>
  <c r="N2371" i="2" l="1"/>
  <c r="N2372" i="2"/>
  <c r="L2376" i="2"/>
  <c r="E2377" i="2" a="1"/>
  <c r="E2377" i="2" s="1"/>
  <c r="H2373" i="2"/>
  <c r="I2373" i="2" s="1"/>
  <c r="P2373" i="2" s="1"/>
  <c r="M2377" i="2"/>
  <c r="F2377" i="2"/>
  <c r="A2378" i="2"/>
  <c r="B2377" i="2"/>
  <c r="C2377" i="2" s="1"/>
  <c r="D2377" i="2" s="1"/>
  <c r="O2377" i="2"/>
  <c r="J2376" i="2"/>
  <c r="K2376" i="2" s="1"/>
  <c r="G2376" i="2"/>
  <c r="E2378" i="2" l="1" a="1"/>
  <c r="E2378" i="2" s="1"/>
  <c r="L2377" i="2"/>
  <c r="N2373" i="2"/>
  <c r="A2379" i="2"/>
  <c r="B2378" i="2"/>
  <c r="C2378" i="2" s="1"/>
  <c r="D2378" i="2" s="1"/>
  <c r="L2378" i="2" s="1"/>
  <c r="O2378" i="2"/>
  <c r="M2378" i="2"/>
  <c r="F2378" i="2"/>
  <c r="J2377" i="2"/>
  <c r="K2377" i="2" s="1"/>
  <c r="G2377" i="2"/>
  <c r="H2374" i="2"/>
  <c r="I2374" i="2" s="1"/>
  <c r="P2374" i="2" s="1"/>
  <c r="N2374" i="2" l="1"/>
  <c r="E2379" i="2" a="1"/>
  <c r="E2379" i="2" s="1"/>
  <c r="H2375" i="2"/>
  <c r="I2375" i="2" s="1"/>
  <c r="P2375" i="2" s="1"/>
  <c r="J2378" i="2"/>
  <c r="K2378" i="2" s="1"/>
  <c r="G2378" i="2"/>
  <c r="F2379" i="2"/>
  <c r="A2380" i="2"/>
  <c r="B2379" i="2"/>
  <c r="C2379" i="2" s="1"/>
  <c r="D2379" i="2" s="1"/>
  <c r="O2379" i="2"/>
  <c r="M2379" i="2"/>
  <c r="N2375" i="2" l="1"/>
  <c r="L2379" i="2"/>
  <c r="E2380" i="2" a="1"/>
  <c r="E2380" i="2" s="1"/>
  <c r="F2380" i="2"/>
  <c r="A2381" i="2"/>
  <c r="B2380" i="2"/>
  <c r="C2380" i="2" s="1"/>
  <c r="D2380" i="2" s="1"/>
  <c r="L2380" i="2" s="1"/>
  <c r="O2380" i="2"/>
  <c r="M2380" i="2"/>
  <c r="J2379" i="2"/>
  <c r="K2379" i="2" s="1"/>
  <c r="G2379" i="2"/>
  <c r="H2376" i="2"/>
  <c r="I2376" i="2" s="1"/>
  <c r="P2376" i="2" s="1"/>
  <c r="N2376" i="2" l="1"/>
  <c r="E2381" i="2" a="1"/>
  <c r="E2381" i="2" s="1"/>
  <c r="H2377" i="2"/>
  <c r="F2381" i="2"/>
  <c r="A2382" i="2"/>
  <c r="B2381" i="2"/>
  <c r="C2381" i="2" s="1"/>
  <c r="D2381" i="2" s="1"/>
  <c r="L2381" i="2" s="1"/>
  <c r="O2381" i="2"/>
  <c r="M2381" i="2"/>
  <c r="J2380" i="2"/>
  <c r="K2380" i="2" s="1"/>
  <c r="G2380" i="2"/>
  <c r="I2377" i="2" l="1"/>
  <c r="P2377" i="2" s="1"/>
  <c r="E2382" i="2" a="1"/>
  <c r="E2382" i="2" s="1"/>
  <c r="F2382" i="2"/>
  <c r="A2383" i="2"/>
  <c r="B2382" i="2"/>
  <c r="C2382" i="2" s="1"/>
  <c r="D2382" i="2" s="1"/>
  <c r="L2382" i="2" s="1"/>
  <c r="O2382" i="2"/>
  <c r="M2382" i="2"/>
  <c r="G2381" i="2"/>
  <c r="J2381" i="2"/>
  <c r="K2381" i="2" s="1"/>
  <c r="H2378" i="2"/>
  <c r="I2378" i="2" l="1"/>
  <c r="P2378" i="2" s="1"/>
  <c r="N2377" i="2"/>
  <c r="E2383" i="2" a="1"/>
  <c r="E2383" i="2" s="1"/>
  <c r="H2379" i="2"/>
  <c r="F2383" i="2"/>
  <c r="O2383" i="2"/>
  <c r="M2383" i="2"/>
  <c r="A2384" i="2"/>
  <c r="B2383" i="2"/>
  <c r="C2383" i="2" s="1"/>
  <c r="D2383" i="2" s="1"/>
  <c r="G2382" i="2"/>
  <c r="J2382" i="2"/>
  <c r="K2382" i="2" s="1"/>
  <c r="N2378" i="2" l="1"/>
  <c r="L2383" i="2"/>
  <c r="E2384" i="2" a="1"/>
  <c r="E2384" i="2" s="1"/>
  <c r="I2379" i="2"/>
  <c r="P2379" i="2" s="1"/>
  <c r="F2384" i="2"/>
  <c r="A2385" i="2"/>
  <c r="B2384" i="2"/>
  <c r="C2384" i="2" s="1"/>
  <c r="D2384" i="2" s="1"/>
  <c r="O2384" i="2"/>
  <c r="M2384" i="2"/>
  <c r="G2383" i="2"/>
  <c r="J2383" i="2"/>
  <c r="K2383" i="2" s="1"/>
  <c r="H2380" i="2"/>
  <c r="N2379" i="2" l="1"/>
  <c r="I2380" i="2"/>
  <c r="P2380" i="2" s="1"/>
  <c r="L2384" i="2"/>
  <c r="E2385" i="2" a="1"/>
  <c r="E2385" i="2" s="1"/>
  <c r="H2381" i="2"/>
  <c r="I2381" i="2" s="1"/>
  <c r="P2381" i="2" s="1"/>
  <c r="A2386" i="2"/>
  <c r="B2385" i="2"/>
  <c r="C2385" i="2" s="1"/>
  <c r="D2385" i="2" s="1"/>
  <c r="L2385" i="2" s="1"/>
  <c r="M2385" i="2"/>
  <c r="O2385" i="2"/>
  <c r="F2385" i="2"/>
  <c r="J2384" i="2"/>
  <c r="K2384" i="2" s="1"/>
  <c r="G2384" i="2"/>
  <c r="N2380" i="2" l="1"/>
  <c r="E2386" i="2" a="1"/>
  <c r="E2386" i="2" s="1"/>
  <c r="N2381" i="2"/>
  <c r="J2385" i="2"/>
  <c r="K2385" i="2" s="1"/>
  <c r="G2385" i="2"/>
  <c r="A2387" i="2"/>
  <c r="B2386" i="2"/>
  <c r="C2386" i="2" s="1"/>
  <c r="D2386" i="2" s="1"/>
  <c r="L2386" i="2" s="1"/>
  <c r="O2386" i="2"/>
  <c r="M2386" i="2"/>
  <c r="F2386" i="2"/>
  <c r="H2382" i="2"/>
  <c r="I2382" i="2" s="1"/>
  <c r="P2382" i="2" s="1"/>
  <c r="E2387" i="2" l="1" a="1"/>
  <c r="E2387" i="2" s="1"/>
  <c r="N2382" i="2"/>
  <c r="H2383" i="2"/>
  <c r="J2386" i="2"/>
  <c r="K2386" i="2" s="1"/>
  <c r="G2386" i="2"/>
  <c r="A2388" i="2"/>
  <c r="B2387" i="2"/>
  <c r="C2387" i="2" s="1"/>
  <c r="D2387" i="2" s="1"/>
  <c r="L2387" i="2" s="1"/>
  <c r="O2387" i="2"/>
  <c r="F2387" i="2"/>
  <c r="M2387" i="2"/>
  <c r="I2383" i="2" l="1"/>
  <c r="P2383" i="2" s="1"/>
  <c r="E2388" i="2" a="1"/>
  <c r="E2388" i="2" s="1"/>
  <c r="J2387" i="2"/>
  <c r="K2387" i="2" s="1"/>
  <c r="G2387" i="2"/>
  <c r="A2389" i="2"/>
  <c r="B2388" i="2"/>
  <c r="C2388" i="2" s="1"/>
  <c r="D2388" i="2" s="1"/>
  <c r="L2388" i="2" s="1"/>
  <c r="O2388" i="2"/>
  <c r="M2388" i="2"/>
  <c r="F2388" i="2"/>
  <c r="H2384" i="2"/>
  <c r="I2384" i="2" s="1"/>
  <c r="P2384" i="2" s="1"/>
  <c r="N2384" i="2" l="1"/>
  <c r="N2383" i="2"/>
  <c r="E2389" i="2" a="1"/>
  <c r="E2389" i="2" s="1"/>
  <c r="H2385" i="2"/>
  <c r="I2385" i="2" s="1"/>
  <c r="P2385" i="2" s="1"/>
  <c r="J2388" i="2"/>
  <c r="K2388" i="2" s="1"/>
  <c r="G2388" i="2"/>
  <c r="A2390" i="2"/>
  <c r="B2389" i="2"/>
  <c r="C2389" i="2" s="1"/>
  <c r="D2389" i="2" s="1"/>
  <c r="L2389" i="2" s="1"/>
  <c r="O2389" i="2"/>
  <c r="M2389" i="2"/>
  <c r="F2389" i="2"/>
  <c r="N2385" i="2" l="1"/>
  <c r="E2390" i="2" a="1"/>
  <c r="E2390" i="2" s="1"/>
  <c r="J2389" i="2"/>
  <c r="K2389" i="2" s="1"/>
  <c r="G2389" i="2"/>
  <c r="O2390" i="2"/>
  <c r="M2390" i="2"/>
  <c r="F2390" i="2"/>
  <c r="A2391" i="2"/>
  <c r="B2390" i="2"/>
  <c r="C2390" i="2" s="1"/>
  <c r="D2390" i="2" s="1"/>
  <c r="H2386" i="2"/>
  <c r="I2386" i="2" l="1"/>
  <c r="P2386" i="2" s="1"/>
  <c r="L2390" i="2"/>
  <c r="E2391" i="2" a="1"/>
  <c r="E2391" i="2" s="1"/>
  <c r="H2387" i="2"/>
  <c r="I2387" i="2" s="1"/>
  <c r="P2387" i="2" s="1"/>
  <c r="O2391" i="2"/>
  <c r="M2391" i="2"/>
  <c r="F2391" i="2"/>
  <c r="A2392" i="2"/>
  <c r="B2391" i="2"/>
  <c r="C2391" i="2" s="1"/>
  <c r="D2391" i="2" s="1"/>
  <c r="G2390" i="2"/>
  <c r="J2390" i="2"/>
  <c r="K2390" i="2" s="1"/>
  <c r="L2391" i="2" l="1"/>
  <c r="N2387" i="2"/>
  <c r="N2386" i="2"/>
  <c r="E2392" i="2" a="1"/>
  <c r="E2392" i="2" s="1"/>
  <c r="M2392" i="2"/>
  <c r="F2392" i="2"/>
  <c r="A2393" i="2"/>
  <c r="B2392" i="2"/>
  <c r="C2392" i="2" s="1"/>
  <c r="D2392" i="2" s="1"/>
  <c r="O2392" i="2"/>
  <c r="J2391" i="2"/>
  <c r="K2391" i="2" s="1"/>
  <c r="G2391" i="2"/>
  <c r="H2388" i="2"/>
  <c r="I2388" i="2" s="1"/>
  <c r="P2388" i="2" s="1"/>
  <c r="L2392" i="2" l="1"/>
  <c r="N2388" i="2"/>
  <c r="E2393" i="2" a="1"/>
  <c r="E2393" i="2" s="1"/>
  <c r="H2389" i="2"/>
  <c r="M2393" i="2"/>
  <c r="F2393" i="2"/>
  <c r="A2394" i="2"/>
  <c r="B2393" i="2"/>
  <c r="C2393" i="2" s="1"/>
  <c r="D2393" i="2" s="1"/>
  <c r="O2393" i="2"/>
  <c r="J2392" i="2"/>
  <c r="K2392" i="2" s="1"/>
  <c r="G2392" i="2"/>
  <c r="E2394" i="2" l="1" a="1"/>
  <c r="E2394" i="2" s="1"/>
  <c r="I2389" i="2"/>
  <c r="P2389" i="2" s="1"/>
  <c r="L2393" i="2"/>
  <c r="A2395" i="2"/>
  <c r="B2394" i="2"/>
  <c r="C2394" i="2" s="1"/>
  <c r="D2394" i="2" s="1"/>
  <c r="L2394" i="2" s="1"/>
  <c r="O2394" i="2"/>
  <c r="M2394" i="2"/>
  <c r="F2394" i="2"/>
  <c r="J2393" i="2"/>
  <c r="K2393" i="2" s="1"/>
  <c r="G2393" i="2"/>
  <c r="H2390" i="2"/>
  <c r="I2390" i="2" s="1"/>
  <c r="P2390" i="2" s="1"/>
  <c r="N2390" i="2" l="1"/>
  <c r="N2389" i="2"/>
  <c r="E2395" i="2" a="1"/>
  <c r="E2395" i="2" s="1"/>
  <c r="H2391" i="2"/>
  <c r="I2391" i="2" s="1"/>
  <c r="P2391" i="2" s="1"/>
  <c r="J2394" i="2"/>
  <c r="K2394" i="2" s="1"/>
  <c r="G2394" i="2"/>
  <c r="F2395" i="2"/>
  <c r="A2396" i="2"/>
  <c r="B2395" i="2"/>
  <c r="C2395" i="2" s="1"/>
  <c r="D2395" i="2" s="1"/>
  <c r="L2395" i="2" s="1"/>
  <c r="O2395" i="2"/>
  <c r="M2395" i="2"/>
  <c r="E2396" i="2" l="1" a="1"/>
  <c r="E2396" i="2" s="1"/>
  <c r="N2391" i="2"/>
  <c r="F2396" i="2"/>
  <c r="B2396" i="2"/>
  <c r="C2396" i="2" s="1"/>
  <c r="D2396" i="2" s="1"/>
  <c r="A2397" i="2"/>
  <c r="O2396" i="2"/>
  <c r="M2396" i="2"/>
  <c r="J2395" i="2"/>
  <c r="K2395" i="2" s="1"/>
  <c r="G2395" i="2"/>
  <c r="H2392" i="2"/>
  <c r="I2392" i="2" s="1"/>
  <c r="P2392" i="2" s="1"/>
  <c r="N2392" i="2" l="1"/>
  <c r="L2396" i="2"/>
  <c r="E2397" i="2" a="1"/>
  <c r="E2397" i="2" s="1"/>
  <c r="H2393" i="2"/>
  <c r="I2393" i="2" s="1"/>
  <c r="P2393" i="2" s="1"/>
  <c r="F2397" i="2"/>
  <c r="B2397" i="2"/>
  <c r="C2397" i="2" s="1"/>
  <c r="D2397" i="2" s="1"/>
  <c r="L2397" i="2" s="1"/>
  <c r="A2398" i="2"/>
  <c r="O2397" i="2"/>
  <c r="M2397" i="2"/>
  <c r="G2396" i="2"/>
  <c r="J2396" i="2"/>
  <c r="K2396" i="2" s="1"/>
  <c r="N2393" i="2" l="1"/>
  <c r="E2398" i="2" a="1"/>
  <c r="E2398" i="2" s="1"/>
  <c r="F2398" i="2"/>
  <c r="B2398" i="2"/>
  <c r="C2398" i="2" s="1"/>
  <c r="D2398" i="2" s="1"/>
  <c r="L2398" i="2" s="1"/>
  <c r="A2399" i="2"/>
  <c r="O2398" i="2"/>
  <c r="M2398" i="2"/>
  <c r="J2397" i="2"/>
  <c r="K2397" i="2" s="1"/>
  <c r="G2397" i="2"/>
  <c r="H2394" i="2"/>
  <c r="I2394" i="2" l="1"/>
  <c r="P2394" i="2" s="1"/>
  <c r="E2399" i="2" a="1"/>
  <c r="E2399" i="2" s="1"/>
  <c r="H2395" i="2"/>
  <c r="F2399" i="2"/>
  <c r="B2399" i="2"/>
  <c r="C2399" i="2" s="1"/>
  <c r="D2399" i="2" s="1"/>
  <c r="A2400" i="2"/>
  <c r="O2399" i="2"/>
  <c r="M2399" i="2"/>
  <c r="J2398" i="2"/>
  <c r="K2398" i="2" s="1"/>
  <c r="G2398" i="2"/>
  <c r="N2394" i="2" l="1"/>
  <c r="I2395" i="2"/>
  <c r="P2395" i="2" s="1"/>
  <c r="L2399" i="2"/>
  <c r="E2400" i="2" a="1"/>
  <c r="E2400" i="2" s="1"/>
  <c r="F2400" i="2"/>
  <c r="B2400" i="2"/>
  <c r="C2400" i="2" s="1"/>
  <c r="D2400" i="2" s="1"/>
  <c r="L2400" i="2" s="1"/>
  <c r="A2401" i="2"/>
  <c r="O2400" i="2"/>
  <c r="M2400" i="2"/>
  <c r="J2399" i="2"/>
  <c r="K2399" i="2" s="1"/>
  <c r="G2399" i="2"/>
  <c r="H2396" i="2"/>
  <c r="I2396" i="2" s="1"/>
  <c r="P2396" i="2" s="1"/>
  <c r="N2395" i="2" l="1"/>
  <c r="N2396" i="2"/>
  <c r="E2401" i="2" a="1"/>
  <c r="E2401" i="2" s="1"/>
  <c r="H2397" i="2"/>
  <c r="F2401" i="2"/>
  <c r="B2401" i="2"/>
  <c r="C2401" i="2" s="1"/>
  <c r="D2401" i="2" s="1"/>
  <c r="A2402" i="2"/>
  <c r="O2401" i="2"/>
  <c r="M2401" i="2"/>
  <c r="J2400" i="2"/>
  <c r="K2400" i="2" s="1"/>
  <c r="G2400" i="2"/>
  <c r="L2401" i="2" l="1"/>
  <c r="I2397" i="2"/>
  <c r="P2397" i="2" s="1"/>
  <c r="E2402" i="2" a="1"/>
  <c r="E2402" i="2" s="1"/>
  <c r="E2403" i="2" a="1"/>
  <c r="E2403" i="2" s="1"/>
  <c r="A2403" i="2"/>
  <c r="B2402" i="2"/>
  <c r="C2402" i="2" s="1"/>
  <c r="D2402" i="2" s="1"/>
  <c r="L2402" i="2" s="1"/>
  <c r="F2402" i="2"/>
  <c r="O2402" i="2"/>
  <c r="M2402" i="2"/>
  <c r="J2401" i="2"/>
  <c r="K2401" i="2" s="1"/>
  <c r="G2401" i="2"/>
  <c r="H2398" i="2"/>
  <c r="I2398" i="2" s="1"/>
  <c r="P2398" i="2" s="1"/>
  <c r="N2397" i="2" l="1"/>
  <c r="N2398" i="2"/>
  <c r="H2399" i="2"/>
  <c r="I2399" i="2" s="1"/>
  <c r="P2399" i="2" s="1"/>
  <c r="J2402" i="2"/>
  <c r="K2402" i="2" s="1"/>
  <c r="G2402" i="2"/>
  <c r="F2403" i="2"/>
  <c r="B2403" i="2"/>
  <c r="C2403" i="2" s="1"/>
  <c r="D2403" i="2" s="1"/>
  <c r="L2403" i="2" s="1"/>
  <c r="A2404" i="2"/>
  <c r="O2403" i="2"/>
  <c r="M2403" i="2"/>
  <c r="N2399" i="2" l="1"/>
  <c r="E2404" i="2" a="1"/>
  <c r="E2404" i="2" s="1"/>
  <c r="O2404" i="2"/>
  <c r="F2404" i="2"/>
  <c r="B2404" i="2"/>
  <c r="C2404" i="2" s="1"/>
  <c r="D2404" i="2" s="1"/>
  <c r="L2404" i="2" s="1"/>
  <c r="A2405" i="2"/>
  <c r="M2404" i="2"/>
  <c r="J2403" i="2"/>
  <c r="K2403" i="2" s="1"/>
  <c r="G2403" i="2"/>
  <c r="H2400" i="2"/>
  <c r="E2405" i="2" l="1" a="1"/>
  <c r="E2405" i="2" s="1"/>
  <c r="I2400" i="2"/>
  <c r="P2400" i="2" s="1"/>
  <c r="H2401" i="2"/>
  <c r="F2405" i="2"/>
  <c r="B2405" i="2"/>
  <c r="C2405" i="2" s="1"/>
  <c r="D2405" i="2" s="1"/>
  <c r="A2406" i="2"/>
  <c r="O2405" i="2"/>
  <c r="M2405" i="2"/>
  <c r="J2404" i="2"/>
  <c r="K2404" i="2" s="1"/>
  <c r="G2404" i="2"/>
  <c r="E2406" i="2" l="1" a="1"/>
  <c r="E2406" i="2" s="1"/>
  <c r="I2401" i="2"/>
  <c r="P2401" i="2" s="1"/>
  <c r="L2405" i="2"/>
  <c r="N2400" i="2"/>
  <c r="M2406" i="2"/>
  <c r="F2406" i="2"/>
  <c r="B2406" i="2"/>
  <c r="C2406" i="2" s="1"/>
  <c r="D2406" i="2" s="1"/>
  <c r="A2407" i="2"/>
  <c r="O2406" i="2"/>
  <c r="J2405" i="2"/>
  <c r="K2405" i="2" s="1"/>
  <c r="G2405" i="2"/>
  <c r="H2402" i="2"/>
  <c r="I2402" i="2" s="1"/>
  <c r="P2402" i="2" s="1"/>
  <c r="N2401" i="2" l="1"/>
  <c r="N2402" i="2"/>
  <c r="L2406" i="2"/>
  <c r="E2407" i="2" a="1"/>
  <c r="E2407" i="2" s="1"/>
  <c r="H2403" i="2"/>
  <c r="I2403" i="2" s="1"/>
  <c r="P2403" i="2" s="1"/>
  <c r="F2407" i="2"/>
  <c r="B2407" i="2"/>
  <c r="C2407" i="2" s="1"/>
  <c r="D2407" i="2" s="1"/>
  <c r="L2407" i="2" s="1"/>
  <c r="A2408" i="2"/>
  <c r="O2407" i="2"/>
  <c r="M2407" i="2"/>
  <c r="J2406" i="2"/>
  <c r="K2406" i="2" s="1"/>
  <c r="G2406" i="2"/>
  <c r="E2408" i="2" l="1" a="1"/>
  <c r="E2408" i="2" s="1"/>
  <c r="N2403" i="2"/>
  <c r="M2408" i="2"/>
  <c r="F2408" i="2"/>
  <c r="B2408" i="2"/>
  <c r="C2408" i="2" s="1"/>
  <c r="D2408" i="2" s="1"/>
  <c r="A2409" i="2"/>
  <c r="O2408" i="2"/>
  <c r="J2407" i="2"/>
  <c r="K2407" i="2" s="1"/>
  <c r="G2407" i="2"/>
  <c r="H2404" i="2"/>
  <c r="L2408" i="2" l="1"/>
  <c r="I2404" i="2"/>
  <c r="P2404" i="2" s="1"/>
  <c r="E2409" i="2" a="1"/>
  <c r="E2409" i="2" s="1"/>
  <c r="H2405" i="2"/>
  <c r="I2405" i="2" s="1"/>
  <c r="P2405" i="2" s="1"/>
  <c r="O2409" i="2"/>
  <c r="M2409" i="2"/>
  <c r="F2409" i="2"/>
  <c r="B2409" i="2"/>
  <c r="C2409" i="2" s="1"/>
  <c r="D2409" i="2" s="1"/>
  <c r="L2409" i="2" s="1"/>
  <c r="A2410" i="2"/>
  <c r="J2408" i="2"/>
  <c r="K2408" i="2" s="1"/>
  <c r="G2408" i="2"/>
  <c r="N2405" i="2" l="1"/>
  <c r="N2404" i="2"/>
  <c r="E2410" i="2" a="1"/>
  <c r="E2410" i="2" s="1"/>
  <c r="A2411" i="2"/>
  <c r="B2410" i="2"/>
  <c r="C2410" i="2" s="1"/>
  <c r="D2410" i="2" s="1"/>
  <c r="L2410" i="2" s="1"/>
  <c r="O2410" i="2"/>
  <c r="M2410" i="2"/>
  <c r="F2410" i="2"/>
  <c r="J2409" i="2"/>
  <c r="K2409" i="2" s="1"/>
  <c r="G2409" i="2"/>
  <c r="H2406" i="2"/>
  <c r="I2406" i="2" l="1"/>
  <c r="P2406" i="2" s="1"/>
  <c r="E2411" i="2" a="1"/>
  <c r="E2411" i="2" s="1"/>
  <c r="H2407" i="2"/>
  <c r="J2410" i="2"/>
  <c r="K2410" i="2" s="1"/>
  <c r="G2410" i="2"/>
  <c r="B2411" i="2"/>
  <c r="C2411" i="2" s="1"/>
  <c r="D2411" i="2" s="1"/>
  <c r="A2412" i="2"/>
  <c r="O2411" i="2"/>
  <c r="M2411" i="2"/>
  <c r="F2411" i="2"/>
  <c r="N2406" i="2" l="1"/>
  <c r="I2407" i="2"/>
  <c r="P2407" i="2" s="1"/>
  <c r="L2411" i="2"/>
  <c r="E2412" i="2" a="1"/>
  <c r="E2412" i="2" s="1"/>
  <c r="J2411" i="2"/>
  <c r="K2411" i="2" s="1"/>
  <c r="G2411" i="2"/>
  <c r="A2413" i="2"/>
  <c r="B2412" i="2"/>
  <c r="C2412" i="2" s="1"/>
  <c r="D2412" i="2" s="1"/>
  <c r="L2412" i="2" s="1"/>
  <c r="O2412" i="2"/>
  <c r="F2412" i="2"/>
  <c r="M2412" i="2"/>
  <c r="H2408" i="2"/>
  <c r="E2413" i="2" l="1" a="1"/>
  <c r="E2413" i="2" s="1"/>
  <c r="I2408" i="2"/>
  <c r="P2408" i="2" s="1"/>
  <c r="N2407" i="2"/>
  <c r="H2409" i="2"/>
  <c r="I2409" i="2" s="1"/>
  <c r="P2409" i="2" s="1"/>
  <c r="G2412" i="2"/>
  <c r="J2412" i="2"/>
  <c r="K2412" i="2" s="1"/>
  <c r="A2414" i="2"/>
  <c r="B2413" i="2"/>
  <c r="C2413" i="2" s="1"/>
  <c r="D2413" i="2" s="1"/>
  <c r="L2413" i="2" s="1"/>
  <c r="F2413" i="2"/>
  <c r="O2413" i="2"/>
  <c r="M2413" i="2"/>
  <c r="N2409" i="2" l="1"/>
  <c r="E2414" i="2" a="1"/>
  <c r="E2414" i="2" s="1"/>
  <c r="N2408" i="2"/>
  <c r="J2413" i="2"/>
  <c r="K2413" i="2" s="1"/>
  <c r="G2413" i="2"/>
  <c r="O2414" i="2"/>
  <c r="M2414" i="2"/>
  <c r="A2415" i="2"/>
  <c r="F2414" i="2"/>
  <c r="B2414" i="2"/>
  <c r="C2414" i="2" s="1"/>
  <c r="D2414" i="2" s="1"/>
  <c r="H2410" i="2"/>
  <c r="I2410" i="2" l="1"/>
  <c r="P2410" i="2" s="1"/>
  <c r="L2414" i="2"/>
  <c r="E2415" i="2" a="1"/>
  <c r="E2415" i="2" s="1"/>
  <c r="H2411" i="2"/>
  <c r="I2411" i="2" s="1"/>
  <c r="P2411" i="2" s="1"/>
  <c r="J2414" i="2"/>
  <c r="K2414" i="2" s="1"/>
  <c r="G2414" i="2"/>
  <c r="O2415" i="2"/>
  <c r="B2415" i="2"/>
  <c r="C2415" i="2" s="1"/>
  <c r="D2415" i="2" s="1"/>
  <c r="A2416" i="2"/>
  <c r="M2415" i="2"/>
  <c r="F2415" i="2"/>
  <c r="L2415" i="2" l="1"/>
  <c r="N2411" i="2"/>
  <c r="N2410" i="2"/>
  <c r="E2416" i="2" a="1"/>
  <c r="E2416" i="2" s="1"/>
  <c r="J2415" i="2"/>
  <c r="K2415" i="2" s="1"/>
  <c r="G2415" i="2"/>
  <c r="M2416" i="2"/>
  <c r="F2416" i="2"/>
  <c r="B2416" i="2"/>
  <c r="C2416" i="2" s="1"/>
  <c r="D2416" i="2" s="1"/>
  <c r="A2417" i="2"/>
  <c r="O2416" i="2"/>
  <c r="H2412" i="2"/>
  <c r="E2417" i="2" l="1" a="1"/>
  <c r="E2417" i="2" s="1"/>
  <c r="I2412" i="2"/>
  <c r="P2412" i="2" s="1"/>
  <c r="L2416" i="2"/>
  <c r="H2413" i="2"/>
  <c r="M2417" i="2"/>
  <c r="O2417" i="2"/>
  <c r="F2417" i="2"/>
  <c r="B2417" i="2"/>
  <c r="C2417" i="2" s="1"/>
  <c r="D2417" i="2" s="1"/>
  <c r="A2418" i="2"/>
  <c r="G2416" i="2"/>
  <c r="J2416" i="2"/>
  <c r="K2416" i="2" s="1"/>
  <c r="L2417" i="2" l="1"/>
  <c r="I2413" i="2"/>
  <c r="P2413" i="2" s="1"/>
  <c r="N2412" i="2"/>
  <c r="E2418" i="2" a="1"/>
  <c r="E2418" i="2" s="1"/>
  <c r="A2419" i="2"/>
  <c r="B2418" i="2"/>
  <c r="C2418" i="2" s="1"/>
  <c r="D2418" i="2" s="1"/>
  <c r="L2418" i="2" s="1"/>
  <c r="O2418" i="2"/>
  <c r="M2418" i="2"/>
  <c r="F2418" i="2"/>
  <c r="J2417" i="2"/>
  <c r="K2417" i="2" s="1"/>
  <c r="G2417" i="2"/>
  <c r="H2414" i="2"/>
  <c r="N2413" i="2" l="1"/>
  <c r="I2414" i="2"/>
  <c r="P2414" i="2" s="1"/>
  <c r="E2419" i="2" a="1"/>
  <c r="E2419" i="2" s="1"/>
  <c r="H2415" i="2"/>
  <c r="J2418" i="2"/>
  <c r="K2418" i="2" s="1"/>
  <c r="G2418" i="2"/>
  <c r="A2420" i="2"/>
  <c r="B2419" i="2"/>
  <c r="C2419" i="2" s="1"/>
  <c r="D2419" i="2" s="1"/>
  <c r="L2419" i="2" s="1"/>
  <c r="F2419" i="2"/>
  <c r="O2419" i="2"/>
  <c r="M2419" i="2"/>
  <c r="E2420" i="2" l="1" a="1"/>
  <c r="E2420" i="2" s="1"/>
  <c r="I2415" i="2"/>
  <c r="P2415" i="2" s="1"/>
  <c r="N2414" i="2"/>
  <c r="J2419" i="2"/>
  <c r="K2419" i="2" s="1"/>
  <c r="G2419" i="2"/>
  <c r="O2420" i="2"/>
  <c r="A2421" i="2"/>
  <c r="M2420" i="2"/>
  <c r="F2420" i="2"/>
  <c r="B2420" i="2"/>
  <c r="C2420" i="2" s="1"/>
  <c r="D2420" i="2" s="1"/>
  <c r="H2416" i="2"/>
  <c r="I2416" i="2" s="1"/>
  <c r="P2416" i="2" s="1"/>
  <c r="L2420" i="2" l="1"/>
  <c r="E2421" i="2" a="1"/>
  <c r="E2421" i="2" s="1"/>
  <c r="N2415" i="2"/>
  <c r="N2416" i="2"/>
  <c r="H2417" i="2"/>
  <c r="I2417" i="2" s="1"/>
  <c r="P2417" i="2" s="1"/>
  <c r="J2420" i="2"/>
  <c r="K2420" i="2" s="1"/>
  <c r="G2420" i="2"/>
  <c r="F2421" i="2"/>
  <c r="A2422" i="2"/>
  <c r="B2421" i="2"/>
  <c r="C2421" i="2" s="1"/>
  <c r="D2421" i="2" s="1"/>
  <c r="L2421" i="2" s="1"/>
  <c r="O2421" i="2"/>
  <c r="M2421" i="2"/>
  <c r="N2417" i="2" l="1"/>
  <c r="E2422" i="2" a="1"/>
  <c r="E2422" i="2" s="1"/>
  <c r="A2423" i="2"/>
  <c r="B2422" i="2"/>
  <c r="C2422" i="2" s="1"/>
  <c r="D2422" i="2" s="1"/>
  <c r="L2422" i="2" s="1"/>
  <c r="M2422" i="2"/>
  <c r="O2422" i="2"/>
  <c r="F2422" i="2"/>
  <c r="J2421" i="2"/>
  <c r="K2421" i="2" s="1"/>
  <c r="G2421" i="2"/>
  <c r="H2418" i="2"/>
  <c r="I2418" i="2" l="1"/>
  <c r="P2418" i="2" s="1"/>
  <c r="E2423" i="2" a="1"/>
  <c r="E2423" i="2" s="1"/>
  <c r="H2419" i="2"/>
  <c r="I2419" i="2" s="1"/>
  <c r="P2419" i="2" s="1"/>
  <c r="G2422" i="2"/>
  <c r="J2422" i="2"/>
  <c r="K2422" i="2" s="1"/>
  <c r="F2423" i="2"/>
  <c r="O2423" i="2"/>
  <c r="M2423" i="2"/>
  <c r="B2423" i="2"/>
  <c r="C2423" i="2" s="1"/>
  <c r="D2423" i="2" s="1"/>
  <c r="A2424" i="2"/>
  <c r="L2423" i="2" l="1"/>
  <c r="E2424" i="2" a="1"/>
  <c r="E2424" i="2" s="1"/>
  <c r="N2419" i="2"/>
  <c r="N2418" i="2"/>
  <c r="F2424" i="2"/>
  <c r="O2424" i="2"/>
  <c r="A2425" i="2"/>
  <c r="M2424" i="2"/>
  <c r="B2424" i="2"/>
  <c r="C2424" i="2" s="1"/>
  <c r="D2424" i="2" s="1"/>
  <c r="G2423" i="2"/>
  <c r="J2423" i="2"/>
  <c r="K2423" i="2" s="1"/>
  <c r="H2420" i="2"/>
  <c r="I2420" i="2" s="1"/>
  <c r="P2420" i="2" s="1"/>
  <c r="N2420" i="2" l="1"/>
  <c r="E2425" i="2" a="1"/>
  <c r="E2425" i="2" s="1"/>
  <c r="L2424" i="2"/>
  <c r="H2421" i="2"/>
  <c r="A2426" i="2"/>
  <c r="B2425" i="2"/>
  <c r="C2425" i="2" s="1"/>
  <c r="D2425" i="2" s="1"/>
  <c r="L2425" i="2" s="1"/>
  <c r="M2425" i="2"/>
  <c r="O2425" i="2"/>
  <c r="F2425" i="2"/>
  <c r="J2424" i="2"/>
  <c r="K2424" i="2" s="1"/>
  <c r="G2424" i="2"/>
  <c r="I2421" i="2" l="1"/>
  <c r="P2421" i="2" s="1"/>
  <c r="E2426" i="2" a="1"/>
  <c r="E2426" i="2" s="1"/>
  <c r="J2425" i="2"/>
  <c r="K2425" i="2" s="1"/>
  <c r="G2425" i="2"/>
  <c r="A2427" i="2"/>
  <c r="B2426" i="2"/>
  <c r="C2426" i="2" s="1"/>
  <c r="D2426" i="2" s="1"/>
  <c r="L2426" i="2" s="1"/>
  <c r="M2426" i="2"/>
  <c r="O2426" i="2"/>
  <c r="F2426" i="2"/>
  <c r="H2422" i="2"/>
  <c r="I2422" i="2" s="1"/>
  <c r="P2422" i="2" s="1"/>
  <c r="N2422" i="2" l="1"/>
  <c r="E2427" i="2" a="1"/>
  <c r="E2427" i="2" s="1"/>
  <c r="N2421" i="2"/>
  <c r="H2423" i="2"/>
  <c r="J2426" i="2"/>
  <c r="K2426" i="2" s="1"/>
  <c r="G2426" i="2"/>
  <c r="O2427" i="2"/>
  <c r="A2428" i="2"/>
  <c r="M2427" i="2"/>
  <c r="F2427" i="2"/>
  <c r="B2427" i="2"/>
  <c r="C2427" i="2" s="1"/>
  <c r="D2427" i="2" s="1"/>
  <c r="E2428" i="2" l="1" a="1"/>
  <c r="E2428" i="2" s="1"/>
  <c r="L2427" i="2"/>
  <c r="I2423" i="2"/>
  <c r="P2423" i="2" s="1"/>
  <c r="J2427" i="2"/>
  <c r="K2427" i="2" s="1"/>
  <c r="G2427" i="2"/>
  <c r="A2429" i="2"/>
  <c r="B2428" i="2"/>
  <c r="C2428" i="2" s="1"/>
  <c r="D2428" i="2" s="1"/>
  <c r="O2428" i="2"/>
  <c r="M2428" i="2"/>
  <c r="F2428" i="2"/>
  <c r="H2424" i="2"/>
  <c r="N2423" i="2" l="1"/>
  <c r="E2429" i="2" a="1"/>
  <c r="E2429" i="2" s="1"/>
  <c r="I2424" i="2"/>
  <c r="P2424" i="2" s="1"/>
  <c r="L2428" i="2"/>
  <c r="H2425" i="2"/>
  <c r="I2425" i="2" s="1"/>
  <c r="P2425" i="2" s="1"/>
  <c r="J2428" i="2"/>
  <c r="K2428" i="2" s="1"/>
  <c r="G2428" i="2"/>
  <c r="A2430" i="2"/>
  <c r="B2429" i="2"/>
  <c r="C2429" i="2" s="1"/>
  <c r="D2429" i="2" s="1"/>
  <c r="L2429" i="2" s="1"/>
  <c r="M2429" i="2"/>
  <c r="F2429" i="2"/>
  <c r="O2429" i="2"/>
  <c r="E2430" i="2" l="1" a="1"/>
  <c r="E2430" i="2" s="1"/>
  <c r="N2425" i="2"/>
  <c r="N2424" i="2"/>
  <c r="J2429" i="2"/>
  <c r="K2429" i="2" s="1"/>
  <c r="G2429" i="2"/>
  <c r="O2430" i="2"/>
  <c r="M2430" i="2"/>
  <c r="F2430" i="2"/>
  <c r="A2431" i="2"/>
  <c r="B2430" i="2"/>
  <c r="C2430" i="2" s="1"/>
  <c r="D2430" i="2" s="1"/>
  <c r="L2430" i="2" s="1"/>
  <c r="H2426" i="2"/>
  <c r="E2431" i="2" l="1" a="1"/>
  <c r="E2431" i="2" s="1"/>
  <c r="I2426" i="2"/>
  <c r="P2426" i="2" s="1"/>
  <c r="H2427" i="2"/>
  <c r="O2431" i="2"/>
  <c r="B2431" i="2"/>
  <c r="C2431" i="2" s="1"/>
  <c r="D2431" i="2" s="1"/>
  <c r="A2432" i="2"/>
  <c r="M2431" i="2"/>
  <c r="F2431" i="2"/>
  <c r="J2430" i="2"/>
  <c r="K2430" i="2" s="1"/>
  <c r="G2430" i="2"/>
  <c r="L2431" i="2" l="1"/>
  <c r="I2427" i="2"/>
  <c r="P2427" i="2" s="1"/>
  <c r="E2432" i="2" a="1"/>
  <c r="E2432" i="2" s="1"/>
  <c r="N2426" i="2"/>
  <c r="G2431" i="2"/>
  <c r="J2431" i="2"/>
  <c r="K2431" i="2" s="1"/>
  <c r="M2432" i="2"/>
  <c r="F2432" i="2"/>
  <c r="A2433" i="2"/>
  <c r="B2432" i="2"/>
  <c r="C2432" i="2" s="1"/>
  <c r="D2432" i="2" s="1"/>
  <c r="L2432" i="2" s="1"/>
  <c r="O2432" i="2"/>
  <c r="H2428" i="2"/>
  <c r="I2428" i="2" s="1"/>
  <c r="P2428" i="2" s="1"/>
  <c r="N2428" i="2" l="1"/>
  <c r="N2427" i="2"/>
  <c r="E2433" i="2" a="1"/>
  <c r="E2433" i="2" s="1"/>
  <c r="H2429" i="2"/>
  <c r="I2429" i="2" s="1"/>
  <c r="P2429" i="2" s="1"/>
  <c r="M2433" i="2"/>
  <c r="F2433" i="2"/>
  <c r="B2433" i="2"/>
  <c r="C2433" i="2" s="1"/>
  <c r="D2433" i="2" s="1"/>
  <c r="A2434" i="2"/>
  <c r="O2433" i="2"/>
  <c r="J2432" i="2"/>
  <c r="K2432" i="2" s="1"/>
  <c r="G2432" i="2"/>
  <c r="N2429" i="2" l="1"/>
  <c r="L2433" i="2"/>
  <c r="E2434" i="2" a="1"/>
  <c r="E2434" i="2" s="1"/>
  <c r="A2435" i="2"/>
  <c r="B2434" i="2"/>
  <c r="C2434" i="2" s="1"/>
  <c r="D2434" i="2" s="1"/>
  <c r="O2434" i="2"/>
  <c r="M2434" i="2"/>
  <c r="F2434" i="2"/>
  <c r="J2433" i="2"/>
  <c r="K2433" i="2" s="1"/>
  <c r="G2433" i="2"/>
  <c r="H2430" i="2"/>
  <c r="I2430" i="2" s="1"/>
  <c r="P2430" i="2" s="1"/>
  <c r="E2435" i="2" l="1" a="1"/>
  <c r="E2435" i="2" s="1"/>
  <c r="L2434" i="2"/>
  <c r="N2430" i="2"/>
  <c r="H2431" i="2"/>
  <c r="I2431" i="2" s="1"/>
  <c r="P2431" i="2" s="1"/>
  <c r="J2434" i="2"/>
  <c r="K2434" i="2" s="1"/>
  <c r="G2434" i="2"/>
  <c r="A2436" i="2"/>
  <c r="B2435" i="2"/>
  <c r="C2435" i="2" s="1"/>
  <c r="D2435" i="2" s="1"/>
  <c r="L2435" i="2" s="1"/>
  <c r="O2435" i="2"/>
  <c r="M2435" i="2"/>
  <c r="F2435" i="2"/>
  <c r="N2431" i="2" l="1"/>
  <c r="E2436" i="2" a="1"/>
  <c r="E2436" i="2" s="1"/>
  <c r="J2435" i="2"/>
  <c r="K2435" i="2" s="1"/>
  <c r="G2435" i="2"/>
  <c r="F2436" i="2"/>
  <c r="A2437" i="2"/>
  <c r="B2436" i="2"/>
  <c r="C2436" i="2" s="1"/>
  <c r="D2436" i="2" s="1"/>
  <c r="L2436" i="2" s="1"/>
  <c r="O2436" i="2"/>
  <c r="M2436" i="2"/>
  <c r="H2432" i="2"/>
  <c r="I2432" i="2" l="1"/>
  <c r="P2432" i="2" s="1"/>
  <c r="E2437" i="2" a="1"/>
  <c r="E2437" i="2" s="1"/>
  <c r="H2433" i="2"/>
  <c r="F2437" i="2"/>
  <c r="A2438" i="2"/>
  <c r="B2437" i="2"/>
  <c r="C2437" i="2" s="1"/>
  <c r="D2437" i="2" s="1"/>
  <c r="L2437" i="2" s="1"/>
  <c r="O2437" i="2"/>
  <c r="M2437" i="2"/>
  <c r="J2436" i="2"/>
  <c r="K2436" i="2" s="1"/>
  <c r="G2436" i="2"/>
  <c r="I2433" i="2" l="1"/>
  <c r="P2433" i="2" s="1"/>
  <c r="E2438" i="2" a="1"/>
  <c r="E2438" i="2" s="1"/>
  <c r="N2432" i="2"/>
  <c r="A2439" i="2"/>
  <c r="B2438" i="2"/>
  <c r="C2438" i="2" s="1"/>
  <c r="D2438" i="2" s="1"/>
  <c r="L2438" i="2" s="1"/>
  <c r="O2438" i="2"/>
  <c r="M2438" i="2"/>
  <c r="F2438" i="2"/>
  <c r="J2437" i="2"/>
  <c r="K2437" i="2" s="1"/>
  <c r="G2437" i="2"/>
  <c r="H2434" i="2"/>
  <c r="E2439" i="2" l="1" a="1"/>
  <c r="E2439" i="2" s="1"/>
  <c r="I2434" i="2"/>
  <c r="P2434" i="2" s="1"/>
  <c r="N2433" i="2"/>
  <c r="H2435" i="2"/>
  <c r="I2435" i="2" s="1"/>
  <c r="P2435" i="2" s="1"/>
  <c r="G2438" i="2"/>
  <c r="J2438" i="2"/>
  <c r="K2438" i="2" s="1"/>
  <c r="F2439" i="2"/>
  <c r="O2439" i="2"/>
  <c r="M2439" i="2"/>
  <c r="B2439" i="2"/>
  <c r="C2439" i="2" s="1"/>
  <c r="D2439" i="2" s="1"/>
  <c r="L2439" i="2" s="1"/>
  <c r="A2440" i="2"/>
  <c r="N2434" i="2" l="1"/>
  <c r="N2435" i="2"/>
  <c r="E2440" i="2" a="1"/>
  <c r="E2440" i="2" s="1"/>
  <c r="F2440" i="2"/>
  <c r="A2441" i="2"/>
  <c r="B2440" i="2"/>
  <c r="C2440" i="2" s="1"/>
  <c r="D2440" i="2" s="1"/>
  <c r="O2440" i="2"/>
  <c r="M2440" i="2"/>
  <c r="G2439" i="2"/>
  <c r="J2439" i="2"/>
  <c r="K2439" i="2" s="1"/>
  <c r="H2436" i="2"/>
  <c r="I2436" i="2" s="1"/>
  <c r="P2436" i="2" s="1"/>
  <c r="L2440" i="2" l="1"/>
  <c r="E2441" i="2" a="1"/>
  <c r="E2441" i="2" s="1"/>
  <c r="N2436" i="2"/>
  <c r="H2437" i="2"/>
  <c r="A2442" i="2"/>
  <c r="B2441" i="2"/>
  <c r="C2441" i="2" s="1"/>
  <c r="D2441" i="2" s="1"/>
  <c r="L2441" i="2" s="1"/>
  <c r="M2441" i="2"/>
  <c r="O2441" i="2"/>
  <c r="F2441" i="2"/>
  <c r="J2440" i="2"/>
  <c r="K2440" i="2" s="1"/>
  <c r="G2440" i="2"/>
  <c r="I2437" i="2" l="1"/>
  <c r="P2437" i="2" s="1"/>
  <c r="E2442" i="2" a="1"/>
  <c r="E2442" i="2" s="1"/>
  <c r="J2441" i="2"/>
  <c r="K2441" i="2" s="1"/>
  <c r="G2441" i="2"/>
  <c r="A2443" i="2"/>
  <c r="B2442" i="2"/>
  <c r="C2442" i="2" s="1"/>
  <c r="D2442" i="2" s="1"/>
  <c r="O2442" i="2"/>
  <c r="M2442" i="2"/>
  <c r="F2442" i="2"/>
  <c r="H2438" i="2"/>
  <c r="I2438" i="2" s="1"/>
  <c r="P2438" i="2" s="1"/>
  <c r="E2443" i="2" l="1" a="1"/>
  <c r="E2443" i="2" s="1"/>
  <c r="N2438" i="2"/>
  <c r="L2442" i="2"/>
  <c r="N2437" i="2"/>
  <c r="H2439" i="2"/>
  <c r="I2439" i="2" s="1"/>
  <c r="P2439" i="2" s="1"/>
  <c r="J2442" i="2"/>
  <c r="K2442" i="2" s="1"/>
  <c r="G2442" i="2"/>
  <c r="A2444" i="2"/>
  <c r="B2443" i="2"/>
  <c r="C2443" i="2" s="1"/>
  <c r="D2443" i="2" s="1"/>
  <c r="O2443" i="2"/>
  <c r="F2443" i="2"/>
  <c r="M2443" i="2"/>
  <c r="L2443" i="2" l="1"/>
  <c r="E2444" i="2" a="1"/>
  <c r="E2444" i="2" s="1"/>
  <c r="N2439" i="2"/>
  <c r="J2443" i="2"/>
  <c r="K2443" i="2" s="1"/>
  <c r="G2443" i="2"/>
  <c r="A2445" i="2"/>
  <c r="B2444" i="2"/>
  <c r="C2444" i="2" s="1"/>
  <c r="D2444" i="2" s="1"/>
  <c r="L2444" i="2" s="1"/>
  <c r="O2444" i="2"/>
  <c r="M2444" i="2"/>
  <c r="F2444" i="2"/>
  <c r="H2440" i="2"/>
  <c r="I2440" i="2" s="1"/>
  <c r="P2440" i="2" s="1"/>
  <c r="N2440" i="2" l="1"/>
  <c r="E2445" i="2" a="1"/>
  <c r="E2445" i="2" s="1"/>
  <c r="H2441" i="2"/>
  <c r="I2441" i="2" s="1"/>
  <c r="P2441" i="2" s="1"/>
  <c r="J2444" i="2"/>
  <c r="K2444" i="2" s="1"/>
  <c r="G2444" i="2"/>
  <c r="B2445" i="2"/>
  <c r="C2445" i="2" s="1"/>
  <c r="D2445" i="2" s="1"/>
  <c r="A2446" i="2"/>
  <c r="O2445" i="2"/>
  <c r="M2445" i="2"/>
  <c r="F2445" i="2"/>
  <c r="E2446" i="2" l="1" a="1"/>
  <c r="E2446" i="2" s="1"/>
  <c r="N2441" i="2"/>
  <c r="L2445" i="2"/>
  <c r="J2445" i="2"/>
  <c r="K2445" i="2" s="1"/>
  <c r="G2445" i="2"/>
  <c r="B2446" i="2"/>
  <c r="C2446" i="2" s="1"/>
  <c r="D2446" i="2" s="1"/>
  <c r="L2446" i="2" s="1"/>
  <c r="A2447" i="2"/>
  <c r="O2446" i="2"/>
  <c r="F2446" i="2"/>
  <c r="M2446" i="2"/>
  <c r="H2442" i="2"/>
  <c r="I2442" i="2" s="1"/>
  <c r="P2442" i="2" s="1"/>
  <c r="E2447" i="2" l="1" a="1"/>
  <c r="E2447" i="2" s="1"/>
  <c r="N2442" i="2"/>
  <c r="H2443" i="2"/>
  <c r="I2443" i="2" s="1"/>
  <c r="P2443" i="2" s="1"/>
  <c r="J2446" i="2"/>
  <c r="K2446" i="2" s="1"/>
  <c r="G2446" i="2"/>
  <c r="F2447" i="2"/>
  <c r="B2447" i="2"/>
  <c r="C2447" i="2" s="1"/>
  <c r="D2447" i="2" s="1"/>
  <c r="L2447" i="2" s="1"/>
  <c r="A2448" i="2"/>
  <c r="M2447" i="2"/>
  <c r="O2447" i="2"/>
  <c r="E2448" i="2" l="1" a="1"/>
  <c r="E2448" i="2" s="1"/>
  <c r="N2443" i="2"/>
  <c r="F2448" i="2"/>
  <c r="B2448" i="2"/>
  <c r="C2448" i="2" s="1"/>
  <c r="D2448" i="2" s="1"/>
  <c r="A2449" i="2"/>
  <c r="O2448" i="2"/>
  <c r="M2448" i="2"/>
  <c r="J2447" i="2"/>
  <c r="K2447" i="2" s="1"/>
  <c r="G2447" i="2"/>
  <c r="H2444" i="2"/>
  <c r="I2444" i="2" s="1"/>
  <c r="P2444" i="2" s="1"/>
  <c r="N2444" i="2" l="1"/>
  <c r="L2448" i="2"/>
  <c r="E2449" i="2" a="1"/>
  <c r="E2449" i="2" s="1"/>
  <c r="H2445" i="2"/>
  <c r="I2445" i="2" s="1"/>
  <c r="P2445" i="2" s="1"/>
  <c r="A2450" i="2"/>
  <c r="B2449" i="2"/>
  <c r="C2449" i="2" s="1"/>
  <c r="D2449" i="2" s="1"/>
  <c r="L2449" i="2" s="1"/>
  <c r="F2449" i="2"/>
  <c r="O2449" i="2"/>
  <c r="M2449" i="2"/>
  <c r="G2448" i="2"/>
  <c r="J2448" i="2"/>
  <c r="K2448" i="2" s="1"/>
  <c r="E2450" i="2" l="1" a="1"/>
  <c r="E2450" i="2" s="1"/>
  <c r="N2445" i="2"/>
  <c r="J2449" i="2"/>
  <c r="K2449" i="2" s="1"/>
  <c r="G2449" i="2"/>
  <c r="A2451" i="2"/>
  <c r="B2450" i="2"/>
  <c r="C2450" i="2" s="1"/>
  <c r="D2450" i="2" s="1"/>
  <c r="O2450" i="2"/>
  <c r="M2450" i="2"/>
  <c r="F2450" i="2"/>
  <c r="H2446" i="2"/>
  <c r="I2446" i="2" l="1"/>
  <c r="P2446" i="2" s="1"/>
  <c r="E2451" i="2" a="1"/>
  <c r="E2451" i="2" s="1"/>
  <c r="L2450" i="2"/>
  <c r="H2447" i="2"/>
  <c r="I2447" i="2" s="1"/>
  <c r="P2447" i="2" s="1"/>
  <c r="J2450" i="2"/>
  <c r="K2450" i="2" s="1"/>
  <c r="G2450" i="2"/>
  <c r="A2452" i="2"/>
  <c r="B2451" i="2"/>
  <c r="C2451" i="2" s="1"/>
  <c r="D2451" i="2" s="1"/>
  <c r="L2451" i="2" s="1"/>
  <c r="O2451" i="2"/>
  <c r="M2451" i="2"/>
  <c r="F2451" i="2"/>
  <c r="N2447" i="2" l="1"/>
  <c r="E2452" i="2" a="1"/>
  <c r="E2452" i="2" s="1"/>
  <c r="N2446" i="2"/>
  <c r="J2451" i="2"/>
  <c r="K2451" i="2" s="1"/>
  <c r="G2451" i="2"/>
  <c r="A2453" i="2"/>
  <c r="B2452" i="2"/>
  <c r="C2452" i="2" s="1"/>
  <c r="D2452" i="2" s="1"/>
  <c r="L2452" i="2" s="1"/>
  <c r="O2452" i="2"/>
  <c r="M2452" i="2"/>
  <c r="F2452" i="2"/>
  <c r="H2448" i="2"/>
  <c r="I2448" i="2" s="1"/>
  <c r="P2448" i="2" s="1"/>
  <c r="N2448" i="2" l="1"/>
  <c r="E2453" i="2" a="1"/>
  <c r="E2453" i="2" s="1"/>
  <c r="H2449" i="2"/>
  <c r="I2449" i="2" s="1"/>
  <c r="P2449" i="2" s="1"/>
  <c r="J2452" i="2"/>
  <c r="K2452" i="2" s="1"/>
  <c r="G2452" i="2"/>
  <c r="O2453" i="2"/>
  <c r="M2453" i="2"/>
  <c r="F2453" i="2"/>
  <c r="B2453" i="2"/>
  <c r="C2453" i="2" s="1"/>
  <c r="D2453" i="2" s="1"/>
  <c r="L2453" i="2" s="1"/>
  <c r="A2454" i="2"/>
  <c r="N2449" i="2" l="1"/>
  <c r="E2454" i="2" a="1"/>
  <c r="E2454" i="2" s="1"/>
  <c r="O2454" i="2"/>
  <c r="M2454" i="2"/>
  <c r="F2454" i="2"/>
  <c r="B2454" i="2"/>
  <c r="C2454" i="2" s="1"/>
  <c r="D2454" i="2" s="1"/>
  <c r="A2455" i="2"/>
  <c r="G2453" i="2"/>
  <c r="J2453" i="2"/>
  <c r="K2453" i="2" s="1"/>
  <c r="H2450" i="2"/>
  <c r="L2454" i="2" l="1"/>
  <c r="I2450" i="2"/>
  <c r="P2450" i="2" s="1"/>
  <c r="E2455" i="2" a="1"/>
  <c r="E2455" i="2" s="1"/>
  <c r="H2451" i="2"/>
  <c r="I2451" i="2" s="1"/>
  <c r="P2451" i="2" s="1"/>
  <c r="M2455" i="2"/>
  <c r="A2456" i="2"/>
  <c r="O2455" i="2"/>
  <c r="F2455" i="2"/>
  <c r="B2455" i="2"/>
  <c r="C2455" i="2" s="1"/>
  <c r="D2455" i="2" s="1"/>
  <c r="L2455" i="2" s="1"/>
  <c r="J2454" i="2"/>
  <c r="K2454" i="2" s="1"/>
  <c r="G2454" i="2"/>
  <c r="N2451" i="2" l="1"/>
  <c r="N2450" i="2"/>
  <c r="E2456" i="2" a="1"/>
  <c r="E2456" i="2" s="1"/>
  <c r="J2455" i="2"/>
  <c r="K2455" i="2" s="1"/>
  <c r="G2455" i="2"/>
  <c r="M2456" i="2"/>
  <c r="B2456" i="2"/>
  <c r="C2456" i="2" s="1"/>
  <c r="D2456" i="2" s="1"/>
  <c r="A2457" i="2"/>
  <c r="O2456" i="2"/>
  <c r="F2456" i="2"/>
  <c r="H2452" i="2"/>
  <c r="I2452" i="2" s="1"/>
  <c r="P2452" i="2" s="1"/>
  <c r="L2456" i="2" l="1"/>
  <c r="N2452" i="2"/>
  <c r="E2457" i="2" a="1"/>
  <c r="E2457" i="2" s="1"/>
  <c r="H2453" i="2"/>
  <c r="J2456" i="2"/>
  <c r="K2456" i="2" s="1"/>
  <c r="G2456" i="2"/>
  <c r="F2457" i="2"/>
  <c r="B2457" i="2"/>
  <c r="C2457" i="2" s="1"/>
  <c r="D2457" i="2" s="1"/>
  <c r="A2458" i="2"/>
  <c r="O2457" i="2"/>
  <c r="M2457" i="2"/>
  <c r="L2457" i="2" l="1"/>
  <c r="I2453" i="2"/>
  <c r="P2453" i="2" s="1"/>
  <c r="E2458" i="2" a="1"/>
  <c r="E2458" i="2" s="1"/>
  <c r="A2459" i="2"/>
  <c r="B2458" i="2"/>
  <c r="C2458" i="2" s="1"/>
  <c r="D2458" i="2" s="1"/>
  <c r="O2458" i="2"/>
  <c r="M2458" i="2"/>
  <c r="F2458" i="2"/>
  <c r="J2457" i="2"/>
  <c r="K2457" i="2" s="1"/>
  <c r="G2457" i="2"/>
  <c r="H2454" i="2"/>
  <c r="I2454" i="2" s="1"/>
  <c r="P2454" i="2" s="1"/>
  <c r="N2453" i="2" l="1"/>
  <c r="E2459" i="2" a="1"/>
  <c r="E2459" i="2" s="1"/>
  <c r="N2454" i="2"/>
  <c r="L2458" i="2"/>
  <c r="H2455" i="2"/>
  <c r="J2458" i="2"/>
  <c r="K2458" i="2" s="1"/>
  <c r="G2458" i="2"/>
  <c r="B2459" i="2"/>
  <c r="C2459" i="2" s="1"/>
  <c r="D2459" i="2" s="1"/>
  <c r="A2460" i="2"/>
  <c r="O2459" i="2"/>
  <c r="M2459" i="2"/>
  <c r="F2459" i="2"/>
  <c r="L2459" i="2" l="1"/>
  <c r="E2460" i="2" a="1"/>
  <c r="E2460" i="2" s="1"/>
  <c r="I2455" i="2"/>
  <c r="P2455" i="2" s="1"/>
  <c r="J2459" i="2"/>
  <c r="K2459" i="2" s="1"/>
  <c r="G2459" i="2"/>
  <c r="O2460" i="2"/>
  <c r="F2460" i="2"/>
  <c r="B2460" i="2"/>
  <c r="C2460" i="2" s="1"/>
  <c r="D2460" i="2" s="1"/>
  <c r="L2460" i="2" s="1"/>
  <c r="A2461" i="2"/>
  <c r="M2460" i="2"/>
  <c r="H2456" i="2"/>
  <c r="E2461" i="2" l="1" a="1"/>
  <c r="E2461" i="2" s="1"/>
  <c r="I2456" i="2"/>
  <c r="P2456" i="2" s="1"/>
  <c r="N2455" i="2"/>
  <c r="H2457" i="2"/>
  <c r="F2461" i="2"/>
  <c r="A2462" i="2"/>
  <c r="O2461" i="2"/>
  <c r="M2461" i="2"/>
  <c r="B2461" i="2"/>
  <c r="C2461" i="2" s="1"/>
  <c r="D2461" i="2" s="1"/>
  <c r="G2460" i="2"/>
  <c r="J2460" i="2"/>
  <c r="K2460" i="2" s="1"/>
  <c r="E2462" i="2" l="1" a="1"/>
  <c r="E2462" i="2" s="1"/>
  <c r="L2461" i="2"/>
  <c r="I2457" i="2"/>
  <c r="P2457" i="2" s="1"/>
  <c r="N2456" i="2"/>
  <c r="M2462" i="2"/>
  <c r="F2462" i="2"/>
  <c r="A2463" i="2"/>
  <c r="B2462" i="2"/>
  <c r="C2462" i="2" s="1"/>
  <c r="D2462" i="2" s="1"/>
  <c r="L2462" i="2" s="1"/>
  <c r="O2462" i="2"/>
  <c r="G2461" i="2"/>
  <c r="J2461" i="2"/>
  <c r="K2461" i="2" s="1"/>
  <c r="H2458" i="2"/>
  <c r="I2458" i="2" s="1"/>
  <c r="P2458" i="2" s="1"/>
  <c r="N2457" i="2" l="1"/>
  <c r="N2458" i="2"/>
  <c r="E2463" i="2" a="1"/>
  <c r="E2463" i="2" s="1"/>
  <c r="H2459" i="2"/>
  <c r="F2463" i="2"/>
  <c r="B2463" i="2"/>
  <c r="C2463" i="2" s="1"/>
  <c r="D2463" i="2" s="1"/>
  <c r="L2463" i="2" s="1"/>
  <c r="A2464" i="2"/>
  <c r="O2463" i="2"/>
  <c r="M2463" i="2"/>
  <c r="G2462" i="2"/>
  <c r="J2462" i="2"/>
  <c r="K2462" i="2" s="1"/>
  <c r="I2459" i="2" l="1"/>
  <c r="P2459" i="2" s="1"/>
  <c r="E2464" i="2" a="1"/>
  <c r="E2464" i="2" s="1"/>
  <c r="O2464" i="2"/>
  <c r="A2465" i="2"/>
  <c r="M2464" i="2"/>
  <c r="F2464" i="2"/>
  <c r="B2464" i="2"/>
  <c r="C2464" i="2" s="1"/>
  <c r="D2464" i="2" s="1"/>
  <c r="J2463" i="2"/>
  <c r="K2463" i="2" s="1"/>
  <c r="G2463" i="2"/>
  <c r="H2460" i="2"/>
  <c r="I2460" i="2" s="1"/>
  <c r="P2460" i="2" s="1"/>
  <c r="N2459" i="2" l="1"/>
  <c r="E2465" i="2" a="1"/>
  <c r="E2465" i="2" s="1"/>
  <c r="L2464" i="2"/>
  <c r="N2460" i="2"/>
  <c r="H2461" i="2"/>
  <c r="I2461" i="2" s="1"/>
  <c r="P2461" i="2" s="1"/>
  <c r="J2464" i="2"/>
  <c r="K2464" i="2" s="1"/>
  <c r="G2464" i="2"/>
  <c r="A2466" i="2"/>
  <c r="B2465" i="2"/>
  <c r="C2465" i="2" s="1"/>
  <c r="D2465" i="2" s="1"/>
  <c r="L2465" i="2" s="1"/>
  <c r="O2465" i="2"/>
  <c r="M2465" i="2"/>
  <c r="F2465" i="2"/>
  <c r="E2466" i="2" l="1" a="1"/>
  <c r="E2466" i="2" s="1"/>
  <c r="N2461" i="2"/>
  <c r="J2465" i="2"/>
  <c r="K2465" i="2" s="1"/>
  <c r="G2465" i="2"/>
  <c r="A2467" i="2"/>
  <c r="B2466" i="2"/>
  <c r="C2466" i="2" s="1"/>
  <c r="D2466" i="2" s="1"/>
  <c r="L2466" i="2" s="1"/>
  <c r="M2466" i="2"/>
  <c r="F2466" i="2"/>
  <c r="O2466" i="2"/>
  <c r="H2462" i="2"/>
  <c r="E2467" i="2" l="1" a="1"/>
  <c r="E2467" i="2" s="1"/>
  <c r="I2462" i="2"/>
  <c r="P2462" i="2" s="1"/>
  <c r="H2463" i="2"/>
  <c r="J2466" i="2"/>
  <c r="K2466" i="2" s="1"/>
  <c r="G2466" i="2"/>
  <c r="A2468" i="2"/>
  <c r="B2467" i="2"/>
  <c r="C2467" i="2" s="1"/>
  <c r="D2467" i="2" s="1"/>
  <c r="L2467" i="2" s="1"/>
  <c r="O2467" i="2"/>
  <c r="M2467" i="2"/>
  <c r="F2467" i="2"/>
  <c r="E2468" i="2" l="1" a="1"/>
  <c r="E2468" i="2" s="1"/>
  <c r="N2462" i="2"/>
  <c r="I2463" i="2"/>
  <c r="P2463" i="2" s="1"/>
  <c r="J2467" i="2"/>
  <c r="K2467" i="2" s="1"/>
  <c r="G2467" i="2"/>
  <c r="A2469" i="2"/>
  <c r="B2468" i="2"/>
  <c r="C2468" i="2" s="1"/>
  <c r="D2468" i="2" s="1"/>
  <c r="O2468" i="2"/>
  <c r="F2468" i="2"/>
  <c r="M2468" i="2"/>
  <c r="H2464" i="2"/>
  <c r="E2469" i="2" l="1" a="1"/>
  <c r="E2469" i="2" s="1"/>
  <c r="N2463" i="2"/>
  <c r="I2464" i="2"/>
  <c r="P2464" i="2" s="1"/>
  <c r="L2468" i="2"/>
  <c r="H2465" i="2"/>
  <c r="G2468" i="2"/>
  <c r="J2468" i="2"/>
  <c r="K2468" i="2" s="1"/>
  <c r="F2469" i="2"/>
  <c r="A2470" i="2"/>
  <c r="B2469" i="2"/>
  <c r="C2469" i="2" s="1"/>
  <c r="D2469" i="2" s="1"/>
  <c r="L2469" i="2" s="1"/>
  <c r="O2469" i="2"/>
  <c r="M2469" i="2"/>
  <c r="N2464" i="2" l="1"/>
  <c r="E2470" i="2" a="1"/>
  <c r="E2470" i="2" s="1"/>
  <c r="I2465" i="2"/>
  <c r="P2465" i="2" s="1"/>
  <c r="O2470" i="2"/>
  <c r="M2470" i="2"/>
  <c r="F2470" i="2"/>
  <c r="B2470" i="2"/>
  <c r="C2470" i="2" s="1"/>
  <c r="D2470" i="2" s="1"/>
  <c r="L2470" i="2" s="1"/>
  <c r="A2471" i="2"/>
  <c r="J2469" i="2"/>
  <c r="K2469" i="2" s="1"/>
  <c r="G2469" i="2"/>
  <c r="H2466" i="2"/>
  <c r="I2466" i="2" s="1"/>
  <c r="P2466" i="2" s="1"/>
  <c r="N2466" i="2" l="1"/>
  <c r="E2471" i="2" a="1"/>
  <c r="E2471" i="2" s="1"/>
  <c r="N2465" i="2"/>
  <c r="H2467" i="2"/>
  <c r="I2467" i="2" s="1"/>
  <c r="P2467" i="2" s="1"/>
  <c r="A2472" i="2"/>
  <c r="B2471" i="2"/>
  <c r="C2471" i="2" s="1"/>
  <c r="D2471" i="2" s="1"/>
  <c r="L2471" i="2" s="1"/>
  <c r="O2471" i="2"/>
  <c r="M2471" i="2"/>
  <c r="F2471" i="2"/>
  <c r="J2470" i="2"/>
  <c r="K2470" i="2" s="1"/>
  <c r="G2470" i="2"/>
  <c r="E2472" i="2" l="1" a="1"/>
  <c r="E2472" i="2" s="1"/>
  <c r="N2467" i="2"/>
  <c r="J2471" i="2"/>
  <c r="K2471" i="2" s="1"/>
  <c r="G2471" i="2"/>
  <c r="M2472" i="2"/>
  <c r="A2473" i="2"/>
  <c r="O2472" i="2"/>
  <c r="F2472" i="2"/>
  <c r="B2472" i="2"/>
  <c r="C2472" i="2" s="1"/>
  <c r="D2472" i="2" s="1"/>
  <c r="H2468" i="2"/>
  <c r="L2472" i="2" l="1"/>
  <c r="E2473" i="2" a="1"/>
  <c r="E2473" i="2" s="1"/>
  <c r="I2468" i="2"/>
  <c r="P2468" i="2" s="1"/>
  <c r="H2469" i="2"/>
  <c r="J2472" i="2"/>
  <c r="K2472" i="2" s="1"/>
  <c r="G2472" i="2"/>
  <c r="A2474" i="2"/>
  <c r="B2473" i="2"/>
  <c r="C2473" i="2" s="1"/>
  <c r="D2473" i="2" s="1"/>
  <c r="O2473" i="2"/>
  <c r="M2473" i="2"/>
  <c r="F2473" i="2"/>
  <c r="N2468" i="2" l="1"/>
  <c r="I2469" i="2"/>
  <c r="P2469" i="2" s="1"/>
  <c r="E2474" i="2" a="1"/>
  <c r="E2474" i="2" s="1"/>
  <c r="L2473" i="2"/>
  <c r="J2473" i="2"/>
  <c r="K2473" i="2" s="1"/>
  <c r="G2473" i="2"/>
  <c r="A2475" i="2"/>
  <c r="B2474" i="2"/>
  <c r="C2474" i="2" s="1"/>
  <c r="D2474" i="2" s="1"/>
  <c r="L2474" i="2" s="1"/>
  <c r="O2474" i="2"/>
  <c r="M2474" i="2"/>
  <c r="F2474" i="2"/>
  <c r="H2470" i="2"/>
  <c r="E2475" i="2" l="1" a="1"/>
  <c r="E2475" i="2" s="1"/>
  <c r="I2470" i="2"/>
  <c r="P2470" i="2" s="1"/>
  <c r="N2469" i="2"/>
  <c r="H2471" i="2"/>
  <c r="I2471" i="2" s="1"/>
  <c r="P2471" i="2" s="1"/>
  <c r="J2474" i="2"/>
  <c r="K2474" i="2" s="1"/>
  <c r="G2474" i="2"/>
  <c r="A2476" i="2"/>
  <c r="B2475" i="2"/>
  <c r="C2475" i="2" s="1"/>
  <c r="D2475" i="2" s="1"/>
  <c r="L2475" i="2" s="1"/>
  <c r="O2475" i="2"/>
  <c r="M2475" i="2"/>
  <c r="F2475" i="2"/>
  <c r="N2470" i="2" l="1"/>
  <c r="E2476" i="2" a="1"/>
  <c r="E2476" i="2" s="1"/>
  <c r="N2471" i="2"/>
  <c r="J2475" i="2"/>
  <c r="K2475" i="2" s="1"/>
  <c r="G2475" i="2"/>
  <c r="O2476" i="2"/>
  <c r="F2476" i="2"/>
  <c r="A2477" i="2"/>
  <c r="M2476" i="2"/>
  <c r="B2476" i="2"/>
  <c r="C2476" i="2" s="1"/>
  <c r="D2476" i="2" s="1"/>
  <c r="H2472" i="2"/>
  <c r="L2476" i="2" l="1"/>
  <c r="E2477" i="2" a="1"/>
  <c r="E2477" i="2" s="1"/>
  <c r="I2472" i="2"/>
  <c r="P2472" i="2" s="1"/>
  <c r="H2473" i="2"/>
  <c r="O2477" i="2"/>
  <c r="M2477" i="2"/>
  <c r="F2477" i="2"/>
  <c r="A2478" i="2"/>
  <c r="B2477" i="2"/>
  <c r="C2477" i="2" s="1"/>
  <c r="D2477" i="2" s="1"/>
  <c r="L2477" i="2" s="1"/>
  <c r="J2476" i="2"/>
  <c r="K2476" i="2" s="1"/>
  <c r="G2476" i="2"/>
  <c r="N2472" i="2" l="1"/>
  <c r="I2473" i="2"/>
  <c r="P2473" i="2" s="1"/>
  <c r="E2478" i="2" a="1"/>
  <c r="E2478" i="2" s="1"/>
  <c r="M2478" i="2"/>
  <c r="F2478" i="2"/>
  <c r="A2479" i="2"/>
  <c r="B2478" i="2"/>
  <c r="C2478" i="2" s="1"/>
  <c r="D2478" i="2" s="1"/>
  <c r="L2478" i="2" s="1"/>
  <c r="O2478" i="2"/>
  <c r="G2477" i="2"/>
  <c r="J2477" i="2"/>
  <c r="K2477" i="2" s="1"/>
  <c r="H2474" i="2"/>
  <c r="I2474" i="2" s="1"/>
  <c r="P2474" i="2" s="1"/>
  <c r="N2474" i="2" l="1"/>
  <c r="N2473" i="2"/>
  <c r="E2479" i="2" a="1"/>
  <c r="E2479" i="2" s="1"/>
  <c r="H2475" i="2"/>
  <c r="I2475" i="2" s="1"/>
  <c r="P2475" i="2" s="1"/>
  <c r="M2479" i="2"/>
  <c r="F2479" i="2"/>
  <c r="A2480" i="2"/>
  <c r="O2479" i="2"/>
  <c r="B2479" i="2"/>
  <c r="C2479" i="2" s="1"/>
  <c r="D2479" i="2" s="1"/>
  <c r="J2478" i="2"/>
  <c r="K2478" i="2" s="1"/>
  <c r="G2478" i="2"/>
  <c r="N2475" i="2" l="1"/>
  <c r="L2479" i="2"/>
  <c r="E2480" i="2" a="1"/>
  <c r="E2480" i="2" s="1"/>
  <c r="F2480" i="2"/>
  <c r="A2481" i="2"/>
  <c r="B2480" i="2"/>
  <c r="C2480" i="2" s="1"/>
  <c r="D2480" i="2" s="1"/>
  <c r="O2480" i="2"/>
  <c r="M2480" i="2"/>
  <c r="G2479" i="2"/>
  <c r="J2479" i="2"/>
  <c r="K2479" i="2" s="1"/>
  <c r="H2476" i="2"/>
  <c r="L2480" i="2" l="1"/>
  <c r="E2481" i="2" a="1"/>
  <c r="E2481" i="2" s="1"/>
  <c r="I2476" i="2"/>
  <c r="P2476" i="2" s="1"/>
  <c r="H2477" i="2"/>
  <c r="I2477" i="2" s="1"/>
  <c r="P2477" i="2" s="1"/>
  <c r="A2482" i="2"/>
  <c r="B2481" i="2"/>
  <c r="C2481" i="2" s="1"/>
  <c r="D2481" i="2" s="1"/>
  <c r="L2481" i="2" s="1"/>
  <c r="M2481" i="2"/>
  <c r="F2481" i="2"/>
  <c r="O2481" i="2"/>
  <c r="J2480" i="2"/>
  <c r="K2480" i="2" s="1"/>
  <c r="G2480" i="2"/>
  <c r="N2476" i="2" l="1"/>
  <c r="N2477" i="2"/>
  <c r="E2482" i="2" a="1"/>
  <c r="E2482" i="2" s="1"/>
  <c r="J2481" i="2"/>
  <c r="K2481" i="2" s="1"/>
  <c r="G2481" i="2"/>
  <c r="F2482" i="2"/>
  <c r="A2483" i="2"/>
  <c r="B2482" i="2"/>
  <c r="C2482" i="2" s="1"/>
  <c r="D2482" i="2" s="1"/>
  <c r="L2482" i="2" s="1"/>
  <c r="O2482" i="2"/>
  <c r="M2482" i="2"/>
  <c r="H2478" i="2"/>
  <c r="I2478" i="2" s="1"/>
  <c r="P2478" i="2" s="1"/>
  <c r="N2478" i="2" l="1"/>
  <c r="E2483" i="2" a="1"/>
  <c r="E2483" i="2" s="1"/>
  <c r="H2479" i="2"/>
  <c r="I2479" i="2" s="1"/>
  <c r="P2479" i="2" s="1"/>
  <c r="A2484" i="2"/>
  <c r="B2483" i="2"/>
  <c r="C2483" i="2" s="1"/>
  <c r="D2483" i="2" s="1"/>
  <c r="L2483" i="2" s="1"/>
  <c r="O2483" i="2"/>
  <c r="M2483" i="2"/>
  <c r="F2483" i="2"/>
  <c r="J2482" i="2"/>
  <c r="K2482" i="2" s="1"/>
  <c r="G2482" i="2"/>
  <c r="E2484" i="2" l="1" a="1"/>
  <c r="E2484" i="2" s="1"/>
  <c r="N2479" i="2"/>
  <c r="G2483" i="2"/>
  <c r="J2483" i="2"/>
  <c r="K2483" i="2" s="1"/>
  <c r="F2484" i="2"/>
  <c r="A2485" i="2"/>
  <c r="B2484" i="2"/>
  <c r="C2484" i="2" s="1"/>
  <c r="D2484" i="2" s="1"/>
  <c r="L2484" i="2" s="1"/>
  <c r="O2484" i="2"/>
  <c r="M2484" i="2"/>
  <c r="H2480" i="2"/>
  <c r="I2480" i="2" s="1"/>
  <c r="P2480" i="2" s="1"/>
  <c r="N2480" i="2" l="1"/>
  <c r="E2485" i="2" a="1"/>
  <c r="E2485" i="2" s="1"/>
  <c r="H2481" i="2"/>
  <c r="I2481" i="2" s="1"/>
  <c r="P2481" i="2" s="1"/>
  <c r="F2485" i="2"/>
  <c r="A2486" i="2"/>
  <c r="B2485" i="2"/>
  <c r="C2485" i="2" s="1"/>
  <c r="D2485" i="2" s="1"/>
  <c r="L2485" i="2" s="1"/>
  <c r="O2485" i="2"/>
  <c r="M2485" i="2"/>
  <c r="G2484" i="2"/>
  <c r="J2484" i="2"/>
  <c r="K2484" i="2" s="1"/>
  <c r="E2486" i="2" l="1" a="1"/>
  <c r="E2486" i="2" s="1"/>
  <c r="N2481" i="2"/>
  <c r="F2486" i="2"/>
  <c r="A2487" i="2"/>
  <c r="B2486" i="2"/>
  <c r="C2486" i="2" s="1"/>
  <c r="D2486" i="2" s="1"/>
  <c r="O2486" i="2"/>
  <c r="M2486" i="2"/>
  <c r="G2485" i="2"/>
  <c r="J2485" i="2"/>
  <c r="K2485" i="2" s="1"/>
  <c r="H2482" i="2"/>
  <c r="I2482" i="2" s="1"/>
  <c r="P2482" i="2" s="1"/>
  <c r="N2482" i="2" l="1"/>
  <c r="L2486" i="2"/>
  <c r="E2487" i="2" a="1"/>
  <c r="E2487" i="2" s="1"/>
  <c r="H2483" i="2"/>
  <c r="A2488" i="2"/>
  <c r="B2487" i="2"/>
  <c r="C2487" i="2" s="1"/>
  <c r="D2487" i="2" s="1"/>
  <c r="L2487" i="2" s="1"/>
  <c r="O2487" i="2"/>
  <c r="M2487" i="2"/>
  <c r="F2487" i="2"/>
  <c r="J2486" i="2"/>
  <c r="K2486" i="2" s="1"/>
  <c r="G2486" i="2"/>
  <c r="E2488" i="2" l="1" a="1"/>
  <c r="E2488" i="2" s="1"/>
  <c r="I2483" i="2"/>
  <c r="P2483" i="2" s="1"/>
  <c r="J2487" i="2"/>
  <c r="K2487" i="2" s="1"/>
  <c r="G2487" i="2"/>
  <c r="O2488" i="2"/>
  <c r="M2488" i="2"/>
  <c r="A2489" i="2"/>
  <c r="F2488" i="2"/>
  <c r="B2488" i="2"/>
  <c r="C2488" i="2" s="1"/>
  <c r="D2488" i="2" s="1"/>
  <c r="H2484" i="2"/>
  <c r="I2484" i="2" s="1"/>
  <c r="P2484" i="2" s="1"/>
  <c r="E2489" i="2" l="1" a="1"/>
  <c r="E2489" i="2" s="1"/>
  <c r="L2488" i="2"/>
  <c r="N2484" i="2"/>
  <c r="N2483" i="2"/>
  <c r="H2485" i="2"/>
  <c r="I2485" i="2" s="1"/>
  <c r="P2485" i="2" s="1"/>
  <c r="J2488" i="2"/>
  <c r="K2488" i="2" s="1"/>
  <c r="G2488" i="2"/>
  <c r="A2490" i="2"/>
  <c r="B2489" i="2"/>
  <c r="C2489" i="2" s="1"/>
  <c r="D2489" i="2" s="1"/>
  <c r="O2489" i="2"/>
  <c r="M2489" i="2"/>
  <c r="F2489" i="2"/>
  <c r="E2490" i="2" l="1" a="1"/>
  <c r="E2490" i="2" s="1"/>
  <c r="L2489" i="2"/>
  <c r="N2485" i="2"/>
  <c r="J2489" i="2"/>
  <c r="K2489" i="2" s="1"/>
  <c r="G2489" i="2"/>
  <c r="A2491" i="2"/>
  <c r="B2490" i="2"/>
  <c r="C2490" i="2" s="1"/>
  <c r="D2490" i="2" s="1"/>
  <c r="L2490" i="2" s="1"/>
  <c r="M2490" i="2"/>
  <c r="O2490" i="2"/>
  <c r="F2490" i="2"/>
  <c r="H2486" i="2"/>
  <c r="I2486" i="2" l="1"/>
  <c r="P2486" i="2" s="1"/>
  <c r="E2491" i="2" a="1"/>
  <c r="E2491" i="2" s="1"/>
  <c r="H2487" i="2"/>
  <c r="I2487" i="2" s="1"/>
  <c r="P2487" i="2" s="1"/>
  <c r="J2490" i="2"/>
  <c r="K2490" i="2" s="1"/>
  <c r="G2490" i="2"/>
  <c r="A2492" i="2"/>
  <c r="B2491" i="2"/>
  <c r="C2491" i="2" s="1"/>
  <c r="D2491" i="2" s="1"/>
  <c r="E2492" i="2" s="1" a="1"/>
  <c r="E2492" i="2" s="1"/>
  <c r="O2491" i="2"/>
  <c r="M2491" i="2"/>
  <c r="F2491" i="2"/>
  <c r="L2491" i="2" l="1"/>
  <c r="N2487" i="2"/>
  <c r="N2486" i="2"/>
  <c r="E2493" i="2" a="1"/>
  <c r="E2493" i="2" s="1"/>
  <c r="J2491" i="2"/>
  <c r="K2491" i="2" s="1"/>
  <c r="G2491" i="2"/>
  <c r="O2492" i="2"/>
  <c r="M2492" i="2"/>
  <c r="F2492" i="2"/>
  <c r="A2493" i="2"/>
  <c r="B2492" i="2"/>
  <c r="C2492" i="2" s="1"/>
  <c r="D2492" i="2" s="1"/>
  <c r="H2488" i="2"/>
  <c r="I2488" i="2" l="1"/>
  <c r="P2488" i="2" s="1"/>
  <c r="L2492" i="2"/>
  <c r="H2489" i="2"/>
  <c r="I2489" i="2" s="1"/>
  <c r="P2489" i="2" s="1"/>
  <c r="O2493" i="2"/>
  <c r="M2493" i="2"/>
  <c r="F2493" i="2"/>
  <c r="B2493" i="2"/>
  <c r="C2493" i="2" s="1"/>
  <c r="D2493" i="2" s="1"/>
  <c r="L2493" i="2" s="1"/>
  <c r="A2494" i="2"/>
  <c r="J2492" i="2"/>
  <c r="K2492" i="2" s="1"/>
  <c r="G2492" i="2"/>
  <c r="N2488" i="2" l="1"/>
  <c r="N2489" i="2"/>
  <c r="E2494" i="2" a="1"/>
  <c r="E2494" i="2" s="1"/>
  <c r="M2494" i="2"/>
  <c r="F2494" i="2"/>
  <c r="A2495" i="2"/>
  <c r="B2494" i="2"/>
  <c r="C2494" i="2" s="1"/>
  <c r="D2494" i="2" s="1"/>
  <c r="O2494" i="2"/>
  <c r="J2493" i="2"/>
  <c r="K2493" i="2" s="1"/>
  <c r="G2493" i="2"/>
  <c r="H2490" i="2"/>
  <c r="I2490" i="2" l="1"/>
  <c r="P2490" i="2" s="1"/>
  <c r="E2495" i="2" a="1"/>
  <c r="E2495" i="2" s="1"/>
  <c r="L2494" i="2"/>
  <c r="H2491" i="2"/>
  <c r="M2495" i="2"/>
  <c r="F2495" i="2"/>
  <c r="A2496" i="2"/>
  <c r="O2495" i="2"/>
  <c r="B2495" i="2"/>
  <c r="C2495" i="2" s="1"/>
  <c r="D2495" i="2" s="1"/>
  <c r="J2494" i="2"/>
  <c r="K2494" i="2" s="1"/>
  <c r="G2494" i="2"/>
  <c r="I2491" i="2" l="1"/>
  <c r="P2491" i="2" s="1"/>
  <c r="L2495" i="2"/>
  <c r="E2496" i="2" a="1"/>
  <c r="E2496" i="2" s="1"/>
  <c r="N2490" i="2"/>
  <c r="F2496" i="2"/>
  <c r="A2497" i="2"/>
  <c r="B2496" i="2"/>
  <c r="C2496" i="2" s="1"/>
  <c r="D2496" i="2" s="1"/>
  <c r="L2496" i="2" s="1"/>
  <c r="O2496" i="2"/>
  <c r="M2496" i="2"/>
  <c r="J2495" i="2"/>
  <c r="K2495" i="2" s="1"/>
  <c r="G2495" i="2"/>
  <c r="H2492" i="2"/>
  <c r="E2497" i="2" l="1" a="1"/>
  <c r="E2497" i="2" s="1"/>
  <c r="N2491" i="2"/>
  <c r="I2492" i="2"/>
  <c r="P2492" i="2" s="1"/>
  <c r="H2493" i="2"/>
  <c r="I2493" i="2" s="1"/>
  <c r="P2493" i="2" s="1"/>
  <c r="F2497" i="2"/>
  <c r="A2498" i="2"/>
  <c r="B2497" i="2"/>
  <c r="C2497" i="2" s="1"/>
  <c r="D2497" i="2" s="1"/>
  <c r="L2497" i="2" s="1"/>
  <c r="O2497" i="2"/>
  <c r="M2497" i="2"/>
  <c r="J2496" i="2"/>
  <c r="K2496" i="2" s="1"/>
  <c r="G2496" i="2"/>
  <c r="N2492" i="2" l="1"/>
  <c r="E2498" i="2" a="1"/>
  <c r="E2498" i="2" s="1"/>
  <c r="N2493" i="2"/>
  <c r="F2498" i="2"/>
  <c r="A2499" i="2"/>
  <c r="B2498" i="2"/>
  <c r="C2498" i="2" s="1"/>
  <c r="D2498" i="2" s="1"/>
  <c r="O2498" i="2"/>
  <c r="M2498" i="2"/>
  <c r="J2497" i="2"/>
  <c r="K2497" i="2" s="1"/>
  <c r="G2497" i="2"/>
  <c r="H2494" i="2"/>
  <c r="I2494" i="2" l="1"/>
  <c r="P2494" i="2" s="1"/>
  <c r="L2498" i="2"/>
  <c r="E2499" i="2" a="1"/>
  <c r="E2499" i="2" s="1"/>
  <c r="H2495" i="2"/>
  <c r="I2495" i="2" s="1"/>
  <c r="P2495" i="2" s="1"/>
  <c r="F2499" i="2"/>
  <c r="A2500" i="2"/>
  <c r="B2499" i="2"/>
  <c r="C2499" i="2" s="1"/>
  <c r="D2499" i="2" s="1"/>
  <c r="O2499" i="2"/>
  <c r="M2499" i="2"/>
  <c r="J2498" i="2"/>
  <c r="K2498" i="2" s="1"/>
  <c r="G2498" i="2"/>
  <c r="L2499" i="2" l="1"/>
  <c r="E2500" i="2" a="1"/>
  <c r="E2500" i="2" s="1"/>
  <c r="N2495" i="2"/>
  <c r="N2494" i="2"/>
  <c r="F2500" i="2"/>
  <c r="A2501" i="2"/>
  <c r="B2500" i="2"/>
  <c r="C2500" i="2" s="1"/>
  <c r="D2500" i="2" s="1"/>
  <c r="L2500" i="2" s="1"/>
  <c r="O2500" i="2"/>
  <c r="M2500" i="2"/>
  <c r="G2499" i="2"/>
  <c r="J2499" i="2"/>
  <c r="K2499" i="2" s="1"/>
  <c r="H2496" i="2"/>
  <c r="E2501" i="2" l="1" a="1"/>
  <c r="E2501" i="2" s="1"/>
  <c r="I2496" i="2"/>
  <c r="P2496" i="2" s="1"/>
  <c r="E2502" i="2" a="1"/>
  <c r="E2502" i="2" s="1"/>
  <c r="H2497" i="2"/>
  <c r="I2497" i="2" s="1"/>
  <c r="P2497" i="2" s="1"/>
  <c r="F2501" i="2"/>
  <c r="A2502" i="2"/>
  <c r="B2501" i="2"/>
  <c r="C2501" i="2" s="1"/>
  <c r="D2501" i="2" s="1"/>
  <c r="O2501" i="2"/>
  <c r="M2501" i="2"/>
  <c r="G2500" i="2"/>
  <c r="J2500" i="2"/>
  <c r="K2500" i="2" s="1"/>
  <c r="L2501" i="2" l="1"/>
  <c r="N2496" i="2"/>
  <c r="N2497" i="2"/>
  <c r="F2502" i="2"/>
  <c r="A2503" i="2"/>
  <c r="B2502" i="2"/>
  <c r="C2502" i="2" s="1"/>
  <c r="D2502" i="2" s="1"/>
  <c r="L2502" i="2" s="1"/>
  <c r="O2502" i="2"/>
  <c r="M2502" i="2"/>
  <c r="G2501" i="2"/>
  <c r="J2501" i="2"/>
  <c r="K2501" i="2" s="1"/>
  <c r="H2498" i="2"/>
  <c r="I2498" i="2" s="1"/>
  <c r="P2498" i="2" s="1"/>
  <c r="N2498" i="2" l="1"/>
  <c r="E2503" i="2" a="1"/>
  <c r="E2503" i="2" s="1"/>
  <c r="H2499" i="2"/>
  <c r="A2504" i="2"/>
  <c r="B2503" i="2"/>
  <c r="C2503" i="2" s="1"/>
  <c r="D2503" i="2" s="1"/>
  <c r="O2503" i="2"/>
  <c r="M2503" i="2"/>
  <c r="F2503" i="2"/>
  <c r="J2502" i="2"/>
  <c r="K2502" i="2" s="1"/>
  <c r="G2502" i="2"/>
  <c r="I2499" i="2" l="1"/>
  <c r="P2499" i="2" s="1"/>
  <c r="E2504" i="2" a="1"/>
  <c r="E2504" i="2" s="1"/>
  <c r="L2503" i="2"/>
  <c r="J2503" i="2"/>
  <c r="K2503" i="2" s="1"/>
  <c r="G2503" i="2"/>
  <c r="A2505" i="2"/>
  <c r="B2504" i="2"/>
  <c r="C2504" i="2" s="1"/>
  <c r="D2504" i="2" s="1"/>
  <c r="O2504" i="2"/>
  <c r="M2504" i="2"/>
  <c r="F2504" i="2"/>
  <c r="H2500" i="2"/>
  <c r="I2500" i="2" s="1"/>
  <c r="P2500" i="2" s="1"/>
  <c r="N2500" i="2" l="1"/>
  <c r="L2504" i="2"/>
  <c r="E2505" i="2" a="1"/>
  <c r="E2505" i="2" s="1"/>
  <c r="N2499" i="2"/>
  <c r="H2501" i="2"/>
  <c r="J2504" i="2"/>
  <c r="K2504" i="2" s="1"/>
  <c r="G2504" i="2"/>
  <c r="A2506" i="2"/>
  <c r="B2505" i="2"/>
  <c r="C2505" i="2" s="1"/>
  <c r="D2505" i="2" s="1"/>
  <c r="O2505" i="2"/>
  <c r="M2505" i="2"/>
  <c r="F2505" i="2"/>
  <c r="L2505" i="2" l="1"/>
  <c r="E2506" i="2" a="1"/>
  <c r="E2506" i="2" s="1"/>
  <c r="I2501" i="2"/>
  <c r="P2501" i="2" s="1"/>
  <c r="J2505" i="2"/>
  <c r="K2505" i="2" s="1"/>
  <c r="G2505" i="2"/>
  <c r="A2507" i="2"/>
  <c r="B2506" i="2"/>
  <c r="C2506" i="2" s="1"/>
  <c r="D2506" i="2" s="1"/>
  <c r="L2506" i="2" s="1"/>
  <c r="O2506" i="2"/>
  <c r="M2506" i="2"/>
  <c r="F2506" i="2"/>
  <c r="H2502" i="2"/>
  <c r="I2502" i="2" s="1"/>
  <c r="P2502" i="2" s="1"/>
  <c r="N2501" i="2" l="1"/>
  <c r="N2502" i="2"/>
  <c r="E2507" i="2" a="1"/>
  <c r="E2507" i="2" s="1"/>
  <c r="H2503" i="2"/>
  <c r="I2503" i="2" s="1"/>
  <c r="P2503" i="2" s="1"/>
  <c r="J2506" i="2"/>
  <c r="K2506" i="2" s="1"/>
  <c r="G2506" i="2"/>
  <c r="A2508" i="2"/>
  <c r="B2507" i="2"/>
  <c r="C2507" i="2" s="1"/>
  <c r="D2507" i="2" s="1"/>
  <c r="L2507" i="2" s="1"/>
  <c r="O2507" i="2"/>
  <c r="M2507" i="2"/>
  <c r="F2507" i="2"/>
  <c r="E2508" i="2" l="1" a="1"/>
  <c r="E2508" i="2" s="1"/>
  <c r="E2509" i="2" a="1"/>
  <c r="E2509" i="2" s="1"/>
  <c r="N2503" i="2"/>
  <c r="J2507" i="2"/>
  <c r="K2507" i="2" s="1"/>
  <c r="G2507" i="2"/>
  <c r="O2508" i="2"/>
  <c r="M2508" i="2"/>
  <c r="F2508" i="2"/>
  <c r="A2509" i="2"/>
  <c r="B2508" i="2"/>
  <c r="C2508" i="2" s="1"/>
  <c r="D2508" i="2" s="1"/>
  <c r="H2504" i="2"/>
  <c r="L2508" i="2" l="1"/>
  <c r="I2504" i="2"/>
  <c r="P2504" i="2" s="1"/>
  <c r="H2505" i="2"/>
  <c r="I2505" i="2" s="1"/>
  <c r="P2505" i="2" s="1"/>
  <c r="O2509" i="2"/>
  <c r="M2509" i="2"/>
  <c r="F2509" i="2"/>
  <c r="B2509" i="2"/>
  <c r="C2509" i="2" s="1"/>
  <c r="D2509" i="2" s="1"/>
  <c r="A2510" i="2"/>
  <c r="J2508" i="2"/>
  <c r="K2508" i="2" s="1"/>
  <c r="G2508" i="2"/>
  <c r="E2510" i="2" l="1" a="1"/>
  <c r="E2510" i="2" s="1"/>
  <c r="L2509" i="2"/>
  <c r="N2505" i="2"/>
  <c r="N2504" i="2"/>
  <c r="M2510" i="2"/>
  <c r="F2510" i="2"/>
  <c r="A2511" i="2"/>
  <c r="B2510" i="2"/>
  <c r="C2510" i="2" s="1"/>
  <c r="D2510" i="2" s="1"/>
  <c r="O2510" i="2"/>
  <c r="J2509" i="2"/>
  <c r="K2509" i="2" s="1"/>
  <c r="G2509" i="2"/>
  <c r="H2506" i="2"/>
  <c r="L2510" i="2" l="1"/>
  <c r="I2506" i="2"/>
  <c r="P2506" i="2" s="1"/>
  <c r="E2511" i="2" a="1"/>
  <c r="E2511" i="2" s="1"/>
  <c r="H2507" i="2"/>
  <c r="I2507" i="2" s="1"/>
  <c r="P2507" i="2" s="1"/>
  <c r="M2511" i="2"/>
  <c r="F2511" i="2"/>
  <c r="A2512" i="2"/>
  <c r="B2511" i="2"/>
  <c r="C2511" i="2" s="1"/>
  <c r="D2511" i="2" s="1"/>
  <c r="O2511" i="2"/>
  <c r="J2510" i="2"/>
  <c r="K2510" i="2" s="1"/>
  <c r="G2510" i="2"/>
  <c r="E2512" i="2" l="1" a="1"/>
  <c r="E2512" i="2" s="1"/>
  <c r="N2506" i="2"/>
  <c r="L2511" i="2"/>
  <c r="N2507" i="2"/>
  <c r="F2512" i="2"/>
  <c r="A2513" i="2"/>
  <c r="B2512" i="2"/>
  <c r="C2512" i="2" s="1"/>
  <c r="D2512" i="2" s="1"/>
  <c r="O2512" i="2"/>
  <c r="M2512" i="2"/>
  <c r="J2511" i="2"/>
  <c r="K2511" i="2" s="1"/>
  <c r="G2511" i="2"/>
  <c r="H2508" i="2"/>
  <c r="I2508" i="2" s="1"/>
  <c r="P2508" i="2" s="1"/>
  <c r="L2512" i="2" l="1"/>
  <c r="E2513" i="2" a="1"/>
  <c r="E2513" i="2" s="1"/>
  <c r="N2508" i="2"/>
  <c r="H2509" i="2"/>
  <c r="I2509" i="2" s="1"/>
  <c r="P2509" i="2" s="1"/>
  <c r="F2513" i="2"/>
  <c r="A2514" i="2"/>
  <c r="B2513" i="2"/>
  <c r="C2513" i="2" s="1"/>
  <c r="D2513" i="2" s="1"/>
  <c r="L2513" i="2" s="1"/>
  <c r="O2513" i="2"/>
  <c r="M2513" i="2"/>
  <c r="J2512" i="2"/>
  <c r="K2512" i="2" s="1"/>
  <c r="G2512" i="2"/>
  <c r="N2509" i="2" l="1"/>
  <c r="E2514" i="2" a="1"/>
  <c r="E2514" i="2" s="1"/>
  <c r="F2514" i="2"/>
  <c r="A2515" i="2"/>
  <c r="B2514" i="2"/>
  <c r="C2514" i="2" s="1"/>
  <c r="D2514" i="2" s="1"/>
  <c r="O2514" i="2"/>
  <c r="M2514" i="2"/>
  <c r="J2513" i="2"/>
  <c r="K2513" i="2" s="1"/>
  <c r="G2513" i="2"/>
  <c r="H2510" i="2"/>
  <c r="I2510" i="2" s="1"/>
  <c r="P2510" i="2" s="1"/>
  <c r="N2510" i="2" l="1"/>
  <c r="L2514" i="2"/>
  <c r="E2515" i="2" a="1"/>
  <c r="E2515" i="2" s="1"/>
  <c r="H2511" i="2"/>
  <c r="F2515" i="2"/>
  <c r="A2516" i="2"/>
  <c r="B2515" i="2"/>
  <c r="C2515" i="2" s="1"/>
  <c r="D2515" i="2" s="1"/>
  <c r="O2515" i="2"/>
  <c r="M2515" i="2"/>
  <c r="J2514" i="2"/>
  <c r="K2514" i="2" s="1"/>
  <c r="G2514" i="2"/>
  <c r="L2515" i="2" l="1"/>
  <c r="I2511" i="2"/>
  <c r="P2511" i="2" s="1"/>
  <c r="E2516" i="2" a="1"/>
  <c r="E2516" i="2" s="1"/>
  <c r="F2516" i="2"/>
  <c r="A2517" i="2"/>
  <c r="B2516" i="2"/>
  <c r="C2516" i="2" s="1"/>
  <c r="D2516" i="2" s="1"/>
  <c r="L2516" i="2" s="1"/>
  <c r="O2516" i="2"/>
  <c r="M2516" i="2"/>
  <c r="G2515" i="2"/>
  <c r="J2515" i="2"/>
  <c r="K2515" i="2" s="1"/>
  <c r="H2512" i="2"/>
  <c r="N2511" i="2" l="1"/>
  <c r="E2517" i="2" a="1"/>
  <c r="E2517" i="2" s="1"/>
  <c r="I2512" i="2"/>
  <c r="P2512" i="2" s="1"/>
  <c r="H2513" i="2"/>
  <c r="F2517" i="2"/>
  <c r="A2518" i="2"/>
  <c r="B2517" i="2"/>
  <c r="C2517" i="2" s="1"/>
  <c r="D2517" i="2" s="1"/>
  <c r="L2517" i="2" s="1"/>
  <c r="O2517" i="2"/>
  <c r="M2517" i="2"/>
  <c r="G2516" i="2"/>
  <c r="J2516" i="2"/>
  <c r="K2516" i="2" s="1"/>
  <c r="E2518" i="2" l="1" a="1"/>
  <c r="E2518" i="2" s="1"/>
  <c r="N2512" i="2"/>
  <c r="I2513" i="2"/>
  <c r="P2513" i="2" s="1"/>
  <c r="F2518" i="2"/>
  <c r="A2519" i="2"/>
  <c r="B2518" i="2"/>
  <c r="C2518" i="2" s="1"/>
  <c r="D2518" i="2" s="1"/>
  <c r="L2518" i="2" s="1"/>
  <c r="O2518" i="2"/>
  <c r="M2518" i="2"/>
  <c r="G2517" i="2"/>
  <c r="J2517" i="2"/>
  <c r="K2517" i="2" s="1"/>
  <c r="H2514" i="2"/>
  <c r="N2513" i="2" l="1"/>
  <c r="I2514" i="2"/>
  <c r="P2514" i="2" s="1"/>
  <c r="E2519" i="2" a="1"/>
  <c r="E2519" i="2" s="1"/>
  <c r="H2515" i="2"/>
  <c r="A2520" i="2"/>
  <c r="B2519" i="2"/>
  <c r="C2519" i="2" s="1"/>
  <c r="D2519" i="2" s="1"/>
  <c r="O2519" i="2"/>
  <c r="M2519" i="2"/>
  <c r="F2519" i="2"/>
  <c r="J2518" i="2"/>
  <c r="K2518" i="2" s="1"/>
  <c r="G2518" i="2"/>
  <c r="N2514" i="2" l="1"/>
  <c r="E2520" i="2" a="1"/>
  <c r="E2520" i="2" s="1"/>
  <c r="L2519" i="2"/>
  <c r="I2515" i="2"/>
  <c r="P2515" i="2" s="1"/>
  <c r="J2519" i="2"/>
  <c r="K2519" i="2" s="1"/>
  <c r="G2519" i="2"/>
  <c r="A2521" i="2"/>
  <c r="B2520" i="2"/>
  <c r="C2520" i="2" s="1"/>
  <c r="D2520" i="2" s="1"/>
  <c r="L2520" i="2" s="1"/>
  <c r="O2520" i="2"/>
  <c r="M2520" i="2"/>
  <c r="F2520" i="2"/>
  <c r="H2516" i="2"/>
  <c r="I2516" i="2" s="1"/>
  <c r="P2516" i="2" s="1"/>
  <c r="N2516" i="2" l="1"/>
  <c r="N2515" i="2"/>
  <c r="E2521" i="2" a="1"/>
  <c r="E2521" i="2" s="1"/>
  <c r="H2517" i="2"/>
  <c r="J2520" i="2"/>
  <c r="K2520" i="2" s="1"/>
  <c r="G2520" i="2"/>
  <c r="A2522" i="2"/>
  <c r="B2521" i="2"/>
  <c r="C2521" i="2" s="1"/>
  <c r="D2521" i="2" s="1"/>
  <c r="O2521" i="2"/>
  <c r="M2521" i="2"/>
  <c r="F2521" i="2"/>
  <c r="L2521" i="2" l="1"/>
  <c r="E2522" i="2" a="1"/>
  <c r="E2522" i="2" s="1"/>
  <c r="I2517" i="2"/>
  <c r="P2517" i="2" s="1"/>
  <c r="E2523" i="2" a="1"/>
  <c r="E2523" i="2" s="1"/>
  <c r="J2521" i="2"/>
  <c r="K2521" i="2" s="1"/>
  <c r="G2521" i="2"/>
  <c r="A2523" i="2"/>
  <c r="B2522" i="2"/>
  <c r="C2522" i="2" s="1"/>
  <c r="D2522" i="2" s="1"/>
  <c r="L2522" i="2" s="1"/>
  <c r="O2522" i="2"/>
  <c r="M2522" i="2"/>
  <c r="F2522" i="2"/>
  <c r="H2518" i="2"/>
  <c r="N2517" i="2" l="1"/>
  <c r="I2518" i="2"/>
  <c r="P2518" i="2" s="1"/>
  <c r="H2519" i="2"/>
  <c r="J2522" i="2"/>
  <c r="K2522" i="2" s="1"/>
  <c r="G2522" i="2"/>
  <c r="A2524" i="2"/>
  <c r="B2523" i="2"/>
  <c r="C2523" i="2" s="1"/>
  <c r="D2523" i="2" s="1"/>
  <c r="L2523" i="2" s="1"/>
  <c r="O2523" i="2"/>
  <c r="M2523" i="2"/>
  <c r="F2523" i="2"/>
  <c r="I2519" i="2" l="1"/>
  <c r="P2519" i="2" s="1"/>
  <c r="N2518" i="2"/>
  <c r="E2524" i="2" a="1"/>
  <c r="E2524" i="2" s="1"/>
  <c r="J2523" i="2"/>
  <c r="K2523" i="2" s="1"/>
  <c r="G2523" i="2"/>
  <c r="O2524" i="2"/>
  <c r="M2524" i="2"/>
  <c r="F2524" i="2"/>
  <c r="A2525" i="2"/>
  <c r="B2524" i="2"/>
  <c r="C2524" i="2" s="1"/>
  <c r="D2524" i="2" s="1"/>
  <c r="L2524" i="2" s="1"/>
  <c r="H2520" i="2"/>
  <c r="N2519" i="2" l="1"/>
  <c r="I2520" i="2"/>
  <c r="P2520" i="2" s="1"/>
  <c r="E2525" i="2" a="1"/>
  <c r="E2525" i="2" s="1"/>
  <c r="H2521" i="2"/>
  <c r="O2525" i="2"/>
  <c r="M2525" i="2"/>
  <c r="F2525" i="2"/>
  <c r="A2526" i="2"/>
  <c r="B2525" i="2"/>
  <c r="C2525" i="2" s="1"/>
  <c r="D2525" i="2" s="1"/>
  <c r="L2525" i="2" s="1"/>
  <c r="J2524" i="2"/>
  <c r="K2524" i="2" s="1"/>
  <c r="G2524" i="2"/>
  <c r="N2520" i="2" l="1"/>
  <c r="E2526" i="2" a="1"/>
  <c r="E2526" i="2" s="1"/>
  <c r="I2521" i="2"/>
  <c r="P2521" i="2" s="1"/>
  <c r="M2526" i="2"/>
  <c r="F2526" i="2"/>
  <c r="A2527" i="2"/>
  <c r="B2526" i="2"/>
  <c r="C2526" i="2" s="1"/>
  <c r="D2526" i="2" s="1"/>
  <c r="O2526" i="2"/>
  <c r="J2525" i="2"/>
  <c r="K2525" i="2" s="1"/>
  <c r="G2525" i="2"/>
  <c r="H2522" i="2"/>
  <c r="L2526" i="2" l="1"/>
  <c r="N2521" i="2"/>
  <c r="E2527" i="2" a="1"/>
  <c r="E2527" i="2" s="1"/>
  <c r="I2522" i="2"/>
  <c r="P2522" i="2" s="1"/>
  <c r="H2523" i="2"/>
  <c r="I2523" i="2" s="1"/>
  <c r="P2523" i="2" s="1"/>
  <c r="M2527" i="2"/>
  <c r="F2527" i="2"/>
  <c r="A2528" i="2"/>
  <c r="B2527" i="2"/>
  <c r="C2527" i="2" s="1"/>
  <c r="D2527" i="2" s="1"/>
  <c r="L2527" i="2" s="1"/>
  <c r="O2527" i="2"/>
  <c r="J2526" i="2"/>
  <c r="K2526" i="2" s="1"/>
  <c r="G2526" i="2"/>
  <c r="E2528" i="2" l="1" a="1"/>
  <c r="E2528" i="2" s="1"/>
  <c r="N2522" i="2"/>
  <c r="N2523" i="2"/>
  <c r="F2528" i="2"/>
  <c r="A2529" i="2"/>
  <c r="B2528" i="2"/>
  <c r="C2528" i="2" s="1"/>
  <c r="D2528" i="2" s="1"/>
  <c r="L2528" i="2" s="1"/>
  <c r="O2528" i="2"/>
  <c r="M2528" i="2"/>
  <c r="J2527" i="2"/>
  <c r="K2527" i="2" s="1"/>
  <c r="G2527" i="2"/>
  <c r="H2524" i="2"/>
  <c r="I2524" i="2" l="1"/>
  <c r="P2524" i="2" s="1"/>
  <c r="E2529" i="2" a="1"/>
  <c r="E2529" i="2" s="1"/>
  <c r="H2525" i="2"/>
  <c r="F2529" i="2"/>
  <c r="A2530" i="2"/>
  <c r="B2529" i="2"/>
  <c r="C2529" i="2" s="1"/>
  <c r="D2529" i="2" s="1"/>
  <c r="O2529" i="2"/>
  <c r="M2529" i="2"/>
  <c r="J2528" i="2"/>
  <c r="K2528" i="2" s="1"/>
  <c r="G2528" i="2"/>
  <c r="N2524" i="2" l="1"/>
  <c r="L2529" i="2"/>
  <c r="E2530" i="2" a="1"/>
  <c r="E2530" i="2" s="1"/>
  <c r="I2525" i="2"/>
  <c r="P2525" i="2" s="1"/>
  <c r="F2530" i="2"/>
  <c r="A2531" i="2"/>
  <c r="B2530" i="2"/>
  <c r="C2530" i="2" s="1"/>
  <c r="D2530" i="2" s="1"/>
  <c r="L2530" i="2" s="1"/>
  <c r="O2530" i="2"/>
  <c r="M2530" i="2"/>
  <c r="J2529" i="2"/>
  <c r="K2529" i="2" s="1"/>
  <c r="G2529" i="2"/>
  <c r="H2526" i="2"/>
  <c r="I2526" i="2" l="1"/>
  <c r="P2526" i="2" s="1"/>
  <c r="E2531" i="2" a="1"/>
  <c r="E2531" i="2" s="1"/>
  <c r="N2525" i="2"/>
  <c r="H2527" i="2"/>
  <c r="F2531" i="2"/>
  <c r="A2532" i="2"/>
  <c r="B2531" i="2"/>
  <c r="C2531" i="2" s="1"/>
  <c r="D2531" i="2" s="1"/>
  <c r="L2531" i="2" s="1"/>
  <c r="O2531" i="2"/>
  <c r="M2531" i="2"/>
  <c r="J2530" i="2"/>
  <c r="K2530" i="2" s="1"/>
  <c r="G2530" i="2"/>
  <c r="N2526" i="2" l="1"/>
  <c r="I2527" i="2"/>
  <c r="P2527" i="2" s="1"/>
  <c r="E2532" i="2" a="1"/>
  <c r="E2532" i="2" s="1"/>
  <c r="F2532" i="2"/>
  <c r="A2533" i="2"/>
  <c r="B2532" i="2"/>
  <c r="C2532" i="2" s="1"/>
  <c r="D2532" i="2" s="1"/>
  <c r="L2532" i="2" s="1"/>
  <c r="O2532" i="2"/>
  <c r="M2532" i="2"/>
  <c r="G2531" i="2"/>
  <c r="J2531" i="2"/>
  <c r="K2531" i="2" s="1"/>
  <c r="H2528" i="2"/>
  <c r="I2528" i="2" s="1"/>
  <c r="P2528" i="2" s="1"/>
  <c r="N2528" i="2" l="1"/>
  <c r="N2527" i="2"/>
  <c r="E2533" i="2" a="1"/>
  <c r="E2533" i="2" s="1"/>
  <c r="H2529" i="2"/>
  <c r="F2533" i="2"/>
  <c r="A2534" i="2"/>
  <c r="B2533" i="2"/>
  <c r="C2533" i="2" s="1"/>
  <c r="D2533" i="2" s="1"/>
  <c r="O2533" i="2"/>
  <c r="M2533" i="2"/>
  <c r="G2532" i="2"/>
  <c r="J2532" i="2"/>
  <c r="K2532" i="2" s="1"/>
  <c r="L2533" i="2" l="1"/>
  <c r="I2529" i="2"/>
  <c r="P2529" i="2" s="1"/>
  <c r="E2534" i="2" a="1"/>
  <c r="E2534" i="2" s="1"/>
  <c r="F2534" i="2"/>
  <c r="A2535" i="2"/>
  <c r="B2534" i="2"/>
  <c r="C2534" i="2" s="1"/>
  <c r="D2534" i="2" s="1"/>
  <c r="L2534" i="2" s="1"/>
  <c r="O2534" i="2"/>
  <c r="M2534" i="2"/>
  <c r="G2533" i="2"/>
  <c r="J2533" i="2"/>
  <c r="K2533" i="2" s="1"/>
  <c r="H2530" i="2"/>
  <c r="N2529" i="2" l="1"/>
  <c r="E2535" i="2" a="1"/>
  <c r="E2535" i="2" s="1"/>
  <c r="I2530" i="2"/>
  <c r="P2530" i="2" s="1"/>
  <c r="H2531" i="2"/>
  <c r="A2536" i="2"/>
  <c r="B2535" i="2"/>
  <c r="C2535" i="2" s="1"/>
  <c r="D2535" i="2" s="1"/>
  <c r="O2535" i="2"/>
  <c r="M2535" i="2"/>
  <c r="F2535" i="2"/>
  <c r="J2534" i="2"/>
  <c r="K2534" i="2" s="1"/>
  <c r="G2534" i="2"/>
  <c r="L2535" i="2" l="1"/>
  <c r="N2530" i="2"/>
  <c r="I2531" i="2"/>
  <c r="P2531" i="2" s="1"/>
  <c r="E2536" i="2" a="1"/>
  <c r="E2536" i="2" s="1"/>
  <c r="J2535" i="2"/>
  <c r="K2535" i="2" s="1"/>
  <c r="G2535" i="2"/>
  <c r="A2537" i="2"/>
  <c r="B2536" i="2"/>
  <c r="C2536" i="2" s="1"/>
  <c r="D2536" i="2" s="1"/>
  <c r="O2536" i="2"/>
  <c r="M2536" i="2"/>
  <c r="F2536" i="2"/>
  <c r="H2532" i="2"/>
  <c r="I2532" i="2" s="1"/>
  <c r="P2532" i="2" s="1"/>
  <c r="L2536" i="2" l="1"/>
  <c r="E2537" i="2" a="1"/>
  <c r="E2537" i="2" s="1"/>
  <c r="N2532" i="2"/>
  <c r="N2531" i="2"/>
  <c r="H2533" i="2"/>
  <c r="J2536" i="2"/>
  <c r="K2536" i="2" s="1"/>
  <c r="G2536" i="2"/>
  <c r="A2538" i="2"/>
  <c r="B2537" i="2"/>
  <c r="C2537" i="2" s="1"/>
  <c r="D2537" i="2" s="1"/>
  <c r="O2537" i="2"/>
  <c r="M2537" i="2"/>
  <c r="F2537" i="2"/>
  <c r="L2537" i="2" l="1"/>
  <c r="E2538" i="2" a="1"/>
  <c r="E2538" i="2" s="1"/>
  <c r="I2533" i="2"/>
  <c r="P2533" i="2" s="1"/>
  <c r="J2537" i="2"/>
  <c r="K2537" i="2" s="1"/>
  <c r="G2537" i="2"/>
  <c r="A2539" i="2"/>
  <c r="B2538" i="2"/>
  <c r="C2538" i="2" s="1"/>
  <c r="D2538" i="2" s="1"/>
  <c r="L2538" i="2" s="1"/>
  <c r="O2538" i="2"/>
  <c r="M2538" i="2"/>
  <c r="F2538" i="2"/>
  <c r="H2534" i="2"/>
  <c r="E2539" i="2" l="1" a="1"/>
  <c r="E2539" i="2" s="1"/>
  <c r="N2533" i="2"/>
  <c r="I2534" i="2"/>
  <c r="P2534" i="2" s="1"/>
  <c r="E2540" i="2" a="1"/>
  <c r="E2540" i="2" s="1"/>
  <c r="H2535" i="2"/>
  <c r="J2538" i="2"/>
  <c r="K2538" i="2" s="1"/>
  <c r="G2538" i="2"/>
  <c r="A2540" i="2"/>
  <c r="B2539" i="2"/>
  <c r="C2539" i="2" s="1"/>
  <c r="D2539" i="2" s="1"/>
  <c r="L2539" i="2" s="1"/>
  <c r="O2539" i="2"/>
  <c r="M2539" i="2"/>
  <c r="F2539" i="2"/>
  <c r="I2535" i="2" l="1"/>
  <c r="P2535" i="2" s="1"/>
  <c r="N2534" i="2"/>
  <c r="J2539" i="2"/>
  <c r="K2539" i="2" s="1"/>
  <c r="G2539" i="2"/>
  <c r="A2541" i="2"/>
  <c r="O2540" i="2"/>
  <c r="M2540" i="2"/>
  <c r="F2540" i="2"/>
  <c r="B2540" i="2"/>
  <c r="C2540" i="2" s="1"/>
  <c r="D2540" i="2" s="1"/>
  <c r="H2536" i="2"/>
  <c r="N2535" i="2" l="1"/>
  <c r="I2536" i="2"/>
  <c r="P2536" i="2" s="1"/>
  <c r="E2541" i="2" a="1"/>
  <c r="E2541" i="2" s="1"/>
  <c r="L2540" i="2"/>
  <c r="H2537" i="2"/>
  <c r="I2537" i="2" s="1"/>
  <c r="P2537" i="2" s="1"/>
  <c r="J2540" i="2"/>
  <c r="K2540" i="2" s="1"/>
  <c r="G2540" i="2"/>
  <c r="A2542" i="2"/>
  <c r="O2541" i="2"/>
  <c r="M2541" i="2"/>
  <c r="F2541" i="2"/>
  <c r="B2541" i="2"/>
  <c r="C2541" i="2" s="1"/>
  <c r="D2541" i="2" s="1"/>
  <c r="L2541" i="2" l="1"/>
  <c r="N2537" i="2"/>
  <c r="E2542" i="2" a="1"/>
  <c r="E2542" i="2" s="1"/>
  <c r="N2536" i="2"/>
  <c r="J2541" i="2"/>
  <c r="K2541" i="2" s="1"/>
  <c r="G2541" i="2"/>
  <c r="A2543" i="2"/>
  <c r="O2542" i="2"/>
  <c r="M2542" i="2"/>
  <c r="F2542" i="2"/>
  <c r="B2542" i="2"/>
  <c r="C2542" i="2" s="1"/>
  <c r="D2542" i="2" s="1"/>
  <c r="L2542" i="2" s="1"/>
  <c r="H2538" i="2"/>
  <c r="I2538" i="2" l="1"/>
  <c r="P2538" i="2" s="1"/>
  <c r="E2543" i="2" a="1"/>
  <c r="E2543" i="2" s="1"/>
  <c r="H2539" i="2"/>
  <c r="I2539" i="2" s="1"/>
  <c r="P2539" i="2" s="1"/>
  <c r="J2542" i="2"/>
  <c r="K2542" i="2" s="1"/>
  <c r="G2542" i="2"/>
  <c r="A2544" i="2"/>
  <c r="O2543" i="2"/>
  <c r="M2543" i="2"/>
  <c r="F2543" i="2"/>
  <c r="B2543" i="2"/>
  <c r="C2543" i="2" s="1"/>
  <c r="D2543" i="2" s="1"/>
  <c r="L2543" i="2" l="1"/>
  <c r="N2539" i="2"/>
  <c r="N2538" i="2"/>
  <c r="E2544" i="2" a="1"/>
  <c r="E2544" i="2" s="1"/>
  <c r="J2543" i="2"/>
  <c r="K2543" i="2" s="1"/>
  <c r="G2543" i="2"/>
  <c r="A2545" i="2"/>
  <c r="B2544" i="2"/>
  <c r="C2544" i="2" s="1"/>
  <c r="D2544" i="2" s="1"/>
  <c r="O2544" i="2"/>
  <c r="M2544" i="2"/>
  <c r="F2544" i="2"/>
  <c r="H2540" i="2"/>
  <c r="I2540" i="2" s="1"/>
  <c r="P2540" i="2" s="1"/>
  <c r="L2544" i="2" l="1"/>
  <c r="E2545" i="2" a="1"/>
  <c r="E2545" i="2" s="1"/>
  <c r="N2540" i="2"/>
  <c r="H2541" i="2"/>
  <c r="I2541" i="2" s="1"/>
  <c r="P2541" i="2" s="1"/>
  <c r="J2544" i="2"/>
  <c r="K2544" i="2" s="1"/>
  <c r="G2544" i="2"/>
  <c r="B2545" i="2"/>
  <c r="C2545" i="2" s="1"/>
  <c r="D2545" i="2" s="1"/>
  <c r="L2545" i="2" s="1"/>
  <c r="A2546" i="2"/>
  <c r="O2545" i="2"/>
  <c r="M2545" i="2"/>
  <c r="F2545" i="2"/>
  <c r="E2546" i="2" l="1" a="1"/>
  <c r="E2546" i="2" s="1"/>
  <c r="N2541" i="2"/>
  <c r="E2547" i="2" a="1"/>
  <c r="E2547" i="2" s="1"/>
  <c r="J2545" i="2"/>
  <c r="K2545" i="2" s="1"/>
  <c r="G2545" i="2"/>
  <c r="O2546" i="2"/>
  <c r="B2546" i="2"/>
  <c r="C2546" i="2" s="1"/>
  <c r="D2546" i="2" s="1"/>
  <c r="L2546" i="2" s="1"/>
  <c r="A2547" i="2"/>
  <c r="M2546" i="2"/>
  <c r="F2546" i="2"/>
  <c r="H2542" i="2"/>
  <c r="I2542" i="2" l="1"/>
  <c r="P2542" i="2" s="1"/>
  <c r="H2543" i="2"/>
  <c r="J2546" i="2"/>
  <c r="K2546" i="2" s="1"/>
  <c r="G2546" i="2"/>
  <c r="B2547" i="2"/>
  <c r="C2547" i="2" s="1"/>
  <c r="D2547" i="2" s="1"/>
  <c r="L2547" i="2" s="1"/>
  <c r="A2548" i="2"/>
  <c r="O2547" i="2"/>
  <c r="M2547" i="2"/>
  <c r="F2547" i="2"/>
  <c r="N2542" i="2" l="1"/>
  <c r="E2548" i="2" a="1"/>
  <c r="E2548" i="2" s="1"/>
  <c r="I2543" i="2"/>
  <c r="P2543" i="2" s="1"/>
  <c r="J2547" i="2"/>
  <c r="K2547" i="2" s="1"/>
  <c r="G2547" i="2"/>
  <c r="A2549" i="2"/>
  <c r="B2548" i="2"/>
  <c r="C2548" i="2" s="1"/>
  <c r="D2548" i="2" s="1"/>
  <c r="L2548" i="2" s="1"/>
  <c r="M2548" i="2"/>
  <c r="F2548" i="2"/>
  <c r="O2548" i="2"/>
  <c r="H2544" i="2"/>
  <c r="I2544" i="2" s="1"/>
  <c r="P2544" i="2" s="1"/>
  <c r="N2543" i="2" l="1"/>
  <c r="N2544" i="2"/>
  <c r="E2549" i="2" a="1"/>
  <c r="E2549" i="2" s="1"/>
  <c r="H2545" i="2"/>
  <c r="I2545" i="2" s="1"/>
  <c r="P2545" i="2" s="1"/>
  <c r="J2548" i="2"/>
  <c r="K2548" i="2" s="1"/>
  <c r="G2548" i="2"/>
  <c r="F2549" i="2"/>
  <c r="B2549" i="2"/>
  <c r="C2549" i="2" s="1"/>
  <c r="D2549" i="2" s="1"/>
  <c r="L2549" i="2" s="1"/>
  <c r="A2550" i="2"/>
  <c r="O2549" i="2"/>
  <c r="M2549" i="2"/>
  <c r="E2550" i="2" l="1" a="1"/>
  <c r="E2550" i="2" s="1"/>
  <c r="N2545" i="2"/>
  <c r="O2550" i="2"/>
  <c r="F2550" i="2"/>
  <c r="B2550" i="2"/>
  <c r="C2550" i="2" s="1"/>
  <c r="D2550" i="2" s="1"/>
  <c r="L2550" i="2" s="1"/>
  <c r="A2551" i="2"/>
  <c r="M2550" i="2"/>
  <c r="G2549" i="2"/>
  <c r="J2549" i="2"/>
  <c r="K2549" i="2" s="1"/>
  <c r="H2546" i="2"/>
  <c r="I2546" i="2" l="1"/>
  <c r="P2546" i="2" s="1"/>
  <c r="E2551" i="2" a="1"/>
  <c r="E2551" i="2" s="1"/>
  <c r="H2547" i="2"/>
  <c r="I2547" i="2" s="1"/>
  <c r="P2547" i="2" s="1"/>
  <c r="M2551" i="2"/>
  <c r="F2551" i="2"/>
  <c r="B2551" i="2"/>
  <c r="C2551" i="2" s="1"/>
  <c r="D2551" i="2" s="1"/>
  <c r="L2551" i="2" s="1"/>
  <c r="A2552" i="2"/>
  <c r="O2551" i="2"/>
  <c r="G2550" i="2"/>
  <c r="J2550" i="2"/>
  <c r="K2550" i="2" s="1"/>
  <c r="N2547" i="2" l="1"/>
  <c r="E2552" i="2" a="1"/>
  <c r="E2552" i="2" s="1"/>
  <c r="N2546" i="2"/>
  <c r="M2552" i="2"/>
  <c r="F2552" i="2"/>
  <c r="B2552" i="2"/>
  <c r="C2552" i="2" s="1"/>
  <c r="D2552" i="2" s="1"/>
  <c r="A2553" i="2"/>
  <c r="O2552" i="2"/>
  <c r="J2551" i="2"/>
  <c r="K2551" i="2" s="1"/>
  <c r="G2551" i="2"/>
  <c r="H2548" i="2"/>
  <c r="I2548" i="2" s="1"/>
  <c r="P2548" i="2" s="1"/>
  <c r="L2552" i="2" l="1"/>
  <c r="E2553" i="2" a="1"/>
  <c r="E2553" i="2" s="1"/>
  <c r="N2548" i="2"/>
  <c r="H2549" i="2"/>
  <c r="O2553" i="2"/>
  <c r="M2553" i="2"/>
  <c r="F2553" i="2"/>
  <c r="B2553" i="2"/>
  <c r="C2553" i="2" s="1"/>
  <c r="D2553" i="2" s="1"/>
  <c r="A2554" i="2"/>
  <c r="J2552" i="2"/>
  <c r="K2552" i="2" s="1"/>
  <c r="G2552" i="2"/>
  <c r="L2553" i="2" l="1"/>
  <c r="I2549" i="2"/>
  <c r="P2549" i="2" s="1"/>
  <c r="E2554" i="2" a="1"/>
  <c r="E2554" i="2" s="1"/>
  <c r="A2555" i="2"/>
  <c r="O2554" i="2"/>
  <c r="M2554" i="2"/>
  <c r="F2554" i="2"/>
  <c r="B2554" i="2"/>
  <c r="C2554" i="2" s="1"/>
  <c r="D2554" i="2" s="1"/>
  <c r="J2553" i="2"/>
  <c r="K2553" i="2" s="1"/>
  <c r="G2553" i="2"/>
  <c r="H2550" i="2"/>
  <c r="I2550" i="2" s="1"/>
  <c r="P2550" i="2" s="1"/>
  <c r="N2550" i="2" l="1"/>
  <c r="L2554" i="2"/>
  <c r="N2549" i="2"/>
  <c r="E2555" i="2" a="1"/>
  <c r="E2555" i="2" s="1"/>
  <c r="H2551" i="2"/>
  <c r="J2554" i="2"/>
  <c r="K2554" i="2" s="1"/>
  <c r="G2554" i="2"/>
  <c r="F2555" i="2"/>
  <c r="B2555" i="2"/>
  <c r="C2555" i="2" s="1"/>
  <c r="D2555" i="2" s="1"/>
  <c r="L2555" i="2" s="1"/>
  <c r="A2556" i="2"/>
  <c r="O2555" i="2"/>
  <c r="M2555" i="2"/>
  <c r="E2556" i="2" l="1" a="1"/>
  <c r="E2556" i="2" s="1"/>
  <c r="I2551" i="2"/>
  <c r="P2551" i="2" s="1"/>
  <c r="F2556" i="2"/>
  <c r="B2556" i="2"/>
  <c r="C2556" i="2" s="1"/>
  <c r="D2556" i="2" s="1"/>
  <c r="A2557" i="2"/>
  <c r="O2556" i="2"/>
  <c r="M2556" i="2"/>
  <c r="J2555" i="2"/>
  <c r="K2555" i="2" s="1"/>
  <c r="G2555" i="2"/>
  <c r="H2552" i="2"/>
  <c r="I2552" i="2" l="1"/>
  <c r="P2552" i="2" s="1"/>
  <c r="E2557" i="2" a="1"/>
  <c r="E2557" i="2" s="1"/>
  <c r="N2551" i="2"/>
  <c r="L2556" i="2"/>
  <c r="H2553" i="2"/>
  <c r="I2553" i="2" s="1"/>
  <c r="P2553" i="2" s="1"/>
  <c r="M2557" i="2"/>
  <c r="F2557" i="2"/>
  <c r="B2557" i="2"/>
  <c r="C2557" i="2" s="1"/>
  <c r="D2557" i="2" s="1"/>
  <c r="A2558" i="2"/>
  <c r="O2557" i="2"/>
  <c r="G2556" i="2"/>
  <c r="J2556" i="2"/>
  <c r="K2556" i="2" s="1"/>
  <c r="L2557" i="2" l="1"/>
  <c r="E2558" i="2" a="1"/>
  <c r="E2558" i="2" s="1"/>
  <c r="N2552" i="2"/>
  <c r="N2553" i="2"/>
  <c r="F2558" i="2"/>
  <c r="A2559" i="2"/>
  <c r="B2558" i="2"/>
  <c r="C2558" i="2" s="1"/>
  <c r="D2558" i="2" s="1"/>
  <c r="L2558" i="2" s="1"/>
  <c r="O2558" i="2"/>
  <c r="M2558" i="2"/>
  <c r="G2557" i="2"/>
  <c r="J2557" i="2"/>
  <c r="K2557" i="2" s="1"/>
  <c r="H2554" i="2"/>
  <c r="I2554" i="2" s="1"/>
  <c r="P2554" i="2" s="1"/>
  <c r="E2559" i="2" l="1" a="1"/>
  <c r="E2559" i="2" s="1"/>
  <c r="N2554" i="2"/>
  <c r="H2555" i="2"/>
  <c r="I2555" i="2" s="1"/>
  <c r="P2555" i="2" s="1"/>
  <c r="F2559" i="2"/>
  <c r="B2559" i="2"/>
  <c r="C2559" i="2" s="1"/>
  <c r="D2559" i="2" s="1"/>
  <c r="L2559" i="2" s="1"/>
  <c r="A2560" i="2"/>
  <c r="O2559" i="2"/>
  <c r="M2559" i="2"/>
  <c r="G2558" i="2"/>
  <c r="J2558" i="2"/>
  <c r="K2558" i="2" s="1"/>
  <c r="E2560" i="2" l="1" a="1"/>
  <c r="E2560" i="2" s="1"/>
  <c r="N2555" i="2"/>
  <c r="A2561" i="2"/>
  <c r="B2560" i="2"/>
  <c r="C2560" i="2" s="1"/>
  <c r="D2560" i="2" s="1"/>
  <c r="L2560" i="2" s="1"/>
  <c r="O2560" i="2"/>
  <c r="F2560" i="2"/>
  <c r="M2560" i="2"/>
  <c r="G2559" i="2"/>
  <c r="J2559" i="2"/>
  <c r="K2559" i="2" s="1"/>
  <c r="H2556" i="2"/>
  <c r="E2561" i="2" l="1" a="1"/>
  <c r="E2561" i="2" s="1"/>
  <c r="I2556" i="2"/>
  <c r="P2556" i="2" s="1"/>
  <c r="H2557" i="2"/>
  <c r="J2560" i="2"/>
  <c r="K2560" i="2" s="1"/>
  <c r="G2560" i="2"/>
  <c r="A2562" i="2"/>
  <c r="B2561" i="2"/>
  <c r="C2561" i="2" s="1"/>
  <c r="D2561" i="2" s="1"/>
  <c r="L2561" i="2" s="1"/>
  <c r="O2561" i="2"/>
  <c r="M2561" i="2"/>
  <c r="F2561" i="2"/>
  <c r="E2562" i="2" l="1" a="1"/>
  <c r="E2562" i="2" s="1"/>
  <c r="I2557" i="2"/>
  <c r="P2557" i="2" s="1"/>
  <c r="N2556" i="2"/>
  <c r="J2561" i="2"/>
  <c r="K2561" i="2" s="1"/>
  <c r="G2561" i="2"/>
  <c r="A2563" i="2"/>
  <c r="B2562" i="2"/>
  <c r="C2562" i="2" s="1"/>
  <c r="D2562" i="2" s="1"/>
  <c r="O2562" i="2"/>
  <c r="M2562" i="2"/>
  <c r="F2562" i="2"/>
  <c r="H2558" i="2"/>
  <c r="I2558" i="2" s="1"/>
  <c r="P2558" i="2" s="1"/>
  <c r="E2563" i="2" l="1" a="1"/>
  <c r="E2563" i="2" s="1"/>
  <c r="N2557" i="2"/>
  <c r="N2558" i="2"/>
  <c r="L2562" i="2"/>
  <c r="H2559" i="2"/>
  <c r="I2559" i="2" s="1"/>
  <c r="P2559" i="2" s="1"/>
  <c r="G2562" i="2"/>
  <c r="J2562" i="2"/>
  <c r="K2562" i="2" s="1"/>
  <c r="A2564" i="2"/>
  <c r="B2563" i="2"/>
  <c r="C2563" i="2" s="1"/>
  <c r="D2563" i="2" s="1"/>
  <c r="L2563" i="2" s="1"/>
  <c r="O2563" i="2"/>
  <c r="M2563" i="2"/>
  <c r="F2563" i="2"/>
  <c r="E2564" i="2" l="1" a="1"/>
  <c r="E2564" i="2" s="1"/>
  <c r="N2559" i="2"/>
  <c r="J2563" i="2"/>
  <c r="K2563" i="2" s="1"/>
  <c r="G2563" i="2"/>
  <c r="A2565" i="2"/>
  <c r="B2564" i="2"/>
  <c r="C2564" i="2" s="1"/>
  <c r="D2564" i="2" s="1"/>
  <c r="L2564" i="2" s="1"/>
  <c r="O2564" i="2"/>
  <c r="M2564" i="2"/>
  <c r="F2564" i="2"/>
  <c r="H2560" i="2"/>
  <c r="I2560" i="2" s="1"/>
  <c r="P2560" i="2" s="1"/>
  <c r="N2560" i="2" l="1"/>
  <c r="E2565" i="2" a="1"/>
  <c r="E2565" i="2" s="1"/>
  <c r="H2561" i="2"/>
  <c r="I2561" i="2" s="1"/>
  <c r="P2561" i="2" s="1"/>
  <c r="G2564" i="2"/>
  <c r="J2564" i="2"/>
  <c r="K2564" i="2" s="1"/>
  <c r="A2566" i="2"/>
  <c r="B2565" i="2"/>
  <c r="C2565" i="2" s="1"/>
  <c r="D2565" i="2" s="1"/>
  <c r="L2565" i="2" s="1"/>
  <c r="O2565" i="2"/>
  <c r="M2565" i="2"/>
  <c r="F2565" i="2"/>
  <c r="E2566" i="2" l="1" a="1"/>
  <c r="E2566" i="2" s="1"/>
  <c r="N2561" i="2"/>
  <c r="J2565" i="2"/>
  <c r="K2565" i="2" s="1"/>
  <c r="G2565" i="2"/>
  <c r="A2567" i="2"/>
  <c r="B2566" i="2"/>
  <c r="C2566" i="2" s="1"/>
  <c r="D2566" i="2" s="1"/>
  <c r="O2566" i="2"/>
  <c r="M2566" i="2"/>
  <c r="F2566" i="2"/>
  <c r="H2562" i="2"/>
  <c r="I2562" i="2" s="1"/>
  <c r="P2562" i="2" s="1"/>
  <c r="L2566" i="2" l="1"/>
  <c r="N2562" i="2"/>
  <c r="E2567" i="2" a="1"/>
  <c r="E2567" i="2" s="1"/>
  <c r="H2563" i="2"/>
  <c r="I2563" i="2" s="1"/>
  <c r="P2563" i="2" s="1"/>
  <c r="J2566" i="2"/>
  <c r="K2566" i="2" s="1"/>
  <c r="G2566" i="2"/>
  <c r="O2567" i="2"/>
  <c r="M2567" i="2"/>
  <c r="B2567" i="2"/>
  <c r="C2567" i="2" s="1"/>
  <c r="D2567" i="2" s="1"/>
  <c r="A2568" i="2"/>
  <c r="F2567" i="2"/>
  <c r="E2568" i="2" l="1" a="1"/>
  <c r="E2568" i="2" s="1"/>
  <c r="L2567" i="2"/>
  <c r="N2563" i="2"/>
  <c r="J2567" i="2"/>
  <c r="K2567" i="2" s="1"/>
  <c r="G2567" i="2"/>
  <c r="A2569" i="2"/>
  <c r="B2568" i="2"/>
  <c r="C2568" i="2" s="1"/>
  <c r="D2568" i="2" s="1"/>
  <c r="L2568" i="2" s="1"/>
  <c r="O2568" i="2"/>
  <c r="M2568" i="2"/>
  <c r="F2568" i="2"/>
  <c r="H2564" i="2"/>
  <c r="I2564" i="2" s="1"/>
  <c r="P2564" i="2" s="1"/>
  <c r="E2569" i="2" l="1" a="1"/>
  <c r="E2569" i="2" s="1"/>
  <c r="N2564" i="2"/>
  <c r="H2565" i="2"/>
  <c r="J2568" i="2"/>
  <c r="K2568" i="2" s="1"/>
  <c r="G2568" i="2"/>
  <c r="A2570" i="2"/>
  <c r="B2569" i="2"/>
  <c r="C2569" i="2" s="1"/>
  <c r="D2569" i="2" s="1"/>
  <c r="L2569" i="2" s="1"/>
  <c r="M2569" i="2"/>
  <c r="F2569" i="2"/>
  <c r="O2569" i="2"/>
  <c r="I2565" i="2" l="1"/>
  <c r="P2565" i="2" s="1"/>
  <c r="E2570" i="2" a="1"/>
  <c r="E2570" i="2" s="1"/>
  <c r="J2569" i="2"/>
  <c r="K2569" i="2" s="1"/>
  <c r="G2569" i="2"/>
  <c r="O2570" i="2"/>
  <c r="M2570" i="2"/>
  <c r="A2571" i="2"/>
  <c r="F2570" i="2"/>
  <c r="B2570" i="2"/>
  <c r="C2570" i="2" s="1"/>
  <c r="D2570" i="2" s="1"/>
  <c r="L2570" i="2" s="1"/>
  <c r="H2566" i="2"/>
  <c r="E2571" i="2" l="1" a="1"/>
  <c r="E2571" i="2" s="1"/>
  <c r="I2566" i="2"/>
  <c r="P2566" i="2" s="1"/>
  <c r="N2565" i="2"/>
  <c r="H2567" i="2"/>
  <c r="I2567" i="2" s="1"/>
  <c r="P2567" i="2" s="1"/>
  <c r="J2570" i="2"/>
  <c r="K2570" i="2" s="1"/>
  <c r="G2570" i="2"/>
  <c r="O2571" i="2"/>
  <c r="F2571" i="2"/>
  <c r="A2572" i="2"/>
  <c r="M2571" i="2"/>
  <c r="B2571" i="2"/>
  <c r="C2571" i="2" s="1"/>
  <c r="D2571" i="2" s="1"/>
  <c r="N2566" i="2" l="1"/>
  <c r="L2571" i="2"/>
  <c r="E2572" i="2" a="1"/>
  <c r="E2572" i="2" s="1"/>
  <c r="N2567" i="2"/>
  <c r="M2572" i="2"/>
  <c r="F2572" i="2"/>
  <c r="A2573" i="2"/>
  <c r="O2572" i="2"/>
  <c r="B2572" i="2"/>
  <c r="C2572" i="2" s="1"/>
  <c r="D2572" i="2" s="1"/>
  <c r="J2571" i="2"/>
  <c r="K2571" i="2" s="1"/>
  <c r="G2571" i="2"/>
  <c r="H2568" i="2"/>
  <c r="E2573" i="2" l="1" a="1"/>
  <c r="E2573" i="2" s="1"/>
  <c r="I2568" i="2"/>
  <c r="P2568" i="2" s="1"/>
  <c r="L2572" i="2"/>
  <c r="H2569" i="2"/>
  <c r="M2573" i="2"/>
  <c r="F2573" i="2"/>
  <c r="A2574" i="2"/>
  <c r="O2573" i="2"/>
  <c r="B2573" i="2"/>
  <c r="C2573" i="2" s="1"/>
  <c r="D2573" i="2" s="1"/>
  <c r="L2573" i="2" s="1"/>
  <c r="J2572" i="2"/>
  <c r="K2572" i="2" s="1"/>
  <c r="G2572" i="2"/>
  <c r="N2568" i="2" l="1"/>
  <c r="I2569" i="2"/>
  <c r="P2569" i="2" s="1"/>
  <c r="E2574" i="2" a="1"/>
  <c r="E2574" i="2" s="1"/>
  <c r="F2574" i="2"/>
  <c r="A2575" i="2"/>
  <c r="B2574" i="2"/>
  <c r="C2574" i="2" s="1"/>
  <c r="D2574" i="2" s="1"/>
  <c r="O2574" i="2"/>
  <c r="M2574" i="2"/>
  <c r="J2573" i="2"/>
  <c r="K2573" i="2" s="1"/>
  <c r="G2573" i="2"/>
  <c r="H2570" i="2"/>
  <c r="I2570" i="2" s="1"/>
  <c r="P2570" i="2" s="1"/>
  <c r="L2574" i="2" l="1"/>
  <c r="N2570" i="2"/>
  <c r="N2569" i="2"/>
  <c r="E2575" i="2" a="1"/>
  <c r="E2575" i="2" s="1"/>
  <c r="H2571" i="2"/>
  <c r="F2575" i="2"/>
  <c r="A2576" i="2"/>
  <c r="O2575" i="2"/>
  <c r="M2575" i="2"/>
  <c r="B2575" i="2"/>
  <c r="C2575" i="2" s="1"/>
  <c r="D2575" i="2" s="1"/>
  <c r="G2574" i="2"/>
  <c r="J2574" i="2"/>
  <c r="K2574" i="2" s="1"/>
  <c r="I2571" i="2" l="1"/>
  <c r="P2571" i="2" s="1"/>
  <c r="E2576" i="2" a="1"/>
  <c r="E2576" i="2" s="1"/>
  <c r="L2575" i="2"/>
  <c r="F2576" i="2"/>
  <c r="A2577" i="2"/>
  <c r="B2576" i="2"/>
  <c r="C2576" i="2" s="1"/>
  <c r="D2576" i="2" s="1"/>
  <c r="L2576" i="2" s="1"/>
  <c r="O2576" i="2"/>
  <c r="M2576" i="2"/>
  <c r="J2575" i="2"/>
  <c r="K2575" i="2" s="1"/>
  <c r="G2575" i="2"/>
  <c r="H2572" i="2"/>
  <c r="I2572" i="2" s="1"/>
  <c r="P2572" i="2" s="1"/>
  <c r="N2572" i="2" l="1"/>
  <c r="E2577" i="2" a="1"/>
  <c r="E2577" i="2" s="1"/>
  <c r="N2571" i="2"/>
  <c r="H2573" i="2"/>
  <c r="I2573" i="2" s="1"/>
  <c r="P2573" i="2" s="1"/>
  <c r="F2577" i="2"/>
  <c r="A2578" i="2"/>
  <c r="B2577" i="2"/>
  <c r="C2577" i="2" s="1"/>
  <c r="D2577" i="2" s="1"/>
  <c r="O2577" i="2"/>
  <c r="M2577" i="2"/>
  <c r="J2576" i="2"/>
  <c r="K2576" i="2" s="1"/>
  <c r="G2576" i="2"/>
  <c r="L2577" i="2" l="1"/>
  <c r="N2573" i="2"/>
  <c r="E2578" i="2" a="1"/>
  <c r="E2578" i="2" s="1"/>
  <c r="A2579" i="2"/>
  <c r="B2578" i="2"/>
  <c r="C2578" i="2" s="1"/>
  <c r="D2578" i="2" s="1"/>
  <c r="L2578" i="2" s="1"/>
  <c r="O2578" i="2"/>
  <c r="M2578" i="2"/>
  <c r="F2578" i="2"/>
  <c r="J2577" i="2"/>
  <c r="K2577" i="2" s="1"/>
  <c r="G2577" i="2"/>
  <c r="H2574" i="2"/>
  <c r="I2574" i="2" s="1"/>
  <c r="P2574" i="2" s="1"/>
  <c r="N2574" i="2" l="1"/>
  <c r="E2579" i="2" a="1"/>
  <c r="E2579" i="2" s="1"/>
  <c r="H2575" i="2"/>
  <c r="I2575" i="2" s="1"/>
  <c r="P2575" i="2" s="1"/>
  <c r="G2578" i="2"/>
  <c r="J2578" i="2"/>
  <c r="K2578" i="2" s="1"/>
  <c r="F2579" i="2"/>
  <c r="A2580" i="2"/>
  <c r="B2579" i="2"/>
  <c r="C2579" i="2" s="1"/>
  <c r="D2579" i="2" s="1"/>
  <c r="L2579" i="2" s="1"/>
  <c r="O2579" i="2"/>
  <c r="M2579" i="2"/>
  <c r="E2580" i="2" l="1" a="1"/>
  <c r="E2580" i="2" s="1"/>
  <c r="N2575" i="2"/>
  <c r="F2580" i="2"/>
  <c r="A2581" i="2"/>
  <c r="B2580" i="2"/>
  <c r="C2580" i="2" s="1"/>
  <c r="D2580" i="2" s="1"/>
  <c r="L2580" i="2" s="1"/>
  <c r="O2580" i="2"/>
  <c r="M2580" i="2"/>
  <c r="G2579" i="2"/>
  <c r="J2579" i="2"/>
  <c r="K2579" i="2" s="1"/>
  <c r="H2576" i="2"/>
  <c r="I2576" i="2" s="1"/>
  <c r="P2576" i="2" s="1"/>
  <c r="N2576" i="2" l="1"/>
  <c r="E2581" i="2" a="1"/>
  <c r="E2581" i="2" s="1"/>
  <c r="H2577" i="2"/>
  <c r="I2577" i="2" s="1"/>
  <c r="P2577" i="2" s="1"/>
  <c r="A2582" i="2"/>
  <c r="B2581" i="2"/>
  <c r="C2581" i="2" s="1"/>
  <c r="D2581" i="2" s="1"/>
  <c r="O2581" i="2"/>
  <c r="M2581" i="2"/>
  <c r="F2581" i="2"/>
  <c r="J2580" i="2"/>
  <c r="K2580" i="2" s="1"/>
  <c r="G2580" i="2"/>
  <c r="L2581" i="2" l="1"/>
  <c r="E2582" i="2" a="1"/>
  <c r="E2582" i="2" s="1"/>
  <c r="N2577" i="2"/>
  <c r="J2581" i="2"/>
  <c r="K2581" i="2" s="1"/>
  <c r="G2581" i="2"/>
  <c r="A2583" i="2"/>
  <c r="B2582" i="2"/>
  <c r="C2582" i="2" s="1"/>
  <c r="D2582" i="2" s="1"/>
  <c r="L2582" i="2" s="1"/>
  <c r="O2582" i="2"/>
  <c r="M2582" i="2"/>
  <c r="F2582" i="2"/>
  <c r="H2578" i="2"/>
  <c r="I2578" i="2" s="1"/>
  <c r="P2578" i="2" s="1"/>
  <c r="E2583" i="2" l="1" a="1"/>
  <c r="E2583" i="2" s="1"/>
  <c r="N2578" i="2"/>
  <c r="H2579" i="2"/>
  <c r="I2579" i="2" s="1"/>
  <c r="P2579" i="2" s="1"/>
  <c r="J2582" i="2"/>
  <c r="K2582" i="2" s="1"/>
  <c r="G2582" i="2"/>
  <c r="O2583" i="2"/>
  <c r="M2583" i="2"/>
  <c r="A2584" i="2"/>
  <c r="F2583" i="2"/>
  <c r="B2583" i="2"/>
  <c r="C2583" i="2" s="1"/>
  <c r="D2583" i="2" s="1"/>
  <c r="E2584" i="2" l="1" a="1"/>
  <c r="E2584" i="2" s="1"/>
  <c r="L2583" i="2"/>
  <c r="N2579" i="2"/>
  <c r="J2583" i="2"/>
  <c r="K2583" i="2" s="1"/>
  <c r="G2583" i="2"/>
  <c r="A2585" i="2"/>
  <c r="B2584" i="2"/>
  <c r="C2584" i="2" s="1"/>
  <c r="D2584" i="2" s="1"/>
  <c r="O2584" i="2"/>
  <c r="M2584" i="2"/>
  <c r="F2584" i="2"/>
  <c r="H2580" i="2"/>
  <c r="E2585" i="2" l="1" a="1"/>
  <c r="E2585" i="2" s="1"/>
  <c r="I2580" i="2"/>
  <c r="P2580" i="2" s="1"/>
  <c r="L2584" i="2"/>
  <c r="H2581" i="2"/>
  <c r="J2584" i="2"/>
  <c r="K2584" i="2" s="1"/>
  <c r="G2584" i="2"/>
  <c r="A2586" i="2"/>
  <c r="B2585" i="2"/>
  <c r="C2585" i="2" s="1"/>
  <c r="D2585" i="2" s="1"/>
  <c r="L2585" i="2" s="1"/>
  <c r="M2585" i="2"/>
  <c r="F2585" i="2"/>
  <c r="O2585" i="2"/>
  <c r="N2580" i="2" l="1"/>
  <c r="E2586" i="2" a="1"/>
  <c r="E2586" i="2" s="1"/>
  <c r="I2581" i="2"/>
  <c r="P2581" i="2" s="1"/>
  <c r="J2585" i="2"/>
  <c r="K2585" i="2" s="1"/>
  <c r="G2585" i="2"/>
  <c r="O2586" i="2"/>
  <c r="M2586" i="2"/>
  <c r="A2587" i="2"/>
  <c r="F2586" i="2"/>
  <c r="B2586" i="2"/>
  <c r="C2586" i="2" s="1"/>
  <c r="D2586" i="2" s="1"/>
  <c r="L2586" i="2" s="1"/>
  <c r="H2582" i="2"/>
  <c r="I2582" i="2" l="1"/>
  <c r="P2582" i="2" s="1"/>
  <c r="N2581" i="2"/>
  <c r="E2587" i="2" a="1"/>
  <c r="E2587" i="2" s="1"/>
  <c r="H2583" i="2"/>
  <c r="I2583" i="2" s="1"/>
  <c r="P2583" i="2" s="1"/>
  <c r="J2586" i="2"/>
  <c r="K2586" i="2" s="1"/>
  <c r="G2586" i="2"/>
  <c r="O2587" i="2"/>
  <c r="F2587" i="2"/>
  <c r="A2588" i="2"/>
  <c r="B2587" i="2"/>
  <c r="C2587" i="2" s="1"/>
  <c r="D2587" i="2" s="1"/>
  <c r="L2587" i="2" s="1"/>
  <c r="M2587" i="2"/>
  <c r="E2588" i="2" l="1" a="1"/>
  <c r="E2588" i="2" s="1"/>
  <c r="N2582" i="2"/>
  <c r="N2583" i="2"/>
  <c r="M2588" i="2"/>
  <c r="F2588" i="2"/>
  <c r="B2588" i="2"/>
  <c r="C2588" i="2" s="1"/>
  <c r="D2588" i="2" s="1"/>
  <c r="A2589" i="2"/>
  <c r="O2588" i="2"/>
  <c r="J2587" i="2"/>
  <c r="K2587" i="2" s="1"/>
  <c r="G2587" i="2"/>
  <c r="H2584" i="2"/>
  <c r="E2589" i="2" l="1" a="1"/>
  <c r="E2589" i="2" s="1"/>
  <c r="L2588" i="2"/>
  <c r="I2584" i="2"/>
  <c r="P2584" i="2" s="1"/>
  <c r="H2585" i="2"/>
  <c r="M2589" i="2"/>
  <c r="F2589" i="2"/>
  <c r="A2590" i="2"/>
  <c r="B2589" i="2"/>
  <c r="C2589" i="2" s="1"/>
  <c r="D2589" i="2" s="1"/>
  <c r="L2589" i="2" s="1"/>
  <c r="O2589" i="2"/>
  <c r="J2588" i="2"/>
  <c r="K2588" i="2" s="1"/>
  <c r="G2588" i="2"/>
  <c r="I2585" i="2" l="1"/>
  <c r="P2585" i="2" s="1"/>
  <c r="E2590" i="2" a="1"/>
  <c r="E2590" i="2" s="1"/>
  <c r="N2584" i="2"/>
  <c r="F2590" i="2"/>
  <c r="A2591" i="2"/>
  <c r="B2590" i="2"/>
  <c r="C2590" i="2" s="1"/>
  <c r="D2590" i="2" s="1"/>
  <c r="O2590" i="2"/>
  <c r="M2590" i="2"/>
  <c r="J2589" i="2"/>
  <c r="K2589" i="2" s="1"/>
  <c r="G2589" i="2"/>
  <c r="H2586" i="2"/>
  <c r="E2591" i="2" l="1" a="1"/>
  <c r="E2591" i="2" s="1"/>
  <c r="I2586" i="2"/>
  <c r="P2586" i="2" s="1"/>
  <c r="L2590" i="2"/>
  <c r="N2585" i="2"/>
  <c r="H2587" i="2"/>
  <c r="F2591" i="2"/>
  <c r="O2591" i="2"/>
  <c r="M2591" i="2"/>
  <c r="A2592" i="2"/>
  <c r="B2591" i="2"/>
  <c r="C2591" i="2" s="1"/>
  <c r="D2591" i="2" s="1"/>
  <c r="G2590" i="2"/>
  <c r="J2590" i="2"/>
  <c r="K2590" i="2" s="1"/>
  <c r="E2592" i="2" l="1" a="1"/>
  <c r="E2592" i="2" s="1"/>
  <c r="I2587" i="2"/>
  <c r="P2587" i="2" s="1"/>
  <c r="L2591" i="2"/>
  <c r="N2586" i="2"/>
  <c r="F2592" i="2"/>
  <c r="A2593" i="2"/>
  <c r="B2592" i="2"/>
  <c r="C2592" i="2" s="1"/>
  <c r="D2592" i="2" s="1"/>
  <c r="L2592" i="2" s="1"/>
  <c r="O2592" i="2"/>
  <c r="M2592" i="2"/>
  <c r="J2591" i="2"/>
  <c r="K2591" i="2" s="1"/>
  <c r="G2591" i="2"/>
  <c r="H2588" i="2"/>
  <c r="I2588" i="2" l="1"/>
  <c r="P2588" i="2" s="1"/>
  <c r="N2587" i="2"/>
  <c r="E2593" i="2" a="1"/>
  <c r="E2593" i="2" s="1"/>
  <c r="H2589" i="2"/>
  <c r="I2589" i="2" s="1"/>
  <c r="P2589" i="2" s="1"/>
  <c r="F2593" i="2"/>
  <c r="A2594" i="2"/>
  <c r="B2593" i="2"/>
  <c r="C2593" i="2" s="1"/>
  <c r="D2593" i="2" s="1"/>
  <c r="L2593" i="2" s="1"/>
  <c r="M2593" i="2"/>
  <c r="O2593" i="2"/>
  <c r="J2592" i="2"/>
  <c r="K2592" i="2" s="1"/>
  <c r="G2592" i="2"/>
  <c r="N2589" i="2" l="1"/>
  <c r="E2594" i="2" a="1"/>
  <c r="E2594" i="2" s="1"/>
  <c r="N2588" i="2"/>
  <c r="A2595" i="2"/>
  <c r="B2594" i="2"/>
  <c r="C2594" i="2" s="1"/>
  <c r="D2594" i="2" s="1"/>
  <c r="O2594" i="2"/>
  <c r="M2594" i="2"/>
  <c r="F2594" i="2"/>
  <c r="J2593" i="2"/>
  <c r="K2593" i="2" s="1"/>
  <c r="G2593" i="2"/>
  <c r="H2590" i="2"/>
  <c r="E2595" i="2" l="1" a="1"/>
  <c r="E2595" i="2" s="1"/>
  <c r="I2590" i="2"/>
  <c r="P2590" i="2" s="1"/>
  <c r="L2594" i="2"/>
  <c r="H2591" i="2"/>
  <c r="I2591" i="2" s="1"/>
  <c r="P2591" i="2" s="1"/>
  <c r="G2594" i="2"/>
  <c r="J2594" i="2"/>
  <c r="K2594" i="2" s="1"/>
  <c r="F2595" i="2"/>
  <c r="A2596" i="2"/>
  <c r="B2595" i="2"/>
  <c r="C2595" i="2" s="1"/>
  <c r="D2595" i="2" s="1"/>
  <c r="L2595" i="2" s="1"/>
  <c r="O2595" i="2"/>
  <c r="M2595" i="2"/>
  <c r="N2591" i="2" l="1"/>
  <c r="N2590" i="2"/>
  <c r="E2596" i="2" a="1"/>
  <c r="E2596" i="2" s="1"/>
  <c r="F2596" i="2"/>
  <c r="A2597" i="2"/>
  <c r="B2596" i="2"/>
  <c r="C2596" i="2" s="1"/>
  <c r="D2596" i="2" s="1"/>
  <c r="O2596" i="2"/>
  <c r="M2596" i="2"/>
  <c r="G2595" i="2"/>
  <c r="J2595" i="2"/>
  <c r="K2595" i="2" s="1"/>
  <c r="H2592" i="2"/>
  <c r="I2592" i="2" s="1"/>
  <c r="P2592" i="2" s="1"/>
  <c r="N2592" i="2" l="1"/>
  <c r="L2596" i="2"/>
  <c r="E2597" i="2" a="1"/>
  <c r="E2597" i="2" s="1"/>
  <c r="H2593" i="2"/>
  <c r="I2593" i="2" s="1"/>
  <c r="P2593" i="2" s="1"/>
  <c r="A2598" i="2"/>
  <c r="B2597" i="2"/>
  <c r="C2597" i="2" s="1"/>
  <c r="D2597" i="2" s="1"/>
  <c r="O2597" i="2"/>
  <c r="M2597" i="2"/>
  <c r="F2597" i="2"/>
  <c r="J2596" i="2"/>
  <c r="K2596" i="2" s="1"/>
  <c r="G2596" i="2"/>
  <c r="E2598" i="2" l="1" a="1"/>
  <c r="E2598" i="2" s="1"/>
  <c r="L2597" i="2"/>
  <c r="N2593" i="2"/>
  <c r="J2597" i="2"/>
  <c r="K2597" i="2" s="1"/>
  <c r="G2597" i="2"/>
  <c r="A2599" i="2"/>
  <c r="B2598" i="2"/>
  <c r="C2598" i="2" s="1"/>
  <c r="D2598" i="2" s="1"/>
  <c r="O2598" i="2"/>
  <c r="M2598" i="2"/>
  <c r="F2598" i="2"/>
  <c r="H2594" i="2"/>
  <c r="I2594" i="2" s="1"/>
  <c r="P2594" i="2" s="1"/>
  <c r="E2599" i="2" l="1" a="1"/>
  <c r="E2599" i="2" s="1"/>
  <c r="N2594" i="2"/>
  <c r="L2598" i="2"/>
  <c r="H2595" i="2"/>
  <c r="I2595" i="2" s="1"/>
  <c r="P2595" i="2" s="1"/>
  <c r="J2598" i="2"/>
  <c r="K2598" i="2" s="1"/>
  <c r="G2598" i="2"/>
  <c r="A2600" i="2"/>
  <c r="B2599" i="2"/>
  <c r="C2599" i="2" s="1"/>
  <c r="D2599" i="2" s="1"/>
  <c r="L2599" i="2" s="1"/>
  <c r="O2599" i="2"/>
  <c r="M2599" i="2"/>
  <c r="F2599" i="2"/>
  <c r="N2595" i="2" l="1"/>
  <c r="E2600" i="2" a="1"/>
  <c r="E2600" i="2" s="1"/>
  <c r="J2599" i="2"/>
  <c r="K2599" i="2" s="1"/>
  <c r="G2599" i="2"/>
  <c r="A2601" i="2"/>
  <c r="B2600" i="2"/>
  <c r="C2600" i="2" s="1"/>
  <c r="D2600" i="2" s="1"/>
  <c r="O2600" i="2"/>
  <c r="M2600" i="2"/>
  <c r="F2600" i="2"/>
  <c r="H2596" i="2"/>
  <c r="I2596" i="2" s="1"/>
  <c r="P2596" i="2" s="1"/>
  <c r="L2600" i="2" l="1"/>
  <c r="E2601" i="2" a="1"/>
  <c r="E2601" i="2" s="1"/>
  <c r="N2596" i="2"/>
  <c r="H2597" i="2"/>
  <c r="J2600" i="2"/>
  <c r="K2600" i="2" s="1"/>
  <c r="G2600" i="2"/>
  <c r="A2602" i="2"/>
  <c r="B2601" i="2"/>
  <c r="C2601" i="2" s="1"/>
  <c r="D2601" i="2" s="1"/>
  <c r="L2601" i="2" s="1"/>
  <c r="O2601" i="2"/>
  <c r="M2601" i="2"/>
  <c r="F2601" i="2"/>
  <c r="E2602" i="2" l="1" a="1"/>
  <c r="E2602" i="2" s="1"/>
  <c r="I2597" i="2"/>
  <c r="P2597" i="2" s="1"/>
  <c r="J2601" i="2"/>
  <c r="K2601" i="2" s="1"/>
  <c r="G2601" i="2"/>
  <c r="O2602" i="2"/>
  <c r="M2602" i="2"/>
  <c r="F2602" i="2"/>
  <c r="B2602" i="2"/>
  <c r="C2602" i="2" s="1"/>
  <c r="D2602" i="2" s="1"/>
  <c r="A2603" i="2"/>
  <c r="H2598" i="2"/>
  <c r="N2597" i="2" l="1"/>
  <c r="L2602" i="2"/>
  <c r="E2603" i="2" a="1"/>
  <c r="E2603" i="2" s="1"/>
  <c r="I2598" i="2"/>
  <c r="P2598" i="2" s="1"/>
  <c r="H2599" i="2"/>
  <c r="I2599" i="2" s="1"/>
  <c r="P2599" i="2" s="1"/>
  <c r="A2604" i="2"/>
  <c r="O2603" i="2"/>
  <c r="M2603" i="2"/>
  <c r="F2603" i="2"/>
  <c r="B2603" i="2"/>
  <c r="C2603" i="2" s="1"/>
  <c r="D2603" i="2" s="1"/>
  <c r="J2602" i="2"/>
  <c r="K2602" i="2" s="1"/>
  <c r="G2602" i="2"/>
  <c r="N2598" i="2" l="1"/>
  <c r="N2599" i="2"/>
  <c r="E2604" i="2" a="1"/>
  <c r="E2604" i="2" s="1"/>
  <c r="L2603" i="2"/>
  <c r="J2603" i="2"/>
  <c r="K2603" i="2" s="1"/>
  <c r="G2603" i="2"/>
  <c r="A2605" i="2"/>
  <c r="O2604" i="2"/>
  <c r="M2604" i="2"/>
  <c r="F2604" i="2"/>
  <c r="B2604" i="2"/>
  <c r="C2604" i="2" s="1"/>
  <c r="D2604" i="2" s="1"/>
  <c r="L2604" i="2" s="1"/>
  <c r="H2600" i="2"/>
  <c r="E2605" i="2" l="1" a="1"/>
  <c r="E2605" i="2" s="1"/>
  <c r="I2600" i="2"/>
  <c r="P2600" i="2" s="1"/>
  <c r="H2601" i="2"/>
  <c r="J2604" i="2"/>
  <c r="K2604" i="2" s="1"/>
  <c r="G2604" i="2"/>
  <c r="B2605" i="2"/>
  <c r="C2605" i="2" s="1"/>
  <c r="D2605" i="2" s="1"/>
  <c r="L2605" i="2" s="1"/>
  <c r="A2606" i="2"/>
  <c r="O2605" i="2"/>
  <c r="M2605" i="2"/>
  <c r="F2605" i="2"/>
  <c r="I2601" i="2" l="1"/>
  <c r="P2601" i="2" s="1"/>
  <c r="E2606" i="2" a="1"/>
  <c r="E2606" i="2" s="1"/>
  <c r="N2600" i="2"/>
  <c r="G2605" i="2"/>
  <c r="J2605" i="2"/>
  <c r="K2605" i="2" s="1"/>
  <c r="F2606" i="2"/>
  <c r="B2606" i="2"/>
  <c r="C2606" i="2" s="1"/>
  <c r="D2606" i="2" s="1"/>
  <c r="A2607" i="2"/>
  <c r="O2606" i="2"/>
  <c r="M2606" i="2"/>
  <c r="H2602" i="2"/>
  <c r="I2602" i="2" s="1"/>
  <c r="P2602" i="2" s="1"/>
  <c r="L2606" i="2" l="1"/>
  <c r="E2607" i="2" a="1"/>
  <c r="E2607" i="2" s="1"/>
  <c r="N2601" i="2"/>
  <c r="N2602" i="2"/>
  <c r="H2603" i="2"/>
  <c r="F2607" i="2"/>
  <c r="B2607" i="2"/>
  <c r="C2607" i="2" s="1"/>
  <c r="D2607" i="2" s="1"/>
  <c r="L2607" i="2" s="1"/>
  <c r="A2608" i="2"/>
  <c r="O2607" i="2"/>
  <c r="M2607" i="2"/>
  <c r="G2606" i="2"/>
  <c r="J2606" i="2"/>
  <c r="K2606" i="2" s="1"/>
  <c r="I2603" i="2" l="1"/>
  <c r="P2603" i="2" s="1"/>
  <c r="E2608" i="2" a="1"/>
  <c r="E2608" i="2" s="1"/>
  <c r="A2609" i="2"/>
  <c r="B2608" i="2"/>
  <c r="C2608" i="2" s="1"/>
  <c r="D2608" i="2" s="1"/>
  <c r="F2608" i="2"/>
  <c r="O2608" i="2"/>
  <c r="M2608" i="2"/>
  <c r="G2607" i="2"/>
  <c r="J2607" i="2"/>
  <c r="K2607" i="2" s="1"/>
  <c r="H2604" i="2"/>
  <c r="N2603" i="2" l="1"/>
  <c r="E2609" i="2" a="1"/>
  <c r="E2609" i="2" s="1"/>
  <c r="I2604" i="2"/>
  <c r="P2604" i="2" s="1"/>
  <c r="L2608" i="2"/>
  <c r="H2605" i="2"/>
  <c r="I2605" i="2" s="1"/>
  <c r="P2605" i="2" s="1"/>
  <c r="J2608" i="2"/>
  <c r="K2608" i="2" s="1"/>
  <c r="G2608" i="2"/>
  <c r="M2609" i="2"/>
  <c r="F2609" i="2"/>
  <c r="B2609" i="2"/>
  <c r="C2609" i="2" s="1"/>
  <c r="D2609" i="2" s="1"/>
  <c r="A2610" i="2"/>
  <c r="O2609" i="2"/>
  <c r="N2604" i="2" l="1"/>
  <c r="L2609" i="2"/>
  <c r="N2605" i="2"/>
  <c r="E2610" i="2" a="1"/>
  <c r="E2610" i="2" s="1"/>
  <c r="O2610" i="2"/>
  <c r="M2610" i="2"/>
  <c r="F2610" i="2"/>
  <c r="B2610" i="2"/>
  <c r="C2610" i="2" s="1"/>
  <c r="D2610" i="2" s="1"/>
  <c r="L2610" i="2" s="1"/>
  <c r="A2611" i="2"/>
  <c r="J2609" i="2"/>
  <c r="K2609" i="2" s="1"/>
  <c r="G2609" i="2"/>
  <c r="H2606" i="2"/>
  <c r="E2611" i="2" l="1" a="1"/>
  <c r="E2611" i="2" s="1"/>
  <c r="I2606" i="2"/>
  <c r="P2606" i="2" s="1"/>
  <c r="H2607" i="2"/>
  <c r="A2612" i="2"/>
  <c r="B2611" i="2"/>
  <c r="C2611" i="2" s="1"/>
  <c r="D2611" i="2" s="1"/>
  <c r="L2611" i="2" s="1"/>
  <c r="O2611" i="2"/>
  <c r="M2611" i="2"/>
  <c r="F2611" i="2"/>
  <c r="J2610" i="2"/>
  <c r="K2610" i="2" s="1"/>
  <c r="G2610" i="2"/>
  <c r="N2606" i="2" l="1"/>
  <c r="I2607" i="2"/>
  <c r="P2607" i="2" s="1"/>
  <c r="E2612" i="2" a="1"/>
  <c r="E2612" i="2" s="1"/>
  <c r="J2611" i="2"/>
  <c r="K2611" i="2" s="1"/>
  <c r="G2611" i="2"/>
  <c r="A2613" i="2"/>
  <c r="B2612" i="2"/>
  <c r="C2612" i="2" s="1"/>
  <c r="D2612" i="2" s="1"/>
  <c r="L2612" i="2" s="1"/>
  <c r="M2612" i="2"/>
  <c r="O2612" i="2"/>
  <c r="F2612" i="2"/>
  <c r="H2608" i="2"/>
  <c r="I2608" i="2" l="1"/>
  <c r="P2608" i="2" s="1"/>
  <c r="E2613" i="2" a="1"/>
  <c r="E2613" i="2" s="1"/>
  <c r="N2607" i="2"/>
  <c r="H2609" i="2"/>
  <c r="J2612" i="2"/>
  <c r="K2612" i="2" s="1"/>
  <c r="G2612" i="2"/>
  <c r="O2613" i="2"/>
  <c r="F2613" i="2"/>
  <c r="B2613" i="2"/>
  <c r="C2613" i="2" s="1"/>
  <c r="D2613" i="2" s="1"/>
  <c r="A2614" i="2"/>
  <c r="M2613" i="2"/>
  <c r="N2608" i="2" l="1"/>
  <c r="E2614" i="2" a="1"/>
  <c r="E2614" i="2" s="1"/>
  <c r="L2613" i="2"/>
  <c r="I2609" i="2"/>
  <c r="P2609" i="2" s="1"/>
  <c r="O2614" i="2"/>
  <c r="M2614" i="2"/>
  <c r="F2614" i="2"/>
  <c r="B2614" i="2"/>
  <c r="C2614" i="2" s="1"/>
  <c r="D2614" i="2" s="1"/>
  <c r="L2614" i="2" s="1"/>
  <c r="A2615" i="2"/>
  <c r="G2613" i="2"/>
  <c r="J2613" i="2"/>
  <c r="K2613" i="2" s="1"/>
  <c r="H2610" i="2"/>
  <c r="I2610" i="2" l="1"/>
  <c r="P2610" i="2" s="1"/>
  <c r="N2609" i="2"/>
  <c r="E2615" i="2" a="1"/>
  <c r="E2615" i="2" s="1"/>
  <c r="H2611" i="2"/>
  <c r="M2615" i="2"/>
  <c r="A2616" i="2"/>
  <c r="O2615" i="2"/>
  <c r="F2615" i="2"/>
  <c r="B2615" i="2"/>
  <c r="C2615" i="2" s="1"/>
  <c r="D2615" i="2" s="1"/>
  <c r="J2614" i="2"/>
  <c r="K2614" i="2" s="1"/>
  <c r="G2614" i="2"/>
  <c r="E2616" i="2" l="1" a="1"/>
  <c r="E2616" i="2" s="1"/>
  <c r="I2611" i="2"/>
  <c r="P2611" i="2" s="1"/>
  <c r="N2610" i="2"/>
  <c r="L2615" i="2"/>
  <c r="J2615" i="2"/>
  <c r="K2615" i="2" s="1"/>
  <c r="G2615" i="2"/>
  <c r="A2617" i="2"/>
  <c r="B2616" i="2"/>
  <c r="C2616" i="2" s="1"/>
  <c r="D2616" i="2" s="1"/>
  <c r="L2616" i="2" s="1"/>
  <c r="M2616" i="2"/>
  <c r="F2616" i="2"/>
  <c r="O2616" i="2"/>
  <c r="H2612" i="2"/>
  <c r="I2612" i="2" s="1"/>
  <c r="P2612" i="2" s="1"/>
  <c r="N2612" i="2" l="1"/>
  <c r="N2611" i="2"/>
  <c r="E2617" i="2" a="1"/>
  <c r="E2617" i="2" s="1"/>
  <c r="H2613" i="2"/>
  <c r="I2613" i="2" s="1"/>
  <c r="P2613" i="2" s="1"/>
  <c r="G2616" i="2"/>
  <c r="J2616" i="2"/>
  <c r="K2616" i="2" s="1"/>
  <c r="A2618" i="2"/>
  <c r="B2617" i="2"/>
  <c r="C2617" i="2" s="1"/>
  <c r="D2617" i="2" s="1"/>
  <c r="L2617" i="2" s="1"/>
  <c r="O2617" i="2"/>
  <c r="M2617" i="2"/>
  <c r="F2617" i="2"/>
  <c r="N2613" i="2" l="1"/>
  <c r="E2618" i="2" a="1"/>
  <c r="E2618" i="2" s="1"/>
  <c r="E2619" i="2" a="1"/>
  <c r="E2619" i="2" s="1"/>
  <c r="J2617" i="2"/>
  <c r="K2617" i="2" s="1"/>
  <c r="G2617" i="2"/>
  <c r="A2619" i="2"/>
  <c r="B2618" i="2"/>
  <c r="C2618" i="2" s="1"/>
  <c r="D2618" i="2" s="1"/>
  <c r="L2618" i="2" s="1"/>
  <c r="O2618" i="2"/>
  <c r="M2618" i="2"/>
  <c r="F2618" i="2"/>
  <c r="H2614" i="2"/>
  <c r="I2614" i="2" s="1"/>
  <c r="P2614" i="2" s="1"/>
  <c r="N2614" i="2" l="1"/>
  <c r="H2615" i="2"/>
  <c r="I2615" i="2" s="1"/>
  <c r="P2615" i="2" s="1"/>
  <c r="J2618" i="2"/>
  <c r="K2618" i="2" s="1"/>
  <c r="G2618" i="2"/>
  <c r="O2619" i="2"/>
  <c r="F2619" i="2"/>
  <c r="B2619" i="2"/>
  <c r="C2619" i="2" s="1"/>
  <c r="D2619" i="2" s="1"/>
  <c r="L2619" i="2" s="1"/>
  <c r="A2620" i="2"/>
  <c r="M2619" i="2"/>
  <c r="N2615" i="2" l="1"/>
  <c r="E2620" i="2" a="1"/>
  <c r="E2620" i="2" s="1"/>
  <c r="O2620" i="2"/>
  <c r="M2620" i="2"/>
  <c r="A2621" i="2"/>
  <c r="F2620" i="2"/>
  <c r="B2620" i="2"/>
  <c r="C2620" i="2" s="1"/>
  <c r="D2620" i="2" s="1"/>
  <c r="L2620" i="2" s="1"/>
  <c r="J2619" i="2"/>
  <c r="K2619" i="2" s="1"/>
  <c r="G2619" i="2"/>
  <c r="H2616" i="2"/>
  <c r="I2616" i="2" s="1"/>
  <c r="P2616" i="2" s="1"/>
  <c r="N2616" i="2" l="1"/>
  <c r="E2621" i="2" a="1"/>
  <c r="E2621" i="2" s="1"/>
  <c r="H2617" i="2"/>
  <c r="J2620" i="2"/>
  <c r="K2620" i="2" s="1"/>
  <c r="G2620" i="2"/>
  <c r="M2621" i="2"/>
  <c r="A2622" i="2"/>
  <c r="O2621" i="2"/>
  <c r="F2621" i="2"/>
  <c r="B2621" i="2"/>
  <c r="C2621" i="2" s="1"/>
  <c r="D2621" i="2" s="1"/>
  <c r="L2621" i="2" s="1"/>
  <c r="E2622" i="2" l="1" a="1"/>
  <c r="E2622" i="2" s="1"/>
  <c r="I2617" i="2"/>
  <c r="P2617" i="2" s="1"/>
  <c r="G2621" i="2"/>
  <c r="J2621" i="2"/>
  <c r="K2621" i="2" s="1"/>
  <c r="M2622" i="2"/>
  <c r="F2622" i="2"/>
  <c r="B2622" i="2"/>
  <c r="C2622" i="2" s="1"/>
  <c r="D2622" i="2" s="1"/>
  <c r="A2623" i="2"/>
  <c r="O2622" i="2"/>
  <c r="H2618" i="2"/>
  <c r="I2618" i="2" s="1"/>
  <c r="P2618" i="2" s="1"/>
  <c r="E2623" i="2" l="1" a="1"/>
  <c r="E2623" i="2" s="1"/>
  <c r="N2617" i="2"/>
  <c r="L2622" i="2"/>
  <c r="N2618" i="2"/>
  <c r="H2619" i="2"/>
  <c r="F2623" i="2"/>
  <c r="A2624" i="2"/>
  <c r="O2623" i="2"/>
  <c r="M2623" i="2"/>
  <c r="B2623" i="2"/>
  <c r="C2623" i="2" s="1"/>
  <c r="D2623" i="2" s="1"/>
  <c r="L2623" i="2" s="1"/>
  <c r="G2622" i="2"/>
  <c r="J2622" i="2"/>
  <c r="K2622" i="2" s="1"/>
  <c r="E2624" i="2" l="1" a="1"/>
  <c r="E2624" i="2" s="1"/>
  <c r="I2619" i="2"/>
  <c r="P2619" i="2" s="1"/>
  <c r="A2625" i="2"/>
  <c r="B2624" i="2"/>
  <c r="C2624" i="2" s="1"/>
  <c r="D2624" i="2" s="1"/>
  <c r="L2624" i="2" s="1"/>
  <c r="F2624" i="2"/>
  <c r="O2624" i="2"/>
  <c r="M2624" i="2"/>
  <c r="J2623" i="2"/>
  <c r="K2623" i="2" s="1"/>
  <c r="G2623" i="2"/>
  <c r="H2620" i="2"/>
  <c r="I2620" i="2" s="1"/>
  <c r="P2620" i="2" s="1"/>
  <c r="E2625" i="2" l="1" a="1"/>
  <c r="E2625" i="2" s="1"/>
  <c r="N2619" i="2"/>
  <c r="N2620" i="2"/>
  <c r="H2621" i="2"/>
  <c r="I2621" i="2" s="1"/>
  <c r="P2621" i="2" s="1"/>
  <c r="J2624" i="2"/>
  <c r="K2624" i="2" s="1"/>
  <c r="G2624" i="2"/>
  <c r="A2626" i="2"/>
  <c r="B2625" i="2"/>
  <c r="C2625" i="2" s="1"/>
  <c r="D2625" i="2" s="1"/>
  <c r="O2625" i="2"/>
  <c r="M2625" i="2"/>
  <c r="F2625" i="2"/>
  <c r="N2621" i="2" l="1"/>
  <c r="E2626" i="2" a="1"/>
  <c r="E2626" i="2" s="1"/>
  <c r="L2625" i="2"/>
  <c r="J2625" i="2"/>
  <c r="K2625" i="2" s="1"/>
  <c r="G2625" i="2"/>
  <c r="O2626" i="2"/>
  <c r="B2626" i="2"/>
  <c r="C2626" i="2" s="1"/>
  <c r="D2626" i="2" s="1"/>
  <c r="L2626" i="2" s="1"/>
  <c r="A2627" i="2"/>
  <c r="M2626" i="2"/>
  <c r="F2626" i="2"/>
  <c r="H2622" i="2"/>
  <c r="I2622" i="2" s="1"/>
  <c r="P2622" i="2" s="1"/>
  <c r="E2627" i="2" l="1" a="1"/>
  <c r="E2627" i="2" s="1"/>
  <c r="N2622" i="2"/>
  <c r="H2623" i="2"/>
  <c r="G2626" i="2"/>
  <c r="J2626" i="2"/>
  <c r="K2626" i="2" s="1"/>
  <c r="F2627" i="2"/>
  <c r="A2628" i="2"/>
  <c r="B2627" i="2"/>
  <c r="C2627" i="2" s="1"/>
  <c r="D2627" i="2" s="1"/>
  <c r="L2627" i="2" s="1"/>
  <c r="O2627" i="2"/>
  <c r="M2627" i="2"/>
  <c r="I2623" i="2" l="1"/>
  <c r="P2623" i="2" s="1"/>
  <c r="E2628" i="2" a="1"/>
  <c r="E2628" i="2" s="1"/>
  <c r="F2628" i="2"/>
  <c r="A2629" i="2"/>
  <c r="B2628" i="2"/>
  <c r="C2628" i="2" s="1"/>
  <c r="D2628" i="2" s="1"/>
  <c r="M2628" i="2"/>
  <c r="O2628" i="2"/>
  <c r="G2627" i="2"/>
  <c r="J2627" i="2"/>
  <c r="K2627" i="2" s="1"/>
  <c r="H2624" i="2"/>
  <c r="E2629" i="2" l="1" a="1"/>
  <c r="E2629" i="2" s="1"/>
  <c r="I2624" i="2"/>
  <c r="P2624" i="2" s="1"/>
  <c r="L2628" i="2"/>
  <c r="N2623" i="2"/>
  <c r="H2625" i="2"/>
  <c r="F2629" i="2"/>
  <c r="A2630" i="2"/>
  <c r="B2629" i="2"/>
  <c r="C2629" i="2" s="1"/>
  <c r="D2629" i="2" s="1"/>
  <c r="L2629" i="2" s="1"/>
  <c r="O2629" i="2"/>
  <c r="M2629" i="2"/>
  <c r="G2628" i="2"/>
  <c r="J2628" i="2"/>
  <c r="K2628" i="2" s="1"/>
  <c r="N2624" i="2" l="1"/>
  <c r="E2630" i="2" a="1"/>
  <c r="E2630" i="2" s="1"/>
  <c r="I2625" i="2"/>
  <c r="P2625" i="2" s="1"/>
  <c r="O2630" i="2"/>
  <c r="F2630" i="2"/>
  <c r="B2630" i="2"/>
  <c r="C2630" i="2" s="1"/>
  <c r="D2630" i="2" s="1"/>
  <c r="A2631" i="2"/>
  <c r="M2630" i="2"/>
  <c r="J2629" i="2"/>
  <c r="K2629" i="2" s="1"/>
  <c r="G2629" i="2"/>
  <c r="H2626" i="2"/>
  <c r="I2626" i="2" s="1"/>
  <c r="P2626" i="2" s="1"/>
  <c r="N2625" i="2" l="1"/>
  <c r="N2626" i="2"/>
  <c r="L2630" i="2"/>
  <c r="E2631" i="2" a="1"/>
  <c r="E2631" i="2" s="1"/>
  <c r="H2627" i="2"/>
  <c r="I2627" i="2" s="1"/>
  <c r="P2627" i="2" s="1"/>
  <c r="A2632" i="2"/>
  <c r="B2631" i="2"/>
  <c r="C2631" i="2" s="1"/>
  <c r="D2631" i="2" s="1"/>
  <c r="O2631" i="2"/>
  <c r="M2631" i="2"/>
  <c r="F2631" i="2"/>
  <c r="G2630" i="2"/>
  <c r="J2630" i="2"/>
  <c r="K2630" i="2" s="1"/>
  <c r="L2631" i="2" l="1"/>
  <c r="E2632" i="2" a="1"/>
  <c r="E2632" i="2" s="1"/>
  <c r="N2627" i="2"/>
  <c r="J2631" i="2"/>
  <c r="K2631" i="2" s="1"/>
  <c r="G2631" i="2"/>
  <c r="A2633" i="2"/>
  <c r="B2632" i="2"/>
  <c r="C2632" i="2" s="1"/>
  <c r="D2632" i="2" s="1"/>
  <c r="L2632" i="2" s="1"/>
  <c r="M2632" i="2"/>
  <c r="F2632" i="2"/>
  <c r="O2632" i="2"/>
  <c r="H2628" i="2"/>
  <c r="I2628" i="2" l="1"/>
  <c r="P2628" i="2" s="1"/>
  <c r="E2633" i="2" a="1"/>
  <c r="E2633" i="2" s="1"/>
  <c r="H2629" i="2"/>
  <c r="I2629" i="2" s="1"/>
  <c r="P2629" i="2" s="1"/>
  <c r="J2632" i="2"/>
  <c r="K2632" i="2" s="1"/>
  <c r="G2632" i="2"/>
  <c r="A2634" i="2"/>
  <c r="B2633" i="2"/>
  <c r="C2633" i="2" s="1"/>
  <c r="D2633" i="2" s="1"/>
  <c r="O2633" i="2"/>
  <c r="M2633" i="2"/>
  <c r="F2633" i="2"/>
  <c r="N2628" i="2" l="1"/>
  <c r="L2633" i="2"/>
  <c r="E2634" i="2" a="1"/>
  <c r="E2634" i="2" s="1"/>
  <c r="N2629" i="2"/>
  <c r="J2633" i="2"/>
  <c r="K2633" i="2" s="1"/>
  <c r="G2633" i="2"/>
  <c r="A2635" i="2"/>
  <c r="B2634" i="2"/>
  <c r="C2634" i="2" s="1"/>
  <c r="D2634" i="2" s="1"/>
  <c r="L2634" i="2" s="1"/>
  <c r="O2634" i="2"/>
  <c r="M2634" i="2"/>
  <c r="F2634" i="2"/>
  <c r="H2630" i="2"/>
  <c r="I2630" i="2" l="1"/>
  <c r="P2630" i="2" s="1"/>
  <c r="E2635" i="2" a="1"/>
  <c r="E2635" i="2" s="1"/>
  <c r="H2631" i="2"/>
  <c r="I2631" i="2" s="1"/>
  <c r="P2631" i="2" s="1"/>
  <c r="J2634" i="2"/>
  <c r="K2634" i="2" s="1"/>
  <c r="G2634" i="2"/>
  <c r="O2635" i="2"/>
  <c r="M2635" i="2"/>
  <c r="F2635" i="2"/>
  <c r="A2636" i="2"/>
  <c r="B2635" i="2"/>
  <c r="C2635" i="2" s="1"/>
  <c r="D2635" i="2" s="1"/>
  <c r="E2636" i="2" l="1" a="1"/>
  <c r="E2636" i="2" s="1"/>
  <c r="L2635" i="2"/>
  <c r="N2631" i="2"/>
  <c r="N2630" i="2"/>
  <c r="O2636" i="2"/>
  <c r="M2636" i="2"/>
  <c r="F2636" i="2"/>
  <c r="A2637" i="2"/>
  <c r="B2636" i="2"/>
  <c r="C2636" i="2" s="1"/>
  <c r="D2636" i="2" s="1"/>
  <c r="J2635" i="2"/>
  <c r="K2635" i="2" s="1"/>
  <c r="G2635" i="2"/>
  <c r="H2632" i="2"/>
  <c r="I2632" i="2" s="1"/>
  <c r="P2632" i="2" s="1"/>
  <c r="L2636" i="2" l="1"/>
  <c r="E2637" i="2" a="1"/>
  <c r="E2637" i="2" s="1"/>
  <c r="N2632" i="2"/>
  <c r="E2638" i="2" a="1"/>
  <c r="E2638" i="2" s="1"/>
  <c r="H2633" i="2"/>
  <c r="I2633" i="2" s="1"/>
  <c r="P2633" i="2" s="1"/>
  <c r="M2637" i="2"/>
  <c r="O2637" i="2"/>
  <c r="F2637" i="2"/>
  <c r="B2637" i="2"/>
  <c r="C2637" i="2" s="1"/>
  <c r="D2637" i="2" s="1"/>
  <c r="L2637" i="2" s="1"/>
  <c r="A2638" i="2"/>
  <c r="J2636" i="2"/>
  <c r="K2636" i="2" s="1"/>
  <c r="G2636" i="2"/>
  <c r="N2633" i="2" l="1"/>
  <c r="M2638" i="2"/>
  <c r="F2638" i="2"/>
  <c r="A2639" i="2"/>
  <c r="B2638" i="2"/>
  <c r="C2638" i="2" s="1"/>
  <c r="D2638" i="2" s="1"/>
  <c r="L2638" i="2" s="1"/>
  <c r="O2638" i="2"/>
  <c r="G2637" i="2"/>
  <c r="J2637" i="2"/>
  <c r="K2637" i="2" s="1"/>
  <c r="H2634" i="2"/>
  <c r="I2634" i="2" s="1"/>
  <c r="P2634" i="2" s="1"/>
  <c r="N2634" i="2" l="1"/>
  <c r="E2639" i="2" a="1"/>
  <c r="E2639" i="2" s="1"/>
  <c r="H2635" i="2"/>
  <c r="F2639" i="2"/>
  <c r="A2640" i="2"/>
  <c r="B2639" i="2"/>
  <c r="C2639" i="2" s="1"/>
  <c r="D2639" i="2" s="1"/>
  <c r="O2639" i="2"/>
  <c r="M2639" i="2"/>
  <c r="J2638" i="2"/>
  <c r="K2638" i="2" s="1"/>
  <c r="G2638" i="2"/>
  <c r="L2639" i="2" l="1"/>
  <c r="I2635" i="2"/>
  <c r="P2635" i="2" s="1"/>
  <c r="E2640" i="2" a="1"/>
  <c r="E2640" i="2" s="1"/>
  <c r="F2640" i="2"/>
  <c r="A2641" i="2"/>
  <c r="B2640" i="2"/>
  <c r="C2640" i="2" s="1"/>
  <c r="D2640" i="2" s="1"/>
  <c r="O2640" i="2"/>
  <c r="M2640" i="2"/>
  <c r="J2639" i="2"/>
  <c r="K2639" i="2" s="1"/>
  <c r="G2639" i="2"/>
  <c r="H2636" i="2"/>
  <c r="L2640" i="2" l="1"/>
  <c r="E2641" i="2" a="1"/>
  <c r="E2641" i="2" s="1"/>
  <c r="I2636" i="2"/>
  <c r="P2636" i="2" s="1"/>
  <c r="N2635" i="2"/>
  <c r="H2637" i="2"/>
  <c r="A2642" i="2"/>
  <c r="B2641" i="2"/>
  <c r="C2641" i="2" s="1"/>
  <c r="D2641" i="2" s="1"/>
  <c r="L2641" i="2" s="1"/>
  <c r="O2641" i="2"/>
  <c r="M2641" i="2"/>
  <c r="F2641" i="2"/>
  <c r="J2640" i="2"/>
  <c r="K2640" i="2" s="1"/>
  <c r="G2640" i="2"/>
  <c r="E2642" i="2" l="1" a="1"/>
  <c r="E2642" i="2" s="1"/>
  <c r="N2636" i="2"/>
  <c r="I2637" i="2"/>
  <c r="P2637" i="2" s="1"/>
  <c r="J2641" i="2"/>
  <c r="K2641" i="2" s="1"/>
  <c r="G2641" i="2"/>
  <c r="F2642" i="2"/>
  <c r="O2642" i="2"/>
  <c r="M2642" i="2"/>
  <c r="A2643" i="2"/>
  <c r="B2642" i="2"/>
  <c r="C2642" i="2" s="1"/>
  <c r="D2642" i="2" s="1"/>
  <c r="H2638" i="2"/>
  <c r="I2638" i="2" s="1"/>
  <c r="P2638" i="2" s="1"/>
  <c r="N2638" i="2" l="1"/>
  <c r="L2642" i="2"/>
  <c r="N2637" i="2"/>
  <c r="E2643" i="2" a="1"/>
  <c r="E2643" i="2" s="1"/>
  <c r="H2639" i="2"/>
  <c r="F2643" i="2"/>
  <c r="A2644" i="2"/>
  <c r="B2643" i="2"/>
  <c r="C2643" i="2" s="1"/>
  <c r="D2643" i="2" s="1"/>
  <c r="L2643" i="2" s="1"/>
  <c r="O2643" i="2"/>
  <c r="M2643" i="2"/>
  <c r="G2642" i="2"/>
  <c r="J2642" i="2"/>
  <c r="K2642" i="2" s="1"/>
  <c r="I2639" i="2" l="1"/>
  <c r="P2639" i="2" s="1"/>
  <c r="E2644" i="2" a="1"/>
  <c r="E2644" i="2" s="1"/>
  <c r="F2644" i="2"/>
  <c r="A2645" i="2"/>
  <c r="B2644" i="2"/>
  <c r="C2644" i="2" s="1"/>
  <c r="D2644" i="2" s="1"/>
  <c r="L2644" i="2" s="1"/>
  <c r="M2644" i="2"/>
  <c r="O2644" i="2"/>
  <c r="G2643" i="2"/>
  <c r="J2643" i="2"/>
  <c r="K2643" i="2" s="1"/>
  <c r="H2640" i="2"/>
  <c r="N2639" i="2" l="1"/>
  <c r="E2645" i="2" a="1"/>
  <c r="E2645" i="2" s="1"/>
  <c r="I2640" i="2"/>
  <c r="P2640" i="2" s="1"/>
  <c r="H2641" i="2"/>
  <c r="I2641" i="2" s="1"/>
  <c r="P2641" i="2" s="1"/>
  <c r="F2645" i="2"/>
  <c r="A2646" i="2"/>
  <c r="B2645" i="2"/>
  <c r="C2645" i="2" s="1"/>
  <c r="D2645" i="2" s="1"/>
  <c r="L2645" i="2" s="1"/>
  <c r="O2645" i="2"/>
  <c r="M2645" i="2"/>
  <c r="G2644" i="2"/>
  <c r="J2644" i="2"/>
  <c r="K2644" i="2" s="1"/>
  <c r="N2641" i="2" l="1"/>
  <c r="N2640" i="2"/>
  <c r="E2646" i="2" a="1"/>
  <c r="E2646" i="2" s="1"/>
  <c r="A2647" i="2"/>
  <c r="B2646" i="2"/>
  <c r="C2646" i="2" s="1"/>
  <c r="D2646" i="2" s="1"/>
  <c r="O2646" i="2"/>
  <c r="M2646" i="2"/>
  <c r="F2646" i="2"/>
  <c r="J2645" i="2"/>
  <c r="K2645" i="2" s="1"/>
  <c r="G2645" i="2"/>
  <c r="H2642" i="2"/>
  <c r="I2642" i="2" l="1"/>
  <c r="P2642" i="2" s="1"/>
  <c r="E2647" i="2" a="1"/>
  <c r="E2647" i="2" s="1"/>
  <c r="L2646" i="2"/>
  <c r="H2643" i="2"/>
  <c r="I2643" i="2" s="1"/>
  <c r="P2643" i="2" s="1"/>
  <c r="J2646" i="2"/>
  <c r="K2646" i="2" s="1"/>
  <c r="G2646" i="2"/>
  <c r="A2648" i="2"/>
  <c r="B2647" i="2"/>
  <c r="C2647" i="2" s="1"/>
  <c r="D2647" i="2" s="1"/>
  <c r="O2647" i="2"/>
  <c r="M2647" i="2"/>
  <c r="F2647" i="2"/>
  <c r="E2648" i="2" l="1" a="1"/>
  <c r="E2648" i="2" s="1"/>
  <c r="N2643" i="2"/>
  <c r="N2642" i="2"/>
  <c r="L2647" i="2"/>
  <c r="J2647" i="2"/>
  <c r="K2647" i="2" s="1"/>
  <c r="G2647" i="2"/>
  <c r="A2649" i="2"/>
  <c r="B2648" i="2"/>
  <c r="C2648" i="2" s="1"/>
  <c r="D2648" i="2" s="1"/>
  <c r="L2648" i="2" s="1"/>
  <c r="O2648" i="2"/>
  <c r="M2648" i="2"/>
  <c r="F2648" i="2"/>
  <c r="H2644" i="2"/>
  <c r="I2644" i="2" s="1"/>
  <c r="P2644" i="2" s="1"/>
  <c r="N2644" i="2" l="1"/>
  <c r="E2649" i="2" a="1"/>
  <c r="E2649" i="2" s="1"/>
  <c r="H2645" i="2"/>
  <c r="J2648" i="2"/>
  <c r="K2648" i="2" s="1"/>
  <c r="G2648" i="2"/>
  <c r="A2650" i="2"/>
  <c r="B2649" i="2"/>
  <c r="C2649" i="2" s="1"/>
  <c r="D2649" i="2" s="1"/>
  <c r="O2649" i="2"/>
  <c r="M2649" i="2"/>
  <c r="F2649" i="2"/>
  <c r="L2649" i="2" l="1"/>
  <c r="E2650" i="2" a="1"/>
  <c r="E2650" i="2" s="1"/>
  <c r="I2645" i="2"/>
  <c r="P2645" i="2" s="1"/>
  <c r="G2649" i="2"/>
  <c r="J2649" i="2"/>
  <c r="K2649" i="2" s="1"/>
  <c r="A2651" i="2"/>
  <c r="B2650" i="2"/>
  <c r="C2650" i="2" s="1"/>
  <c r="D2650" i="2" s="1"/>
  <c r="L2650" i="2" s="1"/>
  <c r="O2650" i="2"/>
  <c r="M2650" i="2"/>
  <c r="F2650" i="2"/>
  <c r="H2646" i="2"/>
  <c r="N2645" i="2" l="1"/>
  <c r="I2646" i="2"/>
  <c r="P2646" i="2" s="1"/>
  <c r="E2651" i="2" a="1"/>
  <c r="E2651" i="2" s="1"/>
  <c r="H2647" i="2"/>
  <c r="J2650" i="2"/>
  <c r="K2650" i="2" s="1"/>
  <c r="G2650" i="2"/>
  <c r="A2652" i="2"/>
  <c r="B2651" i="2"/>
  <c r="C2651" i="2" s="1"/>
  <c r="D2651" i="2" s="1"/>
  <c r="L2651" i="2" s="1"/>
  <c r="O2651" i="2"/>
  <c r="M2651" i="2"/>
  <c r="F2651" i="2"/>
  <c r="N2646" i="2" l="1"/>
  <c r="I2647" i="2"/>
  <c r="P2647" i="2" s="1"/>
  <c r="E2652" i="2" a="1"/>
  <c r="E2652" i="2" s="1"/>
  <c r="J2651" i="2"/>
  <c r="K2651" i="2" s="1"/>
  <c r="G2651" i="2"/>
  <c r="O2652" i="2"/>
  <c r="M2652" i="2"/>
  <c r="F2652" i="2"/>
  <c r="A2653" i="2"/>
  <c r="B2652" i="2"/>
  <c r="C2652" i="2" s="1"/>
  <c r="D2652" i="2" s="1"/>
  <c r="H2648" i="2"/>
  <c r="E2653" i="2" l="1" a="1"/>
  <c r="E2653" i="2" s="1"/>
  <c r="I2648" i="2"/>
  <c r="P2648" i="2" s="1"/>
  <c r="L2652" i="2"/>
  <c r="N2647" i="2"/>
  <c r="H2649" i="2"/>
  <c r="I2649" i="2" s="1"/>
  <c r="P2649" i="2" s="1"/>
  <c r="O2653" i="2"/>
  <c r="M2653" i="2"/>
  <c r="F2653" i="2"/>
  <c r="B2653" i="2"/>
  <c r="C2653" i="2" s="1"/>
  <c r="D2653" i="2" s="1"/>
  <c r="A2654" i="2"/>
  <c r="J2652" i="2"/>
  <c r="K2652" i="2" s="1"/>
  <c r="G2652" i="2"/>
  <c r="L2653" i="2" l="1"/>
  <c r="N2649" i="2"/>
  <c r="N2648" i="2"/>
  <c r="E2654" i="2" a="1"/>
  <c r="E2654" i="2" s="1"/>
  <c r="M2654" i="2"/>
  <c r="F2654" i="2"/>
  <c r="B2654" i="2"/>
  <c r="C2654" i="2" s="1"/>
  <c r="D2654" i="2" s="1"/>
  <c r="A2655" i="2"/>
  <c r="O2654" i="2"/>
  <c r="J2653" i="2"/>
  <c r="K2653" i="2" s="1"/>
  <c r="G2653" i="2"/>
  <c r="H2650" i="2"/>
  <c r="I2650" i="2" s="1"/>
  <c r="P2650" i="2" s="1"/>
  <c r="N2650" i="2" l="1"/>
  <c r="L2654" i="2"/>
  <c r="E2655" i="2" a="1"/>
  <c r="E2655" i="2" s="1"/>
  <c r="H2651" i="2"/>
  <c r="O2655" i="2"/>
  <c r="M2655" i="2"/>
  <c r="F2655" i="2"/>
  <c r="B2655" i="2"/>
  <c r="C2655" i="2" s="1"/>
  <c r="D2655" i="2" s="1"/>
  <c r="L2655" i="2" s="1"/>
  <c r="A2656" i="2"/>
  <c r="J2654" i="2"/>
  <c r="K2654" i="2" s="1"/>
  <c r="G2654" i="2"/>
  <c r="I2651" i="2" l="1"/>
  <c r="P2651" i="2" s="1"/>
  <c r="E2656" i="2" a="1"/>
  <c r="E2656" i="2" s="1"/>
  <c r="O2656" i="2"/>
  <c r="M2656" i="2"/>
  <c r="F2656" i="2"/>
  <c r="B2656" i="2"/>
  <c r="C2656" i="2" s="1"/>
  <c r="D2656" i="2" s="1"/>
  <c r="A2657" i="2"/>
  <c r="J2655" i="2"/>
  <c r="K2655" i="2" s="1"/>
  <c r="G2655" i="2"/>
  <c r="H2652" i="2"/>
  <c r="E2657" i="2" l="1" a="1"/>
  <c r="E2657" i="2" s="1"/>
  <c r="N2651" i="2"/>
  <c r="L2656" i="2"/>
  <c r="I2652" i="2"/>
  <c r="P2652" i="2" s="1"/>
  <c r="H2653" i="2"/>
  <c r="M2657" i="2"/>
  <c r="A2658" i="2"/>
  <c r="O2657" i="2"/>
  <c r="F2657" i="2"/>
  <c r="B2657" i="2"/>
  <c r="C2657" i="2" s="1"/>
  <c r="D2657" i="2" s="1"/>
  <c r="J2656" i="2"/>
  <c r="K2656" i="2" s="1"/>
  <c r="G2656" i="2"/>
  <c r="L2657" i="2" l="1"/>
  <c r="I2653" i="2"/>
  <c r="P2653" i="2" s="1"/>
  <c r="E2658" i="2" a="1"/>
  <c r="E2658" i="2" s="1"/>
  <c r="N2652" i="2"/>
  <c r="J2657" i="2"/>
  <c r="K2657" i="2" s="1"/>
  <c r="G2657" i="2"/>
  <c r="A2659" i="2"/>
  <c r="O2658" i="2"/>
  <c r="M2658" i="2"/>
  <c r="F2658" i="2"/>
  <c r="B2658" i="2"/>
  <c r="C2658" i="2" s="1"/>
  <c r="D2658" i="2" s="1"/>
  <c r="H2654" i="2"/>
  <c r="L2658" i="2" l="1"/>
  <c r="N2653" i="2"/>
  <c r="I2654" i="2"/>
  <c r="P2654" i="2" s="1"/>
  <c r="E2659" i="2" a="1"/>
  <c r="E2659" i="2" s="1"/>
  <c r="H2655" i="2"/>
  <c r="J2658" i="2"/>
  <c r="K2658" i="2" s="1"/>
  <c r="G2658" i="2"/>
  <c r="B2659" i="2"/>
  <c r="C2659" i="2" s="1"/>
  <c r="D2659" i="2" s="1"/>
  <c r="L2659" i="2" s="1"/>
  <c r="A2660" i="2"/>
  <c r="O2659" i="2"/>
  <c r="M2659" i="2"/>
  <c r="F2659" i="2"/>
  <c r="N2654" i="2" l="1"/>
  <c r="I2655" i="2"/>
  <c r="P2655" i="2" s="1"/>
  <c r="E2660" i="2" a="1"/>
  <c r="E2660" i="2" s="1"/>
  <c r="J2659" i="2"/>
  <c r="K2659" i="2" s="1"/>
  <c r="G2659" i="2"/>
  <c r="B2660" i="2"/>
  <c r="C2660" i="2" s="1"/>
  <c r="D2660" i="2" s="1"/>
  <c r="L2660" i="2" s="1"/>
  <c r="A2661" i="2"/>
  <c r="O2660" i="2"/>
  <c r="M2660" i="2"/>
  <c r="F2660" i="2"/>
  <c r="H2656" i="2"/>
  <c r="I2656" i="2" l="1"/>
  <c r="P2656" i="2" s="1"/>
  <c r="E2661" i="2" a="1"/>
  <c r="E2661" i="2" s="1"/>
  <c r="N2655" i="2"/>
  <c r="H2657" i="2"/>
  <c r="J2660" i="2"/>
  <c r="K2660" i="2" s="1"/>
  <c r="G2660" i="2"/>
  <c r="A2662" i="2"/>
  <c r="B2661" i="2"/>
  <c r="C2661" i="2" s="1"/>
  <c r="D2661" i="2" s="1"/>
  <c r="F2661" i="2"/>
  <c r="O2661" i="2"/>
  <c r="M2661" i="2"/>
  <c r="L2661" i="2" l="1"/>
  <c r="N2656" i="2"/>
  <c r="I2657" i="2"/>
  <c r="P2657" i="2" s="1"/>
  <c r="E2662" i="2" a="1"/>
  <c r="E2662" i="2" s="1"/>
  <c r="G2661" i="2"/>
  <c r="J2661" i="2"/>
  <c r="K2661" i="2" s="1"/>
  <c r="F2662" i="2"/>
  <c r="M2662" i="2"/>
  <c r="B2662" i="2"/>
  <c r="C2662" i="2" s="1"/>
  <c r="D2662" i="2" s="1"/>
  <c r="L2662" i="2" s="1"/>
  <c r="A2663" i="2"/>
  <c r="O2662" i="2"/>
  <c r="H2658" i="2"/>
  <c r="N2657" i="2" l="1"/>
  <c r="E2663" i="2" a="1"/>
  <c r="E2663" i="2" s="1"/>
  <c r="I2658" i="2"/>
  <c r="P2658" i="2" s="1"/>
  <c r="H2659" i="2"/>
  <c r="I2659" i="2" s="1"/>
  <c r="P2659" i="2" s="1"/>
  <c r="O2663" i="2"/>
  <c r="A2664" i="2"/>
  <c r="M2663" i="2"/>
  <c r="F2663" i="2"/>
  <c r="B2663" i="2"/>
  <c r="C2663" i="2" s="1"/>
  <c r="D2663" i="2" s="1"/>
  <c r="L2663" i="2" s="1"/>
  <c r="J2662" i="2"/>
  <c r="K2662" i="2" s="1"/>
  <c r="G2662" i="2"/>
  <c r="N2658" i="2" l="1"/>
  <c r="E2664" i="2" a="1"/>
  <c r="E2664" i="2" s="1"/>
  <c r="N2659" i="2"/>
  <c r="G2663" i="2"/>
  <c r="J2663" i="2"/>
  <c r="K2663" i="2" s="1"/>
  <c r="F2664" i="2"/>
  <c r="A2665" i="2"/>
  <c r="O2664" i="2"/>
  <c r="M2664" i="2"/>
  <c r="B2664" i="2"/>
  <c r="C2664" i="2" s="1"/>
  <c r="D2664" i="2" s="1"/>
  <c r="H2660" i="2"/>
  <c r="I2660" i="2" s="1"/>
  <c r="P2660" i="2" s="1"/>
  <c r="E2665" i="2" l="1" a="1"/>
  <c r="E2665" i="2" s="1"/>
  <c r="N2660" i="2"/>
  <c r="L2664" i="2"/>
  <c r="H2661" i="2"/>
  <c r="A2666" i="2"/>
  <c r="B2665" i="2"/>
  <c r="C2665" i="2" s="1"/>
  <c r="D2665" i="2" s="1"/>
  <c r="M2665" i="2"/>
  <c r="F2665" i="2"/>
  <c r="O2665" i="2"/>
  <c r="J2664" i="2"/>
  <c r="K2664" i="2" s="1"/>
  <c r="G2664" i="2"/>
  <c r="E2666" i="2" l="1" a="1"/>
  <c r="E2666" i="2" s="1"/>
  <c r="L2665" i="2"/>
  <c r="I2661" i="2"/>
  <c r="P2661" i="2" s="1"/>
  <c r="G2665" i="2"/>
  <c r="J2665" i="2"/>
  <c r="K2665" i="2" s="1"/>
  <c r="A2667" i="2"/>
  <c r="B2666" i="2"/>
  <c r="C2666" i="2" s="1"/>
  <c r="D2666" i="2" s="1"/>
  <c r="L2666" i="2" s="1"/>
  <c r="O2666" i="2"/>
  <c r="M2666" i="2"/>
  <c r="F2666" i="2"/>
  <c r="H2662" i="2"/>
  <c r="I2662" i="2" s="1"/>
  <c r="P2662" i="2" s="1"/>
  <c r="N2662" i="2" l="1"/>
  <c r="N2661" i="2"/>
  <c r="E2667" i="2" a="1"/>
  <c r="E2667" i="2" s="1"/>
  <c r="H2663" i="2"/>
  <c r="J2666" i="2"/>
  <c r="K2666" i="2" s="1"/>
  <c r="G2666" i="2"/>
  <c r="A2668" i="2"/>
  <c r="B2667" i="2"/>
  <c r="C2667" i="2" s="1"/>
  <c r="D2667" i="2" s="1"/>
  <c r="O2667" i="2"/>
  <c r="M2667" i="2"/>
  <c r="F2667" i="2"/>
  <c r="L2667" i="2" l="1"/>
  <c r="E2668" i="2" a="1"/>
  <c r="E2668" i="2" s="1"/>
  <c r="I2663" i="2"/>
  <c r="P2663" i="2" s="1"/>
  <c r="J2667" i="2"/>
  <c r="K2667" i="2" s="1"/>
  <c r="G2667" i="2"/>
  <c r="O2668" i="2"/>
  <c r="M2668" i="2"/>
  <c r="F2668" i="2"/>
  <c r="B2668" i="2"/>
  <c r="C2668" i="2" s="1"/>
  <c r="D2668" i="2" s="1"/>
  <c r="A2669" i="2"/>
  <c r="H2664" i="2"/>
  <c r="N2663" i="2" l="1"/>
  <c r="L2668" i="2"/>
  <c r="E2669" i="2" a="1"/>
  <c r="E2669" i="2" s="1"/>
  <c r="I2664" i="2"/>
  <c r="P2664" i="2" s="1"/>
  <c r="H2665" i="2"/>
  <c r="A2670" i="2"/>
  <c r="B2669" i="2"/>
  <c r="C2669" i="2" s="1"/>
  <c r="D2669" i="2" s="1"/>
  <c r="L2669" i="2" s="1"/>
  <c r="O2669" i="2"/>
  <c r="M2669" i="2"/>
  <c r="F2669" i="2"/>
  <c r="J2668" i="2"/>
  <c r="K2668" i="2" s="1"/>
  <c r="G2668" i="2"/>
  <c r="I2665" i="2" l="1"/>
  <c r="P2665" i="2" s="1"/>
  <c r="E2670" i="2" a="1"/>
  <c r="E2670" i="2" s="1"/>
  <c r="N2664" i="2"/>
  <c r="G2669" i="2"/>
  <c r="J2669" i="2"/>
  <c r="K2669" i="2" s="1"/>
  <c r="A2671" i="2"/>
  <c r="B2670" i="2"/>
  <c r="C2670" i="2" s="1"/>
  <c r="D2670" i="2" s="1"/>
  <c r="L2670" i="2" s="1"/>
  <c r="M2670" i="2"/>
  <c r="F2670" i="2"/>
  <c r="O2670" i="2"/>
  <c r="H2666" i="2"/>
  <c r="N2665" i="2" l="1"/>
  <c r="E2671" i="2" a="1"/>
  <c r="E2671" i="2" s="1"/>
  <c r="I2666" i="2"/>
  <c r="P2666" i="2" s="1"/>
  <c r="H2667" i="2"/>
  <c r="J2670" i="2"/>
  <c r="K2670" i="2" s="1"/>
  <c r="G2670" i="2"/>
  <c r="A2672" i="2"/>
  <c r="B2671" i="2"/>
  <c r="C2671" i="2" s="1"/>
  <c r="D2671" i="2" s="1"/>
  <c r="L2671" i="2" s="1"/>
  <c r="O2671" i="2"/>
  <c r="M2671" i="2"/>
  <c r="F2671" i="2"/>
  <c r="N2666" i="2" l="1"/>
  <c r="I2667" i="2"/>
  <c r="P2667" i="2" s="1"/>
  <c r="E2672" i="2" a="1"/>
  <c r="E2672" i="2" s="1"/>
  <c r="G2671" i="2"/>
  <c r="J2671" i="2"/>
  <c r="K2671" i="2" s="1"/>
  <c r="O2672" i="2"/>
  <c r="F2672" i="2"/>
  <c r="B2672" i="2"/>
  <c r="C2672" i="2" s="1"/>
  <c r="D2672" i="2" s="1"/>
  <c r="A2673" i="2"/>
  <c r="M2672" i="2"/>
  <c r="H2668" i="2"/>
  <c r="I2668" i="2" s="1"/>
  <c r="P2668" i="2" s="1"/>
  <c r="N2667" i="2" l="1"/>
  <c r="E2673" i="2" a="1"/>
  <c r="E2673" i="2" s="1"/>
  <c r="N2668" i="2"/>
  <c r="L2672" i="2"/>
  <c r="H2669" i="2"/>
  <c r="O2673" i="2"/>
  <c r="M2673" i="2"/>
  <c r="A2674" i="2"/>
  <c r="F2673" i="2"/>
  <c r="B2673" i="2"/>
  <c r="C2673" i="2" s="1"/>
  <c r="D2673" i="2" s="1"/>
  <c r="J2672" i="2"/>
  <c r="K2672" i="2" s="1"/>
  <c r="G2672" i="2"/>
  <c r="E2674" i="2" l="1" a="1"/>
  <c r="E2674" i="2" s="1"/>
  <c r="L2673" i="2"/>
  <c r="I2669" i="2"/>
  <c r="P2669" i="2" s="1"/>
  <c r="J2673" i="2"/>
  <c r="K2673" i="2" s="1"/>
  <c r="G2673" i="2"/>
  <c r="M2674" i="2"/>
  <c r="F2674" i="2"/>
  <c r="B2674" i="2"/>
  <c r="C2674" i="2" s="1"/>
  <c r="D2674" i="2" s="1"/>
  <c r="A2675" i="2"/>
  <c r="O2674" i="2"/>
  <c r="H2670" i="2"/>
  <c r="I2670" i="2" s="1"/>
  <c r="P2670" i="2" s="1"/>
  <c r="N2669" i="2" l="1"/>
  <c r="L2674" i="2"/>
  <c r="E2675" i="2" a="1"/>
  <c r="E2675" i="2" s="1"/>
  <c r="N2670" i="2"/>
  <c r="H2671" i="2"/>
  <c r="M2675" i="2"/>
  <c r="A2676" i="2"/>
  <c r="B2675" i="2"/>
  <c r="C2675" i="2" s="1"/>
  <c r="D2675" i="2" s="1"/>
  <c r="O2675" i="2"/>
  <c r="F2675" i="2"/>
  <c r="J2674" i="2"/>
  <c r="K2674" i="2" s="1"/>
  <c r="G2674" i="2"/>
  <c r="L2675" i="2" l="1"/>
  <c r="E2676" i="2" a="1"/>
  <c r="E2676" i="2" s="1"/>
  <c r="I2671" i="2"/>
  <c r="P2671" i="2" s="1"/>
  <c r="G2675" i="2"/>
  <c r="J2675" i="2"/>
  <c r="K2675" i="2" s="1"/>
  <c r="F2676" i="2"/>
  <c r="B2676" i="2"/>
  <c r="C2676" i="2" s="1"/>
  <c r="D2676" i="2" s="1"/>
  <c r="A2677" i="2"/>
  <c r="O2676" i="2"/>
  <c r="M2676" i="2"/>
  <c r="H2672" i="2"/>
  <c r="I2672" i="2" s="1"/>
  <c r="P2672" i="2" s="1"/>
  <c r="N2671" i="2" l="1"/>
  <c r="N2672" i="2"/>
  <c r="E2677" i="2" a="1"/>
  <c r="E2677" i="2" s="1"/>
  <c r="L2676" i="2"/>
  <c r="H2673" i="2"/>
  <c r="F2677" i="2"/>
  <c r="A2678" i="2"/>
  <c r="B2677" i="2"/>
  <c r="C2677" i="2" s="1"/>
  <c r="D2677" i="2" s="1"/>
  <c r="L2677" i="2" s="1"/>
  <c r="O2677" i="2"/>
  <c r="M2677" i="2"/>
  <c r="J2676" i="2"/>
  <c r="K2676" i="2" s="1"/>
  <c r="G2676" i="2"/>
  <c r="E2678" i="2" l="1" a="1"/>
  <c r="E2678" i="2" s="1"/>
  <c r="I2673" i="2"/>
  <c r="P2673" i="2" s="1"/>
  <c r="F2678" i="2"/>
  <c r="B2678" i="2"/>
  <c r="C2678" i="2" s="1"/>
  <c r="D2678" i="2" s="1"/>
  <c r="A2679" i="2"/>
  <c r="O2678" i="2"/>
  <c r="M2678" i="2"/>
  <c r="J2677" i="2"/>
  <c r="K2677" i="2" s="1"/>
  <c r="G2677" i="2"/>
  <c r="H2674" i="2"/>
  <c r="N2673" i="2" l="1"/>
  <c r="L2678" i="2"/>
  <c r="E2679" i="2" a="1"/>
  <c r="E2679" i="2" s="1"/>
  <c r="I2674" i="2"/>
  <c r="P2674" i="2" s="1"/>
  <c r="H2675" i="2"/>
  <c r="I2675" i="2" s="1"/>
  <c r="P2675" i="2" s="1"/>
  <c r="O2679" i="2"/>
  <c r="M2679" i="2"/>
  <c r="A2680" i="2"/>
  <c r="F2679" i="2"/>
  <c r="B2679" i="2"/>
  <c r="C2679" i="2" s="1"/>
  <c r="D2679" i="2" s="1"/>
  <c r="J2678" i="2"/>
  <c r="K2678" i="2" s="1"/>
  <c r="G2678" i="2"/>
  <c r="N2675" i="2" l="1"/>
  <c r="N2674" i="2"/>
  <c r="L2679" i="2"/>
  <c r="E2680" i="2" a="1"/>
  <c r="E2680" i="2" s="1"/>
  <c r="G2679" i="2"/>
  <c r="J2679" i="2"/>
  <c r="K2679" i="2" s="1"/>
  <c r="F2680" i="2"/>
  <c r="A2681" i="2"/>
  <c r="B2680" i="2"/>
  <c r="C2680" i="2" s="1"/>
  <c r="D2680" i="2" s="1"/>
  <c r="L2680" i="2" s="1"/>
  <c r="O2680" i="2"/>
  <c r="M2680" i="2"/>
  <c r="H2676" i="2"/>
  <c r="I2676" i="2" s="1"/>
  <c r="P2676" i="2" s="1"/>
  <c r="N2676" i="2" l="1"/>
  <c r="E2681" i="2" a="1"/>
  <c r="E2681" i="2" s="1"/>
  <c r="H2677" i="2"/>
  <c r="F2681" i="2"/>
  <c r="A2682" i="2"/>
  <c r="B2681" i="2"/>
  <c r="C2681" i="2" s="1"/>
  <c r="D2681" i="2" s="1"/>
  <c r="L2681" i="2" s="1"/>
  <c r="M2681" i="2"/>
  <c r="O2681" i="2"/>
  <c r="G2680" i="2"/>
  <c r="J2680" i="2"/>
  <c r="K2680" i="2" s="1"/>
  <c r="E2682" i="2" l="1" a="1"/>
  <c r="E2682" i="2" s="1"/>
  <c r="I2677" i="2"/>
  <c r="P2677" i="2" s="1"/>
  <c r="F2682" i="2"/>
  <c r="A2683" i="2"/>
  <c r="B2682" i="2"/>
  <c r="C2682" i="2" s="1"/>
  <c r="D2682" i="2" s="1"/>
  <c r="L2682" i="2" s="1"/>
  <c r="O2682" i="2"/>
  <c r="M2682" i="2"/>
  <c r="G2681" i="2"/>
  <c r="J2681" i="2"/>
  <c r="K2681" i="2" s="1"/>
  <c r="H2678" i="2"/>
  <c r="N2677" i="2" l="1"/>
  <c r="I2678" i="2"/>
  <c r="P2678" i="2" s="1"/>
  <c r="E2683" i="2" a="1"/>
  <c r="E2683" i="2" s="1"/>
  <c r="H2679" i="2"/>
  <c r="I2679" i="2" s="1"/>
  <c r="P2679" i="2" s="1"/>
  <c r="A2684" i="2"/>
  <c r="B2683" i="2"/>
  <c r="C2683" i="2" s="1"/>
  <c r="D2683" i="2" s="1"/>
  <c r="O2683" i="2"/>
  <c r="F2683" i="2"/>
  <c r="M2683" i="2"/>
  <c r="J2682" i="2"/>
  <c r="K2682" i="2" s="1"/>
  <c r="G2682" i="2"/>
  <c r="E2684" i="2" l="1" a="1"/>
  <c r="E2684" i="2" s="1"/>
  <c r="L2683" i="2"/>
  <c r="N2678" i="2"/>
  <c r="N2679" i="2"/>
  <c r="G2683" i="2"/>
  <c r="J2683" i="2"/>
  <c r="K2683" i="2" s="1"/>
  <c r="A2685" i="2"/>
  <c r="B2684" i="2"/>
  <c r="C2684" i="2" s="1"/>
  <c r="D2684" i="2" s="1"/>
  <c r="L2684" i="2" s="1"/>
  <c r="O2684" i="2"/>
  <c r="M2684" i="2"/>
  <c r="F2684" i="2"/>
  <c r="H2680" i="2"/>
  <c r="I2680" i="2" s="1"/>
  <c r="P2680" i="2" s="1"/>
  <c r="E2685" i="2" l="1" a="1"/>
  <c r="E2685" i="2" s="1"/>
  <c r="N2680" i="2"/>
  <c r="H2681" i="2"/>
  <c r="I2681" i="2" s="1"/>
  <c r="P2681" i="2" s="1"/>
  <c r="J2684" i="2"/>
  <c r="K2684" i="2" s="1"/>
  <c r="G2684" i="2"/>
  <c r="A2686" i="2"/>
  <c r="B2685" i="2"/>
  <c r="C2685" i="2" s="1"/>
  <c r="D2685" i="2" s="1"/>
  <c r="L2685" i="2" s="1"/>
  <c r="O2685" i="2"/>
  <c r="M2685" i="2"/>
  <c r="F2685" i="2"/>
  <c r="N2681" i="2" l="1"/>
  <c r="E2686" i="2" a="1"/>
  <c r="E2686" i="2" s="1"/>
  <c r="G2685" i="2"/>
  <c r="J2685" i="2"/>
  <c r="K2685" i="2" s="1"/>
  <c r="A2687" i="2"/>
  <c r="B2686" i="2"/>
  <c r="C2686" i="2" s="1"/>
  <c r="D2686" i="2" s="1"/>
  <c r="L2686" i="2" s="1"/>
  <c r="O2686" i="2"/>
  <c r="M2686" i="2"/>
  <c r="F2686" i="2"/>
  <c r="H2682" i="2"/>
  <c r="I2682" i="2" l="1"/>
  <c r="P2682" i="2" s="1"/>
  <c r="E2687" i="2" a="1"/>
  <c r="E2687" i="2" s="1"/>
  <c r="H2683" i="2"/>
  <c r="J2686" i="2"/>
  <c r="K2686" i="2" s="1"/>
  <c r="G2686" i="2"/>
  <c r="A2688" i="2"/>
  <c r="B2687" i="2"/>
  <c r="C2687" i="2" s="1"/>
  <c r="D2687" i="2" s="1"/>
  <c r="L2687" i="2" s="1"/>
  <c r="O2687" i="2"/>
  <c r="M2687" i="2"/>
  <c r="F2687" i="2"/>
  <c r="I2683" i="2" l="1"/>
  <c r="P2683" i="2" s="1"/>
  <c r="E2688" i="2" a="1"/>
  <c r="E2688" i="2" s="1"/>
  <c r="N2682" i="2"/>
  <c r="J2687" i="2"/>
  <c r="K2687" i="2" s="1"/>
  <c r="G2687" i="2"/>
  <c r="O2688" i="2"/>
  <c r="M2688" i="2"/>
  <c r="F2688" i="2"/>
  <c r="B2688" i="2"/>
  <c r="C2688" i="2" s="1"/>
  <c r="D2688" i="2" s="1"/>
  <c r="A2689" i="2"/>
  <c r="H2684" i="2"/>
  <c r="I2684" i="2" s="1"/>
  <c r="P2684" i="2" s="1"/>
  <c r="N2683" i="2" l="1"/>
  <c r="N2684" i="2"/>
  <c r="L2688" i="2"/>
  <c r="E2689" i="2" a="1"/>
  <c r="E2689" i="2" s="1"/>
  <c r="H2685" i="2"/>
  <c r="O2689" i="2"/>
  <c r="M2689" i="2"/>
  <c r="A2690" i="2"/>
  <c r="F2689" i="2"/>
  <c r="B2689" i="2"/>
  <c r="C2689" i="2" s="1"/>
  <c r="D2689" i="2" s="1"/>
  <c r="J2688" i="2"/>
  <c r="K2688" i="2" s="1"/>
  <c r="G2688" i="2"/>
  <c r="L2689" i="2" l="1"/>
  <c r="E2690" i="2" a="1"/>
  <c r="E2690" i="2" s="1"/>
  <c r="I2685" i="2"/>
  <c r="P2685" i="2" s="1"/>
  <c r="J2689" i="2"/>
  <c r="K2689" i="2" s="1"/>
  <c r="G2689" i="2"/>
  <c r="M2690" i="2"/>
  <c r="A2691" i="2"/>
  <c r="O2690" i="2"/>
  <c r="F2690" i="2"/>
  <c r="B2690" i="2"/>
  <c r="C2690" i="2" s="1"/>
  <c r="D2690" i="2" s="1"/>
  <c r="H2686" i="2"/>
  <c r="I2686" i="2" s="1"/>
  <c r="P2686" i="2" s="1"/>
  <c r="N2685" i="2" l="1"/>
  <c r="L2690" i="2"/>
  <c r="N2686" i="2"/>
  <c r="E2691" i="2" a="1"/>
  <c r="E2691" i="2" s="1"/>
  <c r="H2687" i="2"/>
  <c r="J2690" i="2"/>
  <c r="K2690" i="2" s="1"/>
  <c r="G2690" i="2"/>
  <c r="M2691" i="2"/>
  <c r="F2691" i="2"/>
  <c r="A2692" i="2"/>
  <c r="B2691" i="2"/>
  <c r="C2691" i="2" s="1"/>
  <c r="D2691" i="2" s="1"/>
  <c r="O2691" i="2"/>
  <c r="L2691" i="2" l="1"/>
  <c r="I2687" i="2"/>
  <c r="P2687" i="2" s="1"/>
  <c r="E2692" i="2" a="1"/>
  <c r="E2692" i="2" s="1"/>
  <c r="F2692" i="2"/>
  <c r="O2692" i="2"/>
  <c r="A2693" i="2"/>
  <c r="M2692" i="2"/>
  <c r="B2692" i="2"/>
  <c r="C2692" i="2" s="1"/>
  <c r="D2692" i="2" s="1"/>
  <c r="L2692" i="2" s="1"/>
  <c r="J2691" i="2"/>
  <c r="K2691" i="2" s="1"/>
  <c r="G2691" i="2"/>
  <c r="H2688" i="2"/>
  <c r="N2687" i="2" l="1"/>
  <c r="I2688" i="2"/>
  <c r="P2688" i="2" s="1"/>
  <c r="E2693" i="2" a="1"/>
  <c r="E2693" i="2" s="1"/>
  <c r="H2689" i="2"/>
  <c r="I2689" i="2" s="1"/>
  <c r="P2689" i="2" s="1"/>
  <c r="F2693" i="2"/>
  <c r="A2694" i="2"/>
  <c r="B2693" i="2"/>
  <c r="C2693" i="2" s="1"/>
  <c r="D2693" i="2" s="1"/>
  <c r="O2693" i="2"/>
  <c r="M2693" i="2"/>
  <c r="J2692" i="2"/>
  <c r="K2692" i="2" s="1"/>
  <c r="G2692" i="2"/>
  <c r="N2688" i="2" l="1"/>
  <c r="N2689" i="2"/>
  <c r="E2694" i="2" a="1"/>
  <c r="E2694" i="2" s="1"/>
  <c r="L2693" i="2"/>
  <c r="F2694" i="2"/>
  <c r="M2694" i="2"/>
  <c r="B2694" i="2"/>
  <c r="C2694" i="2" s="1"/>
  <c r="D2694" i="2" s="1"/>
  <c r="L2694" i="2" s="1"/>
  <c r="A2695" i="2"/>
  <c r="O2694" i="2"/>
  <c r="J2693" i="2"/>
  <c r="K2693" i="2" s="1"/>
  <c r="G2693" i="2"/>
  <c r="H2690" i="2"/>
  <c r="I2690" i="2" l="1"/>
  <c r="P2690" i="2" s="1"/>
  <c r="E2695" i="2" a="1"/>
  <c r="E2695" i="2" s="1"/>
  <c r="H2691" i="2"/>
  <c r="F2695" i="2"/>
  <c r="O2695" i="2"/>
  <c r="M2695" i="2"/>
  <c r="A2696" i="2"/>
  <c r="B2695" i="2"/>
  <c r="C2695" i="2" s="1"/>
  <c r="D2695" i="2" s="1"/>
  <c r="J2694" i="2"/>
  <c r="K2694" i="2" s="1"/>
  <c r="G2694" i="2"/>
  <c r="L2695" i="2" l="1"/>
  <c r="N2690" i="2"/>
  <c r="I2691" i="2"/>
  <c r="P2691" i="2" s="1"/>
  <c r="E2696" i="2" a="1"/>
  <c r="E2696" i="2" s="1"/>
  <c r="E2697" i="2" a="1"/>
  <c r="E2697" i="2" s="1"/>
  <c r="F2696" i="2"/>
  <c r="A2697" i="2"/>
  <c r="B2696" i="2"/>
  <c r="C2696" i="2" s="1"/>
  <c r="D2696" i="2" s="1"/>
  <c r="L2696" i="2" s="1"/>
  <c r="O2696" i="2"/>
  <c r="M2696" i="2"/>
  <c r="G2695" i="2"/>
  <c r="J2695" i="2"/>
  <c r="K2695" i="2" s="1"/>
  <c r="H2692" i="2"/>
  <c r="I2692" i="2" l="1"/>
  <c r="P2692" i="2" s="1"/>
  <c r="N2691" i="2"/>
  <c r="H2693" i="2"/>
  <c r="F2697" i="2"/>
  <c r="A2698" i="2"/>
  <c r="B2697" i="2"/>
  <c r="C2697" i="2" s="1"/>
  <c r="D2697" i="2" s="1"/>
  <c r="M2697" i="2"/>
  <c r="O2697" i="2"/>
  <c r="G2696" i="2"/>
  <c r="J2696" i="2"/>
  <c r="K2696" i="2" s="1"/>
  <c r="N2692" i="2" l="1"/>
  <c r="I2693" i="2"/>
  <c r="P2693" i="2" s="1"/>
  <c r="L2697" i="2"/>
  <c r="E2698" i="2" a="1"/>
  <c r="E2698" i="2" s="1"/>
  <c r="F2698" i="2"/>
  <c r="A2699" i="2"/>
  <c r="B2698" i="2"/>
  <c r="C2698" i="2" s="1"/>
  <c r="D2698" i="2" s="1"/>
  <c r="L2698" i="2" s="1"/>
  <c r="O2698" i="2"/>
  <c r="M2698" i="2"/>
  <c r="G2697" i="2"/>
  <c r="J2697" i="2"/>
  <c r="K2697" i="2" s="1"/>
  <c r="H2694" i="2"/>
  <c r="I2694" i="2" l="1"/>
  <c r="P2694" i="2" s="1"/>
  <c r="E2699" i="2" a="1"/>
  <c r="E2699" i="2" s="1"/>
  <c r="N2693" i="2"/>
  <c r="H2695" i="2"/>
  <c r="A2700" i="2"/>
  <c r="B2699" i="2"/>
  <c r="C2699" i="2" s="1"/>
  <c r="D2699" i="2" s="1"/>
  <c r="L2699" i="2" s="1"/>
  <c r="O2699" i="2"/>
  <c r="M2699" i="2"/>
  <c r="F2699" i="2"/>
  <c r="J2698" i="2"/>
  <c r="K2698" i="2" s="1"/>
  <c r="G2698" i="2"/>
  <c r="N2694" i="2" l="1"/>
  <c r="I2695" i="2"/>
  <c r="P2695" i="2" s="1"/>
  <c r="E2700" i="2" a="1"/>
  <c r="E2700" i="2" s="1"/>
  <c r="J2699" i="2"/>
  <c r="K2699" i="2" s="1"/>
  <c r="G2699" i="2"/>
  <c r="A2701" i="2"/>
  <c r="B2700" i="2"/>
  <c r="C2700" i="2" s="1"/>
  <c r="D2700" i="2" s="1"/>
  <c r="L2700" i="2" s="1"/>
  <c r="O2700" i="2"/>
  <c r="M2700" i="2"/>
  <c r="F2700" i="2"/>
  <c r="H2696" i="2"/>
  <c r="I2696" i="2" s="1"/>
  <c r="P2696" i="2" s="1"/>
  <c r="N2696" i="2" l="1"/>
  <c r="N2695" i="2"/>
  <c r="E2701" i="2" a="1"/>
  <c r="E2701" i="2" s="1"/>
  <c r="H2697" i="2"/>
  <c r="J2700" i="2"/>
  <c r="K2700" i="2" s="1"/>
  <c r="G2700" i="2"/>
  <c r="A2702" i="2"/>
  <c r="B2701" i="2"/>
  <c r="C2701" i="2" s="1"/>
  <c r="D2701" i="2" s="1"/>
  <c r="L2701" i="2" s="1"/>
  <c r="O2701" i="2"/>
  <c r="M2701" i="2"/>
  <c r="F2701" i="2"/>
  <c r="E2702" i="2" l="1" a="1"/>
  <c r="E2702" i="2" s="1"/>
  <c r="I2697" i="2"/>
  <c r="P2697" i="2" s="1"/>
  <c r="G2701" i="2"/>
  <c r="J2701" i="2"/>
  <c r="K2701" i="2" s="1"/>
  <c r="A2703" i="2"/>
  <c r="B2702" i="2"/>
  <c r="C2702" i="2" s="1"/>
  <c r="D2702" i="2" s="1"/>
  <c r="L2702" i="2" s="1"/>
  <c r="O2702" i="2"/>
  <c r="M2702" i="2"/>
  <c r="F2702" i="2"/>
  <c r="H2698" i="2"/>
  <c r="E2703" i="2" l="1" a="1"/>
  <c r="E2703" i="2" s="1"/>
  <c r="N2697" i="2"/>
  <c r="I2698" i="2"/>
  <c r="P2698" i="2" s="1"/>
  <c r="H2699" i="2"/>
  <c r="J2702" i="2"/>
  <c r="K2702" i="2" s="1"/>
  <c r="G2702" i="2"/>
  <c r="A2704" i="2"/>
  <c r="B2703" i="2"/>
  <c r="C2703" i="2" s="1"/>
  <c r="D2703" i="2" s="1"/>
  <c r="L2703" i="2" s="1"/>
  <c r="O2703" i="2"/>
  <c r="M2703" i="2"/>
  <c r="F2703" i="2"/>
  <c r="N2698" i="2" l="1"/>
  <c r="E2704" i="2" a="1"/>
  <c r="E2704" i="2" s="1"/>
  <c r="I2699" i="2"/>
  <c r="P2699" i="2" s="1"/>
  <c r="J2703" i="2"/>
  <c r="K2703" i="2" s="1"/>
  <c r="G2703" i="2"/>
  <c r="O2704" i="2"/>
  <c r="M2704" i="2"/>
  <c r="F2704" i="2"/>
  <c r="A2705" i="2"/>
  <c r="B2704" i="2"/>
  <c r="C2704" i="2" s="1"/>
  <c r="D2704" i="2" s="1"/>
  <c r="L2704" i="2" s="1"/>
  <c r="H2700" i="2"/>
  <c r="I2700" i="2" s="1"/>
  <c r="P2700" i="2" s="1"/>
  <c r="N2699" i="2" l="1"/>
  <c r="E2705" i="2" a="1"/>
  <c r="E2705" i="2" s="1"/>
  <c r="N2700" i="2"/>
  <c r="H2701" i="2"/>
  <c r="I2701" i="2" s="1"/>
  <c r="P2701" i="2" s="1"/>
  <c r="O2705" i="2"/>
  <c r="M2705" i="2"/>
  <c r="A2706" i="2"/>
  <c r="F2705" i="2"/>
  <c r="B2705" i="2"/>
  <c r="C2705" i="2" s="1"/>
  <c r="D2705" i="2" s="1"/>
  <c r="L2705" i="2" s="1"/>
  <c r="J2704" i="2"/>
  <c r="K2704" i="2" s="1"/>
  <c r="G2704" i="2"/>
  <c r="E2706" i="2" l="1" a="1"/>
  <c r="E2706" i="2" s="1"/>
  <c r="N2701" i="2"/>
  <c r="J2705" i="2"/>
  <c r="K2705" i="2" s="1"/>
  <c r="G2705" i="2"/>
  <c r="M2706" i="2"/>
  <c r="A2707" i="2"/>
  <c r="B2706" i="2"/>
  <c r="C2706" i="2" s="1"/>
  <c r="D2706" i="2" s="1"/>
  <c r="O2706" i="2"/>
  <c r="F2706" i="2"/>
  <c r="H2702" i="2"/>
  <c r="I2702" i="2" s="1"/>
  <c r="P2702" i="2" s="1"/>
  <c r="L2706" i="2" l="1"/>
  <c r="N2702" i="2"/>
  <c r="E2707" i="2" a="1"/>
  <c r="E2707" i="2" s="1"/>
  <c r="H2703" i="2"/>
  <c r="J2706" i="2"/>
  <c r="K2706" i="2" s="1"/>
  <c r="G2706" i="2"/>
  <c r="M2707" i="2"/>
  <c r="F2707" i="2"/>
  <c r="A2708" i="2"/>
  <c r="B2707" i="2"/>
  <c r="C2707" i="2" s="1"/>
  <c r="D2707" i="2" s="1"/>
  <c r="O2707" i="2"/>
  <c r="I2703" i="2" l="1"/>
  <c r="P2703" i="2" s="1"/>
  <c r="E2708" i="2" a="1"/>
  <c r="E2708" i="2" s="1"/>
  <c r="L2707" i="2"/>
  <c r="A2709" i="2"/>
  <c r="F2708" i="2"/>
  <c r="B2708" i="2"/>
  <c r="C2708" i="2" s="1"/>
  <c r="D2708" i="2" s="1"/>
  <c r="L2708" i="2" s="1"/>
  <c r="O2708" i="2"/>
  <c r="M2708" i="2"/>
  <c r="J2707" i="2"/>
  <c r="K2707" i="2" s="1"/>
  <c r="G2707" i="2"/>
  <c r="H2704" i="2"/>
  <c r="E2709" i="2" l="1" a="1"/>
  <c r="E2709" i="2" s="1"/>
  <c r="I2704" i="2"/>
  <c r="P2704" i="2" s="1"/>
  <c r="N2703" i="2"/>
  <c r="H2705" i="2"/>
  <c r="J2708" i="2"/>
  <c r="K2708" i="2" s="1"/>
  <c r="G2708" i="2"/>
  <c r="O2709" i="2"/>
  <c r="F2709" i="2"/>
  <c r="B2709" i="2"/>
  <c r="C2709" i="2" s="1"/>
  <c r="D2709" i="2" s="1"/>
  <c r="A2710" i="2"/>
  <c r="M2709" i="2"/>
  <c r="L2709" i="2" l="1"/>
  <c r="I2705" i="2"/>
  <c r="P2705" i="2" s="1"/>
  <c r="N2704" i="2"/>
  <c r="E2710" i="2" a="1"/>
  <c r="E2710" i="2" s="1"/>
  <c r="O2710" i="2"/>
  <c r="M2710" i="2"/>
  <c r="A2711" i="2"/>
  <c r="F2710" i="2"/>
  <c r="B2710" i="2"/>
  <c r="C2710" i="2" s="1"/>
  <c r="D2710" i="2" s="1"/>
  <c r="L2710" i="2" s="1"/>
  <c r="J2709" i="2"/>
  <c r="K2709" i="2" s="1"/>
  <c r="G2709" i="2"/>
  <c r="H2706" i="2"/>
  <c r="E2711" i="2" l="1" a="1"/>
  <c r="E2711" i="2" s="1"/>
  <c r="N2705" i="2"/>
  <c r="I2706" i="2"/>
  <c r="P2706" i="2" s="1"/>
  <c r="H2707" i="2"/>
  <c r="J2710" i="2"/>
  <c r="K2710" i="2" s="1"/>
  <c r="G2710" i="2"/>
  <c r="M2711" i="2"/>
  <c r="A2712" i="2"/>
  <c r="O2711" i="2"/>
  <c r="F2711" i="2"/>
  <c r="B2711" i="2"/>
  <c r="C2711" i="2" s="1"/>
  <c r="D2711" i="2" s="1"/>
  <c r="L2711" i="2" l="1"/>
  <c r="I2707" i="2"/>
  <c r="P2707" i="2" s="1"/>
  <c r="E2712" i="2" a="1"/>
  <c r="E2712" i="2" s="1"/>
  <c r="N2706" i="2"/>
  <c r="J2711" i="2"/>
  <c r="K2711" i="2" s="1"/>
  <c r="G2711" i="2"/>
  <c r="M2712" i="2"/>
  <c r="B2712" i="2"/>
  <c r="C2712" i="2" s="1"/>
  <c r="D2712" i="2" s="1"/>
  <c r="A2713" i="2"/>
  <c r="O2712" i="2"/>
  <c r="F2712" i="2"/>
  <c r="H2708" i="2"/>
  <c r="I2708" i="2" s="1"/>
  <c r="P2708" i="2" s="1"/>
  <c r="N2708" i="2" l="1"/>
  <c r="E2713" i="2" a="1"/>
  <c r="E2713" i="2" s="1"/>
  <c r="N2707" i="2"/>
  <c r="L2712" i="2"/>
  <c r="H2709" i="2"/>
  <c r="J2712" i="2"/>
  <c r="K2712" i="2" s="1"/>
  <c r="G2712" i="2"/>
  <c r="B2713" i="2"/>
  <c r="C2713" i="2" s="1"/>
  <c r="D2713" i="2" s="1"/>
  <c r="A2714" i="2"/>
  <c r="O2713" i="2"/>
  <c r="M2713" i="2"/>
  <c r="F2713" i="2"/>
  <c r="E2714" i="2" l="1" a="1"/>
  <c r="E2714" i="2" s="1"/>
  <c r="L2713" i="2"/>
  <c r="I2709" i="2"/>
  <c r="P2709" i="2" s="1"/>
  <c r="J2713" i="2"/>
  <c r="K2713" i="2" s="1"/>
  <c r="G2713" i="2"/>
  <c r="F2714" i="2"/>
  <c r="B2714" i="2"/>
  <c r="C2714" i="2" s="1"/>
  <c r="D2714" i="2" s="1"/>
  <c r="L2714" i="2" s="1"/>
  <c r="A2715" i="2"/>
  <c r="O2714" i="2"/>
  <c r="M2714" i="2"/>
  <c r="H2710" i="2"/>
  <c r="N2709" i="2" l="1"/>
  <c r="I2710" i="2"/>
  <c r="P2710" i="2" s="1"/>
  <c r="E2715" i="2" a="1"/>
  <c r="E2715" i="2" s="1"/>
  <c r="H2711" i="2"/>
  <c r="F2715" i="2"/>
  <c r="B2715" i="2"/>
  <c r="C2715" i="2" s="1"/>
  <c r="D2715" i="2" s="1"/>
  <c r="L2715" i="2" s="1"/>
  <c r="A2716" i="2"/>
  <c r="O2715" i="2"/>
  <c r="M2715" i="2"/>
  <c r="J2714" i="2"/>
  <c r="K2714" i="2" s="1"/>
  <c r="G2714" i="2"/>
  <c r="E2716" i="2" l="1" a="1"/>
  <c r="E2716" i="2" s="1"/>
  <c r="I2711" i="2"/>
  <c r="P2711" i="2" s="1"/>
  <c r="N2710" i="2"/>
  <c r="M2716" i="2"/>
  <c r="F2716" i="2"/>
  <c r="B2716" i="2"/>
  <c r="C2716" i="2" s="1"/>
  <c r="D2716" i="2" s="1"/>
  <c r="A2717" i="2"/>
  <c r="O2716" i="2"/>
  <c r="J2715" i="2"/>
  <c r="K2715" i="2" s="1"/>
  <c r="G2715" i="2"/>
  <c r="H2712" i="2"/>
  <c r="I2712" i="2" s="1"/>
  <c r="P2712" i="2" s="1"/>
  <c r="N2712" i="2" l="1"/>
  <c r="N2711" i="2"/>
  <c r="E2717" i="2" a="1"/>
  <c r="E2717" i="2" s="1"/>
  <c r="L2716" i="2"/>
  <c r="H2713" i="2"/>
  <c r="I2713" i="2" s="1"/>
  <c r="P2713" i="2" s="1"/>
  <c r="F2717" i="2"/>
  <c r="A2718" i="2"/>
  <c r="O2717" i="2"/>
  <c r="M2717" i="2"/>
  <c r="B2717" i="2"/>
  <c r="C2717" i="2" s="1"/>
  <c r="D2717" i="2" s="1"/>
  <c r="G2716" i="2"/>
  <c r="J2716" i="2"/>
  <c r="K2716" i="2" s="1"/>
  <c r="N2713" i="2" l="1"/>
  <c r="E2718" i="2" a="1"/>
  <c r="E2718" i="2" s="1"/>
  <c r="L2717" i="2"/>
  <c r="F2718" i="2"/>
  <c r="A2719" i="2"/>
  <c r="O2718" i="2"/>
  <c r="M2718" i="2"/>
  <c r="B2718" i="2"/>
  <c r="C2718" i="2" s="1"/>
  <c r="D2718" i="2" s="1"/>
  <c r="G2717" i="2"/>
  <c r="J2717" i="2"/>
  <c r="K2717" i="2" s="1"/>
  <c r="H2714" i="2"/>
  <c r="L2718" i="2" l="1"/>
  <c r="I2714" i="2"/>
  <c r="P2714" i="2" s="1"/>
  <c r="E2719" i="2" a="1"/>
  <c r="E2719" i="2" s="1"/>
  <c r="H2715" i="2"/>
  <c r="F2719" i="2"/>
  <c r="B2719" i="2"/>
  <c r="C2719" i="2" s="1"/>
  <c r="D2719" i="2" s="1"/>
  <c r="L2719" i="2" s="1"/>
  <c r="A2720" i="2"/>
  <c r="O2719" i="2"/>
  <c r="M2719" i="2"/>
  <c r="G2718" i="2"/>
  <c r="J2718" i="2"/>
  <c r="K2718" i="2" s="1"/>
  <c r="I2715" i="2" l="1"/>
  <c r="P2715" i="2" s="1"/>
  <c r="N2714" i="2"/>
  <c r="E2720" i="2" a="1"/>
  <c r="E2720" i="2" s="1"/>
  <c r="A2721" i="2"/>
  <c r="B2720" i="2"/>
  <c r="C2720" i="2" s="1"/>
  <c r="D2720" i="2" s="1"/>
  <c r="F2720" i="2"/>
  <c r="O2720" i="2"/>
  <c r="M2720" i="2"/>
  <c r="G2719" i="2"/>
  <c r="J2719" i="2"/>
  <c r="K2719" i="2" s="1"/>
  <c r="H2716" i="2"/>
  <c r="I2716" i="2" l="1"/>
  <c r="P2716" i="2" s="1"/>
  <c r="E2721" i="2" a="1"/>
  <c r="E2721" i="2" s="1"/>
  <c r="N2715" i="2"/>
  <c r="L2720" i="2"/>
  <c r="H2717" i="2"/>
  <c r="I2717" i="2" s="1"/>
  <c r="P2717" i="2" s="1"/>
  <c r="J2720" i="2"/>
  <c r="K2720" i="2" s="1"/>
  <c r="G2720" i="2"/>
  <c r="M2721" i="2"/>
  <c r="F2721" i="2"/>
  <c r="B2721" i="2"/>
  <c r="C2721" i="2" s="1"/>
  <c r="D2721" i="2" s="1"/>
  <c r="A2722" i="2"/>
  <c r="O2721" i="2"/>
  <c r="N2717" i="2" l="1"/>
  <c r="L2721" i="2"/>
  <c r="N2716" i="2"/>
  <c r="E2722" i="2" a="1"/>
  <c r="E2722" i="2" s="1"/>
  <c r="A2723" i="2"/>
  <c r="B2722" i="2"/>
  <c r="C2722" i="2" s="1"/>
  <c r="D2722" i="2" s="1"/>
  <c r="L2722" i="2" s="1"/>
  <c r="O2722" i="2"/>
  <c r="M2722" i="2"/>
  <c r="F2722" i="2"/>
  <c r="J2721" i="2"/>
  <c r="K2721" i="2" s="1"/>
  <c r="G2721" i="2"/>
  <c r="H2718" i="2"/>
  <c r="E2723" i="2" l="1" a="1"/>
  <c r="E2723" i="2" s="1"/>
  <c r="I2718" i="2"/>
  <c r="P2718" i="2" s="1"/>
  <c r="H2719" i="2"/>
  <c r="I2719" i="2" s="1"/>
  <c r="P2719" i="2" s="1"/>
  <c r="J2722" i="2"/>
  <c r="K2722" i="2" s="1"/>
  <c r="G2722" i="2"/>
  <c r="A2724" i="2"/>
  <c r="B2723" i="2"/>
  <c r="C2723" i="2" s="1"/>
  <c r="D2723" i="2" s="1"/>
  <c r="L2723" i="2" s="1"/>
  <c r="F2723" i="2"/>
  <c r="O2723" i="2"/>
  <c r="M2723" i="2"/>
  <c r="E2724" i="2" l="1" a="1"/>
  <c r="E2724" i="2" s="1"/>
  <c r="N2719" i="2"/>
  <c r="N2718" i="2"/>
  <c r="J2723" i="2"/>
  <c r="K2723" i="2" s="1"/>
  <c r="G2723" i="2"/>
  <c r="A2725" i="2"/>
  <c r="B2724" i="2"/>
  <c r="C2724" i="2" s="1"/>
  <c r="D2724" i="2" s="1"/>
  <c r="L2724" i="2" s="1"/>
  <c r="O2724" i="2"/>
  <c r="M2724" i="2"/>
  <c r="F2724" i="2"/>
  <c r="H2720" i="2"/>
  <c r="I2720" i="2" s="1"/>
  <c r="P2720" i="2" s="1"/>
  <c r="N2720" i="2" l="1"/>
  <c r="E2725" i="2" a="1"/>
  <c r="E2725" i="2" s="1"/>
  <c r="H2721" i="2"/>
  <c r="I2721" i="2" s="1"/>
  <c r="P2721" i="2" s="1"/>
  <c r="J2724" i="2"/>
  <c r="K2724" i="2" s="1"/>
  <c r="G2724" i="2"/>
  <c r="O2725" i="2"/>
  <c r="A2726" i="2"/>
  <c r="M2725" i="2"/>
  <c r="F2725" i="2"/>
  <c r="B2725" i="2"/>
  <c r="C2725" i="2" s="1"/>
  <c r="D2725" i="2" s="1"/>
  <c r="L2725" i="2" l="1"/>
  <c r="N2721" i="2"/>
  <c r="E2726" i="2" a="1"/>
  <c r="E2726" i="2" s="1"/>
  <c r="J2725" i="2"/>
  <c r="K2725" i="2" s="1"/>
  <c r="G2725" i="2"/>
  <c r="A2727" i="2"/>
  <c r="B2726" i="2"/>
  <c r="C2726" i="2" s="1"/>
  <c r="D2726" i="2" s="1"/>
  <c r="O2726" i="2"/>
  <c r="M2726" i="2"/>
  <c r="F2726" i="2"/>
  <c r="H2722" i="2"/>
  <c r="E2727" i="2" l="1" a="1"/>
  <c r="E2727" i="2" s="1"/>
  <c r="I2722" i="2"/>
  <c r="P2722" i="2" s="1"/>
  <c r="L2726" i="2"/>
  <c r="H2723" i="2"/>
  <c r="I2723" i="2" s="1"/>
  <c r="P2723" i="2" s="1"/>
  <c r="J2726" i="2"/>
  <c r="K2726" i="2" s="1"/>
  <c r="G2726" i="2"/>
  <c r="A2728" i="2"/>
  <c r="B2727" i="2"/>
  <c r="C2727" i="2" s="1"/>
  <c r="D2727" i="2" s="1"/>
  <c r="M2727" i="2"/>
  <c r="O2727" i="2"/>
  <c r="F2727" i="2"/>
  <c r="N2722" i="2" l="1"/>
  <c r="E2728" i="2" a="1"/>
  <c r="E2728" i="2" s="1"/>
  <c r="L2727" i="2"/>
  <c r="N2723" i="2"/>
  <c r="J2727" i="2"/>
  <c r="K2727" i="2" s="1"/>
  <c r="G2727" i="2"/>
  <c r="O2728" i="2"/>
  <c r="M2728" i="2"/>
  <c r="A2729" i="2"/>
  <c r="F2728" i="2"/>
  <c r="B2728" i="2"/>
  <c r="C2728" i="2" s="1"/>
  <c r="D2728" i="2" s="1"/>
  <c r="L2728" i="2" s="1"/>
  <c r="H2724" i="2"/>
  <c r="I2724" i="2" l="1"/>
  <c r="P2724" i="2" s="1"/>
  <c r="E2729" i="2" a="1"/>
  <c r="E2729" i="2" s="1"/>
  <c r="H2725" i="2"/>
  <c r="J2728" i="2"/>
  <c r="K2728" i="2" s="1"/>
  <c r="G2728" i="2"/>
  <c r="O2729" i="2"/>
  <c r="M2729" i="2"/>
  <c r="F2729" i="2"/>
  <c r="B2729" i="2"/>
  <c r="C2729" i="2" s="1"/>
  <c r="D2729" i="2" s="1"/>
  <c r="A2730" i="2"/>
  <c r="N2724" i="2" l="1"/>
  <c r="L2729" i="2"/>
  <c r="E2730" i="2" a="1"/>
  <c r="E2730" i="2" s="1"/>
  <c r="I2725" i="2"/>
  <c r="P2725" i="2" s="1"/>
  <c r="M2730" i="2"/>
  <c r="A2731" i="2"/>
  <c r="O2730" i="2"/>
  <c r="F2730" i="2"/>
  <c r="B2730" i="2"/>
  <c r="C2730" i="2" s="1"/>
  <c r="D2730" i="2" s="1"/>
  <c r="L2730" i="2" s="1"/>
  <c r="J2729" i="2"/>
  <c r="K2729" i="2" s="1"/>
  <c r="G2729" i="2"/>
  <c r="H2726" i="2"/>
  <c r="E2731" i="2" l="1" a="1"/>
  <c r="E2731" i="2" s="1"/>
  <c r="I2726" i="2"/>
  <c r="P2726" i="2" s="1"/>
  <c r="N2725" i="2"/>
  <c r="H2727" i="2"/>
  <c r="J2730" i="2"/>
  <c r="K2730" i="2" s="1"/>
  <c r="G2730" i="2"/>
  <c r="A2732" i="2"/>
  <c r="B2731" i="2"/>
  <c r="C2731" i="2" s="1"/>
  <c r="D2731" i="2" s="1"/>
  <c r="L2731" i="2" s="1"/>
  <c r="M2731" i="2"/>
  <c r="F2731" i="2"/>
  <c r="O2731" i="2"/>
  <c r="N2726" i="2" l="1"/>
  <c r="I2727" i="2"/>
  <c r="P2727" i="2" s="1"/>
  <c r="E2732" i="2" a="1"/>
  <c r="E2732" i="2" s="1"/>
  <c r="J2731" i="2"/>
  <c r="K2731" i="2" s="1"/>
  <c r="G2731" i="2"/>
  <c r="A2733" i="2"/>
  <c r="B2732" i="2"/>
  <c r="C2732" i="2" s="1"/>
  <c r="D2732" i="2" s="1"/>
  <c r="L2732" i="2" s="1"/>
  <c r="O2732" i="2"/>
  <c r="M2732" i="2"/>
  <c r="F2732" i="2"/>
  <c r="H2728" i="2"/>
  <c r="I2728" i="2" l="1"/>
  <c r="P2728" i="2" s="1"/>
  <c r="E2733" i="2" a="1"/>
  <c r="E2733" i="2" s="1"/>
  <c r="N2727" i="2"/>
  <c r="H2729" i="2"/>
  <c r="I2729" i="2" s="1"/>
  <c r="P2729" i="2" s="1"/>
  <c r="G2732" i="2"/>
  <c r="J2732" i="2"/>
  <c r="K2732" i="2" s="1"/>
  <c r="A2734" i="2"/>
  <c r="B2733" i="2"/>
  <c r="C2733" i="2" s="1"/>
  <c r="D2733" i="2" s="1"/>
  <c r="L2733" i="2" s="1"/>
  <c r="O2733" i="2"/>
  <c r="F2733" i="2"/>
  <c r="M2733" i="2"/>
  <c r="E2734" i="2" l="1" a="1"/>
  <c r="E2734" i="2" s="1"/>
  <c r="N2729" i="2"/>
  <c r="N2728" i="2"/>
  <c r="J2733" i="2"/>
  <c r="K2733" i="2" s="1"/>
  <c r="G2733" i="2"/>
  <c r="O2734" i="2"/>
  <c r="F2734" i="2"/>
  <c r="B2734" i="2"/>
  <c r="C2734" i="2" s="1"/>
  <c r="D2734" i="2" s="1"/>
  <c r="L2734" i="2" s="1"/>
  <c r="A2735" i="2"/>
  <c r="M2734" i="2"/>
  <c r="H2730" i="2"/>
  <c r="I2730" i="2" l="1"/>
  <c r="P2730" i="2" s="1"/>
  <c r="E2735" i="2" a="1"/>
  <c r="E2735" i="2" s="1"/>
  <c r="H2731" i="2"/>
  <c r="I2731" i="2" s="1"/>
  <c r="P2731" i="2" s="1"/>
  <c r="O2735" i="2"/>
  <c r="M2735" i="2"/>
  <c r="F2735" i="2"/>
  <c r="A2736" i="2"/>
  <c r="B2735" i="2"/>
  <c r="C2735" i="2" s="1"/>
  <c r="D2735" i="2" s="1"/>
  <c r="J2734" i="2"/>
  <c r="K2734" i="2" s="1"/>
  <c r="G2734" i="2"/>
  <c r="N2730" i="2" l="1"/>
  <c r="L2735" i="2"/>
  <c r="E2736" i="2" a="1"/>
  <c r="E2736" i="2" s="1"/>
  <c r="N2731" i="2"/>
  <c r="M2736" i="2"/>
  <c r="A2737" i="2"/>
  <c r="B2736" i="2"/>
  <c r="C2736" i="2" s="1"/>
  <c r="D2736" i="2" s="1"/>
  <c r="O2736" i="2"/>
  <c r="F2736" i="2"/>
  <c r="J2735" i="2"/>
  <c r="K2735" i="2" s="1"/>
  <c r="G2735" i="2"/>
  <c r="H2732" i="2"/>
  <c r="L2736" i="2" l="1"/>
  <c r="E2737" i="2" a="1"/>
  <c r="E2737" i="2" s="1"/>
  <c r="I2732" i="2"/>
  <c r="P2732" i="2" s="1"/>
  <c r="H2733" i="2"/>
  <c r="G2736" i="2"/>
  <c r="J2736" i="2"/>
  <c r="K2736" i="2" s="1"/>
  <c r="M2737" i="2"/>
  <c r="F2737" i="2"/>
  <c r="A2738" i="2"/>
  <c r="B2737" i="2"/>
  <c r="C2737" i="2" s="1"/>
  <c r="D2737" i="2" s="1"/>
  <c r="L2737" i="2" s="1"/>
  <c r="O2737" i="2"/>
  <c r="I2733" i="2" l="1"/>
  <c r="P2733" i="2" s="1"/>
  <c r="E2738" i="2" a="1"/>
  <c r="E2738" i="2" s="1"/>
  <c r="N2732" i="2"/>
  <c r="F2738" i="2"/>
  <c r="A2739" i="2"/>
  <c r="B2738" i="2"/>
  <c r="C2738" i="2" s="1"/>
  <c r="D2738" i="2" s="1"/>
  <c r="O2738" i="2"/>
  <c r="M2738" i="2"/>
  <c r="G2737" i="2"/>
  <c r="J2737" i="2"/>
  <c r="K2737" i="2" s="1"/>
  <c r="H2734" i="2"/>
  <c r="I2734" i="2" l="1"/>
  <c r="P2734" i="2" s="1"/>
  <c r="L2738" i="2"/>
  <c r="E2739" i="2" a="1"/>
  <c r="E2739" i="2" s="1"/>
  <c r="N2733" i="2"/>
  <c r="H2735" i="2"/>
  <c r="A2740" i="2"/>
  <c r="B2739" i="2"/>
  <c r="C2739" i="2" s="1"/>
  <c r="D2739" i="2" s="1"/>
  <c r="L2739" i="2" s="1"/>
  <c r="O2739" i="2"/>
  <c r="M2739" i="2"/>
  <c r="F2739" i="2"/>
  <c r="J2738" i="2"/>
  <c r="K2738" i="2" s="1"/>
  <c r="G2738" i="2"/>
  <c r="E2740" i="2" l="1" a="1"/>
  <c r="E2740" i="2" s="1"/>
  <c r="I2735" i="2"/>
  <c r="P2735" i="2" s="1"/>
  <c r="N2734" i="2"/>
  <c r="J2739" i="2"/>
  <c r="K2739" i="2" s="1"/>
  <c r="G2739" i="2"/>
  <c r="A2741" i="2"/>
  <c r="B2740" i="2"/>
  <c r="C2740" i="2" s="1"/>
  <c r="D2740" i="2" s="1"/>
  <c r="L2740" i="2" s="1"/>
  <c r="O2740" i="2"/>
  <c r="M2740" i="2"/>
  <c r="F2740" i="2"/>
  <c r="H2736" i="2"/>
  <c r="I2736" i="2" s="1"/>
  <c r="P2736" i="2" s="1"/>
  <c r="N2736" i="2" l="1"/>
  <c r="N2735" i="2"/>
  <c r="E2741" i="2" a="1"/>
  <c r="E2741" i="2" s="1"/>
  <c r="H2737" i="2"/>
  <c r="J2740" i="2"/>
  <c r="K2740" i="2" s="1"/>
  <c r="G2740" i="2"/>
  <c r="A2742" i="2"/>
  <c r="B2741" i="2"/>
  <c r="C2741" i="2" s="1"/>
  <c r="D2741" i="2" s="1"/>
  <c r="L2741" i="2" s="1"/>
  <c r="O2741" i="2"/>
  <c r="M2741" i="2"/>
  <c r="F2741" i="2"/>
  <c r="E2742" i="2" l="1" a="1"/>
  <c r="E2742" i="2" s="1"/>
  <c r="I2737" i="2"/>
  <c r="P2737" i="2" s="1"/>
  <c r="G2741" i="2"/>
  <c r="J2741" i="2"/>
  <c r="K2741" i="2" s="1"/>
  <c r="F2742" i="2"/>
  <c r="A2743" i="2"/>
  <c r="B2742" i="2"/>
  <c r="C2742" i="2" s="1"/>
  <c r="D2742" i="2" s="1"/>
  <c r="L2742" i="2" s="1"/>
  <c r="O2742" i="2"/>
  <c r="M2742" i="2"/>
  <c r="H2738" i="2"/>
  <c r="N2737" i="2" l="1"/>
  <c r="I2738" i="2"/>
  <c r="P2738" i="2" s="1"/>
  <c r="E2743" i="2" a="1"/>
  <c r="E2743" i="2" s="1"/>
  <c r="H2739" i="2"/>
  <c r="I2739" i="2" s="1"/>
  <c r="P2739" i="2" s="1"/>
  <c r="F2743" i="2"/>
  <c r="A2744" i="2"/>
  <c r="B2743" i="2"/>
  <c r="C2743" i="2" s="1"/>
  <c r="D2743" i="2" s="1"/>
  <c r="O2743" i="2"/>
  <c r="M2743" i="2"/>
  <c r="G2742" i="2"/>
  <c r="J2742" i="2"/>
  <c r="K2742" i="2" s="1"/>
  <c r="L2743" i="2" l="1"/>
  <c r="N2738" i="2"/>
  <c r="E2744" i="2" a="1"/>
  <c r="E2744" i="2" s="1"/>
  <c r="N2739" i="2"/>
  <c r="F2744" i="2"/>
  <c r="O2744" i="2"/>
  <c r="M2744" i="2"/>
  <c r="A2745" i="2"/>
  <c r="B2744" i="2"/>
  <c r="C2744" i="2" s="1"/>
  <c r="D2744" i="2" s="1"/>
  <c r="G2743" i="2"/>
  <c r="J2743" i="2"/>
  <c r="K2743" i="2" s="1"/>
  <c r="H2740" i="2"/>
  <c r="L2744" i="2" l="1"/>
  <c r="E2745" i="2" a="1"/>
  <c r="E2745" i="2" s="1"/>
  <c r="I2740" i="2"/>
  <c r="P2740" i="2" s="1"/>
  <c r="H2741" i="2"/>
  <c r="O2745" i="2"/>
  <c r="M2745" i="2"/>
  <c r="A2746" i="2"/>
  <c r="F2745" i="2"/>
  <c r="B2745" i="2"/>
  <c r="C2745" i="2" s="1"/>
  <c r="D2745" i="2" s="1"/>
  <c r="J2744" i="2"/>
  <c r="K2744" i="2" s="1"/>
  <c r="G2744" i="2"/>
  <c r="N2740" i="2" l="1"/>
  <c r="L2745" i="2"/>
  <c r="I2741" i="2"/>
  <c r="P2741" i="2" s="1"/>
  <c r="E2746" i="2" a="1"/>
  <c r="E2746" i="2" s="1"/>
  <c r="J2745" i="2"/>
  <c r="K2745" i="2" s="1"/>
  <c r="G2745" i="2"/>
  <c r="M2746" i="2"/>
  <c r="A2747" i="2"/>
  <c r="O2746" i="2"/>
  <c r="F2746" i="2"/>
  <c r="B2746" i="2"/>
  <c r="C2746" i="2" s="1"/>
  <c r="D2746" i="2" s="1"/>
  <c r="H2742" i="2"/>
  <c r="L2746" i="2" l="1"/>
  <c r="N2741" i="2"/>
  <c r="E2747" i="2" a="1"/>
  <c r="E2747" i="2" s="1"/>
  <c r="I2742" i="2"/>
  <c r="P2742" i="2" s="1"/>
  <c r="H2743" i="2"/>
  <c r="I2743" i="2" s="1"/>
  <c r="P2743" i="2" s="1"/>
  <c r="J2746" i="2"/>
  <c r="K2746" i="2" s="1"/>
  <c r="G2746" i="2"/>
  <c r="A2748" i="2"/>
  <c r="B2747" i="2"/>
  <c r="C2747" i="2" s="1"/>
  <c r="D2747" i="2" s="1"/>
  <c r="L2747" i="2" s="1"/>
  <c r="M2747" i="2"/>
  <c r="F2747" i="2"/>
  <c r="O2747" i="2"/>
  <c r="E2748" i="2" l="1" a="1"/>
  <c r="E2748" i="2" s="1"/>
  <c r="N2742" i="2"/>
  <c r="N2743" i="2"/>
  <c r="J2747" i="2"/>
  <c r="K2747" i="2" s="1"/>
  <c r="G2747" i="2"/>
  <c r="A2749" i="2"/>
  <c r="B2748" i="2"/>
  <c r="C2748" i="2" s="1"/>
  <c r="D2748" i="2" s="1"/>
  <c r="L2748" i="2" s="1"/>
  <c r="F2748" i="2"/>
  <c r="O2748" i="2"/>
  <c r="M2748" i="2"/>
  <c r="H2744" i="2"/>
  <c r="I2744" i="2" s="1"/>
  <c r="P2744" i="2" s="1"/>
  <c r="E2749" i="2" l="1" a="1"/>
  <c r="E2749" i="2" s="1"/>
  <c r="N2744" i="2"/>
  <c r="H2745" i="2"/>
  <c r="I2745" i="2" s="1"/>
  <c r="P2745" i="2" s="1"/>
  <c r="J2748" i="2"/>
  <c r="K2748" i="2" s="1"/>
  <c r="G2748" i="2"/>
  <c r="A2750" i="2"/>
  <c r="B2749" i="2"/>
  <c r="C2749" i="2" s="1"/>
  <c r="D2749" i="2" s="1"/>
  <c r="L2749" i="2" s="1"/>
  <c r="O2749" i="2"/>
  <c r="F2749" i="2"/>
  <c r="M2749" i="2"/>
  <c r="E2750" i="2" l="1" a="1"/>
  <c r="E2750" i="2" s="1"/>
  <c r="N2745" i="2"/>
  <c r="J2749" i="2"/>
  <c r="K2749" i="2" s="1"/>
  <c r="G2749" i="2"/>
  <c r="O2750" i="2"/>
  <c r="F2750" i="2"/>
  <c r="A2751" i="2"/>
  <c r="M2750" i="2"/>
  <c r="B2750" i="2"/>
  <c r="C2750" i="2" s="1"/>
  <c r="D2750" i="2" s="1"/>
  <c r="H2746" i="2"/>
  <c r="L2750" i="2" l="1"/>
  <c r="E2751" i="2" a="1"/>
  <c r="E2751" i="2" s="1"/>
  <c r="I2746" i="2"/>
  <c r="P2746" i="2" s="1"/>
  <c r="H2747" i="2"/>
  <c r="I2747" i="2" s="1"/>
  <c r="P2747" i="2" s="1"/>
  <c r="O2751" i="2"/>
  <c r="M2751" i="2"/>
  <c r="F2751" i="2"/>
  <c r="B2751" i="2"/>
  <c r="C2751" i="2" s="1"/>
  <c r="D2751" i="2" s="1"/>
  <c r="A2752" i="2"/>
  <c r="J2750" i="2"/>
  <c r="K2750" i="2" s="1"/>
  <c r="G2750" i="2"/>
  <c r="N2746" i="2" l="1"/>
  <c r="E2752" i="2" a="1"/>
  <c r="E2752" i="2" s="1"/>
  <c r="L2751" i="2"/>
  <c r="N2747" i="2"/>
  <c r="M2752" i="2"/>
  <c r="F2752" i="2"/>
  <c r="A2753" i="2"/>
  <c r="B2752" i="2"/>
  <c r="C2752" i="2" s="1"/>
  <c r="D2752" i="2" s="1"/>
  <c r="O2752" i="2"/>
  <c r="G2751" i="2"/>
  <c r="J2751" i="2"/>
  <c r="K2751" i="2" s="1"/>
  <c r="H2748" i="2"/>
  <c r="I2748" i="2" s="1"/>
  <c r="P2748" i="2" s="1"/>
  <c r="N2748" i="2" l="1"/>
  <c r="L2752" i="2"/>
  <c r="E2753" i="2" a="1"/>
  <c r="E2753" i="2" s="1"/>
  <c r="H2749" i="2"/>
  <c r="M2753" i="2"/>
  <c r="F2753" i="2"/>
  <c r="A2754" i="2"/>
  <c r="B2753" i="2"/>
  <c r="C2753" i="2" s="1"/>
  <c r="D2753" i="2" s="1"/>
  <c r="L2753" i="2" s="1"/>
  <c r="O2753" i="2"/>
  <c r="G2752" i="2"/>
  <c r="J2752" i="2"/>
  <c r="K2752" i="2" s="1"/>
  <c r="E2754" i="2" l="1" a="1"/>
  <c r="E2754" i="2" s="1"/>
  <c r="I2749" i="2"/>
  <c r="P2749" i="2" s="1"/>
  <c r="F2754" i="2"/>
  <c r="A2755" i="2"/>
  <c r="B2754" i="2"/>
  <c r="C2754" i="2" s="1"/>
  <c r="D2754" i="2" s="1"/>
  <c r="L2754" i="2" s="1"/>
  <c r="O2754" i="2"/>
  <c r="M2754" i="2"/>
  <c r="G2753" i="2"/>
  <c r="J2753" i="2"/>
  <c r="K2753" i="2" s="1"/>
  <c r="H2750" i="2"/>
  <c r="E2755" i="2" l="1" a="1"/>
  <c r="E2755" i="2" s="1"/>
  <c r="I2750" i="2"/>
  <c r="P2750" i="2" s="1"/>
  <c r="N2749" i="2"/>
  <c r="H2751" i="2"/>
  <c r="A2756" i="2"/>
  <c r="B2755" i="2"/>
  <c r="C2755" i="2" s="1"/>
  <c r="D2755" i="2" s="1"/>
  <c r="O2755" i="2"/>
  <c r="M2755" i="2"/>
  <c r="F2755" i="2"/>
  <c r="J2754" i="2"/>
  <c r="K2754" i="2" s="1"/>
  <c r="G2754" i="2"/>
  <c r="L2755" i="2" l="1"/>
  <c r="N2750" i="2"/>
  <c r="E2756" i="2" a="1"/>
  <c r="E2756" i="2" s="1"/>
  <c r="I2751" i="2"/>
  <c r="P2751" i="2" s="1"/>
  <c r="J2755" i="2"/>
  <c r="K2755" i="2" s="1"/>
  <c r="G2755" i="2"/>
  <c r="A2757" i="2"/>
  <c r="B2756" i="2"/>
  <c r="C2756" i="2" s="1"/>
  <c r="D2756" i="2" s="1"/>
  <c r="L2756" i="2" s="1"/>
  <c r="O2756" i="2"/>
  <c r="M2756" i="2"/>
  <c r="F2756" i="2"/>
  <c r="H2752" i="2"/>
  <c r="I2752" i="2" s="1"/>
  <c r="P2752" i="2" s="1"/>
  <c r="E2757" i="2" l="1" a="1"/>
  <c r="E2757" i="2" s="1"/>
  <c r="N2752" i="2"/>
  <c r="N2751" i="2"/>
  <c r="H2753" i="2"/>
  <c r="I2753" i="2" s="1"/>
  <c r="P2753" i="2" s="1"/>
  <c r="J2756" i="2"/>
  <c r="K2756" i="2" s="1"/>
  <c r="G2756" i="2"/>
  <c r="A2758" i="2"/>
  <c r="B2757" i="2"/>
  <c r="C2757" i="2" s="1"/>
  <c r="D2757" i="2" s="1"/>
  <c r="O2757" i="2"/>
  <c r="M2757" i="2"/>
  <c r="F2757" i="2"/>
  <c r="L2757" i="2" l="1"/>
  <c r="N2753" i="2"/>
  <c r="E2758" i="2" a="1"/>
  <c r="E2758" i="2" s="1"/>
  <c r="G2757" i="2"/>
  <c r="J2757" i="2"/>
  <c r="K2757" i="2" s="1"/>
  <c r="F2758" i="2"/>
  <c r="A2759" i="2"/>
  <c r="B2758" i="2"/>
  <c r="C2758" i="2" s="1"/>
  <c r="D2758" i="2" s="1"/>
  <c r="L2758" i="2" s="1"/>
  <c r="O2758" i="2"/>
  <c r="M2758" i="2"/>
  <c r="H2754" i="2"/>
  <c r="I2754" i="2" l="1"/>
  <c r="P2754" i="2" s="1"/>
  <c r="E2759" i="2" a="1"/>
  <c r="E2759" i="2" s="1"/>
  <c r="H2755" i="2"/>
  <c r="I2755" i="2" s="1"/>
  <c r="P2755" i="2" s="1"/>
  <c r="F2759" i="2"/>
  <c r="A2760" i="2"/>
  <c r="B2759" i="2"/>
  <c r="C2759" i="2" s="1"/>
  <c r="D2759" i="2" s="1"/>
  <c r="L2759" i="2" s="1"/>
  <c r="O2759" i="2"/>
  <c r="M2759" i="2"/>
  <c r="G2758" i="2"/>
  <c r="J2758" i="2"/>
  <c r="K2758" i="2" s="1"/>
  <c r="N2754" i="2" l="1"/>
  <c r="N2755" i="2"/>
  <c r="E2760" i="2" a="1"/>
  <c r="E2760" i="2" s="1"/>
  <c r="F2760" i="2"/>
  <c r="A2761" i="2"/>
  <c r="B2760" i="2"/>
  <c r="C2760" i="2" s="1"/>
  <c r="D2760" i="2" s="1"/>
  <c r="L2760" i="2" s="1"/>
  <c r="O2760" i="2"/>
  <c r="M2760" i="2"/>
  <c r="G2759" i="2"/>
  <c r="J2759" i="2"/>
  <c r="K2759" i="2" s="1"/>
  <c r="H2756" i="2"/>
  <c r="I2756" i="2" s="1"/>
  <c r="P2756" i="2" s="1"/>
  <c r="E2761" i="2" l="1" a="1"/>
  <c r="E2761" i="2" s="1"/>
  <c r="N2756" i="2"/>
  <c r="H2757" i="2"/>
  <c r="A2762" i="2"/>
  <c r="B2761" i="2"/>
  <c r="C2761" i="2" s="1"/>
  <c r="D2761" i="2" s="1"/>
  <c r="O2761" i="2"/>
  <c r="M2761" i="2"/>
  <c r="F2761" i="2"/>
  <c r="J2760" i="2"/>
  <c r="K2760" i="2" s="1"/>
  <c r="G2760" i="2"/>
  <c r="E2762" i="2" l="1" a="1"/>
  <c r="E2762" i="2" s="1"/>
  <c r="I2757" i="2"/>
  <c r="P2757" i="2" s="1"/>
  <c r="L2761" i="2"/>
  <c r="J2761" i="2"/>
  <c r="K2761" i="2" s="1"/>
  <c r="G2761" i="2"/>
  <c r="A2763" i="2"/>
  <c r="B2762" i="2"/>
  <c r="C2762" i="2" s="1"/>
  <c r="D2762" i="2" s="1"/>
  <c r="L2762" i="2" s="1"/>
  <c r="O2762" i="2"/>
  <c r="M2762" i="2"/>
  <c r="F2762" i="2"/>
  <c r="H2758" i="2"/>
  <c r="I2758" i="2" s="1"/>
  <c r="P2758" i="2" s="1"/>
  <c r="N2758" i="2" l="1"/>
  <c r="N2757" i="2"/>
  <c r="E2763" i="2" a="1"/>
  <c r="E2763" i="2" s="1"/>
  <c r="H2759" i="2"/>
  <c r="I2759" i="2" s="1"/>
  <c r="P2759" i="2" s="1"/>
  <c r="J2762" i="2"/>
  <c r="K2762" i="2" s="1"/>
  <c r="G2762" i="2"/>
  <c r="A2764" i="2"/>
  <c r="B2763" i="2"/>
  <c r="C2763" i="2" s="1"/>
  <c r="D2763" i="2" s="1"/>
  <c r="L2763" i="2" s="1"/>
  <c r="O2763" i="2"/>
  <c r="M2763" i="2"/>
  <c r="F2763" i="2"/>
  <c r="N2759" i="2" l="1"/>
  <c r="E2764" i="2" a="1"/>
  <c r="E2764" i="2" s="1"/>
  <c r="J2763" i="2"/>
  <c r="K2763" i="2" s="1"/>
  <c r="G2763" i="2"/>
  <c r="B2764" i="2"/>
  <c r="C2764" i="2" s="1"/>
  <c r="D2764" i="2" s="1"/>
  <c r="L2764" i="2" s="1"/>
  <c r="A2765" i="2"/>
  <c r="O2764" i="2"/>
  <c r="M2764" i="2"/>
  <c r="F2764" i="2"/>
  <c r="H2760" i="2"/>
  <c r="E2765" i="2" l="1" a="1"/>
  <c r="E2765" i="2" s="1"/>
  <c r="I2760" i="2"/>
  <c r="P2760" i="2" s="1"/>
  <c r="H2761" i="2"/>
  <c r="I2761" i="2" s="1"/>
  <c r="P2761" i="2" s="1"/>
  <c r="J2764" i="2"/>
  <c r="K2764" i="2" s="1"/>
  <c r="G2764" i="2"/>
  <c r="B2765" i="2"/>
  <c r="C2765" i="2" s="1"/>
  <c r="D2765" i="2" s="1"/>
  <c r="L2765" i="2" s="1"/>
  <c r="A2766" i="2"/>
  <c r="O2765" i="2"/>
  <c r="M2765" i="2"/>
  <c r="F2765" i="2"/>
  <c r="N2761" i="2" l="1"/>
  <c r="E2766" i="2" a="1"/>
  <c r="E2766" i="2" s="1"/>
  <c r="N2760" i="2"/>
  <c r="J2765" i="2"/>
  <c r="K2765" i="2" s="1"/>
  <c r="G2765" i="2"/>
  <c r="F2766" i="2"/>
  <c r="B2766" i="2"/>
  <c r="C2766" i="2" s="1"/>
  <c r="D2766" i="2" s="1"/>
  <c r="L2766" i="2" s="1"/>
  <c r="A2767" i="2"/>
  <c r="O2766" i="2"/>
  <c r="M2766" i="2"/>
  <c r="H2762" i="2"/>
  <c r="I2762" i="2" l="1"/>
  <c r="P2762" i="2" s="1"/>
  <c r="E2767" i="2" a="1"/>
  <c r="E2767" i="2" s="1"/>
  <c r="H2763" i="2"/>
  <c r="I2763" i="2" s="1"/>
  <c r="P2763" i="2" s="1"/>
  <c r="F2767" i="2"/>
  <c r="B2767" i="2"/>
  <c r="C2767" i="2" s="1"/>
  <c r="D2767" i="2" s="1"/>
  <c r="L2767" i="2" s="1"/>
  <c r="A2768" i="2"/>
  <c r="O2767" i="2"/>
  <c r="M2767" i="2"/>
  <c r="J2766" i="2"/>
  <c r="K2766" i="2" s="1"/>
  <c r="G2766" i="2"/>
  <c r="N2763" i="2" l="1"/>
  <c r="E2768" i="2" a="1"/>
  <c r="E2768" i="2" s="1"/>
  <c r="N2762" i="2"/>
  <c r="A2769" i="2"/>
  <c r="B2768" i="2"/>
  <c r="C2768" i="2" s="1"/>
  <c r="D2768" i="2" s="1"/>
  <c r="F2768" i="2"/>
  <c r="O2768" i="2"/>
  <c r="M2768" i="2"/>
  <c r="G2767" i="2"/>
  <c r="J2767" i="2"/>
  <c r="K2767" i="2" s="1"/>
  <c r="H2764" i="2"/>
  <c r="L2768" i="2" l="1"/>
  <c r="E2769" i="2" a="1"/>
  <c r="E2769" i="2" s="1"/>
  <c r="I2764" i="2"/>
  <c r="P2764" i="2" s="1"/>
  <c r="H2765" i="2"/>
  <c r="J2768" i="2"/>
  <c r="K2768" i="2" s="1"/>
  <c r="G2768" i="2"/>
  <c r="A2770" i="2"/>
  <c r="B2769" i="2"/>
  <c r="C2769" i="2" s="1"/>
  <c r="D2769" i="2" s="1"/>
  <c r="L2769" i="2" s="1"/>
  <c r="O2769" i="2"/>
  <c r="M2769" i="2"/>
  <c r="F2769" i="2"/>
  <c r="I2765" i="2" l="1"/>
  <c r="P2765" i="2" s="1"/>
  <c r="E2770" i="2" a="1"/>
  <c r="E2770" i="2" s="1"/>
  <c r="N2764" i="2"/>
  <c r="J2769" i="2"/>
  <c r="K2769" i="2" s="1"/>
  <c r="G2769" i="2"/>
  <c r="A2771" i="2"/>
  <c r="B2770" i="2"/>
  <c r="C2770" i="2" s="1"/>
  <c r="D2770" i="2" s="1"/>
  <c r="L2770" i="2" s="1"/>
  <c r="O2770" i="2"/>
  <c r="M2770" i="2"/>
  <c r="F2770" i="2"/>
  <c r="H2766" i="2"/>
  <c r="I2766" i="2" s="1"/>
  <c r="P2766" i="2" s="1"/>
  <c r="N2765" i="2" l="1"/>
  <c r="E2771" i="2" a="1"/>
  <c r="E2771" i="2" s="1"/>
  <c r="N2766" i="2"/>
  <c r="H2767" i="2"/>
  <c r="I2767" i="2" s="1"/>
  <c r="P2767" i="2" s="1"/>
  <c r="J2770" i="2"/>
  <c r="K2770" i="2" s="1"/>
  <c r="G2770" i="2"/>
  <c r="O2771" i="2"/>
  <c r="F2771" i="2"/>
  <c r="B2771" i="2"/>
  <c r="C2771" i="2" s="1"/>
  <c r="D2771" i="2" s="1"/>
  <c r="L2771" i="2" s="1"/>
  <c r="A2772" i="2"/>
  <c r="M2771" i="2"/>
  <c r="N2767" i="2" l="1"/>
  <c r="E2772" i="2" a="1"/>
  <c r="E2772" i="2" s="1"/>
  <c r="O2772" i="2"/>
  <c r="M2772" i="2"/>
  <c r="F2772" i="2"/>
  <c r="B2772" i="2"/>
  <c r="C2772" i="2" s="1"/>
  <c r="D2772" i="2" s="1"/>
  <c r="L2772" i="2" s="1"/>
  <c r="A2773" i="2"/>
  <c r="G2771" i="2"/>
  <c r="J2771" i="2"/>
  <c r="K2771" i="2" s="1"/>
  <c r="H2768" i="2"/>
  <c r="I2768" i="2" s="1"/>
  <c r="P2768" i="2" s="1"/>
  <c r="E2773" i="2" l="1" a="1"/>
  <c r="E2773" i="2" s="1"/>
  <c r="N2768" i="2"/>
  <c r="H2769" i="2"/>
  <c r="M2773" i="2"/>
  <c r="A2774" i="2"/>
  <c r="B2773" i="2"/>
  <c r="C2773" i="2" s="1"/>
  <c r="D2773" i="2" s="1"/>
  <c r="O2773" i="2"/>
  <c r="F2773" i="2"/>
  <c r="J2772" i="2"/>
  <c r="K2772" i="2" s="1"/>
  <c r="G2772" i="2"/>
  <c r="E2774" i="2" l="1" a="1"/>
  <c r="E2774" i="2" s="1"/>
  <c r="I2769" i="2"/>
  <c r="P2769" i="2" s="1"/>
  <c r="L2773" i="2"/>
  <c r="J2773" i="2"/>
  <c r="K2773" i="2" s="1"/>
  <c r="G2773" i="2"/>
  <c r="M2774" i="2"/>
  <c r="B2774" i="2"/>
  <c r="C2774" i="2" s="1"/>
  <c r="D2774" i="2" s="1"/>
  <c r="A2775" i="2"/>
  <c r="O2774" i="2"/>
  <c r="F2774" i="2"/>
  <c r="H2770" i="2"/>
  <c r="I2770" i="2" s="1"/>
  <c r="P2770" i="2" s="1"/>
  <c r="N2769" i="2" l="1"/>
  <c r="N2770" i="2"/>
  <c r="L2774" i="2"/>
  <c r="E2775" i="2" a="1"/>
  <c r="E2775" i="2" s="1"/>
  <c r="H2771" i="2"/>
  <c r="I2771" i="2" s="1"/>
  <c r="P2771" i="2" s="1"/>
  <c r="J2774" i="2"/>
  <c r="K2774" i="2" s="1"/>
  <c r="G2774" i="2"/>
  <c r="O2775" i="2"/>
  <c r="F2775" i="2"/>
  <c r="B2775" i="2"/>
  <c r="C2775" i="2" s="1"/>
  <c r="D2775" i="2" s="1"/>
  <c r="A2776" i="2"/>
  <c r="M2775" i="2"/>
  <c r="N2771" i="2" l="1"/>
  <c r="L2775" i="2"/>
  <c r="E2776" i="2" a="1"/>
  <c r="E2776" i="2" s="1"/>
  <c r="A2777" i="2"/>
  <c r="O2776" i="2"/>
  <c r="M2776" i="2"/>
  <c r="F2776" i="2"/>
  <c r="B2776" i="2"/>
  <c r="C2776" i="2" s="1"/>
  <c r="D2776" i="2" s="1"/>
  <c r="J2775" i="2"/>
  <c r="K2775" i="2" s="1"/>
  <c r="G2775" i="2"/>
  <c r="H2772" i="2"/>
  <c r="L2776" i="2" l="1"/>
  <c r="I2772" i="2"/>
  <c r="P2772" i="2" s="1"/>
  <c r="E2777" i="2" a="1"/>
  <c r="E2777" i="2" s="1"/>
  <c r="H2773" i="2"/>
  <c r="J2776" i="2"/>
  <c r="K2776" i="2" s="1"/>
  <c r="G2776" i="2"/>
  <c r="A2778" i="2"/>
  <c r="B2777" i="2"/>
  <c r="C2777" i="2" s="1"/>
  <c r="D2777" i="2" s="1"/>
  <c r="L2777" i="2" s="1"/>
  <c r="M2777" i="2"/>
  <c r="O2777" i="2"/>
  <c r="F2777" i="2"/>
  <c r="N2772" i="2" l="1"/>
  <c r="I2773" i="2"/>
  <c r="P2773" i="2" s="1"/>
  <c r="E2778" i="2" a="1"/>
  <c r="E2778" i="2" s="1"/>
  <c r="E2779" i="2" a="1"/>
  <c r="E2779" i="2" s="1"/>
  <c r="J2777" i="2"/>
  <c r="K2777" i="2" s="1"/>
  <c r="G2777" i="2"/>
  <c r="A2779" i="2"/>
  <c r="B2778" i="2"/>
  <c r="C2778" i="2" s="1"/>
  <c r="D2778" i="2" s="1"/>
  <c r="L2778" i="2" s="1"/>
  <c r="O2778" i="2"/>
  <c r="M2778" i="2"/>
  <c r="F2778" i="2"/>
  <c r="H2774" i="2"/>
  <c r="N2773" i="2" l="1"/>
  <c r="I2774" i="2"/>
  <c r="P2774" i="2" s="1"/>
  <c r="H2775" i="2"/>
  <c r="I2775" i="2" s="1"/>
  <c r="P2775" i="2" s="1"/>
  <c r="G2778" i="2"/>
  <c r="J2778" i="2"/>
  <c r="K2778" i="2" s="1"/>
  <c r="F2779" i="2"/>
  <c r="O2779" i="2"/>
  <c r="A2780" i="2"/>
  <c r="M2779" i="2"/>
  <c r="B2779" i="2"/>
  <c r="C2779" i="2" s="1"/>
  <c r="D2779" i="2" s="1"/>
  <c r="N2775" i="2" l="1"/>
  <c r="L2779" i="2"/>
  <c r="E2780" i="2" a="1"/>
  <c r="E2780" i="2" s="1"/>
  <c r="N2774" i="2"/>
  <c r="F2780" i="2"/>
  <c r="A2781" i="2"/>
  <c r="B2780" i="2"/>
  <c r="C2780" i="2" s="1"/>
  <c r="D2780" i="2" s="1"/>
  <c r="L2780" i="2" s="1"/>
  <c r="O2780" i="2"/>
  <c r="M2780" i="2"/>
  <c r="G2779" i="2"/>
  <c r="J2779" i="2"/>
  <c r="K2779" i="2" s="1"/>
  <c r="H2776" i="2"/>
  <c r="I2776" i="2" l="1"/>
  <c r="P2776" i="2" s="1"/>
  <c r="E2781" i="2" a="1"/>
  <c r="E2781" i="2" s="1"/>
  <c r="H2777" i="2"/>
  <c r="I2777" i="2" s="1"/>
  <c r="P2777" i="2" s="1"/>
  <c r="F2781" i="2"/>
  <c r="M2781" i="2"/>
  <c r="A2782" i="2"/>
  <c r="O2781" i="2"/>
  <c r="B2781" i="2"/>
  <c r="C2781" i="2" s="1"/>
  <c r="D2781" i="2" s="1"/>
  <c r="G2780" i="2"/>
  <c r="J2780" i="2"/>
  <c r="K2780" i="2" s="1"/>
  <c r="N2777" i="2" l="1"/>
  <c r="N2776" i="2"/>
  <c r="E2782" i="2" a="1"/>
  <c r="E2782" i="2" s="1"/>
  <c r="L2781" i="2"/>
  <c r="O2782" i="2"/>
  <c r="M2782" i="2"/>
  <c r="F2782" i="2"/>
  <c r="B2782" i="2"/>
  <c r="C2782" i="2" s="1"/>
  <c r="D2782" i="2" s="1"/>
  <c r="A2783" i="2"/>
  <c r="J2781" i="2"/>
  <c r="K2781" i="2" s="1"/>
  <c r="G2781" i="2"/>
  <c r="H2778" i="2"/>
  <c r="L2782" i="2" l="1"/>
  <c r="I2778" i="2"/>
  <c r="P2778" i="2" s="1"/>
  <c r="E2783" i="2" a="1"/>
  <c r="E2783" i="2" s="1"/>
  <c r="H2779" i="2"/>
  <c r="I2779" i="2" s="1"/>
  <c r="P2779" i="2" s="1"/>
  <c r="A2784" i="2"/>
  <c r="B2783" i="2"/>
  <c r="C2783" i="2" s="1"/>
  <c r="D2783" i="2" s="1"/>
  <c r="L2783" i="2" s="1"/>
  <c r="O2783" i="2"/>
  <c r="M2783" i="2"/>
  <c r="F2783" i="2"/>
  <c r="J2782" i="2"/>
  <c r="K2782" i="2" s="1"/>
  <c r="G2782" i="2"/>
  <c r="N2779" i="2" l="1"/>
  <c r="N2778" i="2"/>
  <c r="E2784" i="2" a="1"/>
  <c r="E2784" i="2" s="1"/>
  <c r="G2783" i="2"/>
  <c r="J2783" i="2"/>
  <c r="K2783" i="2" s="1"/>
  <c r="A2785" i="2"/>
  <c r="B2784" i="2"/>
  <c r="C2784" i="2" s="1"/>
  <c r="D2784" i="2" s="1"/>
  <c r="M2784" i="2"/>
  <c r="F2784" i="2"/>
  <c r="O2784" i="2"/>
  <c r="H2780" i="2"/>
  <c r="E2785" i="2" l="1" a="1"/>
  <c r="E2785" i="2" s="1"/>
  <c r="L2784" i="2"/>
  <c r="I2780" i="2"/>
  <c r="P2780" i="2" s="1"/>
  <c r="H2781" i="2"/>
  <c r="J2784" i="2"/>
  <c r="K2784" i="2" s="1"/>
  <c r="G2784" i="2"/>
  <c r="A2786" i="2"/>
  <c r="B2785" i="2"/>
  <c r="C2785" i="2" s="1"/>
  <c r="D2785" i="2" s="1"/>
  <c r="L2785" i="2" s="1"/>
  <c r="O2785" i="2"/>
  <c r="M2785" i="2"/>
  <c r="F2785" i="2"/>
  <c r="N2780" i="2" l="1"/>
  <c r="I2781" i="2"/>
  <c r="P2781" i="2" s="1"/>
  <c r="E2786" i="2" a="1"/>
  <c r="E2786" i="2" s="1"/>
  <c r="J2785" i="2"/>
  <c r="K2785" i="2" s="1"/>
  <c r="G2785" i="2"/>
  <c r="A2787" i="2"/>
  <c r="B2786" i="2"/>
  <c r="C2786" i="2" s="1"/>
  <c r="D2786" i="2" s="1"/>
  <c r="O2786" i="2"/>
  <c r="F2786" i="2"/>
  <c r="M2786" i="2"/>
  <c r="H2782" i="2"/>
  <c r="I2782" i="2" s="1"/>
  <c r="P2782" i="2" s="1"/>
  <c r="L2786" i="2" l="1"/>
  <c r="E2787" i="2" a="1"/>
  <c r="E2787" i="2" s="1"/>
  <c r="N2781" i="2"/>
  <c r="N2782" i="2"/>
  <c r="H2783" i="2"/>
  <c r="I2783" i="2" s="1"/>
  <c r="P2783" i="2" s="1"/>
  <c r="J2786" i="2"/>
  <c r="K2786" i="2" s="1"/>
  <c r="G2786" i="2"/>
  <c r="O2787" i="2"/>
  <c r="M2787" i="2"/>
  <c r="A2788" i="2"/>
  <c r="F2787" i="2"/>
  <c r="B2787" i="2"/>
  <c r="C2787" i="2" s="1"/>
  <c r="D2787" i="2" s="1"/>
  <c r="L2787" i="2" l="1"/>
  <c r="N2783" i="2"/>
  <c r="E2788" i="2" a="1"/>
  <c r="E2788" i="2" s="1"/>
  <c r="J2787" i="2"/>
  <c r="K2787" i="2" s="1"/>
  <c r="G2787" i="2"/>
  <c r="O2788" i="2"/>
  <c r="M2788" i="2"/>
  <c r="F2788" i="2"/>
  <c r="A2789" i="2"/>
  <c r="B2788" i="2"/>
  <c r="C2788" i="2" s="1"/>
  <c r="D2788" i="2" s="1"/>
  <c r="H2784" i="2"/>
  <c r="I2784" i="2" s="1"/>
  <c r="P2784" i="2" s="1"/>
  <c r="N2784" i="2" l="1"/>
  <c r="L2788" i="2"/>
  <c r="E2789" i="2" a="1"/>
  <c r="E2789" i="2" s="1"/>
  <c r="H2785" i="2"/>
  <c r="I2785" i="2" s="1"/>
  <c r="P2785" i="2" s="1"/>
  <c r="M2789" i="2"/>
  <c r="F2789" i="2"/>
  <c r="A2790" i="2"/>
  <c r="B2789" i="2"/>
  <c r="C2789" i="2" s="1"/>
  <c r="D2789" i="2" s="1"/>
  <c r="O2789" i="2"/>
  <c r="G2788" i="2"/>
  <c r="J2788" i="2"/>
  <c r="K2788" i="2" s="1"/>
  <c r="E2790" i="2" l="1" a="1"/>
  <c r="E2790" i="2" s="1"/>
  <c r="L2789" i="2"/>
  <c r="N2785" i="2"/>
  <c r="M2790" i="2"/>
  <c r="A2791" i="2"/>
  <c r="B2790" i="2"/>
  <c r="C2790" i="2" s="1"/>
  <c r="D2790" i="2" s="1"/>
  <c r="O2790" i="2"/>
  <c r="F2790" i="2"/>
  <c r="J2789" i="2"/>
  <c r="K2789" i="2" s="1"/>
  <c r="G2789" i="2"/>
  <c r="H2786" i="2"/>
  <c r="I2786" i="2" s="1"/>
  <c r="P2786" i="2" s="1"/>
  <c r="L2790" i="2" l="1"/>
  <c r="N2786" i="2"/>
  <c r="E2791" i="2" a="1"/>
  <c r="E2791" i="2" s="1"/>
  <c r="H2787" i="2"/>
  <c r="J2790" i="2"/>
  <c r="K2790" i="2" s="1"/>
  <c r="G2790" i="2"/>
  <c r="F2791" i="2"/>
  <c r="A2792" i="2"/>
  <c r="B2791" i="2"/>
  <c r="C2791" i="2" s="1"/>
  <c r="D2791" i="2" s="1"/>
  <c r="L2791" i="2" s="1"/>
  <c r="O2791" i="2"/>
  <c r="M2791" i="2"/>
  <c r="E2792" i="2" l="1" a="1"/>
  <c r="E2792" i="2" s="1"/>
  <c r="I2787" i="2"/>
  <c r="P2787" i="2" s="1"/>
  <c r="O2792" i="2"/>
  <c r="A2793" i="2"/>
  <c r="M2792" i="2"/>
  <c r="F2792" i="2"/>
  <c r="B2792" i="2"/>
  <c r="C2792" i="2" s="1"/>
  <c r="D2792" i="2" s="1"/>
  <c r="J2791" i="2"/>
  <c r="K2791" i="2" s="1"/>
  <c r="G2791" i="2"/>
  <c r="H2788" i="2"/>
  <c r="I2788" i="2" s="1"/>
  <c r="P2788" i="2" s="1"/>
  <c r="L2792" i="2" l="1"/>
  <c r="E2793" i="2" a="1"/>
  <c r="E2793" i="2" s="1"/>
  <c r="N2787" i="2"/>
  <c r="N2788" i="2"/>
  <c r="H2789" i="2"/>
  <c r="I2789" i="2" s="1"/>
  <c r="P2789" i="2" s="1"/>
  <c r="J2792" i="2"/>
  <c r="K2792" i="2" s="1"/>
  <c r="G2792" i="2"/>
  <c r="A2794" i="2"/>
  <c r="B2793" i="2"/>
  <c r="C2793" i="2" s="1"/>
  <c r="D2793" i="2" s="1"/>
  <c r="O2793" i="2"/>
  <c r="M2793" i="2"/>
  <c r="F2793" i="2"/>
  <c r="L2793" i="2" l="1"/>
  <c r="E2794" i="2" a="1"/>
  <c r="E2794" i="2" s="1"/>
  <c r="N2789" i="2"/>
  <c r="J2793" i="2"/>
  <c r="K2793" i="2" s="1"/>
  <c r="G2793" i="2"/>
  <c r="F2794" i="2"/>
  <c r="A2795" i="2"/>
  <c r="B2794" i="2"/>
  <c r="C2794" i="2" s="1"/>
  <c r="D2794" i="2" s="1"/>
  <c r="L2794" i="2" s="1"/>
  <c r="M2794" i="2"/>
  <c r="O2794" i="2"/>
  <c r="H2790" i="2"/>
  <c r="E2795" i="2" l="1" a="1"/>
  <c r="E2795" i="2" s="1"/>
  <c r="I2790" i="2"/>
  <c r="P2790" i="2" s="1"/>
  <c r="H2791" i="2"/>
  <c r="F2795" i="2"/>
  <c r="A2796" i="2"/>
  <c r="B2795" i="2"/>
  <c r="C2795" i="2" s="1"/>
  <c r="D2795" i="2" s="1"/>
  <c r="L2795" i="2" s="1"/>
  <c r="O2795" i="2"/>
  <c r="M2795" i="2"/>
  <c r="G2794" i="2"/>
  <c r="J2794" i="2"/>
  <c r="K2794" i="2" s="1"/>
  <c r="I2791" i="2" l="1"/>
  <c r="P2791" i="2" s="1"/>
  <c r="E2796" i="2" a="1"/>
  <c r="E2796" i="2" s="1"/>
  <c r="N2790" i="2"/>
  <c r="F2796" i="2"/>
  <c r="A2797" i="2"/>
  <c r="B2796" i="2"/>
  <c r="C2796" i="2" s="1"/>
  <c r="D2796" i="2" s="1"/>
  <c r="L2796" i="2" s="1"/>
  <c r="O2796" i="2"/>
  <c r="M2796" i="2"/>
  <c r="G2795" i="2"/>
  <c r="J2795" i="2"/>
  <c r="K2795" i="2" s="1"/>
  <c r="H2792" i="2"/>
  <c r="N2791" i="2" l="1"/>
  <c r="E2797" i="2" a="1"/>
  <c r="E2797" i="2" s="1"/>
  <c r="I2792" i="2"/>
  <c r="P2792" i="2" s="1"/>
  <c r="H2793" i="2"/>
  <c r="F2797" i="2"/>
  <c r="O2797" i="2"/>
  <c r="M2797" i="2"/>
  <c r="B2797" i="2"/>
  <c r="C2797" i="2" s="1"/>
  <c r="D2797" i="2" s="1"/>
  <c r="A2798" i="2"/>
  <c r="G2796" i="2"/>
  <c r="J2796" i="2"/>
  <c r="K2796" i="2" s="1"/>
  <c r="I2793" i="2" l="1"/>
  <c r="P2793" i="2" s="1"/>
  <c r="E2798" i="2" a="1"/>
  <c r="E2798" i="2" s="1"/>
  <c r="L2797" i="2"/>
  <c r="N2792" i="2"/>
  <c r="O2798" i="2"/>
  <c r="M2798" i="2"/>
  <c r="A2799" i="2"/>
  <c r="F2798" i="2"/>
  <c r="B2798" i="2"/>
  <c r="C2798" i="2" s="1"/>
  <c r="D2798" i="2" s="1"/>
  <c r="L2798" i="2" s="1"/>
  <c r="J2797" i="2"/>
  <c r="K2797" i="2" s="1"/>
  <c r="G2797" i="2"/>
  <c r="H2794" i="2"/>
  <c r="N2793" i="2" l="1"/>
  <c r="E2799" i="2" a="1"/>
  <c r="E2799" i="2" s="1"/>
  <c r="I2794" i="2"/>
  <c r="P2794" i="2" s="1"/>
  <c r="H2795" i="2"/>
  <c r="I2795" i="2" s="1"/>
  <c r="P2795" i="2" s="1"/>
  <c r="J2798" i="2"/>
  <c r="K2798" i="2" s="1"/>
  <c r="G2798" i="2"/>
  <c r="A2800" i="2"/>
  <c r="B2799" i="2"/>
  <c r="C2799" i="2" s="1"/>
  <c r="D2799" i="2" s="1"/>
  <c r="L2799" i="2" s="1"/>
  <c r="M2799" i="2"/>
  <c r="O2799" i="2"/>
  <c r="F2799" i="2"/>
  <c r="E2800" i="2" l="1" a="1"/>
  <c r="E2800" i="2" s="1"/>
  <c r="N2794" i="2"/>
  <c r="N2795" i="2"/>
  <c r="G2799" i="2"/>
  <c r="J2799" i="2"/>
  <c r="K2799" i="2" s="1"/>
  <c r="A2801" i="2"/>
  <c r="B2800" i="2"/>
  <c r="C2800" i="2" s="1"/>
  <c r="D2800" i="2" s="1"/>
  <c r="L2800" i="2" s="1"/>
  <c r="O2800" i="2"/>
  <c r="M2800" i="2"/>
  <c r="F2800" i="2"/>
  <c r="H2796" i="2"/>
  <c r="I2796" i="2" s="1"/>
  <c r="P2796" i="2" s="1"/>
  <c r="E2801" i="2" l="1" a="1"/>
  <c r="E2801" i="2" s="1"/>
  <c r="N2796" i="2"/>
  <c r="H2797" i="2"/>
  <c r="J2800" i="2"/>
  <c r="K2800" i="2" s="1"/>
  <c r="G2800" i="2"/>
  <c r="A2802" i="2"/>
  <c r="B2801" i="2"/>
  <c r="C2801" i="2" s="1"/>
  <c r="D2801" i="2" s="1"/>
  <c r="L2801" i="2" s="1"/>
  <c r="O2801" i="2"/>
  <c r="F2801" i="2"/>
  <c r="M2801" i="2"/>
  <c r="I2797" i="2" l="1"/>
  <c r="P2797" i="2" s="1"/>
  <c r="E2802" i="2" a="1"/>
  <c r="E2802" i="2" s="1"/>
  <c r="J2801" i="2"/>
  <c r="K2801" i="2" s="1"/>
  <c r="G2801" i="2"/>
  <c r="A2803" i="2"/>
  <c r="B2802" i="2"/>
  <c r="C2802" i="2" s="1"/>
  <c r="D2802" i="2" s="1"/>
  <c r="L2802" i="2" s="1"/>
  <c r="O2802" i="2"/>
  <c r="M2802" i="2"/>
  <c r="F2802" i="2"/>
  <c r="H2798" i="2"/>
  <c r="I2798" i="2" l="1"/>
  <c r="P2798" i="2" s="1"/>
  <c r="E2803" i="2" a="1"/>
  <c r="E2803" i="2" s="1"/>
  <c r="N2797" i="2"/>
  <c r="H2799" i="2"/>
  <c r="J2802" i="2"/>
  <c r="K2802" i="2" s="1"/>
  <c r="G2802" i="2"/>
  <c r="O2803" i="2"/>
  <c r="M2803" i="2"/>
  <c r="A2804" i="2"/>
  <c r="F2803" i="2"/>
  <c r="B2803" i="2"/>
  <c r="C2803" i="2" s="1"/>
  <c r="D2803" i="2" s="1"/>
  <c r="L2803" i="2" l="1"/>
  <c r="E2804" i="2" a="1"/>
  <c r="E2804" i="2" s="1"/>
  <c r="N2798" i="2"/>
  <c r="I2799" i="2"/>
  <c r="P2799" i="2" s="1"/>
  <c r="E2805" i="2" a="1"/>
  <c r="E2805" i="2" s="1"/>
  <c r="J2803" i="2"/>
  <c r="K2803" i="2" s="1"/>
  <c r="G2803" i="2"/>
  <c r="O2804" i="2"/>
  <c r="M2804" i="2"/>
  <c r="F2804" i="2"/>
  <c r="A2805" i="2"/>
  <c r="B2804" i="2"/>
  <c r="C2804" i="2" s="1"/>
  <c r="D2804" i="2" s="1"/>
  <c r="H2800" i="2"/>
  <c r="I2800" i="2" s="1"/>
  <c r="P2800" i="2" s="1"/>
  <c r="N2799" i="2" l="1"/>
  <c r="N2800" i="2"/>
  <c r="L2804" i="2"/>
  <c r="H2801" i="2"/>
  <c r="M2805" i="2"/>
  <c r="F2805" i="2"/>
  <c r="A2806" i="2"/>
  <c r="B2805" i="2"/>
  <c r="C2805" i="2" s="1"/>
  <c r="D2805" i="2" s="1"/>
  <c r="L2805" i="2" s="1"/>
  <c r="O2805" i="2"/>
  <c r="G2804" i="2"/>
  <c r="J2804" i="2"/>
  <c r="K2804" i="2" s="1"/>
  <c r="I2801" i="2" l="1"/>
  <c r="P2801" i="2" s="1"/>
  <c r="E2806" i="2" a="1"/>
  <c r="E2806" i="2" s="1"/>
  <c r="M2806" i="2"/>
  <c r="F2806" i="2"/>
  <c r="A2807" i="2"/>
  <c r="B2806" i="2"/>
  <c r="C2806" i="2" s="1"/>
  <c r="D2806" i="2" s="1"/>
  <c r="O2806" i="2"/>
  <c r="J2805" i="2"/>
  <c r="K2805" i="2" s="1"/>
  <c r="G2805" i="2"/>
  <c r="H2802" i="2"/>
  <c r="I2802" i="2" s="1"/>
  <c r="P2802" i="2" s="1"/>
  <c r="N2801" i="2" l="1"/>
  <c r="L2806" i="2"/>
  <c r="E2807" i="2" a="1"/>
  <c r="E2807" i="2" s="1"/>
  <c r="N2802" i="2"/>
  <c r="H2803" i="2"/>
  <c r="F2807" i="2"/>
  <c r="A2808" i="2"/>
  <c r="B2807" i="2"/>
  <c r="C2807" i="2" s="1"/>
  <c r="D2807" i="2" s="1"/>
  <c r="O2807" i="2"/>
  <c r="M2807" i="2"/>
  <c r="J2806" i="2"/>
  <c r="K2806" i="2" s="1"/>
  <c r="G2806" i="2"/>
  <c r="E2808" i="2" l="1" a="1"/>
  <c r="E2808" i="2" s="1"/>
  <c r="L2807" i="2"/>
  <c r="I2803" i="2"/>
  <c r="P2803" i="2" s="1"/>
  <c r="A2809" i="2"/>
  <c r="B2808" i="2"/>
  <c r="C2808" i="2" s="1"/>
  <c r="D2808" i="2" s="1"/>
  <c r="L2808" i="2" s="1"/>
  <c r="O2808" i="2"/>
  <c r="M2808" i="2"/>
  <c r="F2808" i="2"/>
  <c r="J2807" i="2"/>
  <c r="K2807" i="2" s="1"/>
  <c r="G2807" i="2"/>
  <c r="H2804" i="2"/>
  <c r="N2803" i="2" l="1"/>
  <c r="E2809" i="2" a="1"/>
  <c r="E2809" i="2" s="1"/>
  <c r="I2804" i="2"/>
  <c r="P2804" i="2" s="1"/>
  <c r="H2805" i="2"/>
  <c r="I2805" i="2" s="1"/>
  <c r="P2805" i="2" s="1"/>
  <c r="J2808" i="2"/>
  <c r="K2808" i="2" s="1"/>
  <c r="G2808" i="2"/>
  <c r="F2809" i="2"/>
  <c r="A2810" i="2"/>
  <c r="B2809" i="2"/>
  <c r="C2809" i="2" s="1"/>
  <c r="D2809" i="2" s="1"/>
  <c r="L2809" i="2" s="1"/>
  <c r="O2809" i="2"/>
  <c r="M2809" i="2"/>
  <c r="N2804" i="2" l="1"/>
  <c r="N2805" i="2"/>
  <c r="E2810" i="2" a="1"/>
  <c r="E2810" i="2" s="1"/>
  <c r="F2810" i="2"/>
  <c r="A2811" i="2"/>
  <c r="B2810" i="2"/>
  <c r="C2810" i="2" s="1"/>
  <c r="D2810" i="2" s="1"/>
  <c r="O2810" i="2"/>
  <c r="M2810" i="2"/>
  <c r="J2809" i="2"/>
  <c r="K2809" i="2" s="1"/>
  <c r="G2809" i="2"/>
  <c r="H2806" i="2"/>
  <c r="E2811" i="2" l="1" a="1"/>
  <c r="E2811" i="2" s="1"/>
  <c r="L2810" i="2"/>
  <c r="I2806" i="2"/>
  <c r="P2806" i="2" s="1"/>
  <c r="H2807" i="2"/>
  <c r="F2811" i="2"/>
  <c r="A2812" i="2"/>
  <c r="B2811" i="2"/>
  <c r="C2811" i="2" s="1"/>
  <c r="D2811" i="2" s="1"/>
  <c r="L2811" i="2" s="1"/>
  <c r="O2811" i="2"/>
  <c r="M2811" i="2"/>
  <c r="G2810" i="2"/>
  <c r="J2810" i="2"/>
  <c r="K2810" i="2" s="1"/>
  <c r="I2807" i="2" l="1"/>
  <c r="P2807" i="2" s="1"/>
  <c r="E2812" i="2" a="1"/>
  <c r="E2812" i="2" s="1"/>
  <c r="N2806" i="2"/>
  <c r="F2812" i="2"/>
  <c r="A2813" i="2"/>
  <c r="B2812" i="2"/>
  <c r="C2812" i="2" s="1"/>
  <c r="D2812" i="2" s="1"/>
  <c r="O2812" i="2"/>
  <c r="M2812" i="2"/>
  <c r="G2811" i="2"/>
  <c r="J2811" i="2"/>
  <c r="K2811" i="2" s="1"/>
  <c r="H2808" i="2"/>
  <c r="E2813" i="2" l="1" a="1"/>
  <c r="E2813" i="2" s="1"/>
  <c r="L2812" i="2"/>
  <c r="I2808" i="2"/>
  <c r="P2808" i="2" s="1"/>
  <c r="N2807" i="2"/>
  <c r="H2809" i="2"/>
  <c r="I2809" i="2" s="1"/>
  <c r="P2809" i="2" s="1"/>
  <c r="F2813" i="2"/>
  <c r="A2814" i="2"/>
  <c r="B2813" i="2"/>
  <c r="C2813" i="2" s="1"/>
  <c r="D2813" i="2" s="1"/>
  <c r="L2813" i="2" s="1"/>
  <c r="O2813" i="2"/>
  <c r="M2813" i="2"/>
  <c r="G2812" i="2"/>
  <c r="J2812" i="2"/>
  <c r="K2812" i="2" s="1"/>
  <c r="E2814" i="2" l="1" a="1"/>
  <c r="E2814" i="2" s="1"/>
  <c r="N2809" i="2"/>
  <c r="N2808" i="2"/>
  <c r="A2815" i="2"/>
  <c r="B2814" i="2"/>
  <c r="C2814" i="2" s="1"/>
  <c r="D2814" i="2" s="1"/>
  <c r="L2814" i="2" s="1"/>
  <c r="O2814" i="2"/>
  <c r="M2814" i="2"/>
  <c r="F2814" i="2"/>
  <c r="J2813" i="2"/>
  <c r="K2813" i="2" s="1"/>
  <c r="G2813" i="2"/>
  <c r="H2810" i="2"/>
  <c r="I2810" i="2" l="1"/>
  <c r="P2810" i="2" s="1"/>
  <c r="E2815" i="2" a="1"/>
  <c r="E2815" i="2" s="1"/>
  <c r="H2811" i="2"/>
  <c r="I2811" i="2" s="1"/>
  <c r="P2811" i="2" s="1"/>
  <c r="J2814" i="2"/>
  <c r="K2814" i="2" s="1"/>
  <c r="G2814" i="2"/>
  <c r="A2816" i="2"/>
  <c r="B2815" i="2"/>
  <c r="C2815" i="2" s="1"/>
  <c r="D2815" i="2" s="1"/>
  <c r="O2815" i="2"/>
  <c r="M2815" i="2"/>
  <c r="F2815" i="2"/>
  <c r="E2816" i="2" l="1" a="1"/>
  <c r="E2816" i="2" s="1"/>
  <c r="N2810" i="2"/>
  <c r="N2811" i="2"/>
  <c r="L2815" i="2"/>
  <c r="J2815" i="2"/>
  <c r="K2815" i="2" s="1"/>
  <c r="G2815" i="2"/>
  <c r="A2817" i="2"/>
  <c r="B2816" i="2"/>
  <c r="C2816" i="2" s="1"/>
  <c r="D2816" i="2" s="1"/>
  <c r="L2816" i="2" s="1"/>
  <c r="O2816" i="2"/>
  <c r="M2816" i="2"/>
  <c r="F2816" i="2"/>
  <c r="H2812" i="2"/>
  <c r="I2812" i="2" l="1"/>
  <c r="P2812" i="2" s="1"/>
  <c r="E2817" i="2" a="1"/>
  <c r="E2817" i="2" s="1"/>
  <c r="H2813" i="2"/>
  <c r="I2813" i="2" s="1"/>
  <c r="P2813" i="2" s="1"/>
  <c r="J2816" i="2"/>
  <c r="K2816" i="2" s="1"/>
  <c r="G2816" i="2"/>
  <c r="A2818" i="2"/>
  <c r="B2817" i="2"/>
  <c r="C2817" i="2" s="1"/>
  <c r="D2817" i="2" s="1"/>
  <c r="L2817" i="2" s="1"/>
  <c r="O2817" i="2"/>
  <c r="M2817" i="2"/>
  <c r="F2817" i="2"/>
  <c r="N2812" i="2" l="1"/>
  <c r="E2818" i="2" a="1"/>
  <c r="E2818" i="2" s="1"/>
  <c r="N2813" i="2"/>
  <c r="J2817" i="2"/>
  <c r="K2817" i="2" s="1"/>
  <c r="G2817" i="2"/>
  <c r="A2819" i="2"/>
  <c r="B2818" i="2"/>
  <c r="C2818" i="2" s="1"/>
  <c r="D2818" i="2" s="1"/>
  <c r="L2818" i="2" s="1"/>
  <c r="O2818" i="2"/>
  <c r="M2818" i="2"/>
  <c r="F2818" i="2"/>
  <c r="H2814" i="2"/>
  <c r="I2814" i="2" s="1"/>
  <c r="P2814" i="2" s="1"/>
  <c r="N2814" i="2" l="1"/>
  <c r="E2819" i="2" a="1"/>
  <c r="E2819" i="2" s="1"/>
  <c r="H2815" i="2"/>
  <c r="I2815" i="2" s="1"/>
  <c r="P2815" i="2" s="1"/>
  <c r="J2818" i="2"/>
  <c r="K2818" i="2" s="1"/>
  <c r="G2818" i="2"/>
  <c r="O2819" i="2"/>
  <c r="M2819" i="2"/>
  <c r="F2819" i="2"/>
  <c r="A2820" i="2"/>
  <c r="B2819" i="2"/>
  <c r="C2819" i="2" s="1"/>
  <c r="D2819" i="2" s="1"/>
  <c r="L2819" i="2" l="1"/>
  <c r="N2815" i="2"/>
  <c r="E2820" i="2" a="1"/>
  <c r="E2820" i="2" s="1"/>
  <c r="O2820" i="2"/>
  <c r="M2820" i="2"/>
  <c r="F2820" i="2"/>
  <c r="A2821" i="2"/>
  <c r="B2820" i="2"/>
  <c r="C2820" i="2" s="1"/>
  <c r="D2820" i="2" s="1"/>
  <c r="J2819" i="2"/>
  <c r="K2819" i="2" s="1"/>
  <c r="G2819" i="2"/>
  <c r="H2816" i="2"/>
  <c r="I2816" i="2" l="1"/>
  <c r="P2816" i="2" s="1"/>
  <c r="E2821" i="2" a="1"/>
  <c r="E2821" i="2" s="1"/>
  <c r="L2820" i="2"/>
  <c r="H2817" i="2"/>
  <c r="I2817" i="2" s="1"/>
  <c r="P2817" i="2" s="1"/>
  <c r="M2821" i="2"/>
  <c r="F2821" i="2"/>
  <c r="A2822" i="2"/>
  <c r="B2821" i="2"/>
  <c r="C2821" i="2" s="1"/>
  <c r="D2821" i="2" s="1"/>
  <c r="L2821" i="2" s="1"/>
  <c r="O2821" i="2"/>
  <c r="J2820" i="2"/>
  <c r="K2820" i="2" s="1"/>
  <c r="G2820" i="2"/>
  <c r="E2822" i="2" l="1" a="1"/>
  <c r="E2822" i="2" s="1"/>
  <c r="N2817" i="2"/>
  <c r="N2816" i="2"/>
  <c r="M2822" i="2"/>
  <c r="F2822" i="2"/>
  <c r="A2823" i="2"/>
  <c r="B2822" i="2"/>
  <c r="C2822" i="2" s="1"/>
  <c r="D2822" i="2" s="1"/>
  <c r="L2822" i="2" s="1"/>
  <c r="O2822" i="2"/>
  <c r="J2821" i="2"/>
  <c r="K2821" i="2" s="1"/>
  <c r="G2821" i="2"/>
  <c r="H2818" i="2"/>
  <c r="E2823" i="2" l="1" a="1"/>
  <c r="E2823" i="2" s="1"/>
  <c r="I2818" i="2"/>
  <c r="P2818" i="2" s="1"/>
  <c r="E2824" i="2" a="1"/>
  <c r="E2824" i="2" s="1"/>
  <c r="H2819" i="2"/>
  <c r="F2823" i="2"/>
  <c r="A2824" i="2"/>
  <c r="B2823" i="2"/>
  <c r="C2823" i="2" s="1"/>
  <c r="D2823" i="2" s="1"/>
  <c r="L2823" i="2" s="1"/>
  <c r="O2823" i="2"/>
  <c r="M2823" i="2"/>
  <c r="J2822" i="2"/>
  <c r="K2822" i="2" s="1"/>
  <c r="G2822" i="2"/>
  <c r="N2818" i="2" l="1"/>
  <c r="I2819" i="2"/>
  <c r="P2819" i="2" s="1"/>
  <c r="F2824" i="2"/>
  <c r="A2825" i="2"/>
  <c r="B2824" i="2"/>
  <c r="C2824" i="2" s="1"/>
  <c r="D2824" i="2" s="1"/>
  <c r="L2824" i="2" s="1"/>
  <c r="O2824" i="2"/>
  <c r="M2824" i="2"/>
  <c r="J2823" i="2"/>
  <c r="K2823" i="2" s="1"/>
  <c r="G2823" i="2"/>
  <c r="H2820" i="2"/>
  <c r="I2820" i="2" l="1"/>
  <c r="P2820" i="2" s="1"/>
  <c r="E2825" i="2" a="1"/>
  <c r="E2825" i="2" s="1"/>
  <c r="N2819" i="2"/>
  <c r="H2821" i="2"/>
  <c r="F2825" i="2"/>
  <c r="A2826" i="2"/>
  <c r="B2825" i="2"/>
  <c r="C2825" i="2" s="1"/>
  <c r="D2825" i="2" s="1"/>
  <c r="L2825" i="2" s="1"/>
  <c r="O2825" i="2"/>
  <c r="M2825" i="2"/>
  <c r="J2824" i="2"/>
  <c r="K2824" i="2" s="1"/>
  <c r="G2824" i="2"/>
  <c r="E2826" i="2" l="1" a="1"/>
  <c r="E2826" i="2" s="1"/>
  <c r="N2820" i="2"/>
  <c r="I2821" i="2"/>
  <c r="P2821" i="2" s="1"/>
  <c r="F2826" i="2"/>
  <c r="A2827" i="2"/>
  <c r="B2826" i="2"/>
  <c r="C2826" i="2" s="1"/>
  <c r="D2826" i="2" s="1"/>
  <c r="L2826" i="2" s="1"/>
  <c r="O2826" i="2"/>
  <c r="M2826" i="2"/>
  <c r="J2825" i="2"/>
  <c r="K2825" i="2" s="1"/>
  <c r="G2825" i="2"/>
  <c r="H2822" i="2"/>
  <c r="I2822" i="2" s="1"/>
  <c r="P2822" i="2" s="1"/>
  <c r="N2822" i="2" l="1"/>
  <c r="E2827" i="2" a="1"/>
  <c r="E2827" i="2" s="1"/>
  <c r="N2821" i="2"/>
  <c r="H2823" i="2"/>
  <c r="F2827" i="2"/>
  <c r="B2827" i="2"/>
  <c r="C2827" i="2" s="1"/>
  <c r="D2827" i="2" s="1"/>
  <c r="A2828" i="2"/>
  <c r="O2827" i="2"/>
  <c r="M2827" i="2"/>
  <c r="G2826" i="2"/>
  <c r="J2826" i="2"/>
  <c r="K2826" i="2" s="1"/>
  <c r="L2827" i="2" l="1"/>
  <c r="E2828" i="2" a="1"/>
  <c r="E2828" i="2" s="1"/>
  <c r="I2823" i="2"/>
  <c r="P2823" i="2" s="1"/>
  <c r="F2828" i="2"/>
  <c r="B2828" i="2"/>
  <c r="C2828" i="2" s="1"/>
  <c r="D2828" i="2" s="1"/>
  <c r="A2829" i="2"/>
  <c r="O2828" i="2"/>
  <c r="M2828" i="2"/>
  <c r="G2827" i="2"/>
  <c r="J2827" i="2"/>
  <c r="K2827" i="2" s="1"/>
  <c r="H2824" i="2"/>
  <c r="N2823" i="2" l="1"/>
  <c r="I2824" i="2"/>
  <c r="P2824" i="2" s="1"/>
  <c r="L2828" i="2"/>
  <c r="E2829" i="2" a="1"/>
  <c r="E2829" i="2" s="1"/>
  <c r="H2825" i="2"/>
  <c r="I2825" i="2" s="1"/>
  <c r="P2825" i="2" s="1"/>
  <c r="F2829" i="2"/>
  <c r="B2829" i="2"/>
  <c r="C2829" i="2" s="1"/>
  <c r="D2829" i="2" s="1"/>
  <c r="L2829" i="2" s="1"/>
  <c r="A2830" i="2"/>
  <c r="O2829" i="2"/>
  <c r="M2829" i="2"/>
  <c r="J2828" i="2"/>
  <c r="K2828" i="2" s="1"/>
  <c r="G2828" i="2"/>
  <c r="N2824" i="2" l="1"/>
  <c r="N2825" i="2"/>
  <c r="E2830" i="2" a="1"/>
  <c r="E2830" i="2" s="1"/>
  <c r="F2830" i="2"/>
  <c r="B2830" i="2"/>
  <c r="C2830" i="2" s="1"/>
  <c r="D2830" i="2" s="1"/>
  <c r="A2831" i="2"/>
  <c r="O2830" i="2"/>
  <c r="M2830" i="2"/>
  <c r="J2829" i="2"/>
  <c r="K2829" i="2" s="1"/>
  <c r="G2829" i="2"/>
  <c r="H2826" i="2"/>
  <c r="E2831" i="2" l="1" a="1"/>
  <c r="E2831" i="2" s="1"/>
  <c r="L2830" i="2"/>
  <c r="I2826" i="2"/>
  <c r="P2826" i="2" s="1"/>
  <c r="H2827" i="2"/>
  <c r="I2827" i="2" s="1"/>
  <c r="P2827" i="2" s="1"/>
  <c r="M2831" i="2"/>
  <c r="F2831" i="2"/>
  <c r="B2831" i="2"/>
  <c r="C2831" i="2" s="1"/>
  <c r="D2831" i="2" s="1"/>
  <c r="A2832" i="2"/>
  <c r="O2831" i="2"/>
  <c r="J2830" i="2"/>
  <c r="K2830" i="2" s="1"/>
  <c r="G2830" i="2"/>
  <c r="L2831" i="2" l="1"/>
  <c r="N2827" i="2"/>
  <c r="N2826" i="2"/>
  <c r="E2832" i="2" a="1"/>
  <c r="E2832" i="2" s="1"/>
  <c r="F2832" i="2"/>
  <c r="A2833" i="2"/>
  <c r="B2832" i="2"/>
  <c r="C2832" i="2" s="1"/>
  <c r="D2832" i="2" s="1"/>
  <c r="L2832" i="2" s="1"/>
  <c r="O2832" i="2"/>
  <c r="M2832" i="2"/>
  <c r="G2831" i="2"/>
  <c r="J2831" i="2"/>
  <c r="K2831" i="2" s="1"/>
  <c r="H2828" i="2"/>
  <c r="I2828" i="2" s="1"/>
  <c r="P2828" i="2" s="1"/>
  <c r="N2828" i="2" l="1"/>
  <c r="E2833" i="2" a="1"/>
  <c r="E2833" i="2" s="1"/>
  <c r="H2829" i="2"/>
  <c r="M2833" i="2"/>
  <c r="B2833" i="2"/>
  <c r="C2833" i="2" s="1"/>
  <c r="D2833" i="2" s="1"/>
  <c r="A2834" i="2"/>
  <c r="O2833" i="2"/>
  <c r="F2833" i="2"/>
  <c r="J2832" i="2"/>
  <c r="K2832" i="2" s="1"/>
  <c r="G2832" i="2"/>
  <c r="L2833" i="2" l="1"/>
  <c r="I2829" i="2"/>
  <c r="P2829" i="2" s="1"/>
  <c r="E2834" i="2" a="1"/>
  <c r="E2834" i="2" s="1"/>
  <c r="J2833" i="2"/>
  <c r="K2833" i="2" s="1"/>
  <c r="G2833" i="2"/>
  <c r="O2834" i="2"/>
  <c r="F2834" i="2"/>
  <c r="B2834" i="2"/>
  <c r="C2834" i="2" s="1"/>
  <c r="D2834" i="2" s="1"/>
  <c r="A2835" i="2"/>
  <c r="M2834" i="2"/>
  <c r="H2830" i="2"/>
  <c r="I2830" i="2" s="1"/>
  <c r="P2830" i="2" s="1"/>
  <c r="L2834" i="2" l="1"/>
  <c r="N2829" i="2"/>
  <c r="N2830" i="2"/>
  <c r="E2835" i="2" a="1"/>
  <c r="E2835" i="2" s="1"/>
  <c r="H2831" i="2"/>
  <c r="I2831" i="2" s="1"/>
  <c r="P2831" i="2" s="1"/>
  <c r="A2836" i="2"/>
  <c r="B2835" i="2"/>
  <c r="C2835" i="2" s="1"/>
  <c r="D2835" i="2" s="1"/>
  <c r="F2835" i="2"/>
  <c r="O2835" i="2"/>
  <c r="M2835" i="2"/>
  <c r="J2834" i="2"/>
  <c r="K2834" i="2" s="1"/>
  <c r="G2834" i="2"/>
  <c r="E2836" i="2" l="1" a="1"/>
  <c r="E2836" i="2" s="1"/>
  <c r="L2835" i="2"/>
  <c r="N2831" i="2"/>
  <c r="G2835" i="2"/>
  <c r="J2835" i="2"/>
  <c r="K2835" i="2" s="1"/>
  <c r="M2836" i="2"/>
  <c r="F2836" i="2"/>
  <c r="B2836" i="2"/>
  <c r="C2836" i="2" s="1"/>
  <c r="D2836" i="2" s="1"/>
  <c r="A2837" i="2"/>
  <c r="O2836" i="2"/>
  <c r="H2832" i="2"/>
  <c r="I2832" i="2" s="1"/>
  <c r="P2832" i="2" s="1"/>
  <c r="E2837" i="2" l="1" a="1"/>
  <c r="E2837" i="2" s="1"/>
  <c r="N2832" i="2"/>
  <c r="L2836" i="2"/>
  <c r="H2833" i="2"/>
  <c r="A2838" i="2"/>
  <c r="B2837" i="2"/>
  <c r="C2837" i="2" s="1"/>
  <c r="D2837" i="2" s="1"/>
  <c r="L2837" i="2" s="1"/>
  <c r="O2837" i="2"/>
  <c r="M2837" i="2"/>
  <c r="F2837" i="2"/>
  <c r="J2836" i="2"/>
  <c r="K2836" i="2" s="1"/>
  <c r="G2836" i="2"/>
  <c r="I2833" i="2" l="1"/>
  <c r="P2833" i="2" s="1"/>
  <c r="E2838" i="2" a="1"/>
  <c r="E2838" i="2" s="1"/>
  <c r="J2837" i="2"/>
  <c r="K2837" i="2" s="1"/>
  <c r="G2837" i="2"/>
  <c r="B2838" i="2"/>
  <c r="C2838" i="2" s="1"/>
  <c r="D2838" i="2" s="1"/>
  <c r="A2839" i="2"/>
  <c r="O2838" i="2"/>
  <c r="M2838" i="2"/>
  <c r="F2838" i="2"/>
  <c r="H2834" i="2"/>
  <c r="N2833" i="2" l="1"/>
  <c r="I2834" i="2"/>
  <c r="P2834" i="2" s="1"/>
  <c r="L2838" i="2"/>
  <c r="E2839" i="2" a="1"/>
  <c r="E2839" i="2" s="1"/>
  <c r="E2840" i="2" a="1"/>
  <c r="E2840" i="2" s="1"/>
  <c r="H2835" i="2"/>
  <c r="J2838" i="2"/>
  <c r="K2838" i="2" s="1"/>
  <c r="G2838" i="2"/>
  <c r="O2839" i="2"/>
  <c r="M2839" i="2"/>
  <c r="F2839" i="2"/>
  <c r="B2839" i="2"/>
  <c r="C2839" i="2" s="1"/>
  <c r="D2839" i="2" s="1"/>
  <c r="L2839" i="2" s="1"/>
  <c r="A2840" i="2"/>
  <c r="N2834" i="2" l="1"/>
  <c r="I2835" i="2"/>
  <c r="P2835" i="2" s="1"/>
  <c r="F2840" i="2"/>
  <c r="A2841" i="2"/>
  <c r="O2840" i="2"/>
  <c r="M2840" i="2"/>
  <c r="B2840" i="2"/>
  <c r="C2840" i="2" s="1"/>
  <c r="D2840" i="2" s="1"/>
  <c r="L2840" i="2" s="1"/>
  <c r="J2839" i="2"/>
  <c r="K2839" i="2" s="1"/>
  <c r="G2839" i="2"/>
  <c r="H2836" i="2"/>
  <c r="N2835" i="2" l="1"/>
  <c r="E2841" i="2" a="1"/>
  <c r="E2841" i="2" s="1"/>
  <c r="I2836" i="2"/>
  <c r="P2836" i="2" s="1"/>
  <c r="H2837" i="2"/>
  <c r="M2841" i="2"/>
  <c r="A2842" i="2"/>
  <c r="B2841" i="2"/>
  <c r="C2841" i="2" s="1"/>
  <c r="D2841" i="2" s="1"/>
  <c r="L2841" i="2" s="1"/>
  <c r="F2841" i="2"/>
  <c r="O2841" i="2"/>
  <c r="J2840" i="2"/>
  <c r="K2840" i="2" s="1"/>
  <c r="G2840" i="2"/>
  <c r="E2842" i="2" l="1" a="1"/>
  <c r="E2842" i="2" s="1"/>
  <c r="I2837" i="2"/>
  <c r="P2837" i="2" s="1"/>
  <c r="N2836" i="2"/>
  <c r="J2841" i="2"/>
  <c r="K2841" i="2" s="1"/>
  <c r="G2841" i="2"/>
  <c r="A2843" i="2"/>
  <c r="B2842" i="2"/>
  <c r="C2842" i="2" s="1"/>
  <c r="D2842" i="2" s="1"/>
  <c r="O2842" i="2"/>
  <c r="M2842" i="2"/>
  <c r="F2842" i="2"/>
  <c r="H2838" i="2"/>
  <c r="I2838" i="2" s="1"/>
  <c r="P2838" i="2" s="1"/>
  <c r="E2843" i="2" l="1" a="1"/>
  <c r="E2843" i="2" s="1"/>
  <c r="L2842" i="2"/>
  <c r="N2838" i="2"/>
  <c r="N2837" i="2"/>
  <c r="H2839" i="2"/>
  <c r="I2839" i="2" s="1"/>
  <c r="P2839" i="2" s="1"/>
  <c r="J2842" i="2"/>
  <c r="K2842" i="2" s="1"/>
  <c r="G2842" i="2"/>
  <c r="F2843" i="2"/>
  <c r="A2844" i="2"/>
  <c r="B2843" i="2"/>
  <c r="C2843" i="2" s="1"/>
  <c r="D2843" i="2" s="1"/>
  <c r="L2843" i="2" s="1"/>
  <c r="O2843" i="2"/>
  <c r="M2843" i="2"/>
  <c r="N2839" i="2" l="1"/>
  <c r="E2844" i="2" a="1"/>
  <c r="E2844" i="2" s="1"/>
  <c r="A2845" i="2"/>
  <c r="B2844" i="2"/>
  <c r="C2844" i="2" s="1"/>
  <c r="D2844" i="2" s="1"/>
  <c r="L2844" i="2" s="1"/>
  <c r="O2844" i="2"/>
  <c r="M2844" i="2"/>
  <c r="F2844" i="2"/>
  <c r="J2843" i="2"/>
  <c r="K2843" i="2" s="1"/>
  <c r="G2843" i="2"/>
  <c r="H2840" i="2"/>
  <c r="I2840" i="2" l="1"/>
  <c r="P2840" i="2" s="1"/>
  <c r="E2845" i="2" a="1"/>
  <c r="E2845" i="2" s="1"/>
  <c r="H2841" i="2"/>
  <c r="I2841" i="2" s="1"/>
  <c r="P2841" i="2" s="1"/>
  <c r="J2844" i="2"/>
  <c r="K2844" i="2" s="1"/>
  <c r="G2844" i="2"/>
  <c r="A2846" i="2"/>
  <c r="B2845" i="2"/>
  <c r="C2845" i="2" s="1"/>
  <c r="D2845" i="2" s="1"/>
  <c r="L2845" i="2" s="1"/>
  <c r="O2845" i="2"/>
  <c r="M2845" i="2"/>
  <c r="F2845" i="2"/>
  <c r="E2846" i="2" l="1" a="1"/>
  <c r="E2846" i="2" s="1"/>
  <c r="N2841" i="2"/>
  <c r="N2840" i="2"/>
  <c r="G2845" i="2"/>
  <c r="J2845" i="2"/>
  <c r="K2845" i="2" s="1"/>
  <c r="F2846" i="2"/>
  <c r="O2846" i="2"/>
  <c r="M2846" i="2"/>
  <c r="B2846" i="2"/>
  <c r="C2846" i="2" s="1"/>
  <c r="D2846" i="2" s="1"/>
  <c r="A2847" i="2"/>
  <c r="H2842" i="2"/>
  <c r="I2842" i="2" s="1"/>
  <c r="P2842" i="2" s="1"/>
  <c r="L2846" i="2" l="1"/>
  <c r="E2847" i="2" a="1"/>
  <c r="E2847" i="2" s="1"/>
  <c r="N2842" i="2"/>
  <c r="H2843" i="2"/>
  <c r="I2843" i="2" s="1"/>
  <c r="P2843" i="2" s="1"/>
  <c r="A2848" i="2"/>
  <c r="B2847" i="2"/>
  <c r="C2847" i="2" s="1"/>
  <c r="D2847" i="2" s="1"/>
  <c r="L2847" i="2" s="1"/>
  <c r="O2847" i="2"/>
  <c r="M2847" i="2"/>
  <c r="F2847" i="2"/>
  <c r="J2846" i="2"/>
  <c r="K2846" i="2" s="1"/>
  <c r="G2846" i="2"/>
  <c r="E2848" i="2" l="1" a="1"/>
  <c r="E2848" i="2" s="1"/>
  <c r="N2843" i="2"/>
  <c r="G2847" i="2"/>
  <c r="J2847" i="2"/>
  <c r="K2847" i="2" s="1"/>
  <c r="F2848" i="2"/>
  <c r="A2849" i="2"/>
  <c r="B2848" i="2"/>
  <c r="C2848" i="2" s="1"/>
  <c r="D2848" i="2" s="1"/>
  <c r="L2848" i="2" s="1"/>
  <c r="M2848" i="2"/>
  <c r="O2848" i="2"/>
  <c r="H2844" i="2"/>
  <c r="I2844" i="2" s="1"/>
  <c r="P2844" i="2" s="1"/>
  <c r="N2844" i="2" l="1"/>
  <c r="E2849" i="2" a="1"/>
  <c r="E2849" i="2" s="1"/>
  <c r="H2845" i="2"/>
  <c r="I2845" i="2" s="1"/>
  <c r="P2845" i="2" s="1"/>
  <c r="A2850" i="2"/>
  <c r="B2849" i="2"/>
  <c r="C2849" i="2" s="1"/>
  <c r="D2849" i="2" s="1"/>
  <c r="L2849" i="2" s="1"/>
  <c r="O2849" i="2"/>
  <c r="M2849" i="2"/>
  <c r="F2849" i="2"/>
  <c r="J2848" i="2"/>
  <c r="K2848" i="2" s="1"/>
  <c r="G2848" i="2"/>
  <c r="N2845" i="2" l="1"/>
  <c r="E2850" i="2" a="1"/>
  <c r="E2850" i="2" s="1"/>
  <c r="J2849" i="2"/>
  <c r="K2849" i="2" s="1"/>
  <c r="G2849" i="2"/>
  <c r="A2851" i="2"/>
  <c r="B2850" i="2"/>
  <c r="C2850" i="2" s="1"/>
  <c r="D2850" i="2" s="1"/>
  <c r="L2850" i="2" s="1"/>
  <c r="O2850" i="2"/>
  <c r="M2850" i="2"/>
  <c r="F2850" i="2"/>
  <c r="H2846" i="2"/>
  <c r="I2846" i="2" s="1"/>
  <c r="P2846" i="2" s="1"/>
  <c r="E2851" i="2" l="1" a="1"/>
  <c r="E2851" i="2" s="1"/>
  <c r="N2846" i="2"/>
  <c r="E2852" i="2" a="1"/>
  <c r="E2852" i="2" s="1"/>
  <c r="H2847" i="2"/>
  <c r="I2847" i="2" s="1"/>
  <c r="P2847" i="2" s="1"/>
  <c r="J2850" i="2"/>
  <c r="K2850" i="2" s="1"/>
  <c r="G2850" i="2"/>
  <c r="A2852" i="2"/>
  <c r="B2851" i="2"/>
  <c r="C2851" i="2" s="1"/>
  <c r="D2851" i="2" s="1"/>
  <c r="L2851" i="2" s="1"/>
  <c r="O2851" i="2"/>
  <c r="M2851" i="2"/>
  <c r="F2851" i="2"/>
  <c r="N2847" i="2" l="1"/>
  <c r="J2851" i="2"/>
  <c r="K2851" i="2" s="1"/>
  <c r="G2851" i="2"/>
  <c r="O2852" i="2"/>
  <c r="M2852" i="2"/>
  <c r="F2852" i="2"/>
  <c r="B2852" i="2"/>
  <c r="C2852" i="2" s="1"/>
  <c r="D2852" i="2" s="1"/>
  <c r="A2853" i="2"/>
  <c r="H2848" i="2"/>
  <c r="I2848" i="2" l="1"/>
  <c r="P2848" i="2" s="1"/>
  <c r="E2853" i="2" a="1"/>
  <c r="E2853" i="2" s="1"/>
  <c r="L2852" i="2"/>
  <c r="H2849" i="2"/>
  <c r="A2854" i="2"/>
  <c r="B2853" i="2"/>
  <c r="C2853" i="2" s="1"/>
  <c r="D2853" i="2" s="1"/>
  <c r="L2853" i="2" s="1"/>
  <c r="O2853" i="2"/>
  <c r="M2853" i="2"/>
  <c r="F2853" i="2"/>
  <c r="J2852" i="2"/>
  <c r="K2852" i="2" s="1"/>
  <c r="G2852" i="2"/>
  <c r="E2854" i="2" l="1" a="1"/>
  <c r="E2854" i="2" s="1"/>
  <c r="I2849" i="2"/>
  <c r="P2849" i="2" s="1"/>
  <c r="N2848" i="2"/>
  <c r="G2853" i="2"/>
  <c r="J2853" i="2"/>
  <c r="K2853" i="2" s="1"/>
  <c r="M2854" i="2"/>
  <c r="F2854" i="2"/>
  <c r="A2855" i="2"/>
  <c r="O2854" i="2"/>
  <c r="B2854" i="2"/>
  <c r="C2854" i="2" s="1"/>
  <c r="D2854" i="2" s="1"/>
  <c r="H2850" i="2"/>
  <c r="E2855" i="2" l="1" a="1"/>
  <c r="E2855" i="2" s="1"/>
  <c r="I2850" i="2"/>
  <c r="P2850" i="2" s="1"/>
  <c r="L2854" i="2"/>
  <c r="N2849" i="2"/>
  <c r="H2851" i="2"/>
  <c r="O2855" i="2"/>
  <c r="M2855" i="2"/>
  <c r="F2855" i="2"/>
  <c r="A2856" i="2"/>
  <c r="B2855" i="2"/>
  <c r="C2855" i="2" s="1"/>
  <c r="D2855" i="2" s="1"/>
  <c r="L2855" i="2" s="1"/>
  <c r="J2854" i="2"/>
  <c r="K2854" i="2" s="1"/>
  <c r="G2854" i="2"/>
  <c r="E2856" i="2" l="1" a="1"/>
  <c r="E2856" i="2" s="1"/>
  <c r="I2851" i="2"/>
  <c r="P2851" i="2" s="1"/>
  <c r="N2850" i="2"/>
  <c r="F2856" i="2"/>
  <c r="A2857" i="2"/>
  <c r="B2856" i="2"/>
  <c r="C2856" i="2" s="1"/>
  <c r="D2856" i="2" s="1"/>
  <c r="L2856" i="2" s="1"/>
  <c r="O2856" i="2"/>
  <c r="M2856" i="2"/>
  <c r="J2855" i="2"/>
  <c r="K2855" i="2" s="1"/>
  <c r="G2855" i="2"/>
  <c r="H2852" i="2"/>
  <c r="N2851" i="2" l="1"/>
  <c r="E2857" i="2" a="1"/>
  <c r="E2857" i="2" s="1"/>
  <c r="I2852" i="2"/>
  <c r="P2852" i="2" s="1"/>
  <c r="H2853" i="2"/>
  <c r="I2853" i="2" s="1"/>
  <c r="P2853" i="2" s="1"/>
  <c r="M2857" i="2"/>
  <c r="A2858" i="2"/>
  <c r="B2857" i="2"/>
  <c r="C2857" i="2" s="1"/>
  <c r="D2857" i="2" s="1"/>
  <c r="O2857" i="2"/>
  <c r="F2857" i="2"/>
  <c r="J2856" i="2"/>
  <c r="K2856" i="2" s="1"/>
  <c r="G2856" i="2"/>
  <c r="E2858" i="2" l="1" a="1"/>
  <c r="E2858" i="2" s="1"/>
  <c r="N2852" i="2"/>
  <c r="L2857" i="2"/>
  <c r="N2853" i="2"/>
  <c r="J2857" i="2"/>
  <c r="K2857" i="2" s="1"/>
  <c r="G2857" i="2"/>
  <c r="F2858" i="2"/>
  <c r="A2859" i="2"/>
  <c r="B2858" i="2"/>
  <c r="C2858" i="2" s="1"/>
  <c r="D2858" i="2" s="1"/>
  <c r="L2858" i="2" s="1"/>
  <c r="O2858" i="2"/>
  <c r="M2858" i="2"/>
  <c r="H2854" i="2"/>
  <c r="I2854" i="2" s="1"/>
  <c r="P2854" i="2" s="1"/>
  <c r="N2854" i="2" l="1"/>
  <c r="E2859" i="2" a="1"/>
  <c r="E2859" i="2" s="1"/>
  <c r="H2855" i="2"/>
  <c r="F2859" i="2"/>
  <c r="A2860" i="2"/>
  <c r="B2859" i="2"/>
  <c r="C2859" i="2" s="1"/>
  <c r="D2859" i="2" s="1"/>
  <c r="L2859" i="2" s="1"/>
  <c r="O2859" i="2"/>
  <c r="M2859" i="2"/>
  <c r="J2858" i="2"/>
  <c r="K2858" i="2" s="1"/>
  <c r="G2858" i="2"/>
  <c r="E2860" i="2" l="1" a="1"/>
  <c r="E2860" i="2" s="1"/>
  <c r="I2855" i="2"/>
  <c r="P2855" i="2" s="1"/>
  <c r="F2860" i="2"/>
  <c r="A2861" i="2"/>
  <c r="B2860" i="2"/>
  <c r="C2860" i="2" s="1"/>
  <c r="D2860" i="2" s="1"/>
  <c r="L2860" i="2" s="1"/>
  <c r="O2860" i="2"/>
  <c r="M2860" i="2"/>
  <c r="G2859" i="2"/>
  <c r="J2859" i="2"/>
  <c r="K2859" i="2" s="1"/>
  <c r="H2856" i="2"/>
  <c r="N2855" i="2" l="1"/>
  <c r="E2861" i="2" a="1"/>
  <c r="E2861" i="2" s="1"/>
  <c r="I2856" i="2"/>
  <c r="P2856" i="2" s="1"/>
  <c r="H2857" i="2"/>
  <c r="F2861" i="2"/>
  <c r="A2862" i="2"/>
  <c r="B2861" i="2"/>
  <c r="C2861" i="2" s="1"/>
  <c r="D2861" i="2" s="1"/>
  <c r="L2861" i="2" s="1"/>
  <c r="O2861" i="2"/>
  <c r="M2861" i="2"/>
  <c r="J2860" i="2"/>
  <c r="K2860" i="2" s="1"/>
  <c r="G2860" i="2"/>
  <c r="N2856" i="2" l="1"/>
  <c r="I2857" i="2"/>
  <c r="P2857" i="2" s="1"/>
  <c r="E2862" i="2" a="1"/>
  <c r="E2862" i="2" s="1"/>
  <c r="F2862" i="2"/>
  <c r="O2862" i="2"/>
  <c r="M2862" i="2"/>
  <c r="B2862" i="2"/>
  <c r="C2862" i="2" s="1"/>
  <c r="D2862" i="2" s="1"/>
  <c r="A2863" i="2"/>
  <c r="G2861" i="2"/>
  <c r="J2861" i="2"/>
  <c r="K2861" i="2" s="1"/>
  <c r="H2858" i="2"/>
  <c r="I2858" i="2" s="1"/>
  <c r="P2858" i="2" s="1"/>
  <c r="E2863" i="2" l="1" a="1"/>
  <c r="E2863" i="2" s="1"/>
  <c r="N2858" i="2"/>
  <c r="N2857" i="2"/>
  <c r="L2862" i="2"/>
  <c r="H2859" i="2"/>
  <c r="A2864" i="2"/>
  <c r="B2863" i="2"/>
  <c r="C2863" i="2" s="1"/>
  <c r="D2863" i="2" s="1"/>
  <c r="L2863" i="2" s="1"/>
  <c r="O2863" i="2"/>
  <c r="M2863" i="2"/>
  <c r="F2863" i="2"/>
  <c r="J2862" i="2"/>
  <c r="K2862" i="2" s="1"/>
  <c r="G2862" i="2"/>
  <c r="I2859" i="2" l="1"/>
  <c r="P2859" i="2" s="1"/>
  <c r="E2864" i="2" a="1"/>
  <c r="E2864" i="2" s="1"/>
  <c r="G2863" i="2"/>
  <c r="J2863" i="2"/>
  <c r="K2863" i="2" s="1"/>
  <c r="F2864" i="2"/>
  <c r="A2865" i="2"/>
  <c r="B2864" i="2"/>
  <c r="C2864" i="2" s="1"/>
  <c r="D2864" i="2" s="1"/>
  <c r="L2864" i="2" s="1"/>
  <c r="M2864" i="2"/>
  <c r="O2864" i="2"/>
  <c r="H2860" i="2"/>
  <c r="I2860" i="2" s="1"/>
  <c r="P2860" i="2" s="1"/>
  <c r="E2865" i="2" l="1" a="1"/>
  <c r="E2865" i="2" s="1"/>
  <c r="N2859" i="2"/>
  <c r="N2860" i="2"/>
  <c r="H2861" i="2"/>
  <c r="A2866" i="2"/>
  <c r="B2865" i="2"/>
  <c r="C2865" i="2" s="1"/>
  <c r="D2865" i="2" s="1"/>
  <c r="L2865" i="2" s="1"/>
  <c r="O2865" i="2"/>
  <c r="M2865" i="2"/>
  <c r="F2865" i="2"/>
  <c r="J2864" i="2"/>
  <c r="K2864" i="2" s="1"/>
  <c r="G2864" i="2"/>
  <c r="I2861" i="2" l="1"/>
  <c r="P2861" i="2" s="1"/>
  <c r="E2866" i="2" a="1"/>
  <c r="E2866" i="2" s="1"/>
  <c r="J2865" i="2"/>
  <c r="K2865" i="2" s="1"/>
  <c r="G2865" i="2"/>
  <c r="A2867" i="2"/>
  <c r="B2866" i="2"/>
  <c r="C2866" i="2" s="1"/>
  <c r="D2866" i="2" s="1"/>
  <c r="O2866" i="2"/>
  <c r="F2866" i="2"/>
  <c r="M2866" i="2"/>
  <c r="H2862" i="2"/>
  <c r="I2862" i="2" s="1"/>
  <c r="P2862" i="2" s="1"/>
  <c r="N2862" i="2" l="1"/>
  <c r="L2866" i="2"/>
  <c r="N2861" i="2"/>
  <c r="E2867" i="2" a="1"/>
  <c r="E2867" i="2" s="1"/>
  <c r="H2863" i="2"/>
  <c r="I2863" i="2" s="1"/>
  <c r="P2863" i="2" s="1"/>
  <c r="J2866" i="2"/>
  <c r="K2866" i="2" s="1"/>
  <c r="G2866" i="2"/>
  <c r="A2868" i="2"/>
  <c r="B2867" i="2"/>
  <c r="C2867" i="2" s="1"/>
  <c r="D2867" i="2" s="1"/>
  <c r="O2867" i="2"/>
  <c r="M2867" i="2"/>
  <c r="F2867" i="2"/>
  <c r="E2868" i="2" l="1" a="1"/>
  <c r="E2868" i="2" s="1"/>
  <c r="N2863" i="2"/>
  <c r="L2867" i="2"/>
  <c r="J2867" i="2"/>
  <c r="K2867" i="2" s="1"/>
  <c r="G2867" i="2"/>
  <c r="O2868" i="2"/>
  <c r="M2868" i="2"/>
  <c r="F2868" i="2"/>
  <c r="A2869" i="2"/>
  <c r="B2868" i="2"/>
  <c r="C2868" i="2" s="1"/>
  <c r="D2868" i="2" s="1"/>
  <c r="H2864" i="2"/>
  <c r="L2868" i="2" l="1"/>
  <c r="E2869" i="2" a="1"/>
  <c r="E2869" i="2" s="1"/>
  <c r="I2864" i="2"/>
  <c r="P2864" i="2" s="1"/>
  <c r="H2865" i="2"/>
  <c r="A2870" i="2"/>
  <c r="B2869" i="2"/>
  <c r="C2869" i="2" s="1"/>
  <c r="D2869" i="2" s="1"/>
  <c r="O2869" i="2"/>
  <c r="M2869" i="2"/>
  <c r="F2869" i="2"/>
  <c r="J2868" i="2"/>
  <c r="K2868" i="2" s="1"/>
  <c r="G2868" i="2"/>
  <c r="E2870" i="2" l="1" a="1"/>
  <c r="E2870" i="2" s="1"/>
  <c r="L2869" i="2"/>
  <c r="I2865" i="2"/>
  <c r="P2865" i="2" s="1"/>
  <c r="N2864" i="2"/>
  <c r="G2869" i="2"/>
  <c r="J2869" i="2"/>
  <c r="K2869" i="2" s="1"/>
  <c r="M2870" i="2"/>
  <c r="F2870" i="2"/>
  <c r="A2871" i="2"/>
  <c r="O2870" i="2"/>
  <c r="B2870" i="2"/>
  <c r="C2870" i="2" s="1"/>
  <c r="D2870" i="2" s="1"/>
  <c r="H2866" i="2"/>
  <c r="E2871" i="2" l="1" a="1"/>
  <c r="E2871" i="2" s="1"/>
  <c r="L2870" i="2"/>
  <c r="N2865" i="2"/>
  <c r="I2866" i="2"/>
  <c r="P2866" i="2" s="1"/>
  <c r="H2867" i="2"/>
  <c r="I2867" i="2" s="1"/>
  <c r="P2867" i="2" s="1"/>
  <c r="O2871" i="2"/>
  <c r="M2871" i="2"/>
  <c r="F2871" i="2"/>
  <c r="A2872" i="2"/>
  <c r="B2871" i="2"/>
  <c r="C2871" i="2" s="1"/>
  <c r="D2871" i="2" s="1"/>
  <c r="E2872" i="2" s="1" a="1"/>
  <c r="E2872" i="2" s="1"/>
  <c r="J2870" i="2"/>
  <c r="K2870" i="2" s="1"/>
  <c r="G2870" i="2"/>
  <c r="L2871" i="2" l="1"/>
  <c r="N2867" i="2"/>
  <c r="N2866" i="2"/>
  <c r="F2872" i="2"/>
  <c r="A2873" i="2"/>
  <c r="B2872" i="2"/>
  <c r="C2872" i="2" s="1"/>
  <c r="D2872" i="2" s="1"/>
  <c r="L2872" i="2" s="1"/>
  <c r="M2872" i="2"/>
  <c r="O2872" i="2"/>
  <c r="J2871" i="2"/>
  <c r="K2871" i="2" s="1"/>
  <c r="G2871" i="2"/>
  <c r="H2868" i="2"/>
  <c r="I2868" i="2" l="1"/>
  <c r="P2868" i="2" s="1"/>
  <c r="E2873" i="2" a="1"/>
  <c r="E2873" i="2" s="1"/>
  <c r="H2869" i="2"/>
  <c r="I2869" i="2" s="1"/>
  <c r="P2869" i="2" s="1"/>
  <c r="M2873" i="2"/>
  <c r="A2874" i="2"/>
  <c r="B2873" i="2"/>
  <c r="C2873" i="2" s="1"/>
  <c r="D2873" i="2" s="1"/>
  <c r="L2873" i="2" s="1"/>
  <c r="O2873" i="2"/>
  <c r="F2873" i="2"/>
  <c r="J2872" i="2"/>
  <c r="K2872" i="2" s="1"/>
  <c r="G2872" i="2"/>
  <c r="E2874" i="2" l="1" a="1"/>
  <c r="E2874" i="2" s="1"/>
  <c r="N2869" i="2"/>
  <c r="N2868" i="2"/>
  <c r="J2873" i="2"/>
  <c r="K2873" i="2" s="1"/>
  <c r="G2873" i="2"/>
  <c r="F2874" i="2"/>
  <c r="A2875" i="2"/>
  <c r="B2874" i="2"/>
  <c r="C2874" i="2" s="1"/>
  <c r="D2874" i="2" s="1"/>
  <c r="L2874" i="2" s="1"/>
  <c r="O2874" i="2"/>
  <c r="M2874" i="2"/>
  <c r="H2870" i="2"/>
  <c r="I2870" i="2" s="1"/>
  <c r="P2870" i="2" s="1"/>
  <c r="N2870" i="2" l="1"/>
  <c r="E2875" i="2" a="1"/>
  <c r="E2875" i="2" s="1"/>
  <c r="H2871" i="2"/>
  <c r="F2875" i="2"/>
  <c r="B2875" i="2"/>
  <c r="C2875" i="2" s="1"/>
  <c r="D2875" i="2" s="1"/>
  <c r="L2875" i="2" s="1"/>
  <c r="A2876" i="2"/>
  <c r="O2875" i="2"/>
  <c r="M2875" i="2"/>
  <c r="J2874" i="2"/>
  <c r="K2874" i="2" s="1"/>
  <c r="G2874" i="2"/>
  <c r="E2876" i="2" l="1" a="1"/>
  <c r="E2876" i="2" s="1"/>
  <c r="I2871" i="2"/>
  <c r="P2871" i="2" s="1"/>
  <c r="M2876" i="2"/>
  <c r="F2876" i="2"/>
  <c r="B2876" i="2"/>
  <c r="C2876" i="2" s="1"/>
  <c r="D2876" i="2" s="1"/>
  <c r="L2876" i="2" s="1"/>
  <c r="A2877" i="2"/>
  <c r="O2876" i="2"/>
  <c r="J2875" i="2"/>
  <c r="K2875" i="2" s="1"/>
  <c r="G2875" i="2"/>
  <c r="H2872" i="2"/>
  <c r="I2872" i="2" l="1"/>
  <c r="P2872" i="2" s="1"/>
  <c r="E2877" i="2" a="1"/>
  <c r="E2877" i="2" s="1"/>
  <c r="N2871" i="2"/>
  <c r="H2873" i="2"/>
  <c r="F2877" i="2"/>
  <c r="B2877" i="2"/>
  <c r="C2877" i="2" s="1"/>
  <c r="D2877" i="2" s="1"/>
  <c r="A2878" i="2"/>
  <c r="O2877" i="2"/>
  <c r="M2877" i="2"/>
  <c r="G2876" i="2"/>
  <c r="J2876" i="2"/>
  <c r="K2876" i="2" s="1"/>
  <c r="N2872" i="2" l="1"/>
  <c r="L2877" i="2"/>
  <c r="I2873" i="2"/>
  <c r="P2873" i="2" s="1"/>
  <c r="E2878" i="2" a="1"/>
  <c r="E2878" i="2" s="1"/>
  <c r="E2879" i="2" a="1"/>
  <c r="E2879" i="2" s="1"/>
  <c r="F2878" i="2"/>
  <c r="O2878" i="2"/>
  <c r="M2878" i="2"/>
  <c r="B2878" i="2"/>
  <c r="C2878" i="2" s="1"/>
  <c r="D2878" i="2" s="1"/>
  <c r="A2879" i="2"/>
  <c r="G2877" i="2"/>
  <c r="J2877" i="2"/>
  <c r="K2877" i="2" s="1"/>
  <c r="H2874" i="2"/>
  <c r="I2874" i="2" s="1"/>
  <c r="P2874" i="2" s="1"/>
  <c r="L2878" i="2" l="1"/>
  <c r="N2873" i="2"/>
  <c r="N2874" i="2"/>
  <c r="E2880" i="2" a="1"/>
  <c r="E2880" i="2" s="1"/>
  <c r="H2875" i="2"/>
  <c r="M2879" i="2"/>
  <c r="F2879" i="2"/>
  <c r="B2879" i="2"/>
  <c r="C2879" i="2" s="1"/>
  <c r="D2879" i="2" s="1"/>
  <c r="L2879" i="2" s="1"/>
  <c r="A2880" i="2"/>
  <c r="O2879" i="2"/>
  <c r="J2878" i="2"/>
  <c r="K2878" i="2" s="1"/>
  <c r="G2878" i="2"/>
  <c r="I2875" i="2" l="1"/>
  <c r="P2875" i="2" s="1"/>
  <c r="O2880" i="2"/>
  <c r="M2880" i="2"/>
  <c r="F2880" i="2"/>
  <c r="B2880" i="2"/>
  <c r="C2880" i="2" s="1"/>
  <c r="D2880" i="2" s="1"/>
  <c r="A2881" i="2"/>
  <c r="J2879" i="2"/>
  <c r="K2879" i="2" s="1"/>
  <c r="G2879" i="2"/>
  <c r="H2876" i="2"/>
  <c r="I2876" i="2" s="1"/>
  <c r="P2876" i="2" s="1"/>
  <c r="E2881" i="2" l="1" a="1"/>
  <c r="E2881" i="2" s="1"/>
  <c r="N2876" i="2"/>
  <c r="L2880" i="2"/>
  <c r="N2875" i="2"/>
  <c r="H2877" i="2"/>
  <c r="B2881" i="2"/>
  <c r="C2881" i="2" s="1"/>
  <c r="D2881" i="2" s="1"/>
  <c r="A2882" i="2"/>
  <c r="O2881" i="2"/>
  <c r="M2881" i="2"/>
  <c r="F2881" i="2"/>
  <c r="J2880" i="2"/>
  <c r="K2880" i="2" s="1"/>
  <c r="G2880" i="2"/>
  <c r="L2881" i="2" l="1"/>
  <c r="E2882" i="2" a="1"/>
  <c r="E2882" i="2" s="1"/>
  <c r="I2877" i="2"/>
  <c r="P2877" i="2" s="1"/>
  <c r="J2881" i="2"/>
  <c r="K2881" i="2" s="1"/>
  <c r="G2881" i="2"/>
  <c r="A2883" i="2"/>
  <c r="B2882" i="2"/>
  <c r="C2882" i="2" s="1"/>
  <c r="D2882" i="2" s="1"/>
  <c r="L2882" i="2" s="1"/>
  <c r="F2882" i="2"/>
  <c r="O2882" i="2"/>
  <c r="M2882" i="2"/>
  <c r="H2878" i="2"/>
  <c r="N2877" i="2" l="1"/>
  <c r="E2883" i="2" a="1"/>
  <c r="E2883" i="2" s="1"/>
  <c r="I2878" i="2"/>
  <c r="P2878" i="2" s="1"/>
  <c r="H2879" i="2"/>
  <c r="J2882" i="2"/>
  <c r="K2882" i="2" s="1"/>
  <c r="G2882" i="2"/>
  <c r="A2884" i="2"/>
  <c r="B2883" i="2"/>
  <c r="C2883" i="2" s="1"/>
  <c r="D2883" i="2" s="1"/>
  <c r="F2883" i="2"/>
  <c r="O2883" i="2"/>
  <c r="M2883" i="2"/>
  <c r="E2884" i="2" l="1" a="1"/>
  <c r="E2884" i="2" s="1"/>
  <c r="I2879" i="2"/>
  <c r="P2879" i="2" s="1"/>
  <c r="N2878" i="2"/>
  <c r="L2883" i="2"/>
  <c r="G2883" i="2"/>
  <c r="J2883" i="2"/>
  <c r="K2883" i="2" s="1"/>
  <c r="A2885" i="2"/>
  <c r="B2884" i="2"/>
  <c r="C2884" i="2" s="1"/>
  <c r="D2884" i="2" s="1"/>
  <c r="O2884" i="2"/>
  <c r="F2884" i="2"/>
  <c r="M2884" i="2"/>
  <c r="H2880" i="2"/>
  <c r="I2880" i="2" s="1"/>
  <c r="P2880" i="2" s="1"/>
  <c r="L2884" i="2" l="1"/>
  <c r="N2879" i="2"/>
  <c r="N2880" i="2"/>
  <c r="E2885" i="2" a="1"/>
  <c r="E2885" i="2" s="1"/>
  <c r="H2881" i="2"/>
  <c r="J2884" i="2"/>
  <c r="K2884" i="2" s="1"/>
  <c r="G2884" i="2"/>
  <c r="O2885" i="2"/>
  <c r="F2885" i="2"/>
  <c r="B2885" i="2"/>
  <c r="C2885" i="2" s="1"/>
  <c r="D2885" i="2" s="1"/>
  <c r="A2886" i="2"/>
  <c r="M2885" i="2"/>
  <c r="I2881" i="2" l="1"/>
  <c r="P2881" i="2" s="1"/>
  <c r="L2885" i="2"/>
  <c r="E2886" i="2" a="1"/>
  <c r="E2886" i="2" s="1"/>
  <c r="O2886" i="2"/>
  <c r="M2886" i="2"/>
  <c r="A2887" i="2"/>
  <c r="F2886" i="2"/>
  <c r="B2886" i="2"/>
  <c r="C2886" i="2" s="1"/>
  <c r="D2886" i="2" s="1"/>
  <c r="J2885" i="2"/>
  <c r="K2885" i="2" s="1"/>
  <c r="G2885" i="2"/>
  <c r="H2882" i="2"/>
  <c r="N2881" i="2" l="1"/>
  <c r="I2882" i="2"/>
  <c r="P2882" i="2" s="1"/>
  <c r="L2886" i="2"/>
  <c r="E2887" i="2" a="1"/>
  <c r="E2887" i="2" s="1"/>
  <c r="H2883" i="2"/>
  <c r="J2886" i="2"/>
  <c r="K2886" i="2" s="1"/>
  <c r="G2886" i="2"/>
  <c r="M2887" i="2"/>
  <c r="A2888" i="2"/>
  <c r="O2887" i="2"/>
  <c r="F2887" i="2"/>
  <c r="B2887" i="2"/>
  <c r="C2887" i="2" s="1"/>
  <c r="D2887" i="2" s="1"/>
  <c r="L2887" i="2" l="1"/>
  <c r="I2883" i="2"/>
  <c r="P2883" i="2" s="1"/>
  <c r="N2882" i="2"/>
  <c r="E2888" i="2" a="1"/>
  <c r="E2888" i="2" s="1"/>
  <c r="J2887" i="2"/>
  <c r="K2887" i="2" s="1"/>
  <c r="G2887" i="2"/>
  <c r="M2888" i="2"/>
  <c r="B2888" i="2"/>
  <c r="C2888" i="2" s="1"/>
  <c r="D2888" i="2" s="1"/>
  <c r="A2889" i="2"/>
  <c r="O2888" i="2"/>
  <c r="F2888" i="2"/>
  <c r="H2884" i="2"/>
  <c r="I2884" i="2" l="1"/>
  <c r="P2884" i="2" s="1"/>
  <c r="L2888" i="2"/>
  <c r="N2883" i="2"/>
  <c r="E2889" i="2" a="1"/>
  <c r="E2889" i="2" s="1"/>
  <c r="H2885" i="2"/>
  <c r="J2888" i="2"/>
  <c r="K2888" i="2" s="1"/>
  <c r="G2888" i="2"/>
  <c r="B2889" i="2"/>
  <c r="C2889" i="2" s="1"/>
  <c r="D2889" i="2" s="1"/>
  <c r="A2890" i="2"/>
  <c r="O2889" i="2"/>
  <c r="M2889" i="2"/>
  <c r="F2889" i="2"/>
  <c r="L2889" i="2" l="1"/>
  <c r="N2884" i="2"/>
  <c r="I2885" i="2"/>
  <c r="P2885" i="2" s="1"/>
  <c r="E2890" i="2" a="1"/>
  <c r="E2890" i="2" s="1"/>
  <c r="J2889" i="2"/>
  <c r="K2889" i="2" s="1"/>
  <c r="G2889" i="2"/>
  <c r="F2890" i="2"/>
  <c r="B2890" i="2"/>
  <c r="C2890" i="2" s="1"/>
  <c r="D2890" i="2" s="1"/>
  <c r="L2890" i="2" s="1"/>
  <c r="A2891" i="2"/>
  <c r="O2890" i="2"/>
  <c r="M2890" i="2"/>
  <c r="H2886" i="2"/>
  <c r="E2891" i="2" l="1" a="1"/>
  <c r="E2891" i="2" s="1"/>
  <c r="N2885" i="2"/>
  <c r="I2886" i="2"/>
  <c r="P2886" i="2" s="1"/>
  <c r="H2887" i="2"/>
  <c r="F2891" i="2"/>
  <c r="B2891" i="2"/>
  <c r="C2891" i="2" s="1"/>
  <c r="D2891" i="2" s="1"/>
  <c r="A2892" i="2"/>
  <c r="O2891" i="2"/>
  <c r="M2891" i="2"/>
  <c r="J2890" i="2"/>
  <c r="K2890" i="2" s="1"/>
  <c r="G2890" i="2"/>
  <c r="I2887" i="2" l="1"/>
  <c r="P2887" i="2" s="1"/>
  <c r="L2891" i="2"/>
  <c r="E2892" i="2" a="1"/>
  <c r="E2892" i="2" s="1"/>
  <c r="N2886" i="2"/>
  <c r="M2892" i="2"/>
  <c r="F2892" i="2"/>
  <c r="B2892" i="2"/>
  <c r="C2892" i="2" s="1"/>
  <c r="D2892" i="2" s="1"/>
  <c r="A2893" i="2"/>
  <c r="O2892" i="2"/>
  <c r="J2891" i="2"/>
  <c r="K2891" i="2" s="1"/>
  <c r="G2891" i="2"/>
  <c r="H2888" i="2"/>
  <c r="I2888" i="2" s="1"/>
  <c r="P2888" i="2" s="1"/>
  <c r="N2887" i="2" l="1"/>
  <c r="L2892" i="2"/>
  <c r="E2893" i="2" a="1"/>
  <c r="E2893" i="2" s="1"/>
  <c r="N2888" i="2"/>
  <c r="H2889" i="2"/>
  <c r="I2889" i="2" s="1"/>
  <c r="P2889" i="2" s="1"/>
  <c r="F2893" i="2"/>
  <c r="A2894" i="2"/>
  <c r="O2893" i="2"/>
  <c r="M2893" i="2"/>
  <c r="B2893" i="2"/>
  <c r="C2893" i="2" s="1"/>
  <c r="D2893" i="2" s="1"/>
  <c r="G2892" i="2"/>
  <c r="J2892" i="2"/>
  <c r="K2892" i="2" s="1"/>
  <c r="L2893" i="2" l="1"/>
  <c r="N2889" i="2"/>
  <c r="E2894" i="2" a="1"/>
  <c r="E2894" i="2" s="1"/>
  <c r="E2895" i="2" a="1"/>
  <c r="E2895" i="2" s="1"/>
  <c r="F2894" i="2"/>
  <c r="B2894" i="2"/>
  <c r="C2894" i="2" s="1"/>
  <c r="D2894" i="2" s="1"/>
  <c r="L2894" i="2" s="1"/>
  <c r="A2895" i="2"/>
  <c r="O2894" i="2"/>
  <c r="M2894" i="2"/>
  <c r="G2893" i="2"/>
  <c r="J2893" i="2"/>
  <c r="K2893" i="2" s="1"/>
  <c r="H2890" i="2"/>
  <c r="I2890" i="2" l="1"/>
  <c r="P2890" i="2" s="1"/>
  <c r="H2891" i="2"/>
  <c r="F2895" i="2"/>
  <c r="B2895" i="2"/>
  <c r="C2895" i="2" s="1"/>
  <c r="D2895" i="2" s="1"/>
  <c r="L2895" i="2" s="1"/>
  <c r="A2896" i="2"/>
  <c r="O2895" i="2"/>
  <c r="M2895" i="2"/>
  <c r="G2894" i="2"/>
  <c r="J2894" i="2"/>
  <c r="K2894" i="2" s="1"/>
  <c r="I2891" i="2" l="1"/>
  <c r="P2891" i="2" s="1"/>
  <c r="E2896" i="2" a="1"/>
  <c r="E2896" i="2" s="1"/>
  <c r="N2890" i="2"/>
  <c r="A2897" i="2"/>
  <c r="B2896" i="2"/>
  <c r="C2896" i="2" s="1"/>
  <c r="D2896" i="2" s="1"/>
  <c r="L2896" i="2" s="1"/>
  <c r="M2896" i="2"/>
  <c r="F2896" i="2"/>
  <c r="O2896" i="2"/>
  <c r="J2895" i="2"/>
  <c r="K2895" i="2" s="1"/>
  <c r="G2895" i="2"/>
  <c r="H2892" i="2"/>
  <c r="I2892" i="2" l="1"/>
  <c r="P2892" i="2" s="1"/>
  <c r="N2891" i="2"/>
  <c r="E2897" i="2" a="1"/>
  <c r="E2897" i="2" s="1"/>
  <c r="H2893" i="2"/>
  <c r="I2893" i="2" s="1"/>
  <c r="P2893" i="2" s="1"/>
  <c r="J2896" i="2"/>
  <c r="K2896" i="2" s="1"/>
  <c r="G2896" i="2"/>
  <c r="A2898" i="2"/>
  <c r="B2897" i="2"/>
  <c r="C2897" i="2" s="1"/>
  <c r="D2897" i="2" s="1"/>
  <c r="L2897" i="2" s="1"/>
  <c r="O2897" i="2"/>
  <c r="M2897" i="2"/>
  <c r="F2897" i="2"/>
  <c r="E2898" i="2" l="1" a="1"/>
  <c r="E2898" i="2" s="1"/>
  <c r="N2893" i="2"/>
  <c r="N2892" i="2"/>
  <c r="J2897" i="2"/>
  <c r="K2897" i="2" s="1"/>
  <c r="G2897" i="2"/>
  <c r="A2899" i="2"/>
  <c r="B2898" i="2"/>
  <c r="C2898" i="2" s="1"/>
  <c r="D2898" i="2" s="1"/>
  <c r="L2898" i="2" s="1"/>
  <c r="O2898" i="2"/>
  <c r="F2898" i="2"/>
  <c r="M2898" i="2"/>
  <c r="H2894" i="2"/>
  <c r="E2899" i="2" l="1" a="1"/>
  <c r="E2899" i="2" s="1"/>
  <c r="I2894" i="2"/>
  <c r="P2894" i="2" s="1"/>
  <c r="H2895" i="2"/>
  <c r="J2898" i="2"/>
  <c r="K2898" i="2" s="1"/>
  <c r="G2898" i="2"/>
  <c r="A2900" i="2"/>
  <c r="B2899" i="2"/>
  <c r="C2899" i="2" s="1"/>
  <c r="D2899" i="2" s="1"/>
  <c r="O2899" i="2"/>
  <c r="F2899" i="2"/>
  <c r="M2899" i="2"/>
  <c r="I2895" i="2" l="1"/>
  <c r="P2895" i="2" s="1"/>
  <c r="L2899" i="2"/>
  <c r="E2900" i="2" a="1"/>
  <c r="E2900" i="2" s="1"/>
  <c r="N2894" i="2"/>
  <c r="J2899" i="2"/>
  <c r="K2899" i="2" s="1"/>
  <c r="G2899" i="2"/>
  <c r="A2901" i="2"/>
  <c r="B2900" i="2"/>
  <c r="C2900" i="2" s="1"/>
  <c r="D2900" i="2" s="1"/>
  <c r="O2900" i="2"/>
  <c r="M2900" i="2"/>
  <c r="F2900" i="2"/>
  <c r="H2896" i="2"/>
  <c r="N2895" i="2" l="1"/>
  <c r="E2901" i="2" a="1"/>
  <c r="E2901" i="2" s="1"/>
  <c r="I2896" i="2"/>
  <c r="P2896" i="2" s="1"/>
  <c r="L2900" i="2"/>
  <c r="E2902" i="2" a="1"/>
  <c r="E2902" i="2" s="1"/>
  <c r="H2897" i="2"/>
  <c r="J2900" i="2"/>
  <c r="K2900" i="2" s="1"/>
  <c r="G2900" i="2"/>
  <c r="O2901" i="2"/>
  <c r="M2901" i="2"/>
  <c r="F2901" i="2"/>
  <c r="B2901" i="2"/>
  <c r="C2901" i="2" s="1"/>
  <c r="D2901" i="2" s="1"/>
  <c r="A2902" i="2"/>
  <c r="N2896" i="2" l="1"/>
  <c r="I2897" i="2"/>
  <c r="P2897" i="2" s="1"/>
  <c r="L2901" i="2"/>
  <c r="O2902" i="2"/>
  <c r="M2902" i="2"/>
  <c r="A2903" i="2"/>
  <c r="F2902" i="2"/>
  <c r="B2902" i="2"/>
  <c r="C2902" i="2" s="1"/>
  <c r="D2902" i="2" s="1"/>
  <c r="G2901" i="2"/>
  <c r="J2901" i="2"/>
  <c r="K2901" i="2" s="1"/>
  <c r="H2898" i="2"/>
  <c r="N2897" i="2" l="1"/>
  <c r="I2898" i="2"/>
  <c r="P2898" i="2" s="1"/>
  <c r="L2902" i="2"/>
  <c r="E2903" i="2" a="1"/>
  <c r="E2903" i="2" s="1"/>
  <c r="H2899" i="2"/>
  <c r="J2902" i="2"/>
  <c r="K2902" i="2" s="1"/>
  <c r="G2902" i="2"/>
  <c r="M2903" i="2"/>
  <c r="A2904" i="2"/>
  <c r="B2903" i="2"/>
  <c r="C2903" i="2" s="1"/>
  <c r="D2903" i="2" s="1"/>
  <c r="O2903" i="2"/>
  <c r="F2903" i="2"/>
  <c r="L2903" i="2" l="1"/>
  <c r="I2899" i="2"/>
  <c r="P2899" i="2" s="1"/>
  <c r="N2898" i="2"/>
  <c r="E2904" i="2" a="1"/>
  <c r="E2904" i="2" s="1"/>
  <c r="J2903" i="2"/>
  <c r="K2903" i="2" s="1"/>
  <c r="G2903" i="2"/>
  <c r="M2904" i="2"/>
  <c r="A2905" i="2"/>
  <c r="B2904" i="2"/>
  <c r="C2904" i="2" s="1"/>
  <c r="D2904" i="2" s="1"/>
  <c r="F2904" i="2"/>
  <c r="O2904" i="2"/>
  <c r="H2900" i="2"/>
  <c r="I2900" i="2" l="1"/>
  <c r="P2900" i="2" s="1"/>
  <c r="N2899" i="2"/>
  <c r="L2904" i="2"/>
  <c r="E2905" i="2" a="1"/>
  <c r="E2905" i="2" s="1"/>
  <c r="H2901" i="2"/>
  <c r="J2904" i="2"/>
  <c r="K2904" i="2" s="1"/>
  <c r="G2904" i="2"/>
  <c r="O2905" i="2"/>
  <c r="A2906" i="2"/>
  <c r="M2905" i="2"/>
  <c r="F2905" i="2"/>
  <c r="B2905" i="2"/>
  <c r="C2905" i="2" s="1"/>
  <c r="D2905" i="2" s="1"/>
  <c r="N2900" i="2" l="1"/>
  <c r="I2901" i="2"/>
  <c r="P2901" i="2" s="1"/>
  <c r="E2906" i="2" a="1"/>
  <c r="E2906" i="2" s="1"/>
  <c r="L2905" i="2"/>
  <c r="J2905" i="2"/>
  <c r="K2905" i="2" s="1"/>
  <c r="G2905" i="2"/>
  <c r="O2906" i="2"/>
  <c r="M2906" i="2"/>
  <c r="F2906" i="2"/>
  <c r="B2906" i="2"/>
  <c r="C2906" i="2" s="1"/>
  <c r="D2906" i="2" s="1"/>
  <c r="A2907" i="2"/>
  <c r="H2902" i="2"/>
  <c r="E2907" i="2" l="1" a="1"/>
  <c r="E2907" i="2" s="1"/>
  <c r="N2901" i="2"/>
  <c r="I2902" i="2"/>
  <c r="P2902" i="2" s="1"/>
  <c r="L2906" i="2"/>
  <c r="H2903" i="2"/>
  <c r="F2907" i="2"/>
  <c r="M2907" i="2"/>
  <c r="A2908" i="2"/>
  <c r="O2907" i="2"/>
  <c r="B2907" i="2"/>
  <c r="C2907" i="2" s="1"/>
  <c r="D2907" i="2" s="1"/>
  <c r="J2906" i="2"/>
  <c r="K2906" i="2" s="1"/>
  <c r="G2906" i="2"/>
  <c r="E2908" i="2" l="1" a="1"/>
  <c r="E2908" i="2" s="1"/>
  <c r="I2903" i="2"/>
  <c r="P2903" i="2" s="1"/>
  <c r="L2907" i="2"/>
  <c r="N2902" i="2"/>
  <c r="F2908" i="2"/>
  <c r="M2908" i="2"/>
  <c r="A2909" i="2"/>
  <c r="O2908" i="2"/>
  <c r="B2908" i="2"/>
  <c r="C2908" i="2" s="1"/>
  <c r="D2908" i="2" s="1"/>
  <c r="J2907" i="2"/>
  <c r="K2907" i="2" s="1"/>
  <c r="G2907" i="2"/>
  <c r="H2904" i="2"/>
  <c r="I2904" i="2" s="1"/>
  <c r="P2904" i="2" s="1"/>
  <c r="N2903" i="2" l="1"/>
  <c r="N2904" i="2"/>
  <c r="L2908" i="2"/>
  <c r="E2909" i="2" a="1"/>
  <c r="E2909" i="2" s="1"/>
  <c r="H2905" i="2"/>
  <c r="F2909" i="2"/>
  <c r="A2910" i="2"/>
  <c r="B2909" i="2"/>
  <c r="C2909" i="2" s="1"/>
  <c r="D2909" i="2" s="1"/>
  <c r="O2909" i="2"/>
  <c r="M2909" i="2"/>
  <c r="G2908" i="2"/>
  <c r="J2908" i="2"/>
  <c r="K2908" i="2" s="1"/>
  <c r="I2905" i="2" l="1"/>
  <c r="P2905" i="2" s="1"/>
  <c r="E2910" i="2" a="1"/>
  <c r="E2910" i="2" s="1"/>
  <c r="E2911" i="2" a="1"/>
  <c r="E2911" i="2" s="1"/>
  <c r="L2909" i="2"/>
  <c r="F2910" i="2"/>
  <c r="A2911" i="2"/>
  <c r="B2910" i="2"/>
  <c r="C2910" i="2" s="1"/>
  <c r="D2910" i="2" s="1"/>
  <c r="L2910" i="2" s="1"/>
  <c r="O2910" i="2"/>
  <c r="M2910" i="2"/>
  <c r="G2909" i="2"/>
  <c r="J2909" i="2"/>
  <c r="K2909" i="2" s="1"/>
  <c r="H2906" i="2"/>
  <c r="I2906" i="2" s="1"/>
  <c r="P2906" i="2" s="1"/>
  <c r="N2906" i="2" l="1"/>
  <c r="N2905" i="2"/>
  <c r="H2907" i="2"/>
  <c r="F2911" i="2"/>
  <c r="A2912" i="2"/>
  <c r="B2911" i="2"/>
  <c r="C2911" i="2" s="1"/>
  <c r="D2911" i="2" s="1"/>
  <c r="L2911" i="2" s="1"/>
  <c r="O2911" i="2"/>
  <c r="M2911" i="2"/>
  <c r="G2910" i="2"/>
  <c r="J2910" i="2"/>
  <c r="K2910" i="2" s="1"/>
  <c r="E2912" i="2" l="1" a="1"/>
  <c r="E2912" i="2" s="1"/>
  <c r="I2907" i="2"/>
  <c r="P2907" i="2" s="1"/>
  <c r="A2913" i="2"/>
  <c r="B2912" i="2"/>
  <c r="C2912" i="2" s="1"/>
  <c r="D2912" i="2" s="1"/>
  <c r="O2912" i="2"/>
  <c r="M2912" i="2"/>
  <c r="F2912" i="2"/>
  <c r="J2911" i="2"/>
  <c r="K2911" i="2" s="1"/>
  <c r="G2911" i="2"/>
  <c r="H2908" i="2"/>
  <c r="I2908" i="2" s="1"/>
  <c r="P2908" i="2" s="1"/>
  <c r="N2908" i="2" l="1"/>
  <c r="L2912" i="2"/>
  <c r="N2907" i="2"/>
  <c r="E2913" i="2" a="1"/>
  <c r="E2913" i="2" s="1"/>
  <c r="H2909" i="2"/>
  <c r="I2909" i="2" s="1"/>
  <c r="P2909" i="2" s="1"/>
  <c r="J2912" i="2"/>
  <c r="K2912" i="2" s="1"/>
  <c r="G2912" i="2"/>
  <c r="A2914" i="2"/>
  <c r="B2913" i="2"/>
  <c r="C2913" i="2" s="1"/>
  <c r="D2913" i="2" s="1"/>
  <c r="L2913" i="2" s="1"/>
  <c r="O2913" i="2"/>
  <c r="M2913" i="2"/>
  <c r="F2913" i="2"/>
  <c r="N2909" i="2" l="1"/>
  <c r="E2914" i="2" a="1"/>
  <c r="E2914" i="2" s="1"/>
  <c r="G2913" i="2"/>
  <c r="J2913" i="2"/>
  <c r="K2913" i="2" s="1"/>
  <c r="A2915" i="2"/>
  <c r="B2914" i="2"/>
  <c r="C2914" i="2" s="1"/>
  <c r="D2914" i="2" s="1"/>
  <c r="O2914" i="2"/>
  <c r="M2914" i="2"/>
  <c r="F2914" i="2"/>
  <c r="H2910" i="2"/>
  <c r="I2910" i="2" s="1"/>
  <c r="P2910" i="2" s="1"/>
  <c r="E2915" i="2" l="1" a="1"/>
  <c r="E2915" i="2" s="1"/>
  <c r="N2910" i="2"/>
  <c r="L2914" i="2"/>
  <c r="H2911" i="2"/>
  <c r="G2914" i="2"/>
  <c r="J2914" i="2"/>
  <c r="K2914" i="2" s="1"/>
  <c r="A2916" i="2"/>
  <c r="B2915" i="2"/>
  <c r="C2915" i="2" s="1"/>
  <c r="D2915" i="2" s="1"/>
  <c r="O2915" i="2"/>
  <c r="M2915" i="2"/>
  <c r="F2915" i="2"/>
  <c r="L2915" i="2" l="1"/>
  <c r="E2916" i="2" a="1"/>
  <c r="E2916" i="2" s="1"/>
  <c r="I2911" i="2"/>
  <c r="P2911" i="2" s="1"/>
  <c r="J2915" i="2"/>
  <c r="K2915" i="2" s="1"/>
  <c r="G2915" i="2"/>
  <c r="A2917" i="2"/>
  <c r="B2916" i="2"/>
  <c r="C2916" i="2" s="1"/>
  <c r="D2916" i="2" s="1"/>
  <c r="L2916" i="2" s="1"/>
  <c r="O2916" i="2"/>
  <c r="M2916" i="2"/>
  <c r="F2916" i="2"/>
  <c r="H2912" i="2"/>
  <c r="I2912" i="2" s="1"/>
  <c r="P2912" i="2" s="1"/>
  <c r="N2911" i="2" l="1"/>
  <c r="N2912" i="2"/>
  <c r="E2917" i="2" a="1"/>
  <c r="E2917" i="2" s="1"/>
  <c r="H2913" i="2"/>
  <c r="I2913" i="2" s="1"/>
  <c r="P2913" i="2" s="1"/>
  <c r="J2916" i="2"/>
  <c r="K2916" i="2" s="1"/>
  <c r="G2916" i="2"/>
  <c r="O2917" i="2"/>
  <c r="M2917" i="2"/>
  <c r="A2918" i="2"/>
  <c r="F2917" i="2"/>
  <c r="B2917" i="2"/>
  <c r="C2917" i="2" s="1"/>
  <c r="D2917" i="2" s="1"/>
  <c r="L2917" i="2" s="1"/>
  <c r="E2918" i="2" l="1" a="1"/>
  <c r="E2918" i="2" s="1"/>
  <c r="N2913" i="2"/>
  <c r="J2917" i="2"/>
  <c r="K2917" i="2" s="1"/>
  <c r="G2917" i="2"/>
  <c r="O2918" i="2"/>
  <c r="M2918" i="2"/>
  <c r="A2919" i="2"/>
  <c r="F2918" i="2"/>
  <c r="B2918" i="2"/>
  <c r="C2918" i="2" s="1"/>
  <c r="D2918" i="2" s="1"/>
  <c r="H2914" i="2"/>
  <c r="I2914" i="2" s="1"/>
  <c r="P2914" i="2" s="1"/>
  <c r="N2914" i="2" l="1"/>
  <c r="E2919" i="2" a="1"/>
  <c r="E2919" i="2" s="1"/>
  <c r="L2918" i="2"/>
  <c r="H2915" i="2"/>
  <c r="J2918" i="2"/>
  <c r="K2918" i="2" s="1"/>
  <c r="G2918" i="2"/>
  <c r="M2919" i="2"/>
  <c r="A2920" i="2"/>
  <c r="B2919" i="2"/>
  <c r="C2919" i="2" s="1"/>
  <c r="D2919" i="2" s="1"/>
  <c r="O2919" i="2"/>
  <c r="F2919" i="2"/>
  <c r="I2915" i="2" l="1"/>
  <c r="P2915" i="2" s="1"/>
  <c r="L2919" i="2"/>
  <c r="E2920" i="2" a="1"/>
  <c r="E2920" i="2" s="1"/>
  <c r="J2919" i="2"/>
  <c r="K2919" i="2" s="1"/>
  <c r="G2919" i="2"/>
  <c r="M2920" i="2"/>
  <c r="F2920" i="2"/>
  <c r="A2921" i="2"/>
  <c r="B2920" i="2"/>
  <c r="C2920" i="2" s="1"/>
  <c r="D2920" i="2" s="1"/>
  <c r="O2920" i="2"/>
  <c r="H2916" i="2"/>
  <c r="I2916" i="2" l="1"/>
  <c r="P2916" i="2" s="1"/>
  <c r="E2921" i="2" a="1"/>
  <c r="E2921" i="2" s="1"/>
  <c r="L2920" i="2"/>
  <c r="E2922" i="2" a="1"/>
  <c r="E2922" i="2" s="1"/>
  <c r="N2915" i="2"/>
  <c r="H2917" i="2"/>
  <c r="F2921" i="2"/>
  <c r="A2922" i="2"/>
  <c r="B2921" i="2"/>
  <c r="C2921" i="2" s="1"/>
  <c r="D2921" i="2" s="1"/>
  <c r="O2921" i="2"/>
  <c r="M2921" i="2"/>
  <c r="J2920" i="2"/>
  <c r="K2920" i="2" s="1"/>
  <c r="G2920" i="2"/>
  <c r="I2917" i="2" l="1"/>
  <c r="P2917" i="2" s="1"/>
  <c r="L2921" i="2"/>
  <c r="N2916" i="2"/>
  <c r="F2922" i="2"/>
  <c r="A2923" i="2"/>
  <c r="B2922" i="2"/>
  <c r="C2922" i="2" s="1"/>
  <c r="D2922" i="2" s="1"/>
  <c r="O2922" i="2"/>
  <c r="M2922" i="2"/>
  <c r="J2921" i="2"/>
  <c r="K2921" i="2" s="1"/>
  <c r="G2921" i="2"/>
  <c r="H2918" i="2"/>
  <c r="N2917" i="2" l="1"/>
  <c r="I2918" i="2"/>
  <c r="P2918" i="2" s="1"/>
  <c r="L2922" i="2"/>
  <c r="E2923" i="2" a="1"/>
  <c r="E2923" i="2" s="1"/>
  <c r="H2919" i="2"/>
  <c r="F2923" i="2"/>
  <c r="A2924" i="2"/>
  <c r="B2923" i="2"/>
  <c r="C2923" i="2" s="1"/>
  <c r="D2923" i="2" s="1"/>
  <c r="L2923" i="2" s="1"/>
  <c r="O2923" i="2"/>
  <c r="M2923" i="2"/>
  <c r="J2922" i="2"/>
  <c r="K2922" i="2" s="1"/>
  <c r="G2922" i="2"/>
  <c r="I2919" i="2" l="1"/>
  <c r="P2919" i="2" s="1"/>
  <c r="E2924" i="2" a="1"/>
  <c r="E2924" i="2" s="1"/>
  <c r="N2918" i="2"/>
  <c r="E2925" i="2" a="1"/>
  <c r="E2925" i="2" s="1"/>
  <c r="F2924" i="2"/>
  <c r="A2925" i="2"/>
  <c r="O2924" i="2"/>
  <c r="M2924" i="2"/>
  <c r="B2924" i="2"/>
  <c r="C2924" i="2" s="1"/>
  <c r="D2924" i="2" s="1"/>
  <c r="J2923" i="2"/>
  <c r="K2923" i="2" s="1"/>
  <c r="G2923" i="2"/>
  <c r="H2920" i="2"/>
  <c r="N2919" i="2" l="1"/>
  <c r="I2920" i="2"/>
  <c r="P2920" i="2" s="1"/>
  <c r="L2924" i="2"/>
  <c r="H2921" i="2"/>
  <c r="F2925" i="2"/>
  <c r="B2925" i="2"/>
  <c r="C2925" i="2" s="1"/>
  <c r="D2925" i="2" s="1"/>
  <c r="A2926" i="2"/>
  <c r="O2925" i="2"/>
  <c r="M2925" i="2"/>
  <c r="J2924" i="2"/>
  <c r="K2924" i="2" s="1"/>
  <c r="G2924" i="2"/>
  <c r="N2920" i="2" l="1"/>
  <c r="L2925" i="2"/>
  <c r="I2921" i="2"/>
  <c r="P2921" i="2" s="1"/>
  <c r="E2926" i="2" a="1"/>
  <c r="E2926" i="2" s="1"/>
  <c r="A2927" i="2"/>
  <c r="B2926" i="2"/>
  <c r="C2926" i="2" s="1"/>
  <c r="D2926" i="2" s="1"/>
  <c r="M2926" i="2"/>
  <c r="F2926" i="2"/>
  <c r="O2926" i="2"/>
  <c r="J2925" i="2"/>
  <c r="K2925" i="2" s="1"/>
  <c r="G2925" i="2"/>
  <c r="H2922" i="2"/>
  <c r="L2926" i="2" l="1"/>
  <c r="E2927" i="2" a="1"/>
  <c r="E2927" i="2" s="1"/>
  <c r="N2921" i="2"/>
  <c r="I2922" i="2"/>
  <c r="P2922" i="2" s="1"/>
  <c r="H2923" i="2"/>
  <c r="J2926" i="2"/>
  <c r="K2926" i="2" s="1"/>
  <c r="G2926" i="2"/>
  <c r="A2928" i="2"/>
  <c r="B2927" i="2"/>
  <c r="C2927" i="2" s="1"/>
  <c r="D2927" i="2" s="1"/>
  <c r="M2927" i="2"/>
  <c r="F2927" i="2"/>
  <c r="O2927" i="2"/>
  <c r="L2927" i="2" l="1"/>
  <c r="I2923" i="2"/>
  <c r="P2923" i="2" s="1"/>
  <c r="N2922" i="2"/>
  <c r="E2928" i="2" a="1"/>
  <c r="E2928" i="2" s="1"/>
  <c r="J2927" i="2"/>
  <c r="K2927" i="2" s="1"/>
  <c r="G2927" i="2"/>
  <c r="O2928" i="2"/>
  <c r="A2929" i="2"/>
  <c r="M2928" i="2"/>
  <c r="F2928" i="2"/>
  <c r="B2928" i="2"/>
  <c r="C2928" i="2" s="1"/>
  <c r="D2928" i="2" s="1"/>
  <c r="H2924" i="2"/>
  <c r="N2923" i="2" l="1"/>
  <c r="I2924" i="2"/>
  <c r="P2924" i="2" s="1"/>
  <c r="E2929" i="2" a="1"/>
  <c r="E2929" i="2" s="1"/>
  <c r="L2928" i="2"/>
  <c r="H2925" i="2"/>
  <c r="I2925" i="2" s="1"/>
  <c r="P2925" i="2" s="1"/>
  <c r="J2928" i="2"/>
  <c r="K2928" i="2" s="1"/>
  <c r="G2928" i="2"/>
  <c r="O2929" i="2"/>
  <c r="A2930" i="2"/>
  <c r="M2929" i="2"/>
  <c r="F2929" i="2"/>
  <c r="B2929" i="2"/>
  <c r="C2929" i="2" s="1"/>
  <c r="D2929" i="2" s="1"/>
  <c r="N2925" i="2" l="1"/>
  <c r="E2930" i="2" a="1"/>
  <c r="E2930" i="2" s="1"/>
  <c r="L2929" i="2"/>
  <c r="N2924" i="2"/>
  <c r="J2929" i="2"/>
  <c r="K2929" i="2" s="1"/>
  <c r="G2929" i="2"/>
  <c r="M2930" i="2"/>
  <c r="B2930" i="2"/>
  <c r="C2930" i="2" s="1"/>
  <c r="D2930" i="2" s="1"/>
  <c r="L2930" i="2" s="1"/>
  <c r="A2931" i="2"/>
  <c r="O2930" i="2"/>
  <c r="F2930" i="2"/>
  <c r="H2926" i="2"/>
  <c r="I2926" i="2" s="1"/>
  <c r="P2926" i="2" s="1"/>
  <c r="E2931" i="2" l="1" a="1"/>
  <c r="E2931" i="2" s="1"/>
  <c r="N2926" i="2"/>
  <c r="H2927" i="2"/>
  <c r="J2930" i="2"/>
  <c r="K2930" i="2" s="1"/>
  <c r="G2930" i="2"/>
  <c r="M2931" i="2"/>
  <c r="B2931" i="2"/>
  <c r="C2931" i="2" s="1"/>
  <c r="D2931" i="2" s="1"/>
  <c r="L2931" i="2" s="1"/>
  <c r="A2932" i="2"/>
  <c r="O2931" i="2"/>
  <c r="F2931" i="2"/>
  <c r="I2927" i="2" l="1"/>
  <c r="P2927" i="2" s="1"/>
  <c r="E2932" i="2" a="1"/>
  <c r="E2932" i="2" s="1"/>
  <c r="J2931" i="2"/>
  <c r="K2931" i="2" s="1"/>
  <c r="G2931" i="2"/>
  <c r="B2932" i="2"/>
  <c r="C2932" i="2" s="1"/>
  <c r="D2932" i="2" s="1"/>
  <c r="L2932" i="2" s="1"/>
  <c r="A2933" i="2"/>
  <c r="O2932" i="2"/>
  <c r="M2932" i="2"/>
  <c r="F2932" i="2"/>
  <c r="H2928" i="2"/>
  <c r="I2928" i="2" s="1"/>
  <c r="P2928" i="2" s="1"/>
  <c r="N2927" i="2" l="1"/>
  <c r="E2933" i="2" a="1"/>
  <c r="E2933" i="2" s="1"/>
  <c r="N2928" i="2"/>
  <c r="H2929" i="2"/>
  <c r="I2929" i="2" s="1"/>
  <c r="P2929" i="2" s="1"/>
  <c r="J2932" i="2"/>
  <c r="K2932" i="2" s="1"/>
  <c r="G2932" i="2"/>
  <c r="B2933" i="2"/>
  <c r="C2933" i="2" s="1"/>
  <c r="D2933" i="2" s="1"/>
  <c r="L2933" i="2" s="1"/>
  <c r="A2934" i="2"/>
  <c r="O2933" i="2"/>
  <c r="M2933" i="2"/>
  <c r="F2933" i="2"/>
  <c r="E2934" i="2" l="1" a="1"/>
  <c r="E2934" i="2" s="1"/>
  <c r="N2929" i="2"/>
  <c r="J2933" i="2"/>
  <c r="K2933" i="2" s="1"/>
  <c r="G2933" i="2"/>
  <c r="B2934" i="2"/>
  <c r="C2934" i="2" s="1"/>
  <c r="D2934" i="2" s="1"/>
  <c r="A2935" i="2"/>
  <c r="O2934" i="2"/>
  <c r="M2934" i="2"/>
  <c r="F2934" i="2"/>
  <c r="H2930" i="2"/>
  <c r="I2930" i="2" l="1"/>
  <c r="P2930" i="2" s="1"/>
  <c r="E2935" i="2" a="1"/>
  <c r="E2935" i="2" s="1"/>
  <c r="L2934" i="2"/>
  <c r="H2931" i="2"/>
  <c r="I2931" i="2" s="1"/>
  <c r="P2931" i="2" s="1"/>
  <c r="J2934" i="2"/>
  <c r="K2934" i="2" s="1"/>
  <c r="G2934" i="2"/>
  <c r="F2935" i="2"/>
  <c r="B2935" i="2"/>
  <c r="C2935" i="2" s="1"/>
  <c r="D2935" i="2" s="1"/>
  <c r="L2935" i="2" s="1"/>
  <c r="A2936" i="2"/>
  <c r="O2935" i="2"/>
  <c r="M2935" i="2"/>
  <c r="E2936" i="2" l="1" a="1"/>
  <c r="E2936" i="2" s="1"/>
  <c r="N2931" i="2"/>
  <c r="E2937" i="2" a="1"/>
  <c r="E2937" i="2" s="1"/>
  <c r="N2930" i="2"/>
  <c r="F2936" i="2"/>
  <c r="B2936" i="2"/>
  <c r="C2936" i="2" s="1"/>
  <c r="D2936" i="2" s="1"/>
  <c r="L2936" i="2" s="1"/>
  <c r="A2937" i="2"/>
  <c r="O2936" i="2"/>
  <c r="M2936" i="2"/>
  <c r="G2935" i="2"/>
  <c r="J2935" i="2"/>
  <c r="K2935" i="2" s="1"/>
  <c r="H2932" i="2"/>
  <c r="I2932" i="2" l="1"/>
  <c r="P2932" i="2" s="1"/>
  <c r="H2933" i="2"/>
  <c r="F2937" i="2"/>
  <c r="O2937" i="2"/>
  <c r="M2937" i="2"/>
  <c r="B2937" i="2"/>
  <c r="C2937" i="2" s="1"/>
  <c r="D2937" i="2" s="1"/>
  <c r="A2938" i="2"/>
  <c r="G2936" i="2"/>
  <c r="J2936" i="2"/>
  <c r="K2936" i="2" s="1"/>
  <c r="L2937" i="2" l="1"/>
  <c r="N2932" i="2"/>
  <c r="E2938" i="2" a="1"/>
  <c r="E2938" i="2" s="1"/>
  <c r="I2933" i="2"/>
  <c r="P2933" i="2" s="1"/>
  <c r="F2938" i="2"/>
  <c r="A2939" i="2"/>
  <c r="O2938" i="2"/>
  <c r="M2938" i="2"/>
  <c r="B2938" i="2"/>
  <c r="C2938" i="2" s="1"/>
  <c r="D2938" i="2" s="1"/>
  <c r="G2937" i="2"/>
  <c r="J2937" i="2"/>
  <c r="K2937" i="2" s="1"/>
  <c r="H2934" i="2"/>
  <c r="I2934" i="2" l="1"/>
  <c r="P2934" i="2" s="1"/>
  <c r="E2939" i="2" a="1"/>
  <c r="E2939" i="2" s="1"/>
  <c r="L2938" i="2"/>
  <c r="N2933" i="2"/>
  <c r="H2935" i="2"/>
  <c r="A2940" i="2"/>
  <c r="B2939" i="2"/>
  <c r="C2939" i="2" s="1"/>
  <c r="D2939" i="2" s="1"/>
  <c r="F2939" i="2"/>
  <c r="O2939" i="2"/>
  <c r="M2939" i="2"/>
  <c r="J2938" i="2"/>
  <c r="K2938" i="2" s="1"/>
  <c r="G2938" i="2"/>
  <c r="L2939" i="2" l="1"/>
  <c r="I2935" i="2"/>
  <c r="P2935" i="2" s="1"/>
  <c r="N2934" i="2"/>
  <c r="E2940" i="2" a="1"/>
  <c r="E2940" i="2" s="1"/>
  <c r="G2939" i="2"/>
  <c r="J2939" i="2"/>
  <c r="K2939" i="2" s="1"/>
  <c r="A2941" i="2"/>
  <c r="B2940" i="2"/>
  <c r="C2940" i="2" s="1"/>
  <c r="D2940" i="2" s="1"/>
  <c r="L2940" i="2" s="1"/>
  <c r="F2940" i="2"/>
  <c r="O2940" i="2"/>
  <c r="M2940" i="2"/>
  <c r="H2936" i="2"/>
  <c r="I2936" i="2" s="1"/>
  <c r="P2936" i="2" s="1"/>
  <c r="N2936" i="2" l="1"/>
  <c r="E2941" i="2" a="1"/>
  <c r="E2941" i="2" s="1"/>
  <c r="N2935" i="2"/>
  <c r="H2937" i="2"/>
  <c r="J2940" i="2"/>
  <c r="K2940" i="2" s="1"/>
  <c r="G2940" i="2"/>
  <c r="O2941" i="2"/>
  <c r="A2942" i="2"/>
  <c r="B2941" i="2"/>
  <c r="C2941" i="2" s="1"/>
  <c r="D2941" i="2" s="1"/>
  <c r="M2941" i="2"/>
  <c r="F2941" i="2"/>
  <c r="L2941" i="2" l="1"/>
  <c r="E2942" i="2" a="1"/>
  <c r="E2942" i="2" s="1"/>
  <c r="I2937" i="2"/>
  <c r="P2937" i="2" s="1"/>
  <c r="J2941" i="2"/>
  <c r="K2941" i="2" s="1"/>
  <c r="G2941" i="2"/>
  <c r="O2942" i="2"/>
  <c r="A2943" i="2"/>
  <c r="B2942" i="2"/>
  <c r="C2942" i="2" s="1"/>
  <c r="D2942" i="2" s="1"/>
  <c r="L2942" i="2" s="1"/>
  <c r="M2942" i="2"/>
  <c r="F2942" i="2"/>
  <c r="H2938" i="2"/>
  <c r="N2937" i="2" l="1"/>
  <c r="I2938" i="2"/>
  <c r="P2938" i="2" s="1"/>
  <c r="E2943" i="2" a="1"/>
  <c r="E2943" i="2" s="1"/>
  <c r="H2939" i="2"/>
  <c r="I2939" i="2" s="1"/>
  <c r="P2939" i="2" s="1"/>
  <c r="J2942" i="2"/>
  <c r="K2942" i="2" s="1"/>
  <c r="G2942" i="2"/>
  <c r="M2943" i="2"/>
  <c r="A2944" i="2"/>
  <c r="B2943" i="2"/>
  <c r="C2943" i="2" s="1"/>
  <c r="D2943" i="2" s="1"/>
  <c r="O2943" i="2"/>
  <c r="F2943" i="2"/>
  <c r="L2943" i="2" l="1"/>
  <c r="N2938" i="2"/>
  <c r="N2939" i="2"/>
  <c r="E2944" i="2" a="1"/>
  <c r="E2944" i="2" s="1"/>
  <c r="J2943" i="2"/>
  <c r="K2943" i="2" s="1"/>
  <c r="G2943" i="2"/>
  <c r="M2944" i="2"/>
  <c r="O2944" i="2"/>
  <c r="A2945" i="2"/>
  <c r="F2944" i="2"/>
  <c r="B2944" i="2"/>
  <c r="C2944" i="2" s="1"/>
  <c r="D2944" i="2" s="1"/>
  <c r="L2944" i="2" s="1"/>
  <c r="H2940" i="2"/>
  <c r="I2940" i="2" l="1"/>
  <c r="P2940" i="2" s="1"/>
  <c r="E2945" i="2" a="1"/>
  <c r="E2945" i="2" s="1"/>
  <c r="H2941" i="2"/>
  <c r="J2944" i="2"/>
  <c r="K2944" i="2" s="1"/>
  <c r="G2944" i="2"/>
  <c r="O2945" i="2"/>
  <c r="M2945" i="2"/>
  <c r="B2945" i="2"/>
  <c r="C2945" i="2" s="1"/>
  <c r="D2945" i="2" s="1"/>
  <c r="A2946" i="2"/>
  <c r="F2945" i="2"/>
  <c r="N2940" i="2" l="1"/>
  <c r="E2946" i="2" a="1"/>
  <c r="E2946" i="2" s="1"/>
  <c r="L2945" i="2"/>
  <c r="I2941" i="2"/>
  <c r="P2941" i="2" s="1"/>
  <c r="J2945" i="2"/>
  <c r="K2945" i="2" s="1"/>
  <c r="G2945" i="2"/>
  <c r="A2947" i="2"/>
  <c r="B2946" i="2"/>
  <c r="C2946" i="2" s="1"/>
  <c r="D2946" i="2" s="1"/>
  <c r="M2946" i="2"/>
  <c r="F2946" i="2"/>
  <c r="O2946" i="2"/>
  <c r="H2942" i="2"/>
  <c r="E2947" i="2" l="1" a="1"/>
  <c r="E2947" i="2" s="1"/>
  <c r="L2946" i="2"/>
  <c r="N2941" i="2"/>
  <c r="I2942" i="2"/>
  <c r="P2942" i="2" s="1"/>
  <c r="E2948" i="2" a="1"/>
  <c r="E2948" i="2" s="1"/>
  <c r="H2943" i="2"/>
  <c r="I2943" i="2" s="1"/>
  <c r="P2943" i="2" s="1"/>
  <c r="J2946" i="2"/>
  <c r="K2946" i="2" s="1"/>
  <c r="G2946" i="2"/>
  <c r="M2947" i="2"/>
  <c r="A2948" i="2"/>
  <c r="O2947" i="2"/>
  <c r="F2947" i="2"/>
  <c r="B2947" i="2"/>
  <c r="C2947" i="2" s="1"/>
  <c r="D2947" i="2" s="1"/>
  <c r="N2942" i="2" l="1"/>
  <c r="L2947" i="2"/>
  <c r="N2943" i="2"/>
  <c r="J2947" i="2"/>
  <c r="K2947" i="2" s="1"/>
  <c r="G2947" i="2"/>
  <c r="O2948" i="2"/>
  <c r="B2948" i="2"/>
  <c r="C2948" i="2" s="1"/>
  <c r="D2948" i="2" s="1"/>
  <c r="A2949" i="2"/>
  <c r="M2948" i="2"/>
  <c r="F2948" i="2"/>
  <c r="H2944" i="2"/>
  <c r="I2944" i="2" s="1"/>
  <c r="P2944" i="2" s="1"/>
  <c r="N2944" i="2" l="1"/>
  <c r="E2949" i="2" a="1"/>
  <c r="E2949" i="2" s="1"/>
  <c r="L2948" i="2"/>
  <c r="E2950" i="2" a="1"/>
  <c r="E2950" i="2" s="1"/>
  <c r="H2945" i="2"/>
  <c r="J2948" i="2"/>
  <c r="K2948" i="2" s="1"/>
  <c r="G2948" i="2"/>
  <c r="M2949" i="2"/>
  <c r="F2949" i="2"/>
  <c r="B2949" i="2"/>
  <c r="C2949" i="2" s="1"/>
  <c r="D2949" i="2" s="1"/>
  <c r="A2950" i="2"/>
  <c r="O2949" i="2"/>
  <c r="I2945" i="2" l="1"/>
  <c r="P2945" i="2" s="1"/>
  <c r="L2949" i="2"/>
  <c r="F2950" i="2"/>
  <c r="M2950" i="2"/>
  <c r="A2951" i="2"/>
  <c r="O2950" i="2"/>
  <c r="B2950" i="2"/>
  <c r="C2950" i="2" s="1"/>
  <c r="D2950" i="2" s="1"/>
  <c r="G2949" i="2"/>
  <c r="J2949" i="2"/>
  <c r="K2949" i="2" s="1"/>
  <c r="H2946" i="2"/>
  <c r="L2950" i="2" l="1"/>
  <c r="N2945" i="2"/>
  <c r="I2946" i="2"/>
  <c r="P2946" i="2" s="1"/>
  <c r="E2951" i="2" a="1"/>
  <c r="E2951" i="2" s="1"/>
  <c r="H2947" i="2"/>
  <c r="I2947" i="2" s="1"/>
  <c r="P2947" i="2" s="1"/>
  <c r="F2951" i="2"/>
  <c r="B2951" i="2"/>
  <c r="C2951" i="2" s="1"/>
  <c r="D2951" i="2" s="1"/>
  <c r="A2952" i="2"/>
  <c r="O2951" i="2"/>
  <c r="M2951" i="2"/>
  <c r="G2950" i="2"/>
  <c r="J2950" i="2"/>
  <c r="K2950" i="2" s="1"/>
  <c r="N2947" i="2" l="1"/>
  <c r="L2951" i="2"/>
  <c r="N2946" i="2"/>
  <c r="E2952" i="2" a="1"/>
  <c r="E2952" i="2" s="1"/>
  <c r="F2952" i="2"/>
  <c r="M2952" i="2"/>
  <c r="B2952" i="2"/>
  <c r="C2952" i="2" s="1"/>
  <c r="D2952" i="2" s="1"/>
  <c r="E2953" i="2" s="1" a="1"/>
  <c r="E2953" i="2" s="1"/>
  <c r="A2953" i="2"/>
  <c r="O2952" i="2"/>
  <c r="G2951" i="2"/>
  <c r="J2951" i="2"/>
  <c r="K2951" i="2" s="1"/>
  <c r="H2948" i="2"/>
  <c r="L2952" i="2" l="1"/>
  <c r="I2948" i="2"/>
  <c r="P2948" i="2" s="1"/>
  <c r="H2949" i="2"/>
  <c r="I2949" i="2" s="1"/>
  <c r="P2949" i="2" s="1"/>
  <c r="F2953" i="2"/>
  <c r="A2954" i="2"/>
  <c r="O2953" i="2"/>
  <c r="M2953" i="2"/>
  <c r="B2953" i="2"/>
  <c r="C2953" i="2" s="1"/>
  <c r="D2953" i="2" s="1"/>
  <c r="G2952" i="2"/>
  <c r="J2952" i="2"/>
  <c r="K2952" i="2" s="1"/>
  <c r="N2949" i="2" l="1"/>
  <c r="N2948" i="2"/>
  <c r="E2954" i="2" a="1"/>
  <c r="E2954" i="2" s="1"/>
  <c r="L2953" i="2"/>
  <c r="F2954" i="2"/>
  <c r="B2954" i="2"/>
  <c r="C2954" i="2" s="1"/>
  <c r="D2954" i="2" s="1"/>
  <c r="A2955" i="2"/>
  <c r="O2954" i="2"/>
  <c r="M2954" i="2"/>
  <c r="J2953" i="2"/>
  <c r="K2953" i="2" s="1"/>
  <c r="G2953" i="2"/>
  <c r="H2950" i="2"/>
  <c r="E2955" i="2" l="1" a="1"/>
  <c r="E2955" i="2" s="1"/>
  <c r="I2950" i="2"/>
  <c r="P2950" i="2" s="1"/>
  <c r="L2954" i="2"/>
  <c r="H2951" i="2"/>
  <c r="A2956" i="2"/>
  <c r="B2955" i="2"/>
  <c r="C2955" i="2" s="1"/>
  <c r="D2955" i="2" s="1"/>
  <c r="F2955" i="2"/>
  <c r="O2955" i="2"/>
  <c r="M2955" i="2"/>
  <c r="J2954" i="2"/>
  <c r="K2954" i="2" s="1"/>
  <c r="G2954" i="2"/>
  <c r="E2956" i="2" l="1" a="1"/>
  <c r="E2956" i="2" s="1"/>
  <c r="I2951" i="2"/>
  <c r="P2951" i="2" s="1"/>
  <c r="N2950" i="2"/>
  <c r="L2955" i="2"/>
  <c r="J2955" i="2"/>
  <c r="K2955" i="2" s="1"/>
  <c r="G2955" i="2"/>
  <c r="A2957" i="2"/>
  <c r="B2956" i="2"/>
  <c r="C2956" i="2" s="1"/>
  <c r="D2956" i="2" s="1"/>
  <c r="O2956" i="2"/>
  <c r="M2956" i="2"/>
  <c r="F2956" i="2"/>
  <c r="H2952" i="2"/>
  <c r="I2952" i="2" s="1"/>
  <c r="P2952" i="2" s="1"/>
  <c r="N2951" i="2" l="1"/>
  <c r="N2952" i="2"/>
  <c r="E2957" i="2" a="1"/>
  <c r="E2957" i="2" s="1"/>
  <c r="L2956" i="2"/>
  <c r="H2953" i="2"/>
  <c r="G2956" i="2"/>
  <c r="J2956" i="2"/>
  <c r="K2956" i="2" s="1"/>
  <c r="O2957" i="2"/>
  <c r="F2957" i="2"/>
  <c r="A2958" i="2"/>
  <c r="B2957" i="2"/>
  <c r="C2957" i="2" s="1"/>
  <c r="D2957" i="2" s="1"/>
  <c r="M2957" i="2"/>
  <c r="I2953" i="2" l="1"/>
  <c r="P2953" i="2" s="1"/>
  <c r="L2957" i="2"/>
  <c r="E2958" i="2" a="1"/>
  <c r="E2958" i="2" s="1"/>
  <c r="O2958" i="2"/>
  <c r="A2959" i="2"/>
  <c r="B2958" i="2"/>
  <c r="C2958" i="2" s="1"/>
  <c r="D2958" i="2" s="1"/>
  <c r="L2958" i="2" s="1"/>
  <c r="M2958" i="2"/>
  <c r="F2958" i="2"/>
  <c r="G2957" i="2"/>
  <c r="J2957" i="2"/>
  <c r="K2957" i="2" s="1"/>
  <c r="H2954" i="2"/>
  <c r="I2954" i="2" s="1"/>
  <c r="P2954" i="2" s="1"/>
  <c r="E2959" i="2" l="1" a="1"/>
  <c r="E2959" i="2" s="1"/>
  <c r="N2953" i="2"/>
  <c r="N2954" i="2"/>
  <c r="H2955" i="2"/>
  <c r="I2955" i="2" s="1"/>
  <c r="P2955" i="2" s="1"/>
  <c r="J2958" i="2"/>
  <c r="K2958" i="2" s="1"/>
  <c r="G2958" i="2"/>
  <c r="M2959" i="2"/>
  <c r="A2960" i="2"/>
  <c r="B2959" i="2"/>
  <c r="C2959" i="2" s="1"/>
  <c r="D2959" i="2" s="1"/>
  <c r="L2959" i="2" s="1"/>
  <c r="O2959" i="2"/>
  <c r="F2959" i="2"/>
  <c r="N2955" i="2" l="1"/>
  <c r="E2960" i="2" a="1"/>
  <c r="E2960" i="2" s="1"/>
  <c r="G2959" i="2"/>
  <c r="J2959" i="2"/>
  <c r="K2959" i="2" s="1"/>
  <c r="M2960" i="2"/>
  <c r="A2961" i="2"/>
  <c r="B2960" i="2"/>
  <c r="C2960" i="2" s="1"/>
  <c r="D2960" i="2" s="1"/>
  <c r="O2960" i="2"/>
  <c r="F2960" i="2"/>
  <c r="H2956" i="2"/>
  <c r="E2961" i="2" l="1" a="1"/>
  <c r="E2961" i="2" s="1"/>
  <c r="L2960" i="2"/>
  <c r="I2956" i="2"/>
  <c r="P2956" i="2" s="1"/>
  <c r="H2957" i="2"/>
  <c r="J2960" i="2"/>
  <c r="K2960" i="2" s="1"/>
  <c r="G2960" i="2"/>
  <c r="A2962" i="2"/>
  <c r="B2961" i="2"/>
  <c r="C2961" i="2" s="1"/>
  <c r="D2961" i="2" s="1"/>
  <c r="O2961" i="2"/>
  <c r="M2961" i="2"/>
  <c r="F2961" i="2"/>
  <c r="N2956" i="2" l="1"/>
  <c r="L2961" i="2"/>
  <c r="I2957" i="2"/>
  <c r="P2957" i="2" s="1"/>
  <c r="E2962" i="2" a="1"/>
  <c r="E2962" i="2" s="1"/>
  <c r="G2961" i="2"/>
  <c r="J2961" i="2"/>
  <c r="K2961" i="2" s="1"/>
  <c r="A2963" i="2"/>
  <c r="B2962" i="2"/>
  <c r="C2962" i="2" s="1"/>
  <c r="D2962" i="2" s="1"/>
  <c r="O2962" i="2"/>
  <c r="M2962" i="2"/>
  <c r="F2962" i="2"/>
  <c r="H2958" i="2"/>
  <c r="I2958" i="2" s="1"/>
  <c r="P2958" i="2" s="1"/>
  <c r="L2962" i="2" l="1"/>
  <c r="N2957" i="2"/>
  <c r="N2958" i="2"/>
  <c r="E2963" i="2" a="1"/>
  <c r="E2963" i="2" s="1"/>
  <c r="H2959" i="2"/>
  <c r="I2959" i="2" s="1"/>
  <c r="P2959" i="2" s="1"/>
  <c r="J2962" i="2"/>
  <c r="K2962" i="2" s="1"/>
  <c r="G2962" i="2"/>
  <c r="A2964" i="2"/>
  <c r="B2963" i="2"/>
  <c r="C2963" i="2" s="1"/>
  <c r="D2963" i="2" s="1"/>
  <c r="O2963" i="2"/>
  <c r="M2963" i="2"/>
  <c r="F2963" i="2"/>
  <c r="N2959" i="2" l="1"/>
  <c r="E2964" i="2" a="1"/>
  <c r="E2964" i="2" s="1"/>
  <c r="L2963" i="2"/>
  <c r="J2963" i="2"/>
  <c r="K2963" i="2" s="1"/>
  <c r="G2963" i="2"/>
  <c r="O2964" i="2"/>
  <c r="M2964" i="2"/>
  <c r="A2965" i="2"/>
  <c r="F2964" i="2"/>
  <c r="B2964" i="2"/>
  <c r="C2964" i="2" s="1"/>
  <c r="D2964" i="2" s="1"/>
  <c r="H2960" i="2"/>
  <c r="I2960" i="2" l="1"/>
  <c r="P2960" i="2" s="1"/>
  <c r="E2966" i="2" a="1"/>
  <c r="E2966" i="2" s="1"/>
  <c r="L2964" i="2"/>
  <c r="E2965" i="2" a="1"/>
  <c r="E2965" i="2" s="1"/>
  <c r="H2961" i="2"/>
  <c r="J2964" i="2"/>
  <c r="K2964" i="2" s="1"/>
  <c r="G2964" i="2"/>
  <c r="A2966" i="2"/>
  <c r="B2965" i="2"/>
  <c r="C2965" i="2" s="1"/>
  <c r="D2965" i="2" s="1"/>
  <c r="L2965" i="2" s="1"/>
  <c r="O2965" i="2"/>
  <c r="M2965" i="2"/>
  <c r="F2965" i="2"/>
  <c r="I2961" i="2" l="1"/>
  <c r="P2961" i="2" s="1"/>
  <c r="N2960" i="2"/>
  <c r="G2965" i="2"/>
  <c r="J2965" i="2"/>
  <c r="K2965" i="2" s="1"/>
  <c r="F2966" i="2"/>
  <c r="A2967" i="2"/>
  <c r="B2966" i="2"/>
  <c r="C2966" i="2" s="1"/>
  <c r="D2966" i="2" s="1"/>
  <c r="M2966" i="2"/>
  <c r="O2966" i="2"/>
  <c r="H2962" i="2"/>
  <c r="N2961" i="2" l="1"/>
  <c r="L2966" i="2"/>
  <c r="I2962" i="2"/>
  <c r="P2962" i="2" s="1"/>
  <c r="E2968" i="2" a="1"/>
  <c r="E2968" i="2" s="1"/>
  <c r="E2967" i="2" a="1"/>
  <c r="E2967" i="2" s="1"/>
  <c r="H2963" i="2"/>
  <c r="F2967" i="2"/>
  <c r="O2967" i="2"/>
  <c r="M2967" i="2"/>
  <c r="A2968" i="2"/>
  <c r="B2967" i="2"/>
  <c r="C2967" i="2" s="1"/>
  <c r="D2967" i="2" s="1"/>
  <c r="G2966" i="2"/>
  <c r="J2966" i="2"/>
  <c r="K2966" i="2" s="1"/>
  <c r="I2963" i="2" l="1"/>
  <c r="P2963" i="2" s="1"/>
  <c r="L2967" i="2"/>
  <c r="N2962" i="2"/>
  <c r="A2969" i="2"/>
  <c r="B2968" i="2"/>
  <c r="C2968" i="2" s="1"/>
  <c r="D2968" i="2" s="1"/>
  <c r="O2968" i="2"/>
  <c r="F2968" i="2"/>
  <c r="M2968" i="2"/>
  <c r="J2967" i="2"/>
  <c r="K2967" i="2" s="1"/>
  <c r="G2967" i="2"/>
  <c r="H2964" i="2"/>
  <c r="E2969" i="2" l="1" a="1"/>
  <c r="E2969" i="2" s="1"/>
  <c r="N2963" i="2"/>
  <c r="I2964" i="2"/>
  <c r="P2964" i="2" s="1"/>
  <c r="L2968" i="2"/>
  <c r="H2965" i="2"/>
  <c r="I2965" i="2" s="1"/>
  <c r="P2965" i="2" s="1"/>
  <c r="J2968" i="2"/>
  <c r="K2968" i="2" s="1"/>
  <c r="G2968" i="2"/>
  <c r="M2969" i="2"/>
  <c r="F2969" i="2"/>
  <c r="A2970" i="2"/>
  <c r="O2969" i="2"/>
  <c r="B2969" i="2"/>
  <c r="C2969" i="2" s="1"/>
  <c r="D2969" i="2" s="1"/>
  <c r="L2969" i="2" s="1"/>
  <c r="N2965" i="2" l="1"/>
  <c r="N2964" i="2"/>
  <c r="E2970" i="2" a="1"/>
  <c r="E2970" i="2" s="1"/>
  <c r="E2971" i="2" a="1"/>
  <c r="E2971" i="2" s="1"/>
  <c r="O2970" i="2"/>
  <c r="M2970" i="2"/>
  <c r="F2970" i="2"/>
  <c r="A2971" i="2"/>
  <c r="B2970" i="2"/>
  <c r="C2970" i="2" s="1"/>
  <c r="D2970" i="2" s="1"/>
  <c r="L2970" i="2" s="1"/>
  <c r="J2969" i="2"/>
  <c r="K2969" i="2" s="1"/>
  <c r="G2969" i="2"/>
  <c r="H2966" i="2"/>
  <c r="I2966" i="2" l="1"/>
  <c r="P2966" i="2" s="1"/>
  <c r="H2967" i="2"/>
  <c r="A2972" i="2"/>
  <c r="B2971" i="2"/>
  <c r="C2971" i="2" s="1"/>
  <c r="D2971" i="2" s="1"/>
  <c r="L2971" i="2" s="1"/>
  <c r="F2971" i="2"/>
  <c r="O2971" i="2"/>
  <c r="M2971" i="2"/>
  <c r="J2970" i="2"/>
  <c r="K2970" i="2" s="1"/>
  <c r="G2970" i="2"/>
  <c r="I2967" i="2" l="1"/>
  <c r="P2967" i="2" s="1"/>
  <c r="N2966" i="2"/>
  <c r="E2972" i="2" a="1"/>
  <c r="E2972" i="2" s="1"/>
  <c r="G2971" i="2"/>
  <c r="J2971" i="2"/>
  <c r="K2971" i="2" s="1"/>
  <c r="A2973" i="2"/>
  <c r="B2972" i="2"/>
  <c r="C2972" i="2" s="1"/>
  <c r="D2972" i="2" s="1"/>
  <c r="M2972" i="2"/>
  <c r="F2972" i="2"/>
  <c r="O2972" i="2"/>
  <c r="H2968" i="2"/>
  <c r="E2973" i="2" l="1" a="1"/>
  <c r="E2973" i="2" s="1"/>
  <c r="E2974" i="2" a="1"/>
  <c r="E2974" i="2" s="1"/>
  <c r="I2968" i="2"/>
  <c r="P2968" i="2" s="1"/>
  <c r="N2967" i="2"/>
  <c r="L2972" i="2"/>
  <c r="H2969" i="2"/>
  <c r="J2972" i="2"/>
  <c r="K2972" i="2" s="1"/>
  <c r="G2972" i="2"/>
  <c r="O2973" i="2"/>
  <c r="F2973" i="2"/>
  <c r="A2974" i="2"/>
  <c r="B2973" i="2"/>
  <c r="C2973" i="2" s="1"/>
  <c r="D2973" i="2" s="1"/>
  <c r="L2973" i="2" s="1"/>
  <c r="M2973" i="2"/>
  <c r="I2969" i="2" l="1"/>
  <c r="P2969" i="2" s="1"/>
  <c r="N2968" i="2"/>
  <c r="E2975" i="2" a="1"/>
  <c r="E2975" i="2" s="1"/>
  <c r="O2974" i="2"/>
  <c r="F2974" i="2"/>
  <c r="A2975" i="2"/>
  <c r="B2974" i="2"/>
  <c r="C2974" i="2" s="1"/>
  <c r="D2974" i="2" s="1"/>
  <c r="L2974" i="2" s="1"/>
  <c r="M2974" i="2"/>
  <c r="J2973" i="2"/>
  <c r="K2973" i="2" s="1"/>
  <c r="G2973" i="2"/>
  <c r="H2970" i="2"/>
  <c r="I2970" i="2" s="1"/>
  <c r="P2970" i="2" s="1"/>
  <c r="E2976" i="2" l="1" a="1"/>
  <c r="E2976" i="2" s="1"/>
  <c r="N2969" i="2"/>
  <c r="N2970" i="2"/>
  <c r="H2971" i="2"/>
  <c r="I2971" i="2" s="1"/>
  <c r="P2971" i="2" s="1"/>
  <c r="M2975" i="2"/>
  <c r="A2976" i="2"/>
  <c r="B2975" i="2"/>
  <c r="C2975" i="2" s="1"/>
  <c r="D2975" i="2" s="1"/>
  <c r="L2975" i="2" s="1"/>
  <c r="O2975" i="2"/>
  <c r="F2975" i="2"/>
  <c r="J2974" i="2"/>
  <c r="K2974" i="2" s="1"/>
  <c r="G2974" i="2"/>
  <c r="N2971" i="2" l="1"/>
  <c r="E2977" i="2" a="1"/>
  <c r="E2977" i="2" s="1"/>
  <c r="J2975" i="2"/>
  <c r="K2975" i="2" s="1"/>
  <c r="G2975" i="2"/>
  <c r="M2976" i="2"/>
  <c r="F2976" i="2"/>
  <c r="A2977" i="2"/>
  <c r="B2976" i="2"/>
  <c r="C2976" i="2" s="1"/>
  <c r="D2976" i="2" s="1"/>
  <c r="O2976" i="2"/>
  <c r="H2972" i="2"/>
  <c r="L2976" i="2" l="1"/>
  <c r="I2972" i="2"/>
  <c r="P2972" i="2" s="1"/>
  <c r="H2973" i="2"/>
  <c r="F2977" i="2"/>
  <c r="A2978" i="2"/>
  <c r="B2977" i="2"/>
  <c r="C2977" i="2" s="1"/>
  <c r="D2977" i="2" s="1"/>
  <c r="L2977" i="2" s="1"/>
  <c r="O2977" i="2"/>
  <c r="M2977" i="2"/>
  <c r="G2976" i="2"/>
  <c r="J2976" i="2"/>
  <c r="K2976" i="2" s="1"/>
  <c r="E2978" i="2" l="1" a="1"/>
  <c r="E2978" i="2" s="1"/>
  <c r="I2973" i="2"/>
  <c r="P2973" i="2" s="1"/>
  <c r="N2972" i="2"/>
  <c r="E2979" i="2" a="1"/>
  <c r="E2979" i="2" s="1"/>
  <c r="A2979" i="2"/>
  <c r="B2978" i="2"/>
  <c r="C2978" i="2" s="1"/>
  <c r="D2978" i="2" s="1"/>
  <c r="O2978" i="2"/>
  <c r="M2978" i="2"/>
  <c r="F2978" i="2"/>
  <c r="J2977" i="2"/>
  <c r="K2977" i="2" s="1"/>
  <c r="G2977" i="2"/>
  <c r="H2974" i="2"/>
  <c r="I2974" i="2" s="1"/>
  <c r="P2974" i="2" s="1"/>
  <c r="N2974" i="2" l="1"/>
  <c r="L2978" i="2"/>
  <c r="N2973" i="2"/>
  <c r="H2975" i="2"/>
  <c r="I2975" i="2" s="1"/>
  <c r="P2975" i="2" s="1"/>
  <c r="J2978" i="2"/>
  <c r="K2978" i="2" s="1"/>
  <c r="G2978" i="2"/>
  <c r="F2979" i="2"/>
  <c r="A2980" i="2"/>
  <c r="B2979" i="2"/>
  <c r="C2979" i="2" s="1"/>
  <c r="D2979" i="2" s="1"/>
  <c r="L2979" i="2" s="1"/>
  <c r="O2979" i="2"/>
  <c r="M2979" i="2"/>
  <c r="N2975" i="2" l="1"/>
  <c r="E2980" i="2" a="1"/>
  <c r="E2980" i="2" s="1"/>
  <c r="E2981" i="2" a="1"/>
  <c r="E2981" i="2" s="1"/>
  <c r="A2981" i="2"/>
  <c r="B2980" i="2"/>
  <c r="C2980" i="2" s="1"/>
  <c r="D2980" i="2" s="1"/>
  <c r="L2980" i="2" s="1"/>
  <c r="O2980" i="2"/>
  <c r="M2980" i="2"/>
  <c r="F2980" i="2"/>
  <c r="J2979" i="2"/>
  <c r="K2979" i="2" s="1"/>
  <c r="G2979" i="2"/>
  <c r="H2976" i="2"/>
  <c r="I2976" i="2" s="1"/>
  <c r="P2976" i="2" s="1"/>
  <c r="N2976" i="2" l="1"/>
  <c r="H2977" i="2"/>
  <c r="I2977" i="2" s="1"/>
  <c r="P2977" i="2" s="1"/>
  <c r="J2980" i="2"/>
  <c r="K2980" i="2" s="1"/>
  <c r="G2980" i="2"/>
  <c r="A2982" i="2"/>
  <c r="B2981" i="2"/>
  <c r="C2981" i="2" s="1"/>
  <c r="D2981" i="2" s="1"/>
  <c r="O2981" i="2"/>
  <c r="M2981" i="2"/>
  <c r="F2981" i="2"/>
  <c r="E2982" i="2" l="1" a="1"/>
  <c r="E2982" i="2" s="1"/>
  <c r="N2977" i="2"/>
  <c r="L2981" i="2"/>
  <c r="G2981" i="2"/>
  <c r="J2981" i="2"/>
  <c r="K2981" i="2" s="1"/>
  <c r="F2982" i="2"/>
  <c r="A2983" i="2"/>
  <c r="B2982" i="2"/>
  <c r="C2982" i="2" s="1"/>
  <c r="D2982" i="2" s="1"/>
  <c r="O2982" i="2"/>
  <c r="M2982" i="2"/>
  <c r="H2978" i="2"/>
  <c r="E2984" i="2" l="1" a="1"/>
  <c r="E2984" i="2" s="1"/>
  <c r="I2978" i="2"/>
  <c r="P2978" i="2" s="1"/>
  <c r="L2982" i="2"/>
  <c r="E2983" i="2" a="1"/>
  <c r="E2983" i="2" s="1"/>
  <c r="H2979" i="2"/>
  <c r="F2983" i="2"/>
  <c r="A2984" i="2"/>
  <c r="B2983" i="2"/>
  <c r="C2983" i="2" s="1"/>
  <c r="D2983" i="2" s="1"/>
  <c r="L2983" i="2" s="1"/>
  <c r="O2983" i="2"/>
  <c r="M2983" i="2"/>
  <c r="G2982" i="2"/>
  <c r="J2982" i="2"/>
  <c r="K2982" i="2" s="1"/>
  <c r="I2979" i="2" l="1"/>
  <c r="P2979" i="2" s="1"/>
  <c r="N2978" i="2"/>
  <c r="A2985" i="2"/>
  <c r="B2984" i="2"/>
  <c r="C2984" i="2" s="1"/>
  <c r="D2984" i="2" s="1"/>
  <c r="O2984" i="2"/>
  <c r="M2984" i="2"/>
  <c r="F2984" i="2"/>
  <c r="J2983" i="2"/>
  <c r="K2983" i="2" s="1"/>
  <c r="G2983" i="2"/>
  <c r="H2980" i="2"/>
  <c r="E2985" i="2" l="1" a="1"/>
  <c r="E2985" i="2" s="1"/>
  <c r="I2980" i="2"/>
  <c r="P2980" i="2" s="1"/>
  <c r="L2984" i="2"/>
  <c r="N2979" i="2"/>
  <c r="H2981" i="2"/>
  <c r="I2981" i="2" s="1"/>
  <c r="P2981" i="2" s="1"/>
  <c r="J2984" i="2"/>
  <c r="K2984" i="2" s="1"/>
  <c r="G2984" i="2"/>
  <c r="O2985" i="2"/>
  <c r="M2985" i="2"/>
  <c r="F2985" i="2"/>
  <c r="A2986" i="2"/>
  <c r="B2985" i="2"/>
  <c r="C2985" i="2" s="1"/>
  <c r="D2985" i="2" s="1"/>
  <c r="E2987" i="2" l="1" a="1"/>
  <c r="E2987" i="2" s="1"/>
  <c r="L2985" i="2"/>
  <c r="E2986" i="2" a="1"/>
  <c r="E2986" i="2" s="1"/>
  <c r="N2981" i="2"/>
  <c r="N2980" i="2"/>
  <c r="A2987" i="2"/>
  <c r="B2986" i="2"/>
  <c r="C2986" i="2" s="1"/>
  <c r="D2986" i="2" s="1"/>
  <c r="O2986" i="2"/>
  <c r="M2986" i="2"/>
  <c r="F2986" i="2"/>
  <c r="J2985" i="2"/>
  <c r="K2985" i="2" s="1"/>
  <c r="G2985" i="2"/>
  <c r="H2982" i="2"/>
  <c r="I2982" i="2" l="1"/>
  <c r="P2982" i="2" s="1"/>
  <c r="L2986" i="2"/>
  <c r="H2983" i="2"/>
  <c r="J2986" i="2"/>
  <c r="K2986" i="2" s="1"/>
  <c r="G2986" i="2"/>
  <c r="A2988" i="2"/>
  <c r="B2987" i="2"/>
  <c r="C2987" i="2" s="1"/>
  <c r="D2987" i="2" s="1"/>
  <c r="L2987" i="2" s="1"/>
  <c r="M2987" i="2"/>
  <c r="F2987" i="2"/>
  <c r="O2987" i="2"/>
  <c r="E2989" i="2" l="1" a="1"/>
  <c r="E2989" i="2" s="1"/>
  <c r="E2988" i="2" a="1"/>
  <c r="E2988" i="2" s="1"/>
  <c r="I2983" i="2"/>
  <c r="P2983" i="2" s="1"/>
  <c r="N2982" i="2"/>
  <c r="J2987" i="2"/>
  <c r="K2987" i="2" s="1"/>
  <c r="G2987" i="2"/>
  <c r="A2989" i="2"/>
  <c r="B2988" i="2"/>
  <c r="C2988" i="2" s="1"/>
  <c r="D2988" i="2" s="1"/>
  <c r="L2988" i="2" s="1"/>
  <c r="O2988" i="2"/>
  <c r="M2988" i="2"/>
  <c r="F2988" i="2"/>
  <c r="H2984" i="2"/>
  <c r="I2984" i="2" l="1"/>
  <c r="P2984" i="2" s="1"/>
  <c r="E2990" i="2" a="1"/>
  <c r="E2990" i="2" s="1"/>
  <c r="N2983" i="2"/>
  <c r="H2985" i="2"/>
  <c r="I2985" i="2" s="1"/>
  <c r="P2985" i="2" s="1"/>
  <c r="J2988" i="2"/>
  <c r="K2988" i="2" s="1"/>
  <c r="G2988" i="2"/>
  <c r="O2989" i="2"/>
  <c r="F2989" i="2"/>
  <c r="A2990" i="2"/>
  <c r="B2989" i="2"/>
  <c r="C2989" i="2" s="1"/>
  <c r="D2989" i="2" s="1"/>
  <c r="L2989" i="2" s="1"/>
  <c r="M2989" i="2"/>
  <c r="N2985" i="2" l="1"/>
  <c r="E2991" i="2" a="1"/>
  <c r="E2991" i="2" s="1"/>
  <c r="N2984" i="2"/>
  <c r="O2990" i="2"/>
  <c r="M2990" i="2"/>
  <c r="F2990" i="2"/>
  <c r="A2991" i="2"/>
  <c r="B2990" i="2"/>
  <c r="C2990" i="2" s="1"/>
  <c r="D2990" i="2" s="1"/>
  <c r="L2990" i="2" s="1"/>
  <c r="J2989" i="2"/>
  <c r="K2989" i="2" s="1"/>
  <c r="G2989" i="2"/>
  <c r="H2986" i="2"/>
  <c r="I2986" i="2" s="1"/>
  <c r="P2986" i="2" s="1"/>
  <c r="N2986" i="2" l="1"/>
  <c r="H2987" i="2"/>
  <c r="M2991" i="2"/>
  <c r="F2991" i="2"/>
  <c r="A2992" i="2"/>
  <c r="B2991" i="2"/>
  <c r="C2991" i="2" s="1"/>
  <c r="D2991" i="2" s="1"/>
  <c r="O2991" i="2"/>
  <c r="J2990" i="2"/>
  <c r="K2990" i="2" s="1"/>
  <c r="G2990" i="2"/>
  <c r="E2992" i="2" l="1" a="1"/>
  <c r="E2992" i="2" s="1"/>
  <c r="E2993" i="2" a="1"/>
  <c r="E2993" i="2" s="1"/>
  <c r="L2991" i="2"/>
  <c r="I2987" i="2"/>
  <c r="P2987" i="2" s="1"/>
  <c r="M2992" i="2"/>
  <c r="F2992" i="2"/>
  <c r="A2993" i="2"/>
  <c r="B2992" i="2"/>
  <c r="C2992" i="2" s="1"/>
  <c r="D2992" i="2" s="1"/>
  <c r="L2992" i="2" s="1"/>
  <c r="O2992" i="2"/>
  <c r="J2991" i="2"/>
  <c r="K2991" i="2" s="1"/>
  <c r="G2991" i="2"/>
  <c r="H2988" i="2"/>
  <c r="N2987" i="2" l="1"/>
  <c r="I2988" i="2"/>
  <c r="P2988" i="2" s="1"/>
  <c r="H2989" i="2"/>
  <c r="F2993" i="2"/>
  <c r="A2994" i="2"/>
  <c r="B2993" i="2"/>
  <c r="C2993" i="2" s="1"/>
  <c r="D2993" i="2" s="1"/>
  <c r="O2993" i="2"/>
  <c r="M2993" i="2"/>
  <c r="G2992" i="2"/>
  <c r="J2992" i="2"/>
  <c r="K2992" i="2" s="1"/>
  <c r="E2995" i="2" l="1" a="1"/>
  <c r="E2995" i="2" s="1"/>
  <c r="E2994" i="2" a="1"/>
  <c r="E2994" i="2" s="1"/>
  <c r="L2993" i="2"/>
  <c r="N2988" i="2"/>
  <c r="I2989" i="2"/>
  <c r="P2989" i="2" s="1"/>
  <c r="F2994" i="2"/>
  <c r="A2995" i="2"/>
  <c r="B2994" i="2"/>
  <c r="C2994" i="2" s="1"/>
  <c r="D2994" i="2" s="1"/>
  <c r="L2994" i="2" s="1"/>
  <c r="O2994" i="2"/>
  <c r="M2994" i="2"/>
  <c r="J2993" i="2"/>
  <c r="K2993" i="2" s="1"/>
  <c r="G2993" i="2"/>
  <c r="H2990" i="2"/>
  <c r="I2990" i="2" l="1"/>
  <c r="P2990" i="2" s="1"/>
  <c r="E2996" i="2" a="1"/>
  <c r="E2996" i="2" s="1"/>
  <c r="N2989" i="2"/>
  <c r="H2991" i="2"/>
  <c r="I2991" i="2" s="1"/>
  <c r="P2991" i="2" s="1"/>
  <c r="F2995" i="2"/>
  <c r="A2996" i="2"/>
  <c r="B2995" i="2"/>
  <c r="C2995" i="2" s="1"/>
  <c r="D2995" i="2" s="1"/>
  <c r="O2995" i="2"/>
  <c r="M2995" i="2"/>
  <c r="J2994" i="2"/>
  <c r="K2994" i="2" s="1"/>
  <c r="G2994" i="2"/>
  <c r="E2997" i="2" l="1" a="1"/>
  <c r="E2997" i="2" s="1"/>
  <c r="N2991" i="2"/>
  <c r="L2995" i="2"/>
  <c r="N2990" i="2"/>
  <c r="A2997" i="2"/>
  <c r="B2996" i="2"/>
  <c r="C2996" i="2" s="1"/>
  <c r="D2996" i="2" s="1"/>
  <c r="O2996" i="2"/>
  <c r="M2996" i="2"/>
  <c r="F2996" i="2"/>
  <c r="J2995" i="2"/>
  <c r="K2995" i="2" s="1"/>
  <c r="G2995" i="2"/>
  <c r="H2992" i="2"/>
  <c r="L2996" i="2" l="1"/>
  <c r="I2992" i="2"/>
  <c r="P2992" i="2" s="1"/>
  <c r="H2993" i="2"/>
  <c r="G2996" i="2"/>
  <c r="J2996" i="2"/>
  <c r="K2996" i="2" s="1"/>
  <c r="F2997" i="2"/>
  <c r="A2998" i="2"/>
  <c r="B2997" i="2"/>
  <c r="C2997" i="2" s="1"/>
  <c r="D2997" i="2" s="1"/>
  <c r="O2997" i="2"/>
  <c r="M2997" i="2"/>
  <c r="E2998" i="2" l="1" a="1"/>
  <c r="E2998" i="2" s="1"/>
  <c r="E2999" i="2" a="1"/>
  <c r="E2999" i="2" s="1"/>
  <c r="L2997" i="2"/>
  <c r="I2993" i="2"/>
  <c r="P2993" i="2" s="1"/>
  <c r="N2992" i="2"/>
  <c r="F2998" i="2"/>
  <c r="A2999" i="2"/>
  <c r="B2998" i="2"/>
  <c r="C2998" i="2" s="1"/>
  <c r="D2998" i="2" s="1"/>
  <c r="O2998" i="2"/>
  <c r="M2998" i="2"/>
  <c r="G2997" i="2"/>
  <c r="J2997" i="2"/>
  <c r="K2997" i="2" s="1"/>
  <c r="H2994" i="2"/>
  <c r="I2994" i="2" l="1"/>
  <c r="P2994" i="2" s="1"/>
  <c r="L2998" i="2"/>
  <c r="N2993" i="2"/>
  <c r="H2995" i="2"/>
  <c r="F2999" i="2"/>
  <c r="A3000" i="2"/>
  <c r="B2999" i="2"/>
  <c r="C2999" i="2" s="1"/>
  <c r="D2999" i="2" s="1"/>
  <c r="O2999" i="2"/>
  <c r="M2999" i="2"/>
  <c r="G2998" i="2"/>
  <c r="J2998" i="2"/>
  <c r="K2998" i="2" s="1"/>
  <c r="E3000" i="2" l="1" a="1"/>
  <c r="E3000" i="2" s="1"/>
  <c r="L2999" i="2"/>
  <c r="I2995" i="2"/>
  <c r="P2995" i="2" s="1"/>
  <c r="N2994" i="2"/>
  <c r="A3001" i="2"/>
  <c r="B3000" i="2"/>
  <c r="C3000" i="2" s="1"/>
  <c r="D3000" i="2" s="1"/>
  <c r="E3001" i="2" s="1" a="1"/>
  <c r="E3001" i="2" s="1"/>
  <c r="O3000" i="2"/>
  <c r="M3000" i="2"/>
  <c r="F3000" i="2"/>
  <c r="J2999" i="2"/>
  <c r="K2999" i="2" s="1"/>
  <c r="G2999" i="2"/>
  <c r="H2996" i="2"/>
  <c r="I2996" i="2" l="1"/>
  <c r="P2996" i="2" s="1"/>
  <c r="N2995" i="2"/>
  <c r="L3000" i="2"/>
  <c r="H2997" i="2"/>
  <c r="I2997" i="2" s="1"/>
  <c r="P2997" i="2" s="1"/>
  <c r="J3000" i="2"/>
  <c r="K3000" i="2" s="1"/>
  <c r="G3000" i="2"/>
  <c r="A3002" i="2"/>
  <c r="B3001" i="2"/>
  <c r="C3001" i="2" s="1"/>
  <c r="D3001" i="2" s="1"/>
  <c r="O3001" i="2"/>
  <c r="M3001" i="2"/>
  <c r="F3001" i="2"/>
  <c r="E3002" i="2" l="1" a="1"/>
  <c r="E3002" i="2" s="1"/>
  <c r="E3003" i="2" a="1"/>
  <c r="E3003" i="2" s="1"/>
  <c r="L3001" i="2"/>
  <c r="N2997" i="2"/>
  <c r="N2996" i="2"/>
  <c r="J3001" i="2"/>
  <c r="K3001" i="2" s="1"/>
  <c r="G3001" i="2"/>
  <c r="A3003" i="2"/>
  <c r="B3002" i="2"/>
  <c r="C3002" i="2" s="1"/>
  <c r="D3002" i="2" s="1"/>
  <c r="L3002" i="2" s="1"/>
  <c r="O3002" i="2"/>
  <c r="M3002" i="2"/>
  <c r="F3002" i="2"/>
  <c r="H2998" i="2"/>
  <c r="I2998" i="2" s="1"/>
  <c r="P2998" i="2" s="1"/>
  <c r="N2998" i="2" l="1"/>
  <c r="H2999" i="2"/>
  <c r="J3002" i="2"/>
  <c r="K3002" i="2" s="1"/>
  <c r="G3002" i="2"/>
  <c r="B3003" i="2"/>
  <c r="C3003" i="2" s="1"/>
  <c r="D3003" i="2" s="1"/>
  <c r="L3003" i="2" s="1"/>
  <c r="O3003" i="2"/>
  <c r="M3003" i="2"/>
  <c r="F3003" i="2"/>
  <c r="I2999" i="2" l="1"/>
  <c r="P2999" i="2" s="1"/>
  <c r="J3003" i="2"/>
  <c r="K3003" i="2" s="1"/>
  <c r="G3003" i="2"/>
  <c r="H3000" i="2"/>
  <c r="I3000" i="2" l="1"/>
  <c r="P3000" i="2" s="1"/>
  <c r="N2999" i="2"/>
  <c r="H3001" i="2"/>
  <c r="I3001" i="2" l="1"/>
  <c r="P3001" i="2" s="1"/>
  <c r="N3000" i="2"/>
  <c r="H3002" i="2"/>
  <c r="I3002" i="2" l="1"/>
  <c r="P3002" i="2" s="1"/>
  <c r="N3001" i="2"/>
  <c r="H3003" i="2"/>
  <c r="I3003" i="2" l="1"/>
  <c r="P3003" i="2" s="1"/>
  <c r="N3002" i="2"/>
  <c r="N3003" i="2" l="1"/>
  <c r="G4" i="2" l="1"/>
  <c r="G3" i="2"/>
</calcChain>
</file>

<file path=xl/sharedStrings.xml><?xml version="1.0" encoding="utf-8"?>
<sst xmlns="http://schemas.openxmlformats.org/spreadsheetml/2006/main" count="104" uniqueCount="62">
  <si>
    <t>Germany Yield Curve</t>
  </si>
  <si>
    <t>Recovery</t>
  </si>
  <si>
    <t>Tenor</t>
  </si>
  <si>
    <t>Years</t>
  </si>
  <si>
    <t>Yield</t>
  </si>
  <si>
    <t>Today</t>
  </si>
  <si>
    <t>Germany Yield Interpolation</t>
  </si>
  <si>
    <t>Bond Yields</t>
  </si>
  <si>
    <t>Interval PD</t>
  </si>
  <si>
    <t>Hazard Rate</t>
  </si>
  <si>
    <t>Survival Probability</t>
  </si>
  <si>
    <t>Default Probability</t>
  </si>
  <si>
    <t>Left Idx</t>
  </si>
  <si>
    <t>Left Node</t>
  </si>
  <si>
    <t>Left Yield</t>
  </si>
  <si>
    <t>Right Node</t>
  </si>
  <si>
    <t>Right Yield</t>
  </si>
  <si>
    <t>Fwd Yield</t>
  </si>
  <si>
    <t>Germany</t>
  </si>
  <si>
    <t>Big Bank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</si>
  <si>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</si>
  <si>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</si>
  <si>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</si>
  <si>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</si>
  <si>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</si>
  <si>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</si>
  <si>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</si>
  <si>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</si>
  <si>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</si>
  <si>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</si>
  <si>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Legend</t>
  </si>
  <si>
    <t>15Y</t>
  </si>
  <si>
    <t>Market Data</t>
  </si>
  <si>
    <t>User Inputs</t>
  </si>
  <si>
    <t>Calculations</t>
  </si>
  <si>
    <t>Big Bank Yield Curve</t>
  </si>
  <si>
    <t>CDS Parameters</t>
  </si>
  <si>
    <t>Results</t>
  </si>
  <si>
    <t>Notional</t>
  </si>
  <si>
    <t>Last Coupon</t>
  </si>
  <si>
    <t>PV, Euro</t>
  </si>
  <si>
    <t>Fair Spread</t>
  </si>
  <si>
    <t>CDS Spread</t>
  </si>
  <si>
    <t>Date</t>
  </si>
  <si>
    <t>Month Day</t>
  </si>
  <si>
    <t>Next Coupon</t>
  </si>
  <si>
    <t>Is Coupon?</t>
  </si>
  <si>
    <t>Previous Coupon</t>
  </si>
  <si>
    <t>Discount Rate</t>
  </si>
  <si>
    <t>Discount Factor</t>
  </si>
  <si>
    <t>Protection Buyer</t>
  </si>
  <si>
    <t>Protection Seller</t>
  </si>
  <si>
    <t>Conventional coupon dates are March 20, June 20, September 20, December 20</t>
  </si>
  <si>
    <t>Coupon</t>
  </si>
  <si>
    <t>Accrued</t>
  </si>
  <si>
    <t>Expected PV</t>
  </si>
  <si>
    <t>Premium</t>
  </si>
  <si>
    <t>If Today Is…</t>
  </si>
  <si>
    <t>Then next coupon date is…</t>
  </si>
  <si>
    <t>Bank</t>
  </si>
  <si>
    <t>EUR/bp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</si>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</sst>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"/>
    <numFmt numFmtId="165" formatCode="0.000%"/>
    <numFmt numFmtId="166" formatCode="#,##0.00_ ;[Red]\-#,##0.00\ "/>
    <numFmt numFmtId="167" formatCode="mmm\ dd"/>
    <numFmt numFmtId="168" formatCode="0.000"/>
    <numFmt numFmtId="169" formatCode="0.0000%"/>
    <numFmt numFmtId="170" formatCode="0.0000"/>
  </numFmts>
  <fonts count="3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AE3F3"/>
        <bgColor rgb="FFDBDBDB"/>
      </patternFill>
    </fill>
    <fill>
      <patternFill patternType="solid">
        <fgColor rgb="FFE2F0D9"/>
        <bgColor rgb="FFDAE3F3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9" fontId="0" fillId="2" borderId="1" xfId="0" applyNumberFormat="1" applyFill="1" applyBorder="1"/>
    <xf numFmtId="164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0" fontId="0" fillId="3" borderId="1" xfId="0" applyNumberFormat="1" applyFill="1" applyBorder="1"/>
    <xf numFmtId="10" fontId="0" fillId="4" borderId="1" xfId="0" applyNumberFormat="1" applyFill="1" applyBorder="1"/>
    <xf numFmtId="10" fontId="0" fillId="0" borderId="0" xfId="0" applyNumberFormat="1"/>
    <xf numFmtId="164" fontId="0" fillId="0" borderId="0" xfId="0" applyNumberFormat="1"/>
    <xf numFmtId="164" fontId="0" fillId="2" borderId="1" xfId="0" applyNumberFormat="1" applyFill="1" applyBorder="1"/>
    <xf numFmtId="3" fontId="0" fillId="2" borderId="1" xfId="0" applyNumberFormat="1" applyFill="1" applyBorder="1"/>
    <xf numFmtId="164" fontId="0" fillId="4" borderId="1" xfId="0" applyNumberFormat="1" applyFill="1" applyBorder="1"/>
    <xf numFmtId="166" fontId="0" fillId="4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10" fontId="0" fillId="2" borderId="1" xfId="0" applyNumberFormat="1" applyFill="1" applyBorder="1"/>
    <xf numFmtId="3" fontId="0" fillId="0" borderId="0" xfId="0" applyNumberFormat="1"/>
    <xf numFmtId="4" fontId="0" fillId="0" borderId="0" xfId="0" applyNumberFormat="1"/>
    <xf numFmtId="167" fontId="0" fillId="0" borderId="1" xfId="0" applyNumberFormat="1" applyBorder="1"/>
    <xf numFmtId="164" fontId="0" fillId="0" borderId="1" xfId="0" applyNumberFormat="1" applyBorder="1" applyAlignment="1">
      <alignment horizontal="right" wrapText="1"/>
    </xf>
    <xf numFmtId="168" fontId="0" fillId="0" borderId="1" xfId="0" applyNumberFormat="1" applyBorder="1"/>
    <xf numFmtId="169" fontId="0" fillId="0" borderId="1" xfId="0" applyNumberFormat="1" applyBorder="1"/>
    <xf numFmtId="165" fontId="0" fillId="0" borderId="1" xfId="0" applyNumberFormat="1" applyBorder="1"/>
    <xf numFmtId="170" fontId="0" fillId="0" borderId="1" xfId="0" applyNumberFormat="1" applyBorder="1"/>
    <xf numFmtId="4" fontId="0" fillId="4" borderId="1" xfId="0" applyNumberFormat="1" applyFill="1" applyBorder="1"/>
    <xf numFmtId="4" fontId="2" fillId="4" borderId="1" xfId="0" applyNumberFormat="1" applyFont="1" applyFill="1" applyBorder="1"/>
    <xf numFmtId="3" fontId="0" fillId="5" borderId="1" xfId="0" applyNumberFormat="1" applyFill="1" applyBorder="1"/>
    <xf numFmtId="2" fontId="2" fillId="5" borderId="1" xfId="0" applyNumberFormat="1" applyFont="1" applyFill="1" applyBorder="1"/>
    <xf numFmtId="169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4B183"/>
        </patternFill>
      </fill>
    </dxf>
    <dxf>
      <fill>
        <patternFill>
          <bgColor rgb="FFFFD966"/>
        </patternFill>
      </fill>
    </dxf>
    <dxf>
      <fill>
        <patternFill>
          <bgColor rgb="FFDBDBDB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DBDB"/>
      <rgbColor rgb="FFE2F0D9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Germany Yield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'Default Prob'!$E$5:$E$14</c:f>
              <c:strCache>
                <c:ptCount val="1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</c:strCache>
            </c:strRef>
          </c:cat>
          <c:val>
            <c:numRef>
              <c:f>'Default Prob'!$M$5:$M$14</c:f>
              <c:numCache>
                <c:formatCode>0.00%</c:formatCode>
                <c:ptCount val="10"/>
                <c:pt idx="0">
                  <c:v>1.9099999999999895E-2</c:v>
                </c:pt>
                <c:pt idx="1">
                  <c:v>1.8199999999999994E-2</c:v>
                </c:pt>
                <c:pt idx="2">
                  <c:v>1.8499999999999961E-2</c:v>
                </c:pt>
                <c:pt idx="3">
                  <c:v>1.9500000000000073E-2</c:v>
                </c:pt>
                <c:pt idx="4">
                  <c:v>2.1099999999999897E-2</c:v>
                </c:pt>
                <c:pt idx="5">
                  <c:v>2.1700000000000053E-2</c:v>
                </c:pt>
                <c:pt idx="6">
                  <c:v>2.289999999999992E-2</c:v>
                </c:pt>
                <c:pt idx="7">
                  <c:v>2.4000000000000021E-2</c:v>
                </c:pt>
                <c:pt idx="8">
                  <c:v>2.4999999999999911E-2</c:v>
                </c:pt>
                <c:pt idx="9">
                  <c:v>2.5600000000000067E-2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6-48B5-A604-75627A481436}"/>
            </c:ext>
          </c:extLst>
        </c:ser>
        <c:ser>
          <c:idx val="1"/>
          <c:order val="1"/>
          <c:tx>
            <c:v>Big Bank Yield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'Default Prob'!$E$5:$E$14</c:f>
              <c:strCache>
                <c:ptCount val="1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</c:strCache>
            </c:strRef>
          </c:cat>
          <c:val>
            <c:numRef>
              <c:f>'Default Prob'!$N$5:$N$14</c:f>
              <c:numCache>
                <c:formatCode>0.00%</c:formatCode>
                <c:ptCount val="10"/>
                <c:pt idx="0">
                  <c:v>3.5200000000000002E-2</c:v>
                </c:pt>
                <c:pt idx="1">
                  <c:v>3.1099999999999999E-2</c:v>
                </c:pt>
                <c:pt idx="2">
                  <c:v>3.15E-2</c:v>
                </c:pt>
                <c:pt idx="3">
                  <c:v>3.27E-2</c:v>
                </c:pt>
                <c:pt idx="4">
                  <c:v>3.4099999999999998E-2</c:v>
                </c:pt>
                <c:pt idx="5">
                  <c:v>3.5700000000000003E-2</c:v>
                </c:pt>
                <c:pt idx="6">
                  <c:v>3.7699999999999997E-2</c:v>
                </c:pt>
                <c:pt idx="7">
                  <c:v>3.9899999999999998E-2</c:v>
                </c:pt>
                <c:pt idx="8">
                  <c:v>4.2799999999999998E-2</c:v>
                </c:pt>
                <c:pt idx="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6-48B5-A604-75627A481436}"/>
            </c:ext>
          </c:extLst>
        </c:ser>
        <c:ser>
          <c:idx val="2"/>
          <c:order val="2"/>
          <c:tx>
            <c:v>Implied Hazard Rate</c:v>
          </c:tx>
          <c:spPr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'Default Prob'!$E$5:$E$14</c:f>
              <c:strCache>
                <c:ptCount val="1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</c:strCache>
            </c:strRef>
          </c:cat>
          <c:val>
            <c:numRef>
              <c:f>'Default Prob'!$P$5:$P$14</c:f>
              <c:numCache>
                <c:formatCode>0.00%</c:formatCode>
                <c:ptCount val="10"/>
                <c:pt idx="0">
                  <c:v>2.626278464496291E-2</c:v>
                </c:pt>
                <c:pt idx="1">
                  <c:v>1.6062593678540758E-2</c:v>
                </c:pt>
                <c:pt idx="2">
                  <c:v>2.1918982658777085E-2</c:v>
                </c:pt>
                <c:pt idx="3">
                  <c:v>2.3050976347889798E-2</c:v>
                </c:pt>
                <c:pt idx="4">
                  <c:v>2.046797531464158E-2</c:v>
                </c:pt>
                <c:pt idx="5">
                  <c:v>3.22895928960443E-2</c:v>
                </c:pt>
                <c:pt idx="6">
                  <c:v>3.363522017633732E-2</c:v>
                </c:pt>
                <c:pt idx="7">
                  <c:v>4.1094539438249027E-2</c:v>
                </c:pt>
                <c:pt idx="8">
                  <c:v>5.8652391073922311E-2</c:v>
                </c:pt>
                <c:pt idx="9">
                  <c:v>8.0322462664562722E-2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6-48B5-A604-75627A481436}"/>
            </c:ext>
          </c:extLst>
        </c:ser>
        <c:ser>
          <c:idx val="3"/>
          <c:order val="3"/>
          <c:tx>
            <c:v>Implied Default Probability</c:v>
          </c:tx>
          <c:spPr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'Default Prob'!$E$5:$E$14</c:f>
              <c:strCache>
                <c:ptCount val="10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</c:strCache>
            </c:strRef>
          </c:cat>
          <c:val>
            <c:numRef>
              <c:f>'Default Prob'!$R$5:$R$14</c:f>
              <c:numCache>
                <c:formatCode>0.00%</c:formatCode>
                <c:ptCount val="10"/>
                <c:pt idx="0">
                  <c:v>2.5920917053065356E-2</c:v>
                </c:pt>
                <c:pt idx="1">
                  <c:v>4.1442164116404411E-2</c:v>
                </c:pt>
                <c:pt idx="2">
                  <c:v>6.2224184289408166E-2</c:v>
                </c:pt>
                <c:pt idx="3">
                  <c:v>8.3593593358651061E-2</c:v>
                </c:pt>
                <c:pt idx="4">
                  <c:v>0.10215992132288391</c:v>
                </c:pt>
                <c:pt idx="5">
                  <c:v>0.13068775725219214</c:v>
                </c:pt>
                <c:pt idx="6">
                  <c:v>0.15944099447904075</c:v>
                </c:pt>
                <c:pt idx="7">
                  <c:v>0.19328325121449869</c:v>
                </c:pt>
                <c:pt idx="8">
                  <c:v>0.23923825851238387</c:v>
                </c:pt>
                <c:pt idx="9">
                  <c:v>0.29795482059042755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6-48B5-A604-75627A481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0097448"/>
        <c:axId val="26730898"/>
      </c:lineChart>
      <c:catAx>
        <c:axId val="300974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6730898"/>
        <c:crosses val="autoZero"/>
        <c:auto val="1"/>
        <c:lblAlgn val="ctr"/>
        <c:lblOffset val="100"/>
        <c:noMultiLvlLbl val="0"/>
      </c:catAx>
      <c:valAx>
        <c:axId val="267308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009744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556260</xdr:colOff>
      <xdr:row>20</xdr:row>
      <xdr:rowOff>34920</xdr:rowOff>
    </xdr:from>
    <xdr:to>
      <xdr:col>20</xdr:col>
      <xdr:colOff>430440</xdr:colOff>
      <xdr:row>40</xdr:row>
      <xdr:rowOff>89280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zoomScaleNormal="100" workbookViewId="0">
      <selection activeCell="F2" sqref="F2"/>
    </sheetView>
  </sheetViews>
  <sheetFormatPr defaultColWidth="8.28515625" defaultRowHeight="15" x14ac:dyDescent="0.25"/>
  <cols>
    <col min="4" max="4" width="8.28515625" style="10"/>
    <col min="6" max="6" width="12.28515625" customWidth="1"/>
    <col min="7" max="12" width="9.140625" hidden="1" customWidth="1"/>
    <col min="13" max="14" width="8.7109375" customWidth="1"/>
    <col min="17" max="17" width="10.85546875" customWidth="1"/>
    <col min="18" max="18" width="10.7109375" customWidth="1"/>
    <col min="19" max="19" width="10.28515625" customWidth="1"/>
    <col min="1023" max="1024" width="8.5703125" customWidth="1"/>
  </cols>
  <sheetData>
    <row r="1" spans="1:18" x14ac:dyDescent="0.25">
      <c r="A1" s="34" t="s">
        <v>0</v>
      </c>
      <c r="B1" s="34"/>
      <c r="C1" s="34"/>
      <c r="E1" s="1" t="s">
        <v>1</v>
      </c>
      <c r="F1" s="2">
        <v>0.4</v>
      </c>
    </row>
    <row r="2" spans="1:18" x14ac:dyDescent="0.25">
      <c r="A2" s="1" t="s">
        <v>2</v>
      </c>
      <c r="B2" s="1" t="s">
        <v>3</v>
      </c>
      <c r="C2" s="1" t="s">
        <v>4</v>
      </c>
      <c r="E2" s="1" t="s">
        <v>5</v>
      </c>
      <c r="F2" s="3">
        <f>'Credit Default Swap'!A2</f>
        <v>46125</v>
      </c>
    </row>
    <row r="3" spans="1:18" ht="13.9" customHeight="1" x14ac:dyDescent="0.25">
      <c r="A3" s="1" t="s">
        <v>20</v>
      </c>
      <c r="B3" s="4">
        <f t="shared" ref="B3:B13" si="0">IF(RIGHT(A3,1)="M", 1/12, 1) * VALUE(LEFT(A3, LEN(A3)-1))</f>
        <v>1</v>
      </c>
      <c r="C3" s="8">
        <v>1.9099999999999999E-2</v>
      </c>
      <c r="E3" s="34" t="s">
        <v>2</v>
      </c>
      <c r="F3" s="34" t="s">
        <v>3</v>
      </c>
      <c r="G3" s="34" t="s">
        <v>6</v>
      </c>
      <c r="H3" s="34"/>
      <c r="I3" s="34"/>
      <c r="J3" s="34"/>
      <c r="K3" s="34"/>
      <c r="L3" s="34"/>
      <c r="M3" s="34" t="s">
        <v>7</v>
      </c>
      <c r="N3" s="34"/>
      <c r="O3" s="33" t="s">
        <v>8</v>
      </c>
      <c r="P3" s="32" t="s">
        <v>9</v>
      </c>
      <c r="Q3" s="33" t="s">
        <v>10</v>
      </c>
      <c r="R3" s="33" t="s">
        <v>11</v>
      </c>
    </row>
    <row r="4" spans="1:18" x14ac:dyDescent="0.25">
      <c r="A4" s="1" t="s">
        <v>21</v>
      </c>
      <c r="B4" s="4">
        <f t="shared" si="0"/>
        <v>2</v>
      </c>
      <c r="C4" s="8">
        <v>1.8200000000000001E-2</v>
      </c>
      <c r="E4" s="34"/>
      <c r="F4" s="34"/>
      <c r="G4" s="1" t="s">
        <v>12</v>
      </c>
      <c r="H4" s="1" t="s">
        <v>13</v>
      </c>
      <c r="I4" s="1" t="s">
        <v>14</v>
      </c>
      <c r="J4" s="5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33"/>
      <c r="P4" s="32"/>
      <c r="Q4" s="33"/>
      <c r="R4" s="33"/>
    </row>
    <row r="5" spans="1:18" x14ac:dyDescent="0.25">
      <c r="A5" s="1" t="s">
        <v>22</v>
      </c>
      <c r="B5" s="4">
        <f t="shared" si="0"/>
        <v>3</v>
      </c>
      <c r="C5" s="8">
        <v>1.8499999999999999E-2</v>
      </c>
      <c r="E5" s="1" t="str">
        <f t="shared" ref="E5:E14" si="1">A17</f>
        <v>1Y</v>
      </c>
      <c r="F5" s="1">
        <f t="shared" ref="F5:F14" si="2">B17</f>
        <v>1</v>
      </c>
      <c r="G5" s="6">
        <f t="shared" ref="G5:G14" si="3">MATCH(F5,$B$3:$B$13, 1)</f>
        <v>1</v>
      </c>
      <c r="H5" s="4">
        <f t="shared" ref="H5:H14" si="4">INDEX($B$3:$B$13, G5)</f>
        <v>1</v>
      </c>
      <c r="I5" s="5">
        <f t="shared" ref="I5:I14" si="5">INDEX($C$3:$C$13, G5)</f>
        <v>1.9099999999999999E-2</v>
      </c>
      <c r="J5" s="7">
        <f t="shared" ref="J5:J14" si="6">INDEX($B$3:$B$13, G5+1)</f>
        <v>2</v>
      </c>
      <c r="K5" s="5">
        <f t="shared" ref="K5:K14" si="7">INDEX($C$3:$C$13, G5+1)</f>
        <v>1.8200000000000001E-2</v>
      </c>
      <c r="L5" s="5">
        <f t="shared" ref="L5:L14" si="8">((1+K5)^J5 / (1+I5)^H5) ^ (1/(J5-H5)) - 1</f>
        <v>1.7300794818957854E-2</v>
      </c>
      <c r="M5" s="8">
        <f t="shared" ref="M5:M14" si="9">((1+I5)^H5 * (1+L5)^(F5-H5)) ^ (1/F5) - 1</f>
        <v>1.9099999999999895E-2</v>
      </c>
      <c r="N5" s="8">
        <f t="shared" ref="N5:N14" si="10">C17</f>
        <v>3.5200000000000002E-2</v>
      </c>
      <c r="O5" s="9">
        <f>1 - Q5</f>
        <v>2.5920917053065318E-2</v>
      </c>
      <c r="P5" s="9">
        <f>-LN(Q5)/F5</f>
        <v>2.626278464496291E-2</v>
      </c>
      <c r="Q5" s="9">
        <f t="shared" ref="Q5:Q14" si="11">1 - R5</f>
        <v>0.97407908294693468</v>
      </c>
      <c r="R5" s="9">
        <f t="shared" ref="R5:R14" si="12">(1 - (1 + M5)^F5 / (1 + N5)^F5) / (1 - $F$1)</f>
        <v>2.5920917053065356E-2</v>
      </c>
    </row>
    <row r="6" spans="1:18" x14ac:dyDescent="0.25">
      <c r="A6" s="1" t="s">
        <v>23</v>
      </c>
      <c r="B6" s="4">
        <f t="shared" si="0"/>
        <v>4</v>
      </c>
      <c r="C6" s="8">
        <v>1.95E-2</v>
      </c>
      <c r="E6" s="1" t="str">
        <f t="shared" si="1"/>
        <v>2Y</v>
      </c>
      <c r="F6" s="1">
        <f t="shared" si="2"/>
        <v>2</v>
      </c>
      <c r="G6" s="6">
        <f t="shared" si="3"/>
        <v>2</v>
      </c>
      <c r="H6" s="4">
        <f t="shared" si="4"/>
        <v>2</v>
      </c>
      <c r="I6" s="5">
        <f t="shared" si="5"/>
        <v>1.8200000000000001E-2</v>
      </c>
      <c r="J6" s="7">
        <f t="shared" si="6"/>
        <v>3</v>
      </c>
      <c r="K6" s="5">
        <f t="shared" si="7"/>
        <v>1.8499999999999999E-2</v>
      </c>
      <c r="L6" s="5">
        <f t="shared" si="8"/>
        <v>1.9100265199879729E-2</v>
      </c>
      <c r="M6" s="8">
        <f t="shared" si="9"/>
        <v>1.8199999999999994E-2</v>
      </c>
      <c r="N6" s="8">
        <f t="shared" si="10"/>
        <v>3.1099999999999999E-2</v>
      </c>
      <c r="O6" s="9">
        <f t="shared" ref="O6:O14" si="13">Q5 - Q6</f>
        <v>1.5521247063339128E-2</v>
      </c>
      <c r="P6" s="9">
        <f t="shared" ref="P6:P14" si="14">LN(Q5 / Q6) / (F6 - F5)</f>
        <v>1.6062593678540758E-2</v>
      </c>
      <c r="Q6" s="9">
        <f t="shared" si="11"/>
        <v>0.95855783588359555</v>
      </c>
      <c r="R6" s="9">
        <f t="shared" si="12"/>
        <v>4.1442164116404411E-2</v>
      </c>
    </row>
    <row r="7" spans="1:18" x14ac:dyDescent="0.25">
      <c r="A7" s="1" t="s">
        <v>24</v>
      </c>
      <c r="B7" s="4">
        <f t="shared" si="0"/>
        <v>5</v>
      </c>
      <c r="C7" s="8">
        <v>2.1100000000000001E-2</v>
      </c>
      <c r="E7" s="1" t="str">
        <f t="shared" si="1"/>
        <v>3Y</v>
      </c>
      <c r="F7" s="1">
        <f t="shared" si="2"/>
        <v>3</v>
      </c>
      <c r="G7" s="6">
        <f t="shared" si="3"/>
        <v>3</v>
      </c>
      <c r="H7" s="4">
        <f t="shared" si="4"/>
        <v>3</v>
      </c>
      <c r="I7" s="5">
        <f t="shared" si="5"/>
        <v>1.8499999999999999E-2</v>
      </c>
      <c r="J7" s="7">
        <f t="shared" si="6"/>
        <v>4</v>
      </c>
      <c r="K7" s="5">
        <f t="shared" si="7"/>
        <v>1.95E-2</v>
      </c>
      <c r="L7" s="5">
        <f t="shared" si="8"/>
        <v>2.250589487315513E-2</v>
      </c>
      <c r="M7" s="8">
        <f t="shared" si="9"/>
        <v>1.8499999999999961E-2</v>
      </c>
      <c r="N7" s="8">
        <f t="shared" si="10"/>
        <v>3.15E-2</v>
      </c>
      <c r="O7" s="9">
        <f t="shared" si="13"/>
        <v>2.0782020173003679E-2</v>
      </c>
      <c r="P7" s="9">
        <f t="shared" si="14"/>
        <v>2.1918982658777085E-2</v>
      </c>
      <c r="Q7" s="9">
        <f t="shared" si="11"/>
        <v>0.93777581571059188</v>
      </c>
      <c r="R7" s="9">
        <f t="shared" si="12"/>
        <v>6.2224184289408166E-2</v>
      </c>
    </row>
    <row r="8" spans="1:18" x14ac:dyDescent="0.25">
      <c r="A8" s="1" t="s">
        <v>25</v>
      </c>
      <c r="B8" s="4">
        <f t="shared" si="0"/>
        <v>6</v>
      </c>
      <c r="C8" s="8">
        <v>2.1700000000000001E-2</v>
      </c>
      <c r="E8" s="1" t="str">
        <f t="shared" si="1"/>
        <v>4Y</v>
      </c>
      <c r="F8" s="1">
        <f t="shared" si="2"/>
        <v>4</v>
      </c>
      <c r="G8" s="6">
        <f t="shared" si="3"/>
        <v>4</v>
      </c>
      <c r="H8" s="4">
        <f t="shared" si="4"/>
        <v>4</v>
      </c>
      <c r="I8" s="5">
        <f t="shared" si="5"/>
        <v>1.95E-2</v>
      </c>
      <c r="J8" s="7">
        <f t="shared" si="6"/>
        <v>5</v>
      </c>
      <c r="K8" s="5">
        <f t="shared" si="7"/>
        <v>2.1100000000000001E-2</v>
      </c>
      <c r="L8" s="5">
        <f t="shared" si="8"/>
        <v>2.7525149787241521E-2</v>
      </c>
      <c r="M8" s="8">
        <f t="shared" si="9"/>
        <v>1.9500000000000073E-2</v>
      </c>
      <c r="N8" s="8">
        <f t="shared" si="10"/>
        <v>3.27E-2</v>
      </c>
      <c r="O8" s="9">
        <f t="shared" si="13"/>
        <v>2.1369409069242895E-2</v>
      </c>
      <c r="P8" s="9">
        <f t="shared" si="14"/>
        <v>2.3050976347889798E-2</v>
      </c>
      <c r="Q8" s="9">
        <f t="shared" si="11"/>
        <v>0.91640640664134898</v>
      </c>
      <c r="R8" s="9">
        <f t="shared" si="12"/>
        <v>8.3593593358651061E-2</v>
      </c>
    </row>
    <row r="9" spans="1:18" x14ac:dyDescent="0.25">
      <c r="A9" s="1" t="s">
        <v>26</v>
      </c>
      <c r="B9" s="4">
        <f t="shared" si="0"/>
        <v>7</v>
      </c>
      <c r="C9" s="8">
        <v>2.29E-2</v>
      </c>
      <c r="E9" s="1" t="str">
        <f t="shared" si="1"/>
        <v>5Y</v>
      </c>
      <c r="F9" s="1">
        <f t="shared" si="2"/>
        <v>5</v>
      </c>
      <c r="G9" s="6">
        <f t="shared" si="3"/>
        <v>5</v>
      </c>
      <c r="H9" s="4">
        <f t="shared" si="4"/>
        <v>5</v>
      </c>
      <c r="I9" s="5">
        <f t="shared" si="5"/>
        <v>2.1100000000000001E-2</v>
      </c>
      <c r="J9" s="7">
        <f t="shared" si="6"/>
        <v>6</v>
      </c>
      <c r="K9" s="5">
        <f t="shared" si="7"/>
        <v>2.1700000000000001E-2</v>
      </c>
      <c r="L9" s="5">
        <f t="shared" si="8"/>
        <v>2.4705292559590086E-2</v>
      </c>
      <c r="M9" s="8">
        <f t="shared" si="9"/>
        <v>2.1099999999999897E-2</v>
      </c>
      <c r="N9" s="8">
        <f t="shared" si="10"/>
        <v>3.4099999999999998E-2</v>
      </c>
      <c r="O9" s="9">
        <f t="shared" si="13"/>
        <v>1.8566327964232854E-2</v>
      </c>
      <c r="P9" s="9">
        <f t="shared" si="14"/>
        <v>2.046797531464158E-2</v>
      </c>
      <c r="Q9" s="9">
        <f t="shared" si="11"/>
        <v>0.89784007867711613</v>
      </c>
      <c r="R9" s="9">
        <f t="shared" si="12"/>
        <v>0.10215992132288391</v>
      </c>
    </row>
    <row r="10" spans="1:18" x14ac:dyDescent="0.25">
      <c r="A10" s="1" t="s">
        <v>27</v>
      </c>
      <c r="B10" s="4">
        <f t="shared" si="0"/>
        <v>8</v>
      </c>
      <c r="C10" s="8">
        <v>2.4E-2</v>
      </c>
      <c r="E10" s="1" t="str">
        <f t="shared" si="1"/>
        <v>6Y</v>
      </c>
      <c r="F10" s="1">
        <f t="shared" si="2"/>
        <v>6</v>
      </c>
      <c r="G10" s="6">
        <f t="shared" si="3"/>
        <v>6</v>
      </c>
      <c r="H10" s="4">
        <f t="shared" si="4"/>
        <v>6</v>
      </c>
      <c r="I10" s="5">
        <f t="shared" si="5"/>
        <v>2.1700000000000001E-2</v>
      </c>
      <c r="J10" s="7">
        <f t="shared" si="6"/>
        <v>7</v>
      </c>
      <c r="K10" s="5">
        <f t="shared" si="7"/>
        <v>2.29E-2</v>
      </c>
      <c r="L10" s="5">
        <f t="shared" si="8"/>
        <v>3.0129655735570138E-2</v>
      </c>
      <c r="M10" s="8">
        <f t="shared" si="9"/>
        <v>2.1700000000000053E-2</v>
      </c>
      <c r="N10" s="8">
        <f t="shared" si="10"/>
        <v>3.5700000000000003E-2</v>
      </c>
      <c r="O10" s="9">
        <f t="shared" si="13"/>
        <v>2.8527835929308298E-2</v>
      </c>
      <c r="P10" s="9">
        <f t="shared" si="14"/>
        <v>3.22895928960443E-2</v>
      </c>
      <c r="Q10" s="9">
        <f t="shared" si="11"/>
        <v>0.86931224274780783</v>
      </c>
      <c r="R10" s="9">
        <f t="shared" si="12"/>
        <v>0.13068775725219214</v>
      </c>
    </row>
    <row r="11" spans="1:18" x14ac:dyDescent="0.25">
      <c r="A11" s="1" t="s">
        <v>28</v>
      </c>
      <c r="B11" s="4">
        <f t="shared" si="0"/>
        <v>9</v>
      </c>
      <c r="C11" s="8">
        <v>2.5000000000000001E-2</v>
      </c>
      <c r="E11" s="1" t="str">
        <f t="shared" si="1"/>
        <v>7Y</v>
      </c>
      <c r="F11" s="1">
        <f t="shared" si="2"/>
        <v>7</v>
      </c>
      <c r="G11" s="6">
        <f t="shared" si="3"/>
        <v>7</v>
      </c>
      <c r="H11" s="4">
        <f t="shared" si="4"/>
        <v>7</v>
      </c>
      <c r="I11" s="5">
        <f t="shared" si="5"/>
        <v>2.29E-2</v>
      </c>
      <c r="J11" s="7">
        <f t="shared" si="6"/>
        <v>8</v>
      </c>
      <c r="K11" s="5">
        <f t="shared" si="7"/>
        <v>2.4E-2</v>
      </c>
      <c r="L11" s="5">
        <f t="shared" si="8"/>
        <v>3.1733192849127567E-2</v>
      </c>
      <c r="M11" s="8">
        <f t="shared" si="9"/>
        <v>2.289999999999992E-2</v>
      </c>
      <c r="N11" s="8">
        <f t="shared" si="10"/>
        <v>3.7699999999999997E-2</v>
      </c>
      <c r="O11" s="9">
        <f t="shared" si="13"/>
        <v>2.8753237226848527E-2</v>
      </c>
      <c r="P11" s="9">
        <f t="shared" si="14"/>
        <v>3.363522017633732E-2</v>
      </c>
      <c r="Q11" s="9">
        <f t="shared" si="11"/>
        <v>0.8405590055209593</v>
      </c>
      <c r="R11" s="9">
        <f t="shared" si="12"/>
        <v>0.15944099447904075</v>
      </c>
    </row>
    <row r="12" spans="1:18" x14ac:dyDescent="0.25">
      <c r="A12" s="1" t="s">
        <v>29</v>
      </c>
      <c r="B12" s="4">
        <f t="shared" si="0"/>
        <v>10</v>
      </c>
      <c r="C12" s="8">
        <v>2.5600000000000001E-2</v>
      </c>
      <c r="E12" s="1" t="str">
        <f t="shared" si="1"/>
        <v>8Y</v>
      </c>
      <c r="F12" s="1">
        <f t="shared" si="2"/>
        <v>8</v>
      </c>
      <c r="G12" s="6">
        <f t="shared" si="3"/>
        <v>8</v>
      </c>
      <c r="H12" s="4">
        <f t="shared" si="4"/>
        <v>8</v>
      </c>
      <c r="I12" s="5">
        <f t="shared" si="5"/>
        <v>2.4E-2</v>
      </c>
      <c r="J12" s="7">
        <f t="shared" si="6"/>
        <v>9</v>
      </c>
      <c r="K12" s="5">
        <f t="shared" si="7"/>
        <v>2.5000000000000001E-2</v>
      </c>
      <c r="L12" s="5">
        <f t="shared" si="8"/>
        <v>3.3035236476103291E-2</v>
      </c>
      <c r="M12" s="8">
        <f t="shared" si="9"/>
        <v>2.4000000000000021E-2</v>
      </c>
      <c r="N12" s="8">
        <f t="shared" si="10"/>
        <v>3.9899999999999998E-2</v>
      </c>
      <c r="O12" s="9">
        <f t="shared" si="13"/>
        <v>3.3842256735457932E-2</v>
      </c>
      <c r="P12" s="9">
        <f t="shared" si="14"/>
        <v>4.1094539438249027E-2</v>
      </c>
      <c r="Q12" s="9">
        <f t="shared" si="11"/>
        <v>0.80671674878550137</v>
      </c>
      <c r="R12" s="9">
        <f t="shared" si="12"/>
        <v>0.19328325121449869</v>
      </c>
    </row>
    <row r="13" spans="1:18" x14ac:dyDescent="0.25">
      <c r="A13" s="1" t="s">
        <v>31</v>
      </c>
      <c r="B13" s="4">
        <f t="shared" si="0"/>
        <v>15</v>
      </c>
      <c r="C13" s="8">
        <v>2.8899999999999999E-2</v>
      </c>
      <c r="E13" s="1" t="str">
        <f t="shared" si="1"/>
        <v>9Y</v>
      </c>
      <c r="F13" s="1">
        <f t="shared" si="2"/>
        <v>9</v>
      </c>
      <c r="G13" s="6">
        <f t="shared" si="3"/>
        <v>9</v>
      </c>
      <c r="H13" s="4">
        <f t="shared" si="4"/>
        <v>9</v>
      </c>
      <c r="I13" s="5">
        <f t="shared" si="5"/>
        <v>2.5000000000000001E-2</v>
      </c>
      <c r="J13" s="7">
        <f t="shared" si="6"/>
        <v>10</v>
      </c>
      <c r="K13" s="5">
        <f t="shared" si="7"/>
        <v>2.5600000000000001E-2</v>
      </c>
      <c r="L13" s="5">
        <f t="shared" si="8"/>
        <v>3.1015829574370102E-2</v>
      </c>
      <c r="M13" s="8">
        <f t="shared" si="9"/>
        <v>2.4999999999999911E-2</v>
      </c>
      <c r="N13" s="8">
        <f t="shared" si="10"/>
        <v>4.2799999999999998E-2</v>
      </c>
      <c r="O13" s="9">
        <f t="shared" si="13"/>
        <v>4.5955007297885264E-2</v>
      </c>
      <c r="P13" s="9">
        <f t="shared" si="14"/>
        <v>5.8652391073922311E-2</v>
      </c>
      <c r="Q13" s="9">
        <f t="shared" si="11"/>
        <v>0.76076174148761611</v>
      </c>
      <c r="R13" s="9">
        <f t="shared" si="12"/>
        <v>0.23923825851238387</v>
      </c>
    </row>
    <row r="14" spans="1:18" x14ac:dyDescent="0.25">
      <c r="E14" s="1" t="str">
        <f t="shared" si="1"/>
        <v>10Y</v>
      </c>
      <c r="F14" s="1">
        <f t="shared" si="2"/>
        <v>10</v>
      </c>
      <c r="G14" s="6">
        <f t="shared" si="3"/>
        <v>10</v>
      </c>
      <c r="H14" s="4">
        <f t="shared" si="4"/>
        <v>10</v>
      </c>
      <c r="I14" s="5">
        <f t="shared" si="5"/>
        <v>2.5600000000000001E-2</v>
      </c>
      <c r="J14" s="7">
        <f t="shared" si="6"/>
        <v>15</v>
      </c>
      <c r="K14" s="5">
        <f t="shared" si="7"/>
        <v>2.8899999999999999E-2</v>
      </c>
      <c r="L14" s="5">
        <f t="shared" si="8"/>
        <v>3.5531888689524393E-2</v>
      </c>
      <c r="M14" s="8">
        <f t="shared" si="9"/>
        <v>2.5600000000000067E-2</v>
      </c>
      <c r="N14" s="8">
        <f t="shared" si="10"/>
        <v>4.5999999999999999E-2</v>
      </c>
      <c r="O14" s="9">
        <f t="shared" si="13"/>
        <v>5.8716562078043655E-2</v>
      </c>
      <c r="P14" s="9">
        <f t="shared" si="14"/>
        <v>8.0322462664562722E-2</v>
      </c>
      <c r="Q14" s="9">
        <f t="shared" si="11"/>
        <v>0.70204517940957245</v>
      </c>
      <c r="R14" s="9">
        <f t="shared" si="12"/>
        <v>0.29795482059042755</v>
      </c>
    </row>
    <row r="15" spans="1:18" x14ac:dyDescent="0.25">
      <c r="A15" s="34" t="s">
        <v>35</v>
      </c>
      <c r="B15" s="34"/>
      <c r="C15" s="34"/>
      <c r="L15" s="10"/>
    </row>
    <row r="16" spans="1:18" x14ac:dyDescent="0.25">
      <c r="A16" s="1" t="s">
        <v>2</v>
      </c>
      <c r="B16" s="1" t="s">
        <v>3</v>
      </c>
      <c r="C16" s="1" t="s">
        <v>4</v>
      </c>
      <c r="E16" s="34" t="s">
        <v>30</v>
      </c>
      <c r="F16" s="34"/>
      <c r="L16" s="10"/>
      <c r="R16" s="10"/>
    </row>
    <row r="17" spans="1:12" x14ac:dyDescent="0.25">
      <c r="A17" s="1" t="s">
        <v>20</v>
      </c>
      <c r="B17" s="4">
        <v>1</v>
      </c>
      <c r="C17" s="8">
        <v>3.5200000000000002E-2</v>
      </c>
      <c r="E17" s="35" t="s">
        <v>32</v>
      </c>
      <c r="F17" s="35"/>
      <c r="L17" s="10"/>
    </row>
    <row r="18" spans="1:12" x14ac:dyDescent="0.25">
      <c r="A18" s="1" t="s">
        <v>21</v>
      </c>
      <c r="B18" s="4">
        <v>2</v>
      </c>
      <c r="C18" s="8">
        <v>3.1099999999999999E-2</v>
      </c>
      <c r="E18" s="36" t="s">
        <v>33</v>
      </c>
      <c r="F18" s="36"/>
      <c r="L18" s="10"/>
    </row>
    <row r="19" spans="1:12" x14ac:dyDescent="0.25">
      <c r="A19" s="1" t="s">
        <v>22</v>
      </c>
      <c r="B19" s="4">
        <v>3</v>
      </c>
      <c r="C19" s="8">
        <v>3.15E-2</v>
      </c>
      <c r="E19" s="37" t="s">
        <v>34</v>
      </c>
      <c r="F19" s="37"/>
      <c r="L19" s="10"/>
    </row>
    <row r="20" spans="1:12" x14ac:dyDescent="0.25">
      <c r="A20" s="1" t="s">
        <v>23</v>
      </c>
      <c r="B20" s="4">
        <v>4</v>
      </c>
      <c r="C20" s="8">
        <v>3.27E-2</v>
      </c>
    </row>
    <row r="21" spans="1:12" x14ac:dyDescent="0.25">
      <c r="A21" s="1" t="s">
        <v>24</v>
      </c>
      <c r="B21" s="4">
        <v>5</v>
      </c>
      <c r="C21" s="8">
        <v>3.4099999999999998E-2</v>
      </c>
    </row>
    <row r="22" spans="1:12" x14ac:dyDescent="0.25">
      <c r="A22" s="1" t="s">
        <v>25</v>
      </c>
      <c r="B22" s="4">
        <v>6</v>
      </c>
      <c r="C22" s="8">
        <v>3.5700000000000003E-2</v>
      </c>
    </row>
    <row r="23" spans="1:12" x14ac:dyDescent="0.25">
      <c r="A23" s="1" t="s">
        <v>26</v>
      </c>
      <c r="B23" s="4">
        <v>7</v>
      </c>
      <c r="C23" s="8">
        <v>3.7699999999999997E-2</v>
      </c>
    </row>
    <row r="24" spans="1:12" x14ac:dyDescent="0.25">
      <c r="A24" s="1" t="s">
        <v>27</v>
      </c>
      <c r="B24" s="4">
        <v>8</v>
      </c>
      <c r="C24" s="8">
        <v>3.9899999999999998E-2</v>
      </c>
      <c r="E24" s="10"/>
      <c r="F24" s="10"/>
    </row>
    <row r="25" spans="1:12" x14ac:dyDescent="0.25">
      <c r="A25" s="1" t="s">
        <v>28</v>
      </c>
      <c r="B25" s="4">
        <v>9</v>
      </c>
      <c r="C25" s="8">
        <v>4.2799999999999998E-2</v>
      </c>
      <c r="E25" s="10"/>
      <c r="F25" s="10"/>
    </row>
    <row r="26" spans="1:12" x14ac:dyDescent="0.25">
      <c r="A26" s="1" t="s">
        <v>29</v>
      </c>
      <c r="B26" s="4">
        <v>10</v>
      </c>
      <c r="C26" s="8">
        <v>4.5999999999999999E-2</v>
      </c>
      <c r="E26" s="10"/>
      <c r="F26" s="10"/>
    </row>
    <row r="27" spans="1:12" x14ac:dyDescent="0.25">
      <c r="E27" s="10"/>
      <c r="F27" s="10"/>
    </row>
    <row r="28" spans="1:12" x14ac:dyDescent="0.25">
      <c r="E28" s="10"/>
      <c r="F28" s="10"/>
    </row>
    <row r="29" spans="1:12" x14ac:dyDescent="0.25">
      <c r="E29" s="10"/>
      <c r="F29" s="10"/>
    </row>
    <row r="30" spans="1:12" x14ac:dyDescent="0.25">
      <c r="E30" s="10"/>
      <c r="F30" s="10"/>
    </row>
    <row r="31" spans="1:12" x14ac:dyDescent="0.25">
      <c r="E31" s="10"/>
      <c r="F31" s="10"/>
    </row>
    <row r="32" spans="1:12" x14ac:dyDescent="0.25">
      <c r="E32" s="10"/>
      <c r="F32" s="10"/>
    </row>
    <row r="33" spans="5:6" x14ac:dyDescent="0.25">
      <c r="E33" s="10"/>
      <c r="F33" s="10"/>
    </row>
  </sheetData>
  <mergeCells count="14">
    <mergeCell ref="E17:F17"/>
    <mergeCell ref="E18:F18"/>
    <mergeCell ref="E19:F19"/>
    <mergeCell ref="A15:C15"/>
    <mergeCell ref="O3:O4"/>
    <mergeCell ref="P3:P4"/>
    <mergeCell ref="Q3:Q4"/>
    <mergeCell ref="R3:R4"/>
    <mergeCell ref="E16:F16"/>
    <mergeCell ref="A1:C1"/>
    <mergeCell ref="E3:E4"/>
    <mergeCell ref="F3:F4"/>
    <mergeCell ref="G3:L3"/>
    <mergeCell ref="M3:N3"/>
  </mergeCells>
  <pageMargins left="0.7" right="0.7" top="0.75" bottom="0.75" header="0.51180555555555496" footer="0.3"/>
  <pageSetup paperSize="9" firstPageNumber="0" orientation="portrait" horizontalDpi="300" verticalDpi="300"/>
  <headerFooter>
    <oddFooter>&amp;C&amp;10 For internal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03"/>
  <sheetViews>
    <sheetView tabSelected="1" zoomScaleNormal="100" workbookViewId="0">
      <selection activeCell="G3" sqref="G3"/>
    </sheetView>
  </sheetViews>
  <sheetFormatPr defaultColWidth="8.28515625" defaultRowHeight="15" x14ac:dyDescent="0.25"/>
  <cols>
    <col min="1" max="1" width="12.28515625" style="11" customWidth="1"/>
    <col min="2" max="2" width="10.5703125" customWidth="1"/>
    <col min="3" max="3" width="12.42578125" customWidth="1"/>
    <col min="4" max="4" width="10.5703125" customWidth="1"/>
    <col min="5" max="5" width="13" style="11" customWidth="1"/>
    <col min="6" max="6" width="8.5703125" customWidth="1"/>
    <col min="7" max="7" width="12.140625" customWidth="1"/>
    <col min="8" max="8" width="12.42578125" customWidth="1"/>
    <col min="9" max="9" width="10.28515625" customWidth="1"/>
    <col min="10" max="10" width="8.5703125" customWidth="1"/>
    <col min="11" max="11" width="9.5703125" customWidth="1"/>
    <col min="12" max="12" width="11.28515625" customWidth="1"/>
    <col min="13" max="14" width="11.42578125" customWidth="1"/>
    <col min="15" max="15" width="9.7109375" customWidth="1"/>
    <col min="16" max="16" width="11.42578125" customWidth="1"/>
    <col min="18" max="18" width="12.42578125" customWidth="1"/>
    <col min="19" max="19" width="24.7109375" customWidth="1"/>
  </cols>
  <sheetData>
    <row r="1" spans="1:19" x14ac:dyDescent="0.25">
      <c r="A1" s="3" t="s">
        <v>5</v>
      </c>
      <c r="C1" s="34" t="s">
        <v>36</v>
      </c>
      <c r="D1" s="34"/>
      <c r="E1"/>
      <c r="F1" s="34" t="s">
        <v>37</v>
      </c>
      <c r="G1" s="34"/>
    </row>
    <row r="2" spans="1:19" x14ac:dyDescent="0.25">
      <c r="A2" s="12">
        <v>46125</v>
      </c>
      <c r="C2" s="1" t="s">
        <v>38</v>
      </c>
      <c r="D2" s="13">
        <v>1000000</v>
      </c>
      <c r="E2"/>
      <c r="F2" s="1" t="s">
        <v>39</v>
      </c>
      <c r="G2" s="14">
        <f t="array" aca="1" ref="G2" ca="1">OFFSET(A9, MATCH(D4,F9:F3003,1) + MATCH(1,OFFSET(D9,MATCH(D4,F9:F3003,1),0,3000),0) - 1, 0)</f>
        <v>48019</v>
      </c>
    </row>
    <row r="3" spans="1:19" x14ac:dyDescent="0.25">
      <c r="A3"/>
      <c r="C3" s="1" t="s">
        <v>1</v>
      </c>
      <c r="D3" s="2">
        <v>0.4</v>
      </c>
      <c r="E3"/>
      <c r="F3" s="1" t="s">
        <v>40</v>
      </c>
      <c r="G3" s="15">
        <f ca="1">SUM(P9:P3003) - SUM(N9:N3003)</f>
        <v>5.8207660913467407E-11</v>
      </c>
    </row>
    <row r="4" spans="1:19" ht="15" customHeight="1" x14ac:dyDescent="0.25">
      <c r="A4"/>
      <c r="C4" s="1" t="s">
        <v>3</v>
      </c>
      <c r="D4" s="16">
        <v>5</v>
      </c>
      <c r="E4"/>
      <c r="F4" s="33" t="s">
        <v>41</v>
      </c>
      <c r="G4" s="41">
        <f ca="1">SUM(P9:P3003) / SUM(N9:N3003) * D5</f>
        <v>1.3191966772886489E-2</v>
      </c>
    </row>
    <row r="5" spans="1:19" x14ac:dyDescent="0.25">
      <c r="A5"/>
      <c r="B5" s="10"/>
      <c r="C5" s="17" t="s">
        <v>42</v>
      </c>
      <c r="D5" s="18">
        <v>1.3191966772886476E-2</v>
      </c>
      <c r="E5"/>
      <c r="F5" s="33"/>
      <c r="G5" s="41"/>
    </row>
    <row r="6" spans="1:19" x14ac:dyDescent="0.25">
      <c r="A6"/>
      <c r="E6"/>
      <c r="I6" s="19"/>
      <c r="K6" s="20"/>
      <c r="M6" s="10"/>
    </row>
    <row r="7" spans="1:19" ht="15" customHeight="1" x14ac:dyDescent="0.25">
      <c r="A7" s="38" t="s">
        <v>43</v>
      </c>
      <c r="B7" s="34" t="s">
        <v>44</v>
      </c>
      <c r="C7" s="34" t="s">
        <v>45</v>
      </c>
      <c r="D7" s="34" t="s">
        <v>46</v>
      </c>
      <c r="E7" s="39" t="s">
        <v>47</v>
      </c>
      <c r="F7" s="34" t="s">
        <v>3</v>
      </c>
      <c r="G7" s="33" t="s">
        <v>9</v>
      </c>
      <c r="H7" s="33" t="s">
        <v>10</v>
      </c>
      <c r="I7" s="32" t="s">
        <v>8</v>
      </c>
      <c r="J7" s="33" t="s">
        <v>48</v>
      </c>
      <c r="K7" s="32" t="s">
        <v>49</v>
      </c>
      <c r="L7" s="34" t="s">
        <v>50</v>
      </c>
      <c r="M7" s="34"/>
      <c r="N7" s="34"/>
      <c r="O7" s="34" t="s">
        <v>51</v>
      </c>
      <c r="P7" s="34"/>
      <c r="R7" t="s">
        <v>52</v>
      </c>
    </row>
    <row r="8" spans="1:19" x14ac:dyDescent="0.25">
      <c r="A8" s="38"/>
      <c r="B8" s="34"/>
      <c r="C8" s="34"/>
      <c r="D8" s="34"/>
      <c r="E8" s="39"/>
      <c r="F8" s="34"/>
      <c r="G8" s="33"/>
      <c r="H8" s="33"/>
      <c r="I8" s="32"/>
      <c r="J8" s="33"/>
      <c r="K8" s="32"/>
      <c r="L8" s="1" t="s">
        <v>53</v>
      </c>
      <c r="M8" s="1" t="s">
        <v>54</v>
      </c>
      <c r="N8" s="1" t="s">
        <v>55</v>
      </c>
      <c r="O8" s="1" t="s">
        <v>56</v>
      </c>
      <c r="P8" s="1" t="s">
        <v>55</v>
      </c>
      <c r="R8" s="1" t="s">
        <v>57</v>
      </c>
      <c r="S8" s="1" t="s">
        <v>58</v>
      </c>
    </row>
    <row r="9" spans="1:19" x14ac:dyDescent="0.25">
      <c r="A9" s="3">
        <f>A2</f>
        <v>46125</v>
      </c>
      <c r="B9" s="21">
        <f t="shared" ref="B9:B72" si="0">DATE(2000, MONTH(A9), DAY(A9))</f>
        <v>36629</v>
      </c>
      <c r="C9" s="21">
        <f t="shared" ref="C9:C72" si="1">VLOOKUP(B9, $R$9:$S$13, 2)</f>
        <v>36697</v>
      </c>
      <c r="D9" s="1">
        <f>IF(C9=B9, 1, 0)</f>
        <v>0</v>
      </c>
      <c r="E9" s="22">
        <f>A2</f>
        <v>46125</v>
      </c>
      <c r="F9" s="23">
        <f t="shared" ref="F9:F72" si="2">(A9-$A$2)/365.25</f>
        <v>0</v>
      </c>
      <c r="G9" s="5">
        <f>INDEX('Default Prob'!$P$5:$P$14,MIN(1+_xlfn.IFNA(MATCH(F9,'Default Prob'!$F$5:$F$14,1),0),COUNT('Default Prob'!$P$5:$P$14)))</f>
        <v>2.626278464496291E-2</v>
      </c>
      <c r="H9" s="5">
        <v>1</v>
      </c>
      <c r="I9" s="24">
        <v>0</v>
      </c>
      <c r="J9" s="25">
        <f>INDEX('Default Prob'!$C$3:$C$13, _xlfn.IFNA(MATCH(F9, 'Default Prob'!$B$3:$B$13, 1), 1))</f>
        <v>1.9099999999999999E-2</v>
      </c>
      <c r="K9" s="26">
        <f t="shared" ref="K9:K72" si="3">1/((1+J9)^F9)</f>
        <v>1</v>
      </c>
      <c r="L9" s="27">
        <f t="shared" ref="L9:L72" ca="1" si="4">IF(AND(D9, A9 &lt;= $G$2), $D$5*$D$2*(A9-E9)/365.25, 0)</f>
        <v>0</v>
      </c>
      <c r="M9" s="27">
        <f t="shared" ref="M9:M72" ca="1" si="5">IF(A9&lt;=$G$2, $D$5*$D$2*(A9-E9)/365.25, 0)</f>
        <v>0</v>
      </c>
      <c r="N9" s="28">
        <f t="shared" ref="N9:N72" ca="1" si="6">(L9*H9 + M9*I9) * K9</f>
        <v>0</v>
      </c>
      <c r="O9" s="29">
        <f t="shared" ref="O9:O72" ca="1" si="7">IF(A9&lt;=$G$2, $D$2*(1-$D$3), 0)</f>
        <v>600000</v>
      </c>
      <c r="P9" s="30">
        <f t="shared" ref="P9:P72" ca="1" si="8">O9*I9*K9</f>
        <v>0</v>
      </c>
      <c r="R9" s="21">
        <v>36526</v>
      </c>
      <c r="S9" s="21">
        <f>R10-1</f>
        <v>36605</v>
      </c>
    </row>
    <row r="10" spans="1:19" x14ac:dyDescent="0.25">
      <c r="A10" s="3">
        <f t="shared" ref="A10:A73" si="9">WORKDAY(A9, 1)</f>
        <v>46126</v>
      </c>
      <c r="B10" s="21">
        <f t="shared" si="0"/>
        <v>36630</v>
      </c>
      <c r="C10" s="21">
        <f t="shared" si="1"/>
        <v>36697</v>
      </c>
      <c r="D10" s="1">
        <f t="shared" ref="D10:D73" si="10">IF(OR(C10=B10, AND(C10&lt;&gt;C9, C9&gt;B9)), 1, 0)</f>
        <v>0</v>
      </c>
      <c r="E10" s="3">
        <f t="array" ref="E10">INDEX($A$9:A9, MAX(IF($D$9:D9=1, ROW(D$9:$D9)-ROW($D$9)+1, 0)))</f>
        <v>46125</v>
      </c>
      <c r="F10" s="23">
        <f t="shared" si="2"/>
        <v>2.7378507871321013E-3</v>
      </c>
      <c r="G10" s="5">
        <f>INDEX('Default Prob'!$P$5:$P$14,MIN(1+_xlfn.IFNA(MATCH(F10,'Default Prob'!$F$5:$F$14,1),0),COUNT('Default Prob'!$P$5:$P$14)))</f>
        <v>2.626278464496291E-2</v>
      </c>
      <c r="H10" s="5">
        <f t="shared" ref="H10:H73" si="11">H9*EXP(-G9*(F10-F9))</f>
        <v>0.99992809899938839</v>
      </c>
      <c r="I10" s="24">
        <f t="shared" ref="I10:I73" si="12">H9-H10</f>
        <v>7.1901000611607202E-5</v>
      </c>
      <c r="J10" s="25">
        <f>INDEX('Default Prob'!$C$3:$C$13, _xlfn.IFNA(MATCH(F10, 'Default Prob'!$B$3:$B$13, 1), 1))</f>
        <v>1.9099999999999999E-2</v>
      </c>
      <c r="K10" s="26">
        <f t="shared" si="3"/>
        <v>0.99994820151995178</v>
      </c>
      <c r="L10" s="27">
        <f t="shared" ca="1" si="4"/>
        <v>0</v>
      </c>
      <c r="M10" s="27">
        <f t="shared" ca="1" si="5"/>
        <v>36.117636612967765</v>
      </c>
      <c r="N10" s="28">
        <f t="shared" ca="1" si="6"/>
        <v>2.5967596970257641E-3</v>
      </c>
      <c r="O10" s="29">
        <f t="shared" ca="1" si="7"/>
        <v>600000</v>
      </c>
      <c r="P10" s="30">
        <f t="shared" ca="1" si="8"/>
        <v>43.138365749436943</v>
      </c>
      <c r="R10" s="21">
        <v>36606</v>
      </c>
      <c r="S10" s="21">
        <f>R11-1</f>
        <v>36697</v>
      </c>
    </row>
    <row r="11" spans="1:19" x14ac:dyDescent="0.25">
      <c r="A11" s="3">
        <f t="shared" si="9"/>
        <v>46127</v>
      </c>
      <c r="B11" s="21">
        <f t="shared" si="0"/>
        <v>36631</v>
      </c>
      <c r="C11" s="21">
        <f t="shared" si="1"/>
        <v>36697</v>
      </c>
      <c r="D11" s="1">
        <f t="shared" si="10"/>
        <v>0</v>
      </c>
      <c r="E11" s="3">
        <f t="array" ref="E11">INDEX($A$9:A10, MAX(IF($D$9:D10=1, ROW(D$9:$D10)-ROW($D$9)+1, 0)))</f>
        <v>46125</v>
      </c>
      <c r="F11" s="23">
        <f t="shared" si="2"/>
        <v>5.4757015742642025E-3</v>
      </c>
      <c r="G11" s="5">
        <f>INDEX('Default Prob'!$P$5:$P$14,MIN(1+_xlfn.IFNA(MATCH(F11,'Default Prob'!$F$5:$F$14,1),0),COUNT('Default Prob'!$P$5:$P$14)))</f>
        <v>2.626278464496291E-2</v>
      </c>
      <c r="H11" s="5">
        <f t="shared" si="11"/>
        <v>0.99985620316853063</v>
      </c>
      <c r="I11" s="24">
        <f t="shared" si="12"/>
        <v>7.1895830857759968E-5</v>
      </c>
      <c r="J11" s="25">
        <f>INDEX('Default Prob'!$C$3:$C$13, _xlfn.IFNA(MATCH(F11, 'Default Prob'!$B$3:$B$13, 1), 1))</f>
        <v>1.9099999999999999E-2</v>
      </c>
      <c r="K11" s="26">
        <f t="shared" si="3"/>
        <v>0.99989640572298599</v>
      </c>
      <c r="L11" s="27">
        <f t="shared" ca="1" si="4"/>
        <v>0</v>
      </c>
      <c r="M11" s="27">
        <f t="shared" ca="1" si="5"/>
        <v>72.235273225935529</v>
      </c>
      <c r="N11" s="28">
        <f t="shared" ca="1" si="6"/>
        <v>5.1928769777452484E-3</v>
      </c>
      <c r="O11" s="29">
        <f t="shared" ca="1" si="7"/>
        <v>600000</v>
      </c>
      <c r="P11" s="30">
        <f t="shared" ca="1" si="8"/>
        <v>43.133029716685165</v>
      </c>
      <c r="R11" s="21">
        <v>36698</v>
      </c>
      <c r="S11" s="21">
        <f>R12-1</f>
        <v>36789</v>
      </c>
    </row>
    <row r="12" spans="1:19" x14ac:dyDescent="0.25">
      <c r="A12" s="3">
        <f t="shared" si="9"/>
        <v>46128</v>
      </c>
      <c r="B12" s="21">
        <f t="shared" si="0"/>
        <v>36632</v>
      </c>
      <c r="C12" s="21">
        <f t="shared" si="1"/>
        <v>36697</v>
      </c>
      <c r="D12" s="1">
        <f t="shared" si="10"/>
        <v>0</v>
      </c>
      <c r="E12" s="3">
        <f t="array" ref="E12">INDEX($A$9:A11, MAX(IF($D$9:D11=1, ROW(D$9:$D11)-ROW($D$9)+1, 0)))</f>
        <v>46125</v>
      </c>
      <c r="F12" s="23">
        <f t="shared" si="2"/>
        <v>8.2135523613963042E-3</v>
      </c>
      <c r="G12" s="5">
        <f>INDEX('Default Prob'!$P$5:$P$14,MIN(1+_xlfn.IFNA(MATCH(F12,'Default Prob'!$F$5:$F$14,1),0),COUNT('Default Prob'!$P$5:$P$14)))</f>
        <v>2.626278464496291E-2</v>
      </c>
      <c r="H12" s="5">
        <f t="shared" si="11"/>
        <v>0.99978431250705513</v>
      </c>
      <c r="I12" s="24">
        <f t="shared" si="12"/>
        <v>7.189066147550438E-5</v>
      </c>
      <c r="J12" s="25">
        <f>INDEX('Default Prob'!$C$3:$C$13, _xlfn.IFNA(MATCH(F12, 'Default Prob'!$B$3:$B$13, 1), 1))</f>
        <v>1.9099999999999999E-2</v>
      </c>
      <c r="K12" s="26">
        <f t="shared" si="3"/>
        <v>0.99984461260896373</v>
      </c>
      <c r="L12" s="27">
        <f t="shared" ca="1" si="4"/>
        <v>0</v>
      </c>
      <c r="M12" s="27">
        <f t="shared" ca="1" si="5"/>
        <v>108.35290983890332</v>
      </c>
      <c r="N12" s="28">
        <f t="shared" ca="1" si="6"/>
        <v>7.7883519613418384E-3</v>
      </c>
      <c r="O12" s="29">
        <f t="shared" ca="1" si="7"/>
        <v>600000</v>
      </c>
      <c r="P12" s="30">
        <f t="shared" ca="1" si="8"/>
        <v>43.127694343906697</v>
      </c>
      <c r="R12" s="21">
        <v>36790</v>
      </c>
      <c r="S12" s="21">
        <f>R13-1</f>
        <v>36880</v>
      </c>
    </row>
    <row r="13" spans="1:19" x14ac:dyDescent="0.25">
      <c r="A13" s="3">
        <f t="shared" si="9"/>
        <v>46129</v>
      </c>
      <c r="B13" s="21">
        <f t="shared" si="0"/>
        <v>36633</v>
      </c>
      <c r="C13" s="21">
        <f t="shared" si="1"/>
        <v>36697</v>
      </c>
      <c r="D13" s="1">
        <f t="shared" si="10"/>
        <v>0</v>
      </c>
      <c r="E13" s="3">
        <f t="array" ref="E13">INDEX($A$9:A12, MAX(IF($D$9:D12=1, ROW(D$9:$D12)-ROW($D$9)+1, 0)))</f>
        <v>46125</v>
      </c>
      <c r="F13" s="23">
        <f t="shared" si="2"/>
        <v>1.0951403148528405E-2</v>
      </c>
      <c r="G13" s="5">
        <f>INDEX('Default Prob'!$P$5:$P$14,MIN(1+_xlfn.IFNA(MATCH(F13,'Default Prob'!$F$5:$F$14,1),0),COUNT('Default Prob'!$P$5:$P$14)))</f>
        <v>2.626278464496291E-2</v>
      </c>
      <c r="H13" s="5">
        <f t="shared" si="11"/>
        <v>0.99971242701459007</v>
      </c>
      <c r="I13" s="24">
        <f t="shared" si="12"/>
        <v>7.1885492465062484E-5</v>
      </c>
      <c r="J13" s="25">
        <f>INDEX('Default Prob'!$C$3:$C$13, _xlfn.IFNA(MATCH(F13, 'Default Prob'!$B$3:$B$13, 1), 1))</f>
        <v>1.9099999999999999E-2</v>
      </c>
      <c r="K13" s="26">
        <f t="shared" si="3"/>
        <v>0.99979282217774612</v>
      </c>
      <c r="L13" s="27">
        <f t="shared" ca="1" si="4"/>
        <v>0</v>
      </c>
      <c r="M13" s="27">
        <f t="shared" ca="1" si="5"/>
        <v>144.47054645187106</v>
      </c>
      <c r="N13" s="28">
        <f t="shared" ca="1" si="6"/>
        <v>1.0383184767015188E-2</v>
      </c>
      <c r="O13" s="29">
        <f t="shared" ca="1" si="7"/>
        <v>600000</v>
      </c>
      <c r="P13" s="30">
        <f t="shared" ca="1" si="8"/>
        <v>43.122359631169154</v>
      </c>
      <c r="R13" s="21">
        <v>36881</v>
      </c>
      <c r="S13" s="21">
        <f>S9</f>
        <v>36605</v>
      </c>
    </row>
    <row r="14" spans="1:19" x14ac:dyDescent="0.25">
      <c r="A14" s="3">
        <f t="shared" si="9"/>
        <v>46132</v>
      </c>
      <c r="B14" s="21">
        <f t="shared" si="0"/>
        <v>36636</v>
      </c>
      <c r="C14" s="21">
        <f t="shared" si="1"/>
        <v>36697</v>
      </c>
      <c r="D14" s="1">
        <f t="shared" si="10"/>
        <v>0</v>
      </c>
      <c r="E14" s="3">
        <f t="array" ref="E14">INDEX($A$9:A13, MAX(IF($D$9:D13=1, ROW(D$9:$D13)-ROW($D$9)+1, 0)))</f>
        <v>46125</v>
      </c>
      <c r="F14" s="23">
        <f t="shared" si="2"/>
        <v>1.9164955509924708E-2</v>
      </c>
      <c r="G14" s="5">
        <f>INDEX('Default Prob'!$P$5:$P$14,MIN(1+_xlfn.IFNA(MATCH(F14,'Default Prob'!$F$5:$F$14,1),0),COUNT('Default Prob'!$P$5:$P$14)))</f>
        <v>2.626278464496291E-2</v>
      </c>
      <c r="H14" s="5">
        <f t="shared" si="11"/>
        <v>0.99949680154754139</v>
      </c>
      <c r="I14" s="24">
        <f t="shared" si="12"/>
        <v>2.1562546704867458E-4</v>
      </c>
      <c r="J14" s="25">
        <f>INDEX('Default Prob'!$C$3:$C$13, _xlfn.IFNA(MATCH(F14, 'Default Prob'!$B$3:$B$13, 1), 1))</f>
        <v>1.9099999999999999E-2</v>
      </c>
      <c r="K14" s="26">
        <f t="shared" si="3"/>
        <v>0.99963746697953126</v>
      </c>
      <c r="L14" s="27">
        <f t="shared" ca="1" si="4"/>
        <v>0</v>
      </c>
      <c r="M14" s="27">
        <f t="shared" ca="1" si="5"/>
        <v>252.82345629077437</v>
      </c>
      <c r="N14" s="28">
        <f t="shared" ca="1" si="6"/>
        <v>5.4495412292198439E-2</v>
      </c>
      <c r="O14" s="29">
        <f t="shared" ca="1" si="7"/>
        <v>600000</v>
      </c>
      <c r="P14" s="30">
        <f t="shared" ca="1" si="8"/>
        <v>129.32837741808927</v>
      </c>
    </row>
    <row r="15" spans="1:19" x14ac:dyDescent="0.25">
      <c r="A15" s="3">
        <f t="shared" si="9"/>
        <v>46133</v>
      </c>
      <c r="B15" s="21">
        <f t="shared" si="0"/>
        <v>36637</v>
      </c>
      <c r="C15" s="21">
        <f t="shared" si="1"/>
        <v>36697</v>
      </c>
      <c r="D15" s="1">
        <f t="shared" si="10"/>
        <v>0</v>
      </c>
      <c r="E15" s="3">
        <f t="array" ref="E15">INDEX($A$9:A14, MAX(IF($D$9:D14=1, ROW(D$9:$D14)-ROW($D$9)+1, 0)))</f>
        <v>46125</v>
      </c>
      <c r="F15" s="23">
        <f t="shared" si="2"/>
        <v>2.190280629705681E-2</v>
      </c>
      <c r="G15" s="5">
        <f>INDEX('Default Prob'!$P$5:$P$14,MIN(1+_xlfn.IFNA(MATCH(F15,'Default Prob'!$F$5:$F$14,1),0),COUNT('Default Prob'!$P$5:$P$14)))</f>
        <v>2.626278464496291E-2</v>
      </c>
      <c r="H15" s="5">
        <f t="shared" si="11"/>
        <v>0.99942493672740207</v>
      </c>
      <c r="I15" s="24">
        <f t="shared" si="12"/>
        <v>7.1864820139322383E-5</v>
      </c>
      <c r="J15" s="25">
        <f>INDEX('Default Prob'!$C$3:$C$13, _xlfn.IFNA(MATCH(F15, 'Default Prob'!$B$3:$B$13, 1), 1))</f>
        <v>1.9099999999999999E-2</v>
      </c>
      <c r="K15" s="26">
        <f t="shared" si="3"/>
        <v>0.99958568727814223</v>
      </c>
      <c r="L15" s="27">
        <f t="shared" ca="1" si="4"/>
        <v>0</v>
      </c>
      <c r="M15" s="27">
        <f t="shared" ca="1" si="5"/>
        <v>288.94109290374212</v>
      </c>
      <c r="N15" s="28">
        <f t="shared" ca="1" si="6"/>
        <v>2.0756096593146839E-2</v>
      </c>
      <c r="O15" s="29">
        <f t="shared" ca="1" si="7"/>
        <v>600000</v>
      </c>
      <c r="P15" s="30">
        <f t="shared" ca="1" si="8"/>
        <v>43.101027378050787</v>
      </c>
    </row>
    <row r="16" spans="1:19" x14ac:dyDescent="0.25">
      <c r="A16" s="3">
        <f t="shared" si="9"/>
        <v>46134</v>
      </c>
      <c r="B16" s="21">
        <f t="shared" si="0"/>
        <v>36638</v>
      </c>
      <c r="C16" s="21">
        <f t="shared" si="1"/>
        <v>36697</v>
      </c>
      <c r="D16" s="1">
        <f t="shared" si="10"/>
        <v>0</v>
      </c>
      <c r="E16" s="3">
        <f t="array" ref="E16">INDEX($A$9:A15, MAX(IF($D$9:D15=1, ROW(D$9:$D15)-ROW($D$9)+1, 0)))</f>
        <v>46125</v>
      </c>
      <c r="F16" s="23">
        <f t="shared" si="2"/>
        <v>2.4640657084188913E-2</v>
      </c>
      <c r="G16" s="5">
        <f>INDEX('Default Prob'!$P$5:$P$14,MIN(1+_xlfn.IFNA(MATCH(F16,'Default Prob'!$F$5:$F$14,1),0),COUNT('Default Prob'!$P$5:$P$14)))</f>
        <v>2.626278464496291E-2</v>
      </c>
      <c r="H16" s="5">
        <f t="shared" si="11"/>
        <v>0.99935307707441523</v>
      </c>
      <c r="I16" s="24">
        <f t="shared" si="12"/>
        <v>7.1859652986838718E-5</v>
      </c>
      <c r="J16" s="25">
        <f>INDEX('Default Prob'!$C$3:$C$13, _xlfn.IFNA(MATCH(F16, 'Default Prob'!$B$3:$B$13, 1), 1))</f>
        <v>1.9099999999999999E-2</v>
      </c>
      <c r="K16" s="26">
        <f t="shared" si="3"/>
        <v>0.99953391025886307</v>
      </c>
      <c r="L16" s="27">
        <f t="shared" ca="1" si="4"/>
        <v>0</v>
      </c>
      <c r="M16" s="27">
        <f t="shared" ca="1" si="5"/>
        <v>325.05872951670989</v>
      </c>
      <c r="N16" s="28">
        <f t="shared" ca="1" si="6"/>
        <v>2.3347720296088854E-2</v>
      </c>
      <c r="O16" s="29">
        <f t="shared" ca="1" si="7"/>
        <v>600000</v>
      </c>
      <c r="P16" s="30">
        <f t="shared" ca="1" si="8"/>
        <v>43.095695963867932</v>
      </c>
    </row>
    <row r="17" spans="1:16" x14ac:dyDescent="0.25">
      <c r="A17" s="3">
        <f t="shared" si="9"/>
        <v>46135</v>
      </c>
      <c r="B17" s="21">
        <f t="shared" si="0"/>
        <v>36639</v>
      </c>
      <c r="C17" s="21">
        <f t="shared" si="1"/>
        <v>36697</v>
      </c>
      <c r="D17" s="1">
        <f t="shared" si="10"/>
        <v>0</v>
      </c>
      <c r="E17" s="3">
        <f t="array" ref="E17">INDEX($A$9:A16, MAX(IF($D$9:D16=1, ROW(D$9:$D16)-ROW($D$9)+1, 0)))</f>
        <v>46125</v>
      </c>
      <c r="F17" s="23">
        <f t="shared" si="2"/>
        <v>2.7378507871321012E-2</v>
      </c>
      <c r="G17" s="5">
        <f>INDEX('Default Prob'!$P$5:$P$14,MIN(1+_xlfn.IFNA(MATCH(F17,'Default Prob'!$F$5:$F$14,1),0),COUNT('Default Prob'!$P$5:$P$14)))</f>
        <v>2.626278464496291E-2</v>
      </c>
      <c r="H17" s="5">
        <f t="shared" si="11"/>
        <v>0.99928122258820928</v>
      </c>
      <c r="I17" s="24">
        <f t="shared" si="12"/>
        <v>7.1854486205946699E-5</v>
      </c>
      <c r="J17" s="25">
        <f>INDEX('Default Prob'!$C$3:$C$13, _xlfn.IFNA(MATCH(F17, 'Default Prob'!$B$3:$B$13, 1), 1))</f>
        <v>1.9099999999999999E-2</v>
      </c>
      <c r="K17" s="26">
        <f t="shared" si="3"/>
        <v>0.99948213592155499</v>
      </c>
      <c r="L17" s="27">
        <f t="shared" ca="1" si="4"/>
        <v>0</v>
      </c>
      <c r="M17" s="27">
        <f t="shared" ca="1" si="5"/>
        <v>361.17636612967766</v>
      </c>
      <c r="N17" s="28">
        <f t="shared" ca="1" si="6"/>
        <v>2.5938702535765492E-2</v>
      </c>
      <c r="O17" s="29">
        <f t="shared" ca="1" si="7"/>
        <v>600000</v>
      </c>
      <c r="P17" s="30">
        <f t="shared" ca="1" si="8"/>
        <v>43.090365209199312</v>
      </c>
    </row>
    <row r="18" spans="1:16" x14ac:dyDescent="0.25">
      <c r="A18" s="3">
        <f t="shared" si="9"/>
        <v>46136</v>
      </c>
      <c r="B18" s="21">
        <f t="shared" si="0"/>
        <v>36640</v>
      </c>
      <c r="C18" s="21">
        <f t="shared" si="1"/>
        <v>36697</v>
      </c>
      <c r="D18" s="1">
        <f t="shared" si="10"/>
        <v>0</v>
      </c>
      <c r="E18" s="3">
        <f t="array" ref="E18">INDEX($A$9:A17, MAX(IF($D$9:D17=1, ROW(D$9:$D17)-ROW($D$9)+1, 0)))</f>
        <v>46125</v>
      </c>
      <c r="F18" s="23">
        <f t="shared" si="2"/>
        <v>3.0116358658453114E-2</v>
      </c>
      <c r="G18" s="5">
        <f>INDEX('Default Prob'!$P$5:$P$14,MIN(1+_xlfn.IFNA(MATCH(F18,'Default Prob'!$F$5:$F$14,1),0),COUNT('Default Prob'!$P$5:$P$14)))</f>
        <v>2.626278464496291E-2</v>
      </c>
      <c r="H18" s="5">
        <f t="shared" si="11"/>
        <v>0.99920937326841275</v>
      </c>
      <c r="I18" s="24">
        <f t="shared" si="12"/>
        <v>7.1849319796535305E-5</v>
      </c>
      <c r="J18" s="25">
        <f>INDEX('Default Prob'!$C$3:$C$13, _xlfn.IFNA(MATCH(F18, 'Default Prob'!$B$3:$B$13, 1), 1))</f>
        <v>1.9099999999999999E-2</v>
      </c>
      <c r="K18" s="26">
        <f t="shared" si="3"/>
        <v>0.99943036426607901</v>
      </c>
      <c r="L18" s="27">
        <f t="shared" ca="1" si="4"/>
        <v>0</v>
      </c>
      <c r="M18" s="27">
        <f t="shared" ca="1" si="5"/>
        <v>397.29400274264543</v>
      </c>
      <c r="N18" s="28">
        <f t="shared" ca="1" si="6"/>
        <v>2.8529043431189723E-2</v>
      </c>
      <c r="O18" s="29">
        <f t="shared" ca="1" si="7"/>
        <v>600000</v>
      </c>
      <c r="P18" s="30">
        <f t="shared" ca="1" si="8"/>
        <v>43.085035113912767</v>
      </c>
    </row>
    <row r="19" spans="1:16" x14ac:dyDescent="0.25">
      <c r="A19" s="3">
        <f t="shared" si="9"/>
        <v>46139</v>
      </c>
      <c r="B19" s="21">
        <f t="shared" si="0"/>
        <v>36643</v>
      </c>
      <c r="C19" s="21">
        <f t="shared" si="1"/>
        <v>36697</v>
      </c>
      <c r="D19" s="1">
        <f t="shared" si="10"/>
        <v>0</v>
      </c>
      <c r="E19" s="3">
        <f t="array" ref="E19">INDEX($A$9:A18, MAX(IF($D$9:D18=1, ROW(D$9:$D18)-ROW($D$9)+1, 0)))</f>
        <v>46125</v>
      </c>
      <c r="F19" s="23">
        <f t="shared" si="2"/>
        <v>3.8329911019849415E-2</v>
      </c>
      <c r="G19" s="5">
        <f>INDEX('Default Prob'!$P$5:$P$14,MIN(1+_xlfn.IFNA(MATCH(F19,'Default Prob'!$F$5:$F$14,1),0),COUNT('Default Prob'!$P$5:$P$14)))</f>
        <v>2.626278464496291E-2</v>
      </c>
      <c r="H19" s="5">
        <f t="shared" si="11"/>
        <v>0.99899385630376536</v>
      </c>
      <c r="I19" s="24">
        <f t="shared" si="12"/>
        <v>2.1551696464738868E-4</v>
      </c>
      <c r="J19" s="25">
        <f>INDEX('Default Prob'!$C$3:$C$13, _xlfn.IFNA(MATCH(F19, 'Default Prob'!$B$3:$B$13, 1), 1))</f>
        <v>1.9099999999999999E-2</v>
      </c>
      <c r="K19" s="26">
        <f t="shared" si="3"/>
        <v>0.99927506538925326</v>
      </c>
      <c r="L19" s="27">
        <f t="shared" ca="1" si="4"/>
        <v>0</v>
      </c>
      <c r="M19" s="27">
        <f t="shared" ca="1" si="5"/>
        <v>505.64691258154875</v>
      </c>
      <c r="N19" s="28">
        <f t="shared" ca="1" si="6"/>
        <v>0.10889648768008205</v>
      </c>
      <c r="O19" s="29">
        <f t="shared" ca="1" si="7"/>
        <v>600000</v>
      </c>
      <c r="P19" s="30">
        <f t="shared" ca="1" si="8"/>
        <v>129.21643736430761</v>
      </c>
    </row>
    <row r="20" spans="1:16" x14ac:dyDescent="0.25">
      <c r="A20" s="3">
        <f t="shared" si="9"/>
        <v>46140</v>
      </c>
      <c r="B20" s="21">
        <f t="shared" si="0"/>
        <v>36644</v>
      </c>
      <c r="C20" s="21">
        <f t="shared" si="1"/>
        <v>36697</v>
      </c>
      <c r="D20" s="1">
        <f t="shared" si="10"/>
        <v>0</v>
      </c>
      <c r="E20" s="3">
        <f t="array" ref="E20">INDEX($A$9:A19, MAX(IF($D$9:D19=1, ROW(D$9:$D19)-ROW($D$9)+1, 0)))</f>
        <v>46125</v>
      </c>
      <c r="F20" s="23">
        <f t="shared" si="2"/>
        <v>4.1067761806981518E-2</v>
      </c>
      <c r="G20" s="5">
        <f>INDEX('Default Prob'!$P$5:$P$14,MIN(1+_xlfn.IFNA(MATCH(F20,'Default Prob'!$F$5:$F$14,1),0),COUNT('Default Prob'!$P$5:$P$14)))</f>
        <v>2.626278464496291E-2</v>
      </c>
      <c r="H20" s="5">
        <f t="shared" si="11"/>
        <v>0.99892202764589222</v>
      </c>
      <c r="I20" s="24">
        <f t="shared" si="12"/>
        <v>7.1828657873140855E-5</v>
      </c>
      <c r="J20" s="25">
        <f>INDEX('Default Prob'!$C$3:$C$13, _xlfn.IFNA(MATCH(F20, 'Default Prob'!$B$3:$B$13, 1), 1))</f>
        <v>1.9099999999999999E-2</v>
      </c>
      <c r="K20" s="26">
        <f t="shared" si="3"/>
        <v>0.99922330445971586</v>
      </c>
      <c r="L20" s="27">
        <f t="shared" ca="1" si="4"/>
        <v>0</v>
      </c>
      <c r="M20" s="27">
        <f t="shared" ca="1" si="5"/>
        <v>541.76454919451646</v>
      </c>
      <c r="N20" s="28">
        <f t="shared" ca="1" si="6"/>
        <v>3.8883995950410692E-2</v>
      </c>
      <c r="O20" s="29">
        <f t="shared" ca="1" si="7"/>
        <v>600000</v>
      </c>
      <c r="P20" s="30">
        <f t="shared" ca="1" si="8"/>
        <v>43.063721324943714</v>
      </c>
    </row>
    <row r="21" spans="1:16" x14ac:dyDescent="0.25">
      <c r="A21" s="3">
        <f t="shared" si="9"/>
        <v>46141</v>
      </c>
      <c r="B21" s="21">
        <f t="shared" si="0"/>
        <v>36645</v>
      </c>
      <c r="C21" s="21">
        <f t="shared" si="1"/>
        <v>36697</v>
      </c>
      <c r="D21" s="1">
        <f t="shared" si="10"/>
        <v>0</v>
      </c>
      <c r="E21" s="3">
        <f t="array" ref="E21">INDEX($A$9:A20, MAX(IF($D$9:D20=1, ROW(D$9:$D20)-ROW($D$9)+1, 0)))</f>
        <v>46125</v>
      </c>
      <c r="F21" s="23">
        <f t="shared" si="2"/>
        <v>4.380561259411362E-2</v>
      </c>
      <c r="G21" s="5">
        <f>INDEX('Default Prob'!$P$5:$P$14,MIN(1+_xlfn.IFNA(MATCH(F21,'Default Prob'!$F$5:$F$14,1),0),COUNT('Default Prob'!$P$5:$P$14)))</f>
        <v>2.626278464496291E-2</v>
      </c>
      <c r="H21" s="5">
        <f t="shared" si="11"/>
        <v>0.99885020415257153</v>
      </c>
      <c r="I21" s="24">
        <f t="shared" si="12"/>
        <v>7.1823493320688492E-5</v>
      </c>
      <c r="J21" s="25">
        <f>INDEX('Default Prob'!$C$3:$C$13, _xlfn.IFNA(MATCH(F21, 'Default Prob'!$B$3:$B$13, 1), 1))</f>
        <v>1.9099999999999999E-2</v>
      </c>
      <c r="K21" s="26">
        <f t="shared" si="3"/>
        <v>0.99917154621131599</v>
      </c>
      <c r="L21" s="27">
        <f t="shared" ca="1" si="4"/>
        <v>0</v>
      </c>
      <c r="M21" s="27">
        <f t="shared" ca="1" si="5"/>
        <v>577.88218580748423</v>
      </c>
      <c r="N21" s="28">
        <f t="shared" ca="1" si="6"/>
        <v>4.1471131909419888E-2</v>
      </c>
      <c r="O21" s="29">
        <f t="shared" ca="1" si="7"/>
        <v>600000</v>
      </c>
      <c r="P21" s="30">
        <f t="shared" ca="1" si="8"/>
        <v>43.05839452531827</v>
      </c>
    </row>
    <row r="22" spans="1:16" x14ac:dyDescent="0.25">
      <c r="A22" s="3">
        <f t="shared" si="9"/>
        <v>46142</v>
      </c>
      <c r="B22" s="21">
        <f t="shared" si="0"/>
        <v>36646</v>
      </c>
      <c r="C22" s="21">
        <f t="shared" si="1"/>
        <v>36697</v>
      </c>
      <c r="D22" s="1">
        <f t="shared" si="10"/>
        <v>0</v>
      </c>
      <c r="E22" s="3">
        <f t="array" ref="E22">INDEX($A$9:A21, MAX(IF($D$9:D21=1, ROW(D$9:$D21)-ROW($D$9)+1, 0)))</f>
        <v>46125</v>
      </c>
      <c r="F22" s="23">
        <f t="shared" si="2"/>
        <v>4.6543463381245723E-2</v>
      </c>
      <c r="G22" s="5">
        <f>INDEX('Default Prob'!$P$5:$P$14,MIN(1+_xlfn.IFNA(MATCH(F22,'Default Prob'!$F$5:$F$14,1),0),COUNT('Default Prob'!$P$5:$P$14)))</f>
        <v>2.626278464496291E-2</v>
      </c>
      <c r="H22" s="5">
        <f t="shared" si="11"/>
        <v>0.99877838582343181</v>
      </c>
      <c r="I22" s="24">
        <f t="shared" si="12"/>
        <v>7.1818329139716752E-5</v>
      </c>
      <c r="J22" s="25">
        <f>INDEX('Default Prob'!$C$3:$C$13, _xlfn.IFNA(MATCH(F22, 'Default Prob'!$B$3:$B$13, 1), 1))</f>
        <v>1.9099999999999999E-2</v>
      </c>
      <c r="K22" s="26">
        <f t="shared" si="3"/>
        <v>0.99911979064391465</v>
      </c>
      <c r="L22" s="27">
        <f t="shared" ca="1" si="4"/>
        <v>0</v>
      </c>
      <c r="M22" s="27">
        <f t="shared" ca="1" si="5"/>
        <v>613.99982242045212</v>
      </c>
      <c r="N22" s="28">
        <f t="shared" ca="1" si="6"/>
        <v>4.405762723808361E-2</v>
      </c>
      <c r="O22" s="29">
        <f t="shared" ca="1" si="7"/>
        <v>600000</v>
      </c>
      <c r="P22" s="30">
        <f t="shared" ca="1" si="8"/>
        <v>43.053068384681737</v>
      </c>
    </row>
    <row r="23" spans="1:16" x14ac:dyDescent="0.25">
      <c r="A23" s="3">
        <f t="shared" si="9"/>
        <v>46143</v>
      </c>
      <c r="B23" s="21">
        <f t="shared" si="0"/>
        <v>36647</v>
      </c>
      <c r="C23" s="21">
        <f t="shared" si="1"/>
        <v>36697</v>
      </c>
      <c r="D23" s="1">
        <f t="shared" si="10"/>
        <v>0</v>
      </c>
      <c r="E23" s="3">
        <f t="array" ref="E23">INDEX($A$9:A22, MAX(IF($D$9:D22=1, ROW(D$9:$D22)-ROW($D$9)+1, 0)))</f>
        <v>46125</v>
      </c>
      <c r="F23" s="23">
        <f t="shared" si="2"/>
        <v>4.9281314168377825E-2</v>
      </c>
      <c r="G23" s="5">
        <f>INDEX('Default Prob'!$P$5:$P$14,MIN(1+_xlfn.IFNA(MATCH(F23,'Default Prob'!$F$5:$F$14,1),0),COUNT('Default Prob'!$P$5:$P$14)))</f>
        <v>2.626278464496291E-2</v>
      </c>
      <c r="H23" s="5">
        <f t="shared" si="11"/>
        <v>0.99870657265810181</v>
      </c>
      <c r="I23" s="24">
        <f t="shared" si="12"/>
        <v>7.1813165330003592E-5</v>
      </c>
      <c r="J23" s="25">
        <f>INDEX('Default Prob'!$C$3:$C$13, _xlfn.IFNA(MATCH(F23, 'Default Prob'!$B$3:$B$13, 1), 1))</f>
        <v>1.9099999999999999E-2</v>
      </c>
      <c r="K23" s="26">
        <f t="shared" si="3"/>
        <v>0.99906803775737318</v>
      </c>
      <c r="L23" s="27">
        <f t="shared" ca="1" si="4"/>
        <v>0</v>
      </c>
      <c r="M23" s="27">
        <f t="shared" ca="1" si="5"/>
        <v>650.11745903341978</v>
      </c>
      <c r="N23" s="28">
        <f t="shared" ca="1" si="6"/>
        <v>4.6643482055192254E-2</v>
      </c>
      <c r="O23" s="29">
        <f t="shared" ca="1" si="7"/>
        <v>600000</v>
      </c>
      <c r="P23" s="30">
        <f t="shared" ca="1" si="8"/>
        <v>43.047742902835509</v>
      </c>
    </row>
    <row r="24" spans="1:16" x14ac:dyDescent="0.25">
      <c r="A24" s="3">
        <f t="shared" si="9"/>
        <v>46146</v>
      </c>
      <c r="B24" s="21">
        <f t="shared" si="0"/>
        <v>36650</v>
      </c>
      <c r="C24" s="21">
        <f t="shared" si="1"/>
        <v>36697</v>
      </c>
      <c r="D24" s="1">
        <f t="shared" si="10"/>
        <v>0</v>
      </c>
      <c r="E24" s="3">
        <f t="array" ref="E24">INDEX($A$9:A23, MAX(IF($D$9:D23=1, ROW(D$9:$D23)-ROW($D$9)+1, 0)))</f>
        <v>46125</v>
      </c>
      <c r="F24" s="23">
        <f t="shared" si="2"/>
        <v>5.7494866529774126E-2</v>
      </c>
      <c r="G24" s="5">
        <f>INDEX('Default Prob'!$P$5:$P$14,MIN(1+_xlfn.IFNA(MATCH(F24,'Default Prob'!$F$5:$F$14,1),0),COUNT('Default Prob'!$P$5:$P$14)))</f>
        <v>2.626278464496291E-2</v>
      </c>
      <c r="H24" s="5">
        <f t="shared" si="11"/>
        <v>0.99849116414125749</v>
      </c>
      <c r="I24" s="24">
        <f t="shared" si="12"/>
        <v>2.1540851684431761E-4</v>
      </c>
      <c r="J24" s="25">
        <f>INDEX('Default Prob'!$C$3:$C$13, _xlfn.IFNA(MATCH(F24, 'Default Prob'!$B$3:$B$13, 1), 1))</f>
        <v>1.9099999999999999E-2</v>
      </c>
      <c r="K24" s="26">
        <f t="shared" si="3"/>
        <v>0.99891279518151832</v>
      </c>
      <c r="L24" s="27">
        <f t="shared" ca="1" si="4"/>
        <v>0</v>
      </c>
      <c r="M24" s="27">
        <f t="shared" ca="1" si="5"/>
        <v>758.47036887232321</v>
      </c>
      <c r="N24" s="28">
        <f t="shared" ca="1" si="6"/>
        <v>0.16320334864345784</v>
      </c>
      <c r="O24" s="29">
        <f t="shared" ca="1" si="7"/>
        <v>600000</v>
      </c>
      <c r="P24" s="30">
        <f t="shared" ca="1" si="8"/>
        <v>129.1045942001175</v>
      </c>
    </row>
    <row r="25" spans="1:16" x14ac:dyDescent="0.25">
      <c r="A25" s="3">
        <f t="shared" si="9"/>
        <v>46147</v>
      </c>
      <c r="B25" s="21">
        <f t="shared" si="0"/>
        <v>36651</v>
      </c>
      <c r="C25" s="21">
        <f t="shared" si="1"/>
        <v>36697</v>
      </c>
      <c r="D25" s="1">
        <f t="shared" si="10"/>
        <v>0</v>
      </c>
      <c r="E25" s="3">
        <f t="array" ref="E25">INDEX($A$9:A24, MAX(IF($D$9:D24=1, ROW(D$9:$D24)-ROW($D$9)+1, 0)))</f>
        <v>46125</v>
      </c>
      <c r="F25" s="23">
        <f t="shared" si="2"/>
        <v>6.0232717316906229E-2</v>
      </c>
      <c r="G25" s="5">
        <f>INDEX('Default Prob'!$P$5:$P$14,MIN(1+_xlfn.IFNA(MATCH(F25,'Default Prob'!$F$5:$F$14,1),0),COUNT('Default Prob'!$P$5:$P$14)))</f>
        <v>2.626278464496291E-2</v>
      </c>
      <c r="H25" s="5">
        <f t="shared" si="11"/>
        <v>0.99841937162745387</v>
      </c>
      <c r="I25" s="24">
        <f t="shared" si="12"/>
        <v>7.1792513803625724E-5</v>
      </c>
      <c r="J25" s="25">
        <f>INDEX('Default Prob'!$C$3:$C$13, _xlfn.IFNA(MATCH(F25, 'Default Prob'!$B$3:$B$13, 1), 1))</f>
        <v>1.9099999999999999E-2</v>
      </c>
      <c r="K25" s="26">
        <f t="shared" si="3"/>
        <v>0.99886105301702721</v>
      </c>
      <c r="L25" s="27">
        <f t="shared" ca="1" si="4"/>
        <v>0</v>
      </c>
      <c r="M25" s="27">
        <f t="shared" ca="1" si="5"/>
        <v>794.58800548529086</v>
      </c>
      <c r="N25" s="28">
        <f t="shared" ca="1" si="6"/>
        <v>5.6980498585648499E-2</v>
      </c>
      <c r="O25" s="29">
        <f t="shared" ca="1" si="7"/>
        <v>600000</v>
      </c>
      <c r="P25" s="30">
        <f t="shared" ca="1" si="8"/>
        <v>43.026447561977434</v>
      </c>
    </row>
    <row r="26" spans="1:16" x14ac:dyDescent="0.25">
      <c r="A26" s="3">
        <f t="shared" si="9"/>
        <v>46148</v>
      </c>
      <c r="B26" s="21">
        <f t="shared" si="0"/>
        <v>36652</v>
      </c>
      <c r="C26" s="21">
        <f t="shared" si="1"/>
        <v>36697</v>
      </c>
      <c r="D26" s="1">
        <f t="shared" si="10"/>
        <v>0</v>
      </c>
      <c r="E26" s="3">
        <f t="array" ref="E26">INDEX($A$9:A25, MAX(IF($D$9:D25=1, ROW(D$9:$D25)-ROW($D$9)+1, 0)))</f>
        <v>46125</v>
      </c>
      <c r="F26" s="23">
        <f t="shared" si="2"/>
        <v>6.2970568104038324E-2</v>
      </c>
      <c r="G26" s="5">
        <f>INDEX('Default Prob'!$P$5:$P$14,MIN(1+_xlfn.IFNA(MATCH(F26,'Default Prob'!$F$5:$F$14,1),0),COUNT('Default Prob'!$P$5:$P$14)))</f>
        <v>2.626278464496291E-2</v>
      </c>
      <c r="H26" s="5">
        <f t="shared" si="11"/>
        <v>0.99834758427560388</v>
      </c>
      <c r="I26" s="24">
        <f t="shared" si="12"/>
        <v>7.1787351849983416E-5</v>
      </c>
      <c r="J26" s="25">
        <f>INDEX('Default Prob'!$C$3:$C$13, _xlfn.IFNA(MATCH(F26, 'Default Prob'!$B$3:$B$13, 1), 1))</f>
        <v>1.9099999999999999E-2</v>
      </c>
      <c r="K26" s="26">
        <f t="shared" si="3"/>
        <v>0.99880931353270141</v>
      </c>
      <c r="L26" s="27">
        <f t="shared" ca="1" si="4"/>
        <v>0</v>
      </c>
      <c r="M26" s="27">
        <f t="shared" ca="1" si="5"/>
        <v>830.70564209825864</v>
      </c>
      <c r="N26" s="28">
        <f t="shared" ca="1" si="6"/>
        <v>5.9563152627901038E-2</v>
      </c>
      <c r="O26" s="29">
        <f t="shared" ca="1" si="7"/>
        <v>600000</v>
      </c>
      <c r="P26" s="30">
        <f t="shared" ca="1" si="8"/>
        <v>43.021125372967461</v>
      </c>
    </row>
    <row r="27" spans="1:16" x14ac:dyDescent="0.25">
      <c r="A27" s="3">
        <f t="shared" si="9"/>
        <v>46149</v>
      </c>
      <c r="B27" s="21">
        <f t="shared" si="0"/>
        <v>36653</v>
      </c>
      <c r="C27" s="21">
        <f t="shared" si="1"/>
        <v>36697</v>
      </c>
      <c r="D27" s="1">
        <f t="shared" si="10"/>
        <v>0</v>
      </c>
      <c r="E27" s="3">
        <f t="array" ref="E27">INDEX($A$9:A26, MAX(IF($D$9:D26=1, ROW(D$9:$D26)-ROW($D$9)+1, 0)))</f>
        <v>46125</v>
      </c>
      <c r="F27" s="23">
        <f t="shared" si="2"/>
        <v>6.5708418891170434E-2</v>
      </c>
      <c r="G27" s="5">
        <f>INDEX('Default Prob'!$P$5:$P$14,MIN(1+_xlfn.IFNA(MATCH(F27,'Default Prob'!$F$5:$F$14,1),0),COUNT('Default Prob'!$P$5:$P$14)))</f>
        <v>2.626278464496291E-2</v>
      </c>
      <c r="H27" s="5">
        <f t="shared" si="11"/>
        <v>0.99827580208533628</v>
      </c>
      <c r="I27" s="24">
        <f t="shared" si="12"/>
        <v>7.1782190267599688E-5</v>
      </c>
      <c r="J27" s="25">
        <f>INDEX('Default Prob'!$C$3:$C$13, _xlfn.IFNA(MATCH(F27, 'Default Prob'!$B$3:$B$13, 1), 1))</f>
        <v>1.9099999999999999E-2</v>
      </c>
      <c r="K27" s="26">
        <f t="shared" si="3"/>
        <v>0.99875757672840237</v>
      </c>
      <c r="L27" s="27">
        <f t="shared" ca="1" si="4"/>
        <v>0</v>
      </c>
      <c r="M27" s="27">
        <f t="shared" ca="1" si="5"/>
        <v>866.82327871122652</v>
      </c>
      <c r="N27" s="28">
        <f t="shared" ca="1" si="6"/>
        <v>6.2145166871715202E-2</v>
      </c>
      <c r="O27" s="29">
        <f t="shared" ca="1" si="7"/>
        <v>600000</v>
      </c>
      <c r="P27" s="30">
        <f t="shared" ca="1" si="8"/>
        <v>43.015803842354984</v>
      </c>
    </row>
    <row r="28" spans="1:16" x14ac:dyDescent="0.25">
      <c r="A28" s="3">
        <f t="shared" si="9"/>
        <v>46150</v>
      </c>
      <c r="B28" s="21">
        <f t="shared" si="0"/>
        <v>36654</v>
      </c>
      <c r="C28" s="21">
        <f t="shared" si="1"/>
        <v>36697</v>
      </c>
      <c r="D28" s="1">
        <f t="shared" si="10"/>
        <v>0</v>
      </c>
      <c r="E28" s="3">
        <f t="array" ref="E28">INDEX($A$9:A27, MAX(IF($D$9:D27=1, ROW(D$9:$D27)-ROW($D$9)+1, 0)))</f>
        <v>46125</v>
      </c>
      <c r="F28" s="23">
        <f t="shared" si="2"/>
        <v>6.8446269678302529E-2</v>
      </c>
      <c r="G28" s="5">
        <f>INDEX('Default Prob'!$P$5:$P$14,MIN(1+_xlfn.IFNA(MATCH(F28,'Default Prob'!$F$5:$F$14,1),0),COUNT('Default Prob'!$P$5:$P$14)))</f>
        <v>2.626278464496291E-2</v>
      </c>
      <c r="H28" s="5">
        <f t="shared" si="11"/>
        <v>0.99820402505628003</v>
      </c>
      <c r="I28" s="24">
        <f t="shared" si="12"/>
        <v>7.1777029056252495E-5</v>
      </c>
      <c r="J28" s="25">
        <f>INDEX('Default Prob'!$C$3:$C$13, _xlfn.IFNA(MATCH(F28, 'Default Prob'!$B$3:$B$13, 1), 1))</f>
        <v>1.9099999999999999E-2</v>
      </c>
      <c r="K28" s="26">
        <f t="shared" si="3"/>
        <v>0.99870584260399109</v>
      </c>
      <c r="L28" s="27">
        <f t="shared" ca="1" si="4"/>
        <v>0</v>
      </c>
      <c r="M28" s="27">
        <f t="shared" ca="1" si="5"/>
        <v>902.94091532419418</v>
      </c>
      <c r="N28" s="28">
        <f t="shared" ca="1" si="6"/>
        <v>6.4726541435691037E-2</v>
      </c>
      <c r="O28" s="29">
        <f t="shared" ca="1" si="7"/>
        <v>600000</v>
      </c>
      <c r="P28" s="30">
        <f t="shared" ca="1" si="8"/>
        <v>43.010482969941478</v>
      </c>
    </row>
    <row r="29" spans="1:16" x14ac:dyDescent="0.25">
      <c r="A29" s="3">
        <f t="shared" si="9"/>
        <v>46153</v>
      </c>
      <c r="B29" s="21">
        <f t="shared" si="0"/>
        <v>36657</v>
      </c>
      <c r="C29" s="21">
        <f t="shared" si="1"/>
        <v>36697</v>
      </c>
      <c r="D29" s="1">
        <f t="shared" si="10"/>
        <v>0</v>
      </c>
      <c r="E29" s="3">
        <f t="array" ref="E29">INDEX($A$9:A28, MAX(IF($D$9:D28=1, ROW(D$9:$D28)-ROW($D$9)+1, 0)))</f>
        <v>46125</v>
      </c>
      <c r="F29" s="23">
        <f t="shared" si="2"/>
        <v>7.665982203969883E-2</v>
      </c>
      <c r="G29" s="5">
        <f>INDEX('Default Prob'!$P$5:$P$14,MIN(1+_xlfn.IFNA(MATCH(F29,'Default Prob'!$F$5:$F$14,1),0),COUNT('Default Prob'!$P$5:$P$14)))</f>
        <v>2.626278464496291E-2</v>
      </c>
      <c r="H29" s="5">
        <f t="shared" si="11"/>
        <v>0.9979887249326681</v>
      </c>
      <c r="I29" s="24">
        <f t="shared" si="12"/>
        <v>2.1530012361192785E-4</v>
      </c>
      <c r="J29" s="25">
        <f>INDEX('Default Prob'!$C$3:$C$13, _xlfn.IFNA(MATCH(F29, 'Default Prob'!$B$3:$B$13, 1), 1))</f>
        <v>1.9099999999999999E-2</v>
      </c>
      <c r="K29" s="26">
        <f t="shared" si="3"/>
        <v>0.99855065630869622</v>
      </c>
      <c r="L29" s="27">
        <f t="shared" ca="1" si="4"/>
        <v>0</v>
      </c>
      <c r="M29" s="27">
        <f t="shared" ca="1" si="5"/>
        <v>1011.2938251630975</v>
      </c>
      <c r="N29" s="28">
        <f t="shared" ca="1" si="6"/>
        <v>0.21741611752072282</v>
      </c>
      <c r="O29" s="29">
        <f t="shared" ca="1" si="7"/>
        <v>600000</v>
      </c>
      <c r="P29" s="30">
        <f t="shared" ca="1" si="8"/>
        <v>128.99284784162037</v>
      </c>
    </row>
    <row r="30" spans="1:16" x14ac:dyDescent="0.25">
      <c r="A30" s="3">
        <f t="shared" si="9"/>
        <v>46154</v>
      </c>
      <c r="B30" s="21">
        <f t="shared" si="0"/>
        <v>36658</v>
      </c>
      <c r="C30" s="21">
        <f t="shared" si="1"/>
        <v>36697</v>
      </c>
      <c r="D30" s="1">
        <f t="shared" si="10"/>
        <v>0</v>
      </c>
      <c r="E30" s="3">
        <f t="array" ref="E30">INDEX($A$9:A29, MAX(IF($D$9:D29=1, ROW(D$9:$D29)-ROW($D$9)+1, 0)))</f>
        <v>46125</v>
      </c>
      <c r="F30" s="23">
        <f t="shared" si="2"/>
        <v>7.939767282683094E-2</v>
      </c>
      <c r="G30" s="5">
        <f>INDEX('Default Prob'!$P$5:$P$14,MIN(1+_xlfn.IFNA(MATCH(F30,'Default Prob'!$F$5:$F$14,1),0),COUNT('Default Prob'!$P$5:$P$14)))</f>
        <v>2.626278464496291E-2</v>
      </c>
      <c r="H30" s="5">
        <f t="shared" si="11"/>
        <v>0.99791696854474632</v>
      </c>
      <c r="I30" s="24">
        <f t="shared" si="12"/>
        <v>7.1756387921784182E-5</v>
      </c>
      <c r="J30" s="25">
        <f>INDEX('Default Prob'!$C$3:$C$13, _xlfn.IFNA(MATCH(F30, 'Default Prob'!$B$3:$B$13, 1), 1))</f>
        <v>1.9099999999999999E-2</v>
      </c>
      <c r="K30" s="26">
        <f t="shared" si="3"/>
        <v>0.99849893290244807</v>
      </c>
      <c r="L30" s="27">
        <f t="shared" ca="1" si="4"/>
        <v>0</v>
      </c>
      <c r="M30" s="27">
        <f t="shared" ca="1" si="5"/>
        <v>1047.4114617760652</v>
      </c>
      <c r="N30" s="28">
        <f t="shared" ca="1" si="6"/>
        <v>7.504564526876692E-2</v>
      </c>
      <c r="O30" s="29">
        <f t="shared" ca="1" si="7"/>
        <v>600000</v>
      </c>
      <c r="P30" s="30">
        <f t="shared" ca="1" si="8"/>
        <v>42.989206061301374</v>
      </c>
    </row>
    <row r="31" spans="1:16" x14ac:dyDescent="0.25">
      <c r="A31" s="3">
        <f t="shared" si="9"/>
        <v>46155</v>
      </c>
      <c r="B31" s="21">
        <f t="shared" si="0"/>
        <v>36659</v>
      </c>
      <c r="C31" s="21">
        <f t="shared" si="1"/>
        <v>36697</v>
      </c>
      <c r="D31" s="1">
        <f t="shared" si="10"/>
        <v>0</v>
      </c>
      <c r="E31" s="3">
        <f t="array" ref="E31">INDEX($A$9:A30, MAX(IF($D$9:D30=1, ROW(D$9:$D30)-ROW($D$9)+1, 0)))</f>
        <v>46125</v>
      </c>
      <c r="F31" s="23">
        <f t="shared" si="2"/>
        <v>8.2135523613963035E-2</v>
      </c>
      <c r="G31" s="5">
        <f>INDEX('Default Prob'!$P$5:$P$14,MIN(1+_xlfn.IFNA(MATCH(F31,'Default Prob'!$F$5:$F$14,1),0),COUNT('Default Prob'!$P$5:$P$14)))</f>
        <v>2.626278464496291E-2</v>
      </c>
      <c r="H31" s="5">
        <f t="shared" si="11"/>
        <v>0.9978452173161807</v>
      </c>
      <c r="I31" s="24">
        <f t="shared" si="12"/>
        <v>7.1751228565619662E-5</v>
      </c>
      <c r="J31" s="25">
        <f>INDEX('Default Prob'!$C$3:$C$13, _xlfn.IFNA(MATCH(F31, 'Default Prob'!$B$3:$B$13, 1), 1))</f>
        <v>1.9099999999999999E-2</v>
      </c>
      <c r="K31" s="26">
        <f t="shared" si="3"/>
        <v>0.99844721217539389</v>
      </c>
      <c r="L31" s="27">
        <f t="shared" ca="1" si="4"/>
        <v>0</v>
      </c>
      <c r="M31" s="27">
        <f t="shared" ca="1" si="5"/>
        <v>1083.5290983890329</v>
      </c>
      <c r="N31" s="28">
        <f t="shared" ca="1" si="6"/>
        <v>7.7623823214664739E-2</v>
      </c>
      <c r="O31" s="29">
        <f t="shared" ca="1" si="7"/>
        <v>600000</v>
      </c>
      <c r="P31" s="30">
        <f t="shared" ca="1" si="8"/>
        <v>42.983888478901463</v>
      </c>
    </row>
    <row r="32" spans="1:16" x14ac:dyDescent="0.25">
      <c r="A32" s="3">
        <f t="shared" si="9"/>
        <v>46156</v>
      </c>
      <c r="B32" s="21">
        <f t="shared" si="0"/>
        <v>36660</v>
      </c>
      <c r="C32" s="21">
        <f t="shared" si="1"/>
        <v>36697</v>
      </c>
      <c r="D32" s="1">
        <f t="shared" si="10"/>
        <v>0</v>
      </c>
      <c r="E32" s="3">
        <f t="array" ref="E32">INDEX($A$9:A31, MAX(IF($D$9:D31=1, ROW(D$9:$D31)-ROW($D$9)+1, 0)))</f>
        <v>46125</v>
      </c>
      <c r="F32" s="23">
        <f t="shared" si="2"/>
        <v>8.4873374401095145E-2</v>
      </c>
      <c r="G32" s="5">
        <f>INDEX('Default Prob'!$P$5:$P$14,MIN(1+_xlfn.IFNA(MATCH(F32,'Default Prob'!$F$5:$F$14,1),0),COUNT('Default Prob'!$P$5:$P$14)))</f>
        <v>2.626278464496291E-2</v>
      </c>
      <c r="H32" s="5">
        <f t="shared" si="11"/>
        <v>0.99777347124660021</v>
      </c>
      <c r="I32" s="24">
        <f t="shared" si="12"/>
        <v>7.1746069580491678E-5</v>
      </c>
      <c r="J32" s="25">
        <f>INDEX('Default Prob'!$C$3:$C$13, _xlfn.IFNA(MATCH(F32, 'Default Prob'!$B$3:$B$13, 1), 1))</f>
        <v>1.9099999999999999E-2</v>
      </c>
      <c r="K32" s="26">
        <f t="shared" si="3"/>
        <v>0.99839549412739481</v>
      </c>
      <c r="L32" s="27">
        <f t="shared" ca="1" si="4"/>
        <v>0</v>
      </c>
      <c r="M32" s="27">
        <f t="shared" ca="1" si="5"/>
        <v>1119.6467350020009</v>
      </c>
      <c r="N32" s="28">
        <f t="shared" ca="1" si="6"/>
        <v>8.020136219305149E-2</v>
      </c>
      <c r="O32" s="29">
        <f t="shared" ca="1" si="7"/>
        <v>600000</v>
      </c>
      <c r="P32" s="30">
        <f t="shared" ca="1" si="8"/>
        <v>42.978571554308061</v>
      </c>
    </row>
    <row r="33" spans="1:16" x14ac:dyDescent="0.25">
      <c r="A33" s="3">
        <f t="shared" si="9"/>
        <v>46157</v>
      </c>
      <c r="B33" s="21">
        <f t="shared" si="0"/>
        <v>36661</v>
      </c>
      <c r="C33" s="21">
        <f t="shared" si="1"/>
        <v>36697</v>
      </c>
      <c r="D33" s="1">
        <f t="shared" si="10"/>
        <v>0</v>
      </c>
      <c r="E33" s="3">
        <f t="array" ref="E33">INDEX($A$9:A32, MAX(IF($D$9:D32=1, ROW(D$9:$D32)-ROW($D$9)+1, 0)))</f>
        <v>46125</v>
      </c>
      <c r="F33" s="23">
        <f t="shared" si="2"/>
        <v>8.761122518822724E-2</v>
      </c>
      <c r="G33" s="5">
        <f>INDEX('Default Prob'!$P$5:$P$14,MIN(1+_xlfn.IFNA(MATCH(F33,'Default Prob'!$F$5:$F$14,1),0),COUNT('Default Prob'!$P$5:$P$14)))</f>
        <v>2.626278464496291E-2</v>
      </c>
      <c r="H33" s="5">
        <f t="shared" si="11"/>
        <v>0.99770173033563381</v>
      </c>
      <c r="I33" s="24">
        <f t="shared" si="12"/>
        <v>7.1740910966400229E-5</v>
      </c>
      <c r="J33" s="25">
        <f>INDEX('Default Prob'!$C$3:$C$13, _xlfn.IFNA(MATCH(F33, 'Default Prob'!$B$3:$B$13, 1), 1))</f>
        <v>1.9099999999999999E-2</v>
      </c>
      <c r="K33" s="26">
        <f t="shared" si="3"/>
        <v>0.99834377875831193</v>
      </c>
      <c r="L33" s="27">
        <f t="shared" ca="1" si="4"/>
        <v>0</v>
      </c>
      <c r="M33" s="27">
        <f t="shared" ca="1" si="5"/>
        <v>1155.7643716149685</v>
      </c>
      <c r="N33" s="28">
        <f t="shared" ca="1" si="6"/>
        <v>8.2778262322593249E-2</v>
      </c>
      <c r="O33" s="29">
        <f t="shared" ca="1" si="7"/>
        <v>600000</v>
      </c>
      <c r="P33" s="30">
        <f t="shared" ca="1" si="8"/>
        <v>42.973255287455771</v>
      </c>
    </row>
    <row r="34" spans="1:16" x14ac:dyDescent="0.25">
      <c r="A34" s="3">
        <f t="shared" si="9"/>
        <v>46160</v>
      </c>
      <c r="B34" s="21">
        <f t="shared" si="0"/>
        <v>36664</v>
      </c>
      <c r="C34" s="21">
        <f t="shared" si="1"/>
        <v>36697</v>
      </c>
      <c r="D34" s="1">
        <f t="shared" si="10"/>
        <v>0</v>
      </c>
      <c r="E34" s="3">
        <f t="array" ref="E34">INDEX($A$9:A33, MAX(IF($D$9:D33=1, ROW(D$9:$D33)-ROW($D$9)+1, 0)))</f>
        <v>46125</v>
      </c>
      <c r="F34" s="23">
        <f t="shared" si="2"/>
        <v>9.5824777549623541E-2</v>
      </c>
      <c r="G34" s="5">
        <f>INDEX('Default Prob'!$P$5:$P$14,MIN(1+_xlfn.IFNA(MATCH(F34,'Default Prob'!$F$5:$F$14,1),0),COUNT('Default Prob'!$P$5:$P$14)))</f>
        <v>2.626278464496291E-2</v>
      </c>
      <c r="H34" s="5">
        <f t="shared" si="11"/>
        <v>0.99748653855071079</v>
      </c>
      <c r="I34" s="24">
        <f t="shared" si="12"/>
        <v>2.1519178492301894E-4</v>
      </c>
      <c r="J34" s="25">
        <f>INDEX('Default Prob'!$C$3:$C$13, _xlfn.IFNA(MATCH(F34, 'Default Prob'!$B$3:$B$13, 1), 1))</f>
        <v>1.9099999999999999E-2</v>
      </c>
      <c r="K34" s="26">
        <f t="shared" si="3"/>
        <v>0.99818864872317326</v>
      </c>
      <c r="L34" s="27">
        <f t="shared" ca="1" si="4"/>
        <v>0</v>
      </c>
      <c r="M34" s="27">
        <f t="shared" ca="1" si="5"/>
        <v>1264.1172814538718</v>
      </c>
      <c r="N34" s="28">
        <f t="shared" ca="1" si="6"/>
        <v>0.27153491650941963</v>
      </c>
      <c r="O34" s="29">
        <f t="shared" ca="1" si="7"/>
        <v>600000</v>
      </c>
      <c r="P34" s="30">
        <f t="shared" ca="1" si="8"/>
        <v>128.88119820518162</v>
      </c>
    </row>
    <row r="35" spans="1:16" x14ac:dyDescent="0.25">
      <c r="A35" s="3">
        <f t="shared" si="9"/>
        <v>46161</v>
      </c>
      <c r="B35" s="21">
        <f t="shared" si="0"/>
        <v>36665</v>
      </c>
      <c r="C35" s="21">
        <f t="shared" si="1"/>
        <v>36697</v>
      </c>
      <c r="D35" s="1">
        <f t="shared" si="10"/>
        <v>0</v>
      </c>
      <c r="E35" s="3">
        <f t="array" ref="E35">INDEX($A$9:A34, MAX(IF($D$9:D34=1, ROW(D$9:$D34)-ROW($D$9)+1, 0)))</f>
        <v>46125</v>
      </c>
      <c r="F35" s="23">
        <f t="shared" si="2"/>
        <v>9.856262833675565E-2</v>
      </c>
      <c r="G35" s="5">
        <f>INDEX('Default Prob'!$P$5:$P$14,MIN(1+_xlfn.IFNA(MATCH(F35,'Default Prob'!$F$5:$F$14,1),0),COUNT('Default Prob'!$P$5:$P$14)))</f>
        <v>2.626278464496291E-2</v>
      </c>
      <c r="H35" s="5">
        <f t="shared" si="11"/>
        <v>0.99741481827049239</v>
      </c>
      <c r="I35" s="24">
        <f t="shared" si="12"/>
        <v>7.1720280218401378E-5</v>
      </c>
      <c r="J35" s="25">
        <f>INDEX('Default Prob'!$C$3:$C$13, _xlfn.IFNA(MATCH(F35, 'Default Prob'!$B$3:$B$13, 1), 1))</f>
        <v>1.9099999999999999E-2</v>
      </c>
      <c r="K35" s="26">
        <f t="shared" si="3"/>
        <v>0.99813694406836817</v>
      </c>
      <c r="L35" s="27">
        <f t="shared" ca="1" si="4"/>
        <v>0</v>
      </c>
      <c r="M35" s="27">
        <f t="shared" ca="1" si="5"/>
        <v>1300.2349180668396</v>
      </c>
      <c r="N35" s="28">
        <f t="shared" ca="1" si="6"/>
        <v>9.3079476722488799E-2</v>
      </c>
      <c r="O35" s="29">
        <f t="shared" ca="1" si="7"/>
        <v>600000</v>
      </c>
      <c r="P35" s="30">
        <f t="shared" ca="1" si="8"/>
        <v>42.95199679495331</v>
      </c>
    </row>
    <row r="36" spans="1:16" x14ac:dyDescent="0.25">
      <c r="A36" s="3">
        <f t="shared" si="9"/>
        <v>46162</v>
      </c>
      <c r="B36" s="21">
        <f t="shared" si="0"/>
        <v>36666</v>
      </c>
      <c r="C36" s="21">
        <f t="shared" si="1"/>
        <v>36697</v>
      </c>
      <c r="D36" s="1">
        <f t="shared" si="10"/>
        <v>0</v>
      </c>
      <c r="E36" s="3">
        <f t="array" ref="E36">INDEX($A$9:A35, MAX(IF($D$9:D35=1, ROW(D$9:$D35)-ROW($D$9)+1, 0)))</f>
        <v>46125</v>
      </c>
      <c r="F36" s="23">
        <f t="shared" si="2"/>
        <v>0.10130047912388775</v>
      </c>
      <c r="G36" s="5">
        <f>INDEX('Default Prob'!$P$5:$P$14,MIN(1+_xlfn.IFNA(MATCH(F36,'Default Prob'!$F$5:$F$14,1),0),COUNT('Default Prob'!$P$5:$P$14)))</f>
        <v>2.626278464496291E-2</v>
      </c>
      <c r="H36" s="5">
        <f t="shared" si="11"/>
        <v>0.99734310314703389</v>
      </c>
      <c r="I36" s="24">
        <f t="shared" si="12"/>
        <v>7.1715123458493402E-5</v>
      </c>
      <c r="J36" s="25">
        <f>INDEX('Default Prob'!$C$3:$C$13, _xlfn.IFNA(MATCH(F36, 'Default Prob'!$B$3:$B$13, 1), 1))</f>
        <v>1.9099999999999999E-2</v>
      </c>
      <c r="K36" s="26">
        <f t="shared" si="3"/>
        <v>0.99808524209178529</v>
      </c>
      <c r="L36" s="27">
        <f t="shared" ca="1" si="4"/>
        <v>0</v>
      </c>
      <c r="M36" s="27">
        <f t="shared" ca="1" si="5"/>
        <v>1336.3525546798076</v>
      </c>
      <c r="N36" s="28">
        <f t="shared" ca="1" si="6"/>
        <v>9.5653184385842235E-2</v>
      </c>
      <c r="O36" s="29">
        <f t="shared" ca="1" si="7"/>
        <v>600000</v>
      </c>
      <c r="P36" s="30">
        <f t="shared" ca="1" si="8"/>
        <v>42.946683815227594</v>
      </c>
    </row>
    <row r="37" spans="1:16" x14ac:dyDescent="0.25">
      <c r="A37" s="3">
        <f t="shared" si="9"/>
        <v>46163</v>
      </c>
      <c r="B37" s="21">
        <f t="shared" si="0"/>
        <v>36667</v>
      </c>
      <c r="C37" s="21">
        <f t="shared" si="1"/>
        <v>36697</v>
      </c>
      <c r="D37" s="1">
        <f t="shared" si="10"/>
        <v>0</v>
      </c>
      <c r="E37" s="3">
        <f t="array" ref="E37">INDEX($A$9:A36, MAX(IF($D$9:D36=1, ROW(D$9:$D36)-ROW($D$9)+1, 0)))</f>
        <v>46125</v>
      </c>
      <c r="F37" s="23">
        <f t="shared" si="2"/>
        <v>0.10403832991101986</v>
      </c>
      <c r="G37" s="5">
        <f>INDEX('Default Prob'!$P$5:$P$14,MIN(1+_xlfn.IFNA(MATCH(F37,'Default Prob'!$F$5:$F$14,1),0),COUNT('Default Prob'!$P$5:$P$14)))</f>
        <v>2.626278464496291E-2</v>
      </c>
      <c r="H37" s="5">
        <f t="shared" si="11"/>
        <v>0.99727139317996449</v>
      </c>
      <c r="I37" s="24">
        <f t="shared" si="12"/>
        <v>7.1709967069399916E-5</v>
      </c>
      <c r="J37" s="25">
        <f>INDEX('Default Prob'!$C$3:$C$13, _xlfn.IFNA(MATCH(F37, 'Default Prob'!$B$3:$B$13, 1), 1))</f>
        <v>1.9099999999999999E-2</v>
      </c>
      <c r="K37" s="26">
        <f t="shared" si="3"/>
        <v>0.99803354279328627</v>
      </c>
      <c r="L37" s="27">
        <f t="shared" ca="1" si="4"/>
        <v>0</v>
      </c>
      <c r="M37" s="27">
        <f t="shared" ca="1" si="5"/>
        <v>1372.4701912927751</v>
      </c>
      <c r="N37" s="28">
        <f t="shared" ca="1" si="6"/>
        <v>9.8226253911640998E-2</v>
      </c>
      <c r="O37" s="29">
        <f t="shared" ca="1" si="7"/>
        <v>600000</v>
      </c>
      <c r="P37" s="30">
        <f t="shared" ca="1" si="8"/>
        <v>42.941371492717856</v>
      </c>
    </row>
    <row r="38" spans="1:16" x14ac:dyDescent="0.25">
      <c r="A38" s="3">
        <f t="shared" si="9"/>
        <v>46164</v>
      </c>
      <c r="B38" s="21">
        <f t="shared" si="0"/>
        <v>36668</v>
      </c>
      <c r="C38" s="21">
        <f t="shared" si="1"/>
        <v>36697</v>
      </c>
      <c r="D38" s="1">
        <f t="shared" si="10"/>
        <v>0</v>
      </c>
      <c r="E38" s="3">
        <f t="array" ref="E38">INDEX($A$9:A37, MAX(IF($D$9:D37=1, ROW(D$9:$D37)-ROW($D$9)+1, 0)))</f>
        <v>46125</v>
      </c>
      <c r="F38" s="23">
        <f t="shared" si="2"/>
        <v>0.10677618069815195</v>
      </c>
      <c r="G38" s="5">
        <f>INDEX('Default Prob'!$P$5:$P$14,MIN(1+_xlfn.IFNA(MATCH(F38,'Default Prob'!$F$5:$F$14,1),0),COUNT('Default Prob'!$P$5:$P$14)))</f>
        <v>2.626278464496291E-2</v>
      </c>
      <c r="H38" s="5">
        <f t="shared" si="11"/>
        <v>0.99719968836891348</v>
      </c>
      <c r="I38" s="24">
        <f t="shared" si="12"/>
        <v>7.1704811051009898E-5</v>
      </c>
      <c r="J38" s="25">
        <f>INDEX('Default Prob'!$C$3:$C$13, _xlfn.IFNA(MATCH(F38, 'Default Prob'!$B$3:$B$13, 1), 1))</f>
        <v>1.9099999999999999E-2</v>
      </c>
      <c r="K38" s="26">
        <f t="shared" si="3"/>
        <v>0.99798184617273233</v>
      </c>
      <c r="L38" s="27">
        <f t="shared" ca="1" si="4"/>
        <v>0</v>
      </c>
      <c r="M38" s="27">
        <f t="shared" ca="1" si="5"/>
        <v>1408.5878279057429</v>
      </c>
      <c r="N38" s="28">
        <f t="shared" ca="1" si="6"/>
        <v>0.10079868541826109</v>
      </c>
      <c r="O38" s="29">
        <f t="shared" ca="1" si="7"/>
        <v>600000</v>
      </c>
      <c r="P38" s="30">
        <f t="shared" ca="1" si="8"/>
        <v>42.936059827292276</v>
      </c>
    </row>
    <row r="39" spans="1:16" x14ac:dyDescent="0.25">
      <c r="A39" s="3">
        <f t="shared" si="9"/>
        <v>46167</v>
      </c>
      <c r="B39" s="21">
        <f t="shared" si="0"/>
        <v>36671</v>
      </c>
      <c r="C39" s="21">
        <f t="shared" si="1"/>
        <v>36697</v>
      </c>
      <c r="D39" s="1">
        <f t="shared" si="10"/>
        <v>0</v>
      </c>
      <c r="E39" s="3">
        <f t="array" ref="E39">INDEX($A$9:A38, MAX(IF($D$9:D38=1, ROW(D$9:$D38)-ROW($D$9)+1, 0)))</f>
        <v>46125</v>
      </c>
      <c r="F39" s="23">
        <f t="shared" si="2"/>
        <v>0.11498973305954825</v>
      </c>
      <c r="G39" s="5">
        <f>INDEX('Default Prob'!$P$5:$P$14,MIN(1+_xlfn.IFNA(MATCH(F39,'Default Prob'!$F$5:$F$14,1),0),COUNT('Default Prob'!$P$5:$P$14)))</f>
        <v>2.626278464496291E-2</v>
      </c>
      <c r="H39" s="5">
        <f t="shared" si="11"/>
        <v>0.99698460486816365</v>
      </c>
      <c r="I39" s="24">
        <f t="shared" si="12"/>
        <v>2.1508350074983529E-4</v>
      </c>
      <c r="J39" s="25">
        <f>INDEX('Default Prob'!$C$3:$C$13, _xlfn.IFNA(MATCH(F39, 'Default Prob'!$B$3:$B$13, 1), 1))</f>
        <v>1.9099999999999999E-2</v>
      </c>
      <c r="K39" s="26">
        <f t="shared" si="3"/>
        <v>0.99782677237735395</v>
      </c>
      <c r="L39" s="27">
        <f t="shared" ca="1" si="4"/>
        <v>0</v>
      </c>
      <c r="M39" s="27">
        <f t="shared" ca="1" si="5"/>
        <v>1516.9407377446464</v>
      </c>
      <c r="N39" s="28">
        <f t="shared" ca="1" si="6"/>
        <v>0.32555986766544753</v>
      </c>
      <c r="O39" s="29">
        <f t="shared" ca="1" si="7"/>
        <v>600000</v>
      </c>
      <c r="P39" s="30">
        <f t="shared" ca="1" si="8"/>
        <v>128.76964520689822</v>
      </c>
    </row>
    <row r="40" spans="1:16" x14ac:dyDescent="0.25">
      <c r="A40" s="3">
        <f t="shared" si="9"/>
        <v>46168</v>
      </c>
      <c r="B40" s="21">
        <f t="shared" si="0"/>
        <v>36672</v>
      </c>
      <c r="C40" s="21">
        <f t="shared" si="1"/>
        <v>36697</v>
      </c>
      <c r="D40" s="1">
        <f t="shared" si="10"/>
        <v>0</v>
      </c>
      <c r="E40" s="3">
        <f t="array" ref="E40">INDEX($A$9:A39, MAX(IF($D$9:D39=1, ROW(D$9:$D39)-ROW($D$9)+1, 0)))</f>
        <v>46125</v>
      </c>
      <c r="F40" s="23">
        <f t="shared" si="2"/>
        <v>0.11772758384668036</v>
      </c>
      <c r="G40" s="5">
        <f>INDEX('Default Prob'!$P$5:$P$14,MIN(1+_xlfn.IFNA(MATCH(F40,'Default Prob'!$F$5:$F$14,1),0),COUNT('Default Prob'!$P$5:$P$14)))</f>
        <v>2.626278464496291E-2</v>
      </c>
      <c r="H40" s="5">
        <f t="shared" si="11"/>
        <v>0.99691292067747928</v>
      </c>
      <c r="I40" s="24">
        <f t="shared" si="12"/>
        <v>7.1684190684373483E-5</v>
      </c>
      <c r="J40" s="25">
        <f>INDEX('Default Prob'!$C$3:$C$13, _xlfn.IFNA(MATCH(F40, 'Default Prob'!$B$3:$B$13, 1), 1))</f>
        <v>1.9099999999999999E-2</v>
      </c>
      <c r="K40" s="26">
        <f t="shared" si="3"/>
        <v>0.99777508646719337</v>
      </c>
      <c r="L40" s="27">
        <f t="shared" ca="1" si="4"/>
        <v>0</v>
      </c>
      <c r="M40" s="27">
        <f t="shared" ca="1" si="5"/>
        <v>1553.0583743576142</v>
      </c>
      <c r="N40" s="28">
        <f t="shared" ca="1" si="6"/>
        <v>0.11108203362263444</v>
      </c>
      <c r="O40" s="29">
        <f t="shared" ca="1" si="7"/>
        <v>600000</v>
      </c>
      <c r="P40" s="30">
        <f t="shared" ca="1" si="8"/>
        <v>42.91481973505892</v>
      </c>
    </row>
    <row r="41" spans="1:16" x14ac:dyDescent="0.25">
      <c r="A41" s="3">
        <f t="shared" si="9"/>
        <v>46169</v>
      </c>
      <c r="B41" s="21">
        <f t="shared" si="0"/>
        <v>36673</v>
      </c>
      <c r="C41" s="21">
        <f t="shared" si="1"/>
        <v>36697</v>
      </c>
      <c r="D41" s="1">
        <f t="shared" si="10"/>
        <v>0</v>
      </c>
      <c r="E41" s="3">
        <f t="array" ref="E41">INDEX($A$9:A40, MAX(IF($D$9:D40=1, ROW(D$9:$D40)-ROW($D$9)+1, 0)))</f>
        <v>46125</v>
      </c>
      <c r="F41" s="23">
        <f t="shared" si="2"/>
        <v>0.12046543463381246</v>
      </c>
      <c r="G41" s="5">
        <f>INDEX('Default Prob'!$P$5:$P$14,MIN(1+_xlfn.IFNA(MATCH(F41,'Default Prob'!$F$5:$F$14,1),0),COUNT('Default Prob'!$P$5:$P$14)))</f>
        <v>2.626278464496291E-2</v>
      </c>
      <c r="H41" s="5">
        <f t="shared" si="11"/>
        <v>0.99684124164095989</v>
      </c>
      <c r="I41" s="24">
        <f t="shared" si="12"/>
        <v>7.1679036519389783E-5</v>
      </c>
      <c r="J41" s="25">
        <f>INDEX('Default Prob'!$C$3:$C$13, _xlfn.IFNA(MATCH(F41, 'Default Prob'!$B$3:$B$13, 1), 1))</f>
        <v>1.9099999999999999E-2</v>
      </c>
      <c r="K41" s="26">
        <f t="shared" si="3"/>
        <v>0.99772340323428432</v>
      </c>
      <c r="L41" s="27">
        <f t="shared" ca="1" si="4"/>
        <v>0</v>
      </c>
      <c r="M41" s="27">
        <f t="shared" ca="1" si="5"/>
        <v>1589.1760109705817</v>
      </c>
      <c r="N41" s="28">
        <f t="shared" ca="1" si="6"/>
        <v>0.1136512768104324</v>
      </c>
      <c r="O41" s="29">
        <f t="shared" ca="1" si="7"/>
        <v>600000</v>
      </c>
      <c r="P41" s="30">
        <f t="shared" ca="1" si="8"/>
        <v>42.909511354008075</v>
      </c>
    </row>
    <row r="42" spans="1:16" x14ac:dyDescent="0.25">
      <c r="A42" s="3">
        <f t="shared" si="9"/>
        <v>46170</v>
      </c>
      <c r="B42" s="21">
        <f t="shared" si="0"/>
        <v>36674</v>
      </c>
      <c r="C42" s="21">
        <f t="shared" si="1"/>
        <v>36697</v>
      </c>
      <c r="D42" s="1">
        <f t="shared" si="10"/>
        <v>0</v>
      </c>
      <c r="E42" s="3">
        <f t="array" ref="E42">INDEX($A$9:A41, MAX(IF($D$9:D41=1, ROW(D$9:$D41)-ROW($D$9)+1, 0)))</f>
        <v>46125</v>
      </c>
      <c r="F42" s="23">
        <f t="shared" si="2"/>
        <v>0.12320328542094455</v>
      </c>
      <c r="G42" s="5">
        <f>INDEX('Default Prob'!$P$5:$P$14,MIN(1+_xlfn.IFNA(MATCH(F42,'Default Prob'!$F$5:$F$14,1),0),COUNT('Default Prob'!$P$5:$P$14)))</f>
        <v>2.626278464496291E-2</v>
      </c>
      <c r="H42" s="5">
        <f t="shared" si="11"/>
        <v>0.996769567758235</v>
      </c>
      <c r="I42" s="24">
        <f t="shared" si="12"/>
        <v>7.1673882724887505E-5</v>
      </c>
      <c r="J42" s="25">
        <f>INDEX('Default Prob'!$C$3:$C$13, _xlfn.IFNA(MATCH(F42, 'Default Prob'!$B$3:$B$13, 1), 1))</f>
        <v>1.9099999999999999E-2</v>
      </c>
      <c r="K42" s="26">
        <f t="shared" si="3"/>
        <v>0.99767172267848814</v>
      </c>
      <c r="L42" s="27">
        <f t="shared" ca="1" si="4"/>
        <v>0</v>
      </c>
      <c r="M42" s="27">
        <f t="shared" ca="1" si="5"/>
        <v>1625.2936475835495</v>
      </c>
      <c r="N42" s="28">
        <f t="shared" ca="1" si="6"/>
        <v>0.11621988268947418</v>
      </c>
      <c r="O42" s="29">
        <f t="shared" ca="1" si="7"/>
        <v>600000</v>
      </c>
      <c r="P42" s="30">
        <f t="shared" ca="1" si="8"/>
        <v>42.904203629516672</v>
      </c>
    </row>
    <row r="43" spans="1:16" x14ac:dyDescent="0.25">
      <c r="A43" s="3">
        <f t="shared" si="9"/>
        <v>46171</v>
      </c>
      <c r="B43" s="21">
        <f t="shared" si="0"/>
        <v>36675</v>
      </c>
      <c r="C43" s="21">
        <f t="shared" si="1"/>
        <v>36697</v>
      </c>
      <c r="D43" s="1">
        <f t="shared" si="10"/>
        <v>0</v>
      </c>
      <c r="E43" s="3">
        <f t="array" ref="E43">INDEX($A$9:A42, MAX(IF($D$9:D42=1, ROW(D$9:$D42)-ROW($D$9)+1, 0)))</f>
        <v>46125</v>
      </c>
      <c r="F43" s="23">
        <f t="shared" si="2"/>
        <v>0.12594113620807665</v>
      </c>
      <c r="G43" s="5">
        <f>INDEX('Default Prob'!$P$5:$P$14,MIN(1+_xlfn.IFNA(MATCH(F43,'Default Prob'!$F$5:$F$14,1),0),COUNT('Default Prob'!$P$5:$P$14)))</f>
        <v>2.626278464496291E-2</v>
      </c>
      <c r="H43" s="5">
        <f t="shared" si="11"/>
        <v>0.99669789902893402</v>
      </c>
      <c r="I43" s="24">
        <f t="shared" si="12"/>
        <v>7.1668729300977674E-5</v>
      </c>
      <c r="J43" s="25">
        <f>INDEX('Default Prob'!$C$3:$C$13, _xlfn.IFNA(MATCH(F43, 'Default Prob'!$B$3:$B$13, 1), 1))</f>
        <v>1.9099999999999999E-2</v>
      </c>
      <c r="K43" s="26">
        <f t="shared" si="3"/>
        <v>0.99762004479966626</v>
      </c>
      <c r="L43" s="27">
        <f t="shared" ca="1" si="4"/>
        <v>0</v>
      </c>
      <c r="M43" s="27">
        <f t="shared" ca="1" si="5"/>
        <v>1661.4112841965173</v>
      </c>
      <c r="N43" s="28">
        <f t="shared" ca="1" si="6"/>
        <v>0.11878785137832998</v>
      </c>
      <c r="O43" s="29">
        <f t="shared" ca="1" si="7"/>
        <v>600000</v>
      </c>
      <c r="P43" s="30">
        <f t="shared" ca="1" si="8"/>
        <v>42.8988965615859</v>
      </c>
    </row>
    <row r="44" spans="1:16" x14ac:dyDescent="0.25">
      <c r="A44" s="3">
        <f t="shared" si="9"/>
        <v>46174</v>
      </c>
      <c r="B44" s="21">
        <f t="shared" si="0"/>
        <v>36678</v>
      </c>
      <c r="C44" s="21">
        <f t="shared" si="1"/>
        <v>36697</v>
      </c>
      <c r="D44" s="1">
        <f t="shared" si="10"/>
        <v>0</v>
      </c>
      <c r="E44" s="3">
        <f t="array" ref="E44">INDEX($A$9:A43, MAX(IF($D$9:D43=1, ROW(D$9:$D43)-ROW($D$9)+1, 0)))</f>
        <v>46125</v>
      </c>
      <c r="F44" s="23">
        <f t="shared" si="2"/>
        <v>0.13415468856947296</v>
      </c>
      <c r="G44" s="5">
        <f>INDEX('Default Prob'!$P$5:$P$14,MIN(1+_xlfn.IFNA(MATCH(F44,'Default Prob'!$F$5:$F$14,1),0),COUNT('Default Prob'!$P$5:$P$14)))</f>
        <v>2.626278464496291E-2</v>
      </c>
      <c r="H44" s="5">
        <f t="shared" si="11"/>
        <v>0.99648292375786895</v>
      </c>
      <c r="I44" s="24">
        <f t="shared" si="12"/>
        <v>2.1497527106506542E-4</v>
      </c>
      <c r="J44" s="25">
        <f>INDEX('Default Prob'!$C$3:$C$13, _xlfn.IFNA(MATCH(F44, 'Default Prob'!$B$3:$B$13, 1), 1))</f>
        <v>1.9099999999999999E-2</v>
      </c>
      <c r="K44" s="26">
        <f t="shared" si="3"/>
        <v>0.99746502722365937</v>
      </c>
      <c r="L44" s="27">
        <f t="shared" ca="1" si="4"/>
        <v>0</v>
      </c>
      <c r="M44" s="27">
        <f t="shared" ca="1" si="5"/>
        <v>1769.7641940354208</v>
      </c>
      <c r="N44" s="28">
        <f t="shared" ca="1" si="6"/>
        <v>0.37949109290426186</v>
      </c>
      <c r="O44" s="29">
        <f t="shared" ca="1" si="7"/>
        <v>600000</v>
      </c>
      <c r="P44" s="30">
        <f t="shared" ca="1" si="8"/>
        <v>128.65818876319742</v>
      </c>
    </row>
    <row r="45" spans="1:16" x14ac:dyDescent="0.25">
      <c r="A45" s="3">
        <f t="shared" si="9"/>
        <v>46175</v>
      </c>
      <c r="B45" s="21">
        <f t="shared" si="0"/>
        <v>36679</v>
      </c>
      <c r="C45" s="21">
        <f t="shared" si="1"/>
        <v>36697</v>
      </c>
      <c r="D45" s="1">
        <f t="shared" si="10"/>
        <v>0</v>
      </c>
      <c r="E45" s="3">
        <f t="array" ref="E45">INDEX($A$9:A44, MAX(IF($D$9:D44=1, ROW(D$9:$D44)-ROW($D$9)+1, 0)))</f>
        <v>46125</v>
      </c>
      <c r="F45" s="23">
        <f t="shared" si="2"/>
        <v>0.13689253935660506</v>
      </c>
      <c r="G45" s="5">
        <f>INDEX('Default Prob'!$P$5:$P$14,MIN(1+_xlfn.IFNA(MATCH(F45,'Default Prob'!$F$5:$F$14,1),0),COUNT('Default Prob'!$P$5:$P$14)))</f>
        <v>2.626278464496291E-2</v>
      </c>
      <c r="H45" s="5">
        <f t="shared" si="11"/>
        <v>0.99641127563855836</v>
      </c>
      <c r="I45" s="24">
        <f t="shared" si="12"/>
        <v>7.164811931059667E-5</v>
      </c>
      <c r="J45" s="25">
        <f>INDEX('Default Prob'!$C$3:$C$13, _xlfn.IFNA(MATCH(F45, 'Default Prob'!$B$3:$B$13, 1), 1))</f>
        <v>1.9099999999999999E-2</v>
      </c>
      <c r="K45" s="26">
        <f t="shared" si="3"/>
        <v>0.99741336005134795</v>
      </c>
      <c r="L45" s="27">
        <f t="shared" ca="1" si="4"/>
        <v>0</v>
      </c>
      <c r="M45" s="27">
        <f t="shared" ca="1" si="5"/>
        <v>1805.8818306483884</v>
      </c>
      <c r="N45" s="28">
        <f t="shared" ca="1" si="6"/>
        <v>0.12905335659810663</v>
      </c>
      <c r="O45" s="29">
        <f t="shared" ca="1" si="7"/>
        <v>600000</v>
      </c>
      <c r="P45" s="30">
        <f t="shared" ca="1" si="8"/>
        <v>42.877674853765257</v>
      </c>
    </row>
    <row r="46" spans="1:16" x14ac:dyDescent="0.25">
      <c r="A46" s="3">
        <f t="shared" si="9"/>
        <v>46176</v>
      </c>
      <c r="B46" s="21">
        <f t="shared" si="0"/>
        <v>36680</v>
      </c>
      <c r="C46" s="21">
        <f t="shared" si="1"/>
        <v>36697</v>
      </c>
      <c r="D46" s="1">
        <f t="shared" si="10"/>
        <v>0</v>
      </c>
      <c r="E46" s="3">
        <f t="array" ref="E46">INDEX($A$9:A45, MAX(IF($D$9:D45=1, ROW(D$9:$D45)-ROW($D$9)+1, 0)))</f>
        <v>46125</v>
      </c>
      <c r="F46" s="23">
        <f t="shared" si="2"/>
        <v>0.13963039014373715</v>
      </c>
      <c r="G46" s="5">
        <f>INDEX('Default Prob'!$P$5:$P$14,MIN(1+_xlfn.IFNA(MATCH(F46,'Default Prob'!$F$5:$F$14,1),0),COUNT('Default Prob'!$P$5:$P$14)))</f>
        <v>2.626278464496291E-2</v>
      </c>
      <c r="H46" s="5">
        <f t="shared" si="11"/>
        <v>0.99633963267081926</v>
      </c>
      <c r="I46" s="24">
        <f t="shared" si="12"/>
        <v>7.1642967739093955E-5</v>
      </c>
      <c r="J46" s="25">
        <f>INDEX('Default Prob'!$C$3:$C$13, _xlfn.IFNA(MATCH(F46, 'Default Prob'!$B$3:$B$13, 1), 1))</f>
        <v>1.9099999999999999E-2</v>
      </c>
      <c r="K46" s="26">
        <f t="shared" si="3"/>
        <v>0.99736169555531728</v>
      </c>
      <c r="L46" s="27">
        <f t="shared" ca="1" si="4"/>
        <v>0</v>
      </c>
      <c r="M46" s="27">
        <f t="shared" ca="1" si="5"/>
        <v>1841.9994672613561</v>
      </c>
      <c r="N46" s="28">
        <f t="shared" ca="1" si="6"/>
        <v>0.13161814111041126</v>
      </c>
      <c r="O46" s="29">
        <f t="shared" ca="1" si="7"/>
        <v>600000</v>
      </c>
      <c r="P46" s="30">
        <f t="shared" ca="1" si="8"/>
        <v>42.872371067326583</v>
      </c>
    </row>
    <row r="47" spans="1:16" x14ac:dyDescent="0.25">
      <c r="A47" s="3">
        <f t="shared" si="9"/>
        <v>46177</v>
      </c>
      <c r="B47" s="21">
        <f t="shared" si="0"/>
        <v>36681</v>
      </c>
      <c r="C47" s="21">
        <f t="shared" si="1"/>
        <v>36697</v>
      </c>
      <c r="D47" s="1">
        <f t="shared" si="10"/>
        <v>0</v>
      </c>
      <c r="E47" s="3">
        <f t="array" ref="E47">INDEX($A$9:A46, MAX(IF($D$9:D46=1, ROW(D$9:$D46)-ROW($D$9)+1, 0)))</f>
        <v>46125</v>
      </c>
      <c r="F47" s="23">
        <f t="shared" si="2"/>
        <v>0.14236824093086928</v>
      </c>
      <c r="G47" s="5">
        <f>INDEX('Default Prob'!$P$5:$P$14,MIN(1+_xlfn.IFNA(MATCH(F47,'Default Prob'!$F$5:$F$14,1),0),COUNT('Default Prob'!$P$5:$P$14)))</f>
        <v>2.626278464496291E-2</v>
      </c>
      <c r="H47" s="5">
        <f t="shared" si="11"/>
        <v>0.99626799485428119</v>
      </c>
      <c r="I47" s="24">
        <f t="shared" si="12"/>
        <v>7.1637816538072663E-5</v>
      </c>
      <c r="J47" s="25">
        <f>INDEX('Default Prob'!$C$3:$C$13, _xlfn.IFNA(MATCH(F47, 'Default Prob'!$B$3:$B$13, 1), 1))</f>
        <v>1.9099999999999999E-2</v>
      </c>
      <c r="K47" s="26">
        <f t="shared" si="3"/>
        <v>0.99731003373542904</v>
      </c>
      <c r="L47" s="27">
        <f t="shared" ca="1" si="4"/>
        <v>0</v>
      </c>
      <c r="M47" s="27">
        <f t="shared" ca="1" si="5"/>
        <v>1878.1171038743239</v>
      </c>
      <c r="N47" s="28">
        <f t="shared" ca="1" si="6"/>
        <v>0.1341822891423412</v>
      </c>
      <c r="O47" s="29">
        <f t="shared" ca="1" si="7"/>
        <v>600000</v>
      </c>
      <c r="P47" s="30">
        <f t="shared" ca="1" si="8"/>
        <v>42.867067936990637</v>
      </c>
    </row>
    <row r="48" spans="1:16" x14ac:dyDescent="0.25">
      <c r="A48" s="3">
        <f t="shared" si="9"/>
        <v>46178</v>
      </c>
      <c r="B48" s="21">
        <f t="shared" si="0"/>
        <v>36682</v>
      </c>
      <c r="C48" s="21">
        <f t="shared" si="1"/>
        <v>36697</v>
      </c>
      <c r="D48" s="1">
        <f t="shared" si="10"/>
        <v>0</v>
      </c>
      <c r="E48" s="3">
        <f t="array" ref="E48">INDEX($A$9:A47, MAX(IF($D$9:D47=1, ROW(D$9:$D47)-ROW($D$9)+1, 0)))</f>
        <v>46125</v>
      </c>
      <c r="F48" s="23">
        <f t="shared" si="2"/>
        <v>0.14510609171800137</v>
      </c>
      <c r="G48" s="5">
        <f>INDEX('Default Prob'!$P$5:$P$14,MIN(1+_xlfn.IFNA(MATCH(F48,'Default Prob'!$F$5:$F$14,1),0),COUNT('Default Prob'!$P$5:$P$14)))</f>
        <v>2.626278464496291E-2</v>
      </c>
      <c r="H48" s="5">
        <f t="shared" si="11"/>
        <v>0.99619636218857388</v>
      </c>
      <c r="I48" s="24">
        <f t="shared" si="12"/>
        <v>7.163266570731075E-5</v>
      </c>
      <c r="J48" s="25">
        <f>INDEX('Default Prob'!$C$3:$C$13, _xlfn.IFNA(MATCH(F48, 'Default Prob'!$B$3:$B$13, 1), 1))</f>
        <v>1.9099999999999999E-2</v>
      </c>
      <c r="K48" s="26">
        <f t="shared" si="3"/>
        <v>0.99725837459154465</v>
      </c>
      <c r="L48" s="27">
        <f t="shared" ca="1" si="4"/>
        <v>0</v>
      </c>
      <c r="M48" s="27">
        <f t="shared" ca="1" si="5"/>
        <v>1914.2347404872917</v>
      </c>
      <c r="N48" s="28">
        <f t="shared" ca="1" si="6"/>
        <v>0.136745800811749</v>
      </c>
      <c r="O48" s="29">
        <f t="shared" ca="1" si="7"/>
        <v>600000</v>
      </c>
      <c r="P48" s="30">
        <f t="shared" ca="1" si="8"/>
        <v>42.861765462559319</v>
      </c>
    </row>
    <row r="49" spans="1:18" x14ac:dyDescent="0.25">
      <c r="A49" s="3">
        <f t="shared" si="9"/>
        <v>46181</v>
      </c>
      <c r="B49" s="21">
        <f t="shared" si="0"/>
        <v>36685</v>
      </c>
      <c r="C49" s="21">
        <f t="shared" si="1"/>
        <v>36697</v>
      </c>
      <c r="D49" s="1">
        <f t="shared" si="10"/>
        <v>0</v>
      </c>
      <c r="E49" s="3">
        <f t="array" ref="E49">INDEX($A$9:A48, MAX(IF($D$9:D48=1, ROW(D$9:$D48)-ROW($D$9)+1, 0)))</f>
        <v>46125</v>
      </c>
      <c r="F49" s="23">
        <f t="shared" si="2"/>
        <v>0.15331964407939766</v>
      </c>
      <c r="G49" s="5">
        <f>INDEX('Default Prob'!$P$5:$P$14,MIN(1+_xlfn.IFNA(MATCH(F49,'Default Prob'!$F$5:$F$14,1),0),COUNT('Default Prob'!$P$5:$P$14)))</f>
        <v>2.626278464496291E-2</v>
      </c>
      <c r="H49" s="5">
        <f t="shared" si="11"/>
        <v>0.99598149509273248</v>
      </c>
      <c r="I49" s="24">
        <f t="shared" si="12"/>
        <v>2.1486709584139785E-4</v>
      </c>
      <c r="J49" s="25">
        <f>INDEX('Default Prob'!$C$3:$C$13, _xlfn.IFNA(MATCH(F49, 'Default Prob'!$B$3:$B$13, 1), 1))</f>
        <v>1.9099999999999999E-2</v>
      </c>
      <c r="K49" s="26">
        <f t="shared" si="3"/>
        <v>0.99710341321452778</v>
      </c>
      <c r="L49" s="27">
        <f t="shared" ca="1" si="4"/>
        <v>0</v>
      </c>
      <c r="M49" s="27">
        <f t="shared" ca="1" si="5"/>
        <v>2022.587650326195</v>
      </c>
      <c r="N49" s="28">
        <f t="shared" ca="1" si="6"/>
        <v>0.4333287140006728</v>
      </c>
      <c r="O49" s="29">
        <f t="shared" ca="1" si="7"/>
        <v>600000</v>
      </c>
      <c r="P49" s="30">
        <f t="shared" ca="1" si="8"/>
        <v>128.54682879057052</v>
      </c>
    </row>
    <row r="50" spans="1:18" x14ac:dyDescent="0.25">
      <c r="A50" s="3">
        <f t="shared" si="9"/>
        <v>46182</v>
      </c>
      <c r="B50" s="21">
        <f t="shared" si="0"/>
        <v>36686</v>
      </c>
      <c r="C50" s="21">
        <f t="shared" si="1"/>
        <v>36697</v>
      </c>
      <c r="D50" s="1">
        <f t="shared" si="10"/>
        <v>0</v>
      </c>
      <c r="E50" s="3">
        <f t="array" ref="E50">INDEX($A$9:A49, MAX(IF($D$9:D49=1, ROW(D$9:$D49)-ROW($D$9)+1, 0)))</f>
        <v>46125</v>
      </c>
      <c r="F50" s="23">
        <f t="shared" si="2"/>
        <v>0.15605749486652978</v>
      </c>
      <c r="G50" s="5">
        <f>INDEX('Default Prob'!$P$5:$P$14,MIN(1+_xlfn.IFNA(MATCH(F50,'Default Prob'!$F$5:$F$14,1),0),COUNT('Default Prob'!$P$5:$P$14)))</f>
        <v>2.626278464496291E-2</v>
      </c>
      <c r="H50" s="5">
        <f t="shared" si="11"/>
        <v>0.99590988302664463</v>
      </c>
      <c r="I50" s="24">
        <f t="shared" si="12"/>
        <v>7.1612066087856086E-5</v>
      </c>
      <c r="J50" s="25">
        <f>INDEX('Default Prob'!$C$3:$C$13, _xlfn.IFNA(MATCH(F50, 'Default Prob'!$B$3:$B$13, 1), 1))</f>
        <v>1.9099999999999999E-2</v>
      </c>
      <c r="K50" s="26">
        <f t="shared" si="3"/>
        <v>0.99705176477327229</v>
      </c>
      <c r="L50" s="27">
        <f t="shared" ca="1" si="4"/>
        <v>0</v>
      </c>
      <c r="M50" s="27">
        <f t="shared" ca="1" si="5"/>
        <v>2058.7052869391628</v>
      </c>
      <c r="N50" s="28">
        <f t="shared" ca="1" si="6"/>
        <v>0.14699348623070752</v>
      </c>
      <c r="O50" s="29">
        <f t="shared" ca="1" si="7"/>
        <v>600000</v>
      </c>
      <c r="P50" s="30">
        <f t="shared" ca="1" si="8"/>
        <v>42.840562123174266</v>
      </c>
    </row>
    <row r="51" spans="1:18" x14ac:dyDescent="0.25">
      <c r="A51" s="3">
        <f t="shared" si="9"/>
        <v>46183</v>
      </c>
      <c r="B51" s="21">
        <f t="shared" si="0"/>
        <v>36687</v>
      </c>
      <c r="C51" s="21">
        <f t="shared" si="1"/>
        <v>36697</v>
      </c>
      <c r="D51" s="1">
        <f t="shared" si="10"/>
        <v>0</v>
      </c>
      <c r="E51" s="3">
        <f t="array" ref="E51">INDEX($A$9:A50, MAX(IF($D$9:D50=1, ROW(D$9:$D50)-ROW($D$9)+1, 0)))</f>
        <v>46125</v>
      </c>
      <c r="F51" s="23">
        <f t="shared" si="2"/>
        <v>0.15879534565366188</v>
      </c>
      <c r="G51" s="5">
        <f>INDEX('Default Prob'!$P$5:$P$14,MIN(1+_xlfn.IFNA(MATCH(F51,'Default Prob'!$F$5:$F$14,1),0),COUNT('Default Prob'!$P$5:$P$14)))</f>
        <v>2.626278464496291E-2</v>
      </c>
      <c r="H51" s="5">
        <f t="shared" si="11"/>
        <v>0.99583827610953601</v>
      </c>
      <c r="I51" s="24">
        <f t="shared" si="12"/>
        <v>7.1606917108613111E-5</v>
      </c>
      <c r="J51" s="25">
        <f>INDEX('Default Prob'!$C$3:$C$13, _xlfn.IFNA(MATCH(F51, 'Default Prob'!$B$3:$B$13, 1), 1))</f>
        <v>1.9099999999999999E-2</v>
      </c>
      <c r="K51" s="26">
        <f t="shared" si="3"/>
        <v>0.99700011900732755</v>
      </c>
      <c r="L51" s="27">
        <f t="shared" ca="1" si="4"/>
        <v>0</v>
      </c>
      <c r="M51" s="27">
        <f t="shared" ca="1" si="5"/>
        <v>2094.8229235521303</v>
      </c>
      <c r="N51" s="28">
        <f t="shared" ca="1" si="6"/>
        <v>0.14955381786124064</v>
      </c>
      <c r="O51" s="29">
        <f t="shared" ca="1" si="7"/>
        <v>600000</v>
      </c>
      <c r="P51" s="30">
        <f t="shared" ca="1" si="8"/>
        <v>42.835262927421063</v>
      </c>
    </row>
    <row r="52" spans="1:18" x14ac:dyDescent="0.25">
      <c r="A52" s="3">
        <f t="shared" si="9"/>
        <v>46184</v>
      </c>
      <c r="B52" s="21">
        <f t="shared" si="0"/>
        <v>36688</v>
      </c>
      <c r="C52" s="21">
        <f t="shared" si="1"/>
        <v>36697</v>
      </c>
      <c r="D52" s="1">
        <f t="shared" si="10"/>
        <v>0</v>
      </c>
      <c r="E52" s="3">
        <f t="array" ref="E52">INDEX($A$9:A51, MAX(IF($D$9:D51=1, ROW(D$9:$D51)-ROW($D$9)+1, 0)))</f>
        <v>46125</v>
      </c>
      <c r="F52" s="23">
        <f t="shared" si="2"/>
        <v>0.16153319644079397</v>
      </c>
      <c r="G52" s="5">
        <f>INDEX('Default Prob'!$P$5:$P$14,MIN(1+_xlfn.IFNA(MATCH(F52,'Default Prob'!$F$5:$F$14,1),0),COUNT('Default Prob'!$P$5:$P$14)))</f>
        <v>2.626278464496291E-2</v>
      </c>
      <c r="H52" s="5">
        <f t="shared" si="11"/>
        <v>0.99576667434103638</v>
      </c>
      <c r="I52" s="24">
        <f t="shared" si="12"/>
        <v>7.1601768499629515E-5</v>
      </c>
      <c r="J52" s="25">
        <f>INDEX('Default Prob'!$C$3:$C$13, _xlfn.IFNA(MATCH(F52, 'Default Prob'!$B$3:$B$13, 1), 1))</f>
        <v>1.9099999999999999E-2</v>
      </c>
      <c r="K52" s="26">
        <f t="shared" si="3"/>
        <v>0.99694847591655511</v>
      </c>
      <c r="L52" s="27">
        <f t="shared" ca="1" si="4"/>
        <v>0</v>
      </c>
      <c r="M52" s="27">
        <f t="shared" ca="1" si="5"/>
        <v>2130.9405601650983</v>
      </c>
      <c r="N52" s="28">
        <f t="shared" ca="1" si="6"/>
        <v>0.15211351383845254</v>
      </c>
      <c r="O52" s="29">
        <f t="shared" ca="1" si="7"/>
        <v>600000</v>
      </c>
      <c r="P52" s="30">
        <f t="shared" ca="1" si="8"/>
        <v>42.829964387181391</v>
      </c>
    </row>
    <row r="53" spans="1:18" x14ac:dyDescent="0.25">
      <c r="A53" s="3">
        <f t="shared" si="9"/>
        <v>46185</v>
      </c>
      <c r="B53" s="21">
        <f t="shared" si="0"/>
        <v>36689</v>
      </c>
      <c r="C53" s="21">
        <f t="shared" si="1"/>
        <v>36697</v>
      </c>
      <c r="D53" s="1">
        <f t="shared" si="10"/>
        <v>0</v>
      </c>
      <c r="E53" s="3">
        <f t="array" ref="E53">INDEX($A$9:A52, MAX(IF($D$9:D52=1, ROW(D$9:$D52)-ROW($D$9)+1, 0)))</f>
        <v>46125</v>
      </c>
      <c r="F53" s="23">
        <f t="shared" si="2"/>
        <v>0.16427104722792607</v>
      </c>
      <c r="G53" s="5">
        <f>INDEX('Default Prob'!$P$5:$P$14,MIN(1+_xlfn.IFNA(MATCH(F53,'Default Prob'!$F$5:$F$14,1),0),COUNT('Default Prob'!$P$5:$P$14)))</f>
        <v>2.626278464496291E-2</v>
      </c>
      <c r="H53" s="5">
        <f t="shared" si="11"/>
        <v>0.99569507772077559</v>
      </c>
      <c r="I53" s="24">
        <f t="shared" si="12"/>
        <v>7.1596620260794275E-5</v>
      </c>
      <c r="J53" s="25">
        <f>INDEX('Default Prob'!$C$3:$C$13, _xlfn.IFNA(MATCH(F53, 'Default Prob'!$B$3:$B$13, 1), 1))</f>
        <v>1.9099999999999999E-2</v>
      </c>
      <c r="K53" s="26">
        <f t="shared" si="3"/>
        <v>0.9968968355008162</v>
      </c>
      <c r="L53" s="27">
        <f t="shared" ca="1" si="4"/>
        <v>0</v>
      </c>
      <c r="M53" s="27">
        <f t="shared" ca="1" si="5"/>
        <v>2167.0581967780658</v>
      </c>
      <c r="N53" s="28">
        <f t="shared" ca="1" si="6"/>
        <v>0.15467257428024592</v>
      </c>
      <c r="O53" s="29">
        <f t="shared" ca="1" si="7"/>
        <v>600000</v>
      </c>
      <c r="P53" s="30">
        <f t="shared" ca="1" si="8"/>
        <v>42.824666502323659</v>
      </c>
      <c r="R53" s="31"/>
    </row>
    <row r="54" spans="1:18" x14ac:dyDescent="0.25">
      <c r="A54" s="3">
        <f t="shared" si="9"/>
        <v>46188</v>
      </c>
      <c r="B54" s="21">
        <f t="shared" si="0"/>
        <v>36692</v>
      </c>
      <c r="C54" s="21">
        <f t="shared" si="1"/>
        <v>36697</v>
      </c>
      <c r="D54" s="1">
        <f t="shared" si="10"/>
        <v>0</v>
      </c>
      <c r="E54" s="3">
        <f t="array" ref="E54">INDEX($A$9:A53, MAX(IF($D$9:D53=1, ROW(D$9:$D53)-ROW($D$9)+1, 0)))</f>
        <v>46125</v>
      </c>
      <c r="F54" s="23">
        <f t="shared" si="2"/>
        <v>0.17248459958932238</v>
      </c>
      <c r="G54" s="5">
        <f>INDEX('Default Prob'!$P$5:$P$14,MIN(1+_xlfn.IFNA(MATCH(F54,'Default Prob'!$F$5:$F$14,1),0),COUNT('Default Prob'!$P$5:$P$14)))</f>
        <v>2.626278464496291E-2</v>
      </c>
      <c r="H54" s="5">
        <f t="shared" si="11"/>
        <v>0.99548031874572429</v>
      </c>
      <c r="I54" s="24">
        <f t="shared" si="12"/>
        <v>2.1475897505129904E-4</v>
      </c>
      <c r="J54" s="25">
        <f>INDEX('Default Prob'!$C$3:$C$13, _xlfn.IFNA(MATCH(F54, 'Default Prob'!$B$3:$B$13, 1), 1))</f>
        <v>1.9099999999999999E-2</v>
      </c>
      <c r="K54" s="26">
        <f t="shared" si="3"/>
        <v>0.99674193030241542</v>
      </c>
      <c r="L54" s="27">
        <f t="shared" ca="1" si="4"/>
        <v>0</v>
      </c>
      <c r="M54" s="27">
        <f t="shared" ca="1" si="5"/>
        <v>2275.4111066169694</v>
      </c>
      <c r="N54" s="28">
        <f t="shared" ca="1" si="6"/>
        <v>0.48707285258847716</v>
      </c>
      <c r="O54" s="29">
        <f t="shared" ca="1" si="7"/>
        <v>600000</v>
      </c>
      <c r="P54" s="30">
        <f t="shared" ca="1" si="8"/>
        <v>128.43556520544004</v>
      </c>
    </row>
    <row r="55" spans="1:18" x14ac:dyDescent="0.25">
      <c r="A55" s="3">
        <f t="shared" si="9"/>
        <v>46189</v>
      </c>
      <c r="B55" s="21">
        <f t="shared" si="0"/>
        <v>36693</v>
      </c>
      <c r="C55" s="21">
        <f t="shared" si="1"/>
        <v>36697</v>
      </c>
      <c r="D55" s="1">
        <f t="shared" si="10"/>
        <v>0</v>
      </c>
      <c r="E55" s="3">
        <f t="array" ref="E55">INDEX($A$9:A54, MAX(IF($D$9:D54=1, ROW(D$9:$D54)-ROW($D$9)+1, 0)))</f>
        <v>46125</v>
      </c>
      <c r="F55" s="23">
        <f t="shared" si="2"/>
        <v>0.17522245037645448</v>
      </c>
      <c r="G55" s="5">
        <f>INDEX('Default Prob'!$P$5:$P$14,MIN(1+_xlfn.IFNA(MATCH(F55,'Default Prob'!$F$5:$F$14,1),0),COUNT('Default Prob'!$P$5:$P$14)))</f>
        <v>2.626278464496291E-2</v>
      </c>
      <c r="H55" s="5">
        <f t="shared" si="11"/>
        <v>0.99540874271471735</v>
      </c>
      <c r="I55" s="24">
        <f t="shared" si="12"/>
        <v>7.157603100693688E-5</v>
      </c>
      <c r="J55" s="25">
        <f>INDEX('Default Prob'!$C$3:$C$13, _xlfn.IFNA(MATCH(F55, 'Default Prob'!$B$3:$B$13, 1), 1))</f>
        <v>1.9099999999999999E-2</v>
      </c>
      <c r="K55" s="26">
        <f t="shared" si="3"/>
        <v>0.99669030058542529</v>
      </c>
      <c r="L55" s="27">
        <f t="shared" ca="1" si="4"/>
        <v>0</v>
      </c>
      <c r="M55" s="27">
        <f t="shared" ca="1" si="5"/>
        <v>2311.5287432299369</v>
      </c>
      <c r="N55" s="28">
        <f t="shared" ca="1" si="6"/>
        <v>0.16490246305530015</v>
      </c>
      <c r="O55" s="29">
        <f t="shared" ca="1" si="7"/>
        <v>600000</v>
      </c>
      <c r="P55" s="30">
        <f t="shared" ca="1" si="8"/>
        <v>42.803481515409381</v>
      </c>
    </row>
    <row r="56" spans="1:18" x14ac:dyDescent="0.25">
      <c r="A56" s="3">
        <f t="shared" si="9"/>
        <v>46190</v>
      </c>
      <c r="B56" s="21">
        <f t="shared" si="0"/>
        <v>36694</v>
      </c>
      <c r="C56" s="21">
        <f t="shared" si="1"/>
        <v>36697</v>
      </c>
      <c r="D56" s="1">
        <f t="shared" si="10"/>
        <v>0</v>
      </c>
      <c r="E56" s="3">
        <f t="array" ref="E56">INDEX($A$9:A55, MAX(IF($D$9:D55=1, ROW(D$9:$D55)-ROW($D$9)+1, 0)))</f>
        <v>46125</v>
      </c>
      <c r="F56" s="23">
        <f t="shared" si="2"/>
        <v>0.17796030116358658</v>
      </c>
      <c r="G56" s="5">
        <f>INDEX('Default Prob'!$P$5:$P$14,MIN(1+_xlfn.IFNA(MATCH(F56,'Default Prob'!$F$5:$F$14,1),0),COUNT('Default Prob'!$P$5:$P$14)))</f>
        <v>2.626278464496291E-2</v>
      </c>
      <c r="H56" s="5">
        <f t="shared" si="11"/>
        <v>0.99533717183009862</v>
      </c>
      <c r="I56" s="24">
        <f t="shared" si="12"/>
        <v>7.15708846187324E-5</v>
      </c>
      <c r="J56" s="25">
        <f>INDEX('Default Prob'!$C$3:$C$13, _xlfn.IFNA(MATCH(F56, 'Default Prob'!$B$3:$B$13, 1), 1))</f>
        <v>1.9099999999999999E-2</v>
      </c>
      <c r="K56" s="26">
        <f t="shared" si="3"/>
        <v>0.99663867354277613</v>
      </c>
      <c r="L56" s="27">
        <f t="shared" ca="1" si="4"/>
        <v>0</v>
      </c>
      <c r="M56" s="27">
        <f t="shared" ca="1" si="5"/>
        <v>2347.6463798429049</v>
      </c>
      <c r="N56" s="28">
        <f t="shared" ca="1" si="6"/>
        <v>0.16745834759115344</v>
      </c>
      <c r="O56" s="29">
        <f t="shared" ca="1" si="7"/>
        <v>600000</v>
      </c>
      <c r="P56" s="30">
        <f t="shared" ca="1" si="8"/>
        <v>42.798186906417925</v>
      </c>
    </row>
    <row r="57" spans="1:18" x14ac:dyDescent="0.25">
      <c r="A57" s="3">
        <f t="shared" si="9"/>
        <v>46191</v>
      </c>
      <c r="B57" s="21">
        <f t="shared" si="0"/>
        <v>36695</v>
      </c>
      <c r="C57" s="21">
        <f t="shared" si="1"/>
        <v>36697</v>
      </c>
      <c r="D57" s="1">
        <f t="shared" si="10"/>
        <v>0</v>
      </c>
      <c r="E57" s="3">
        <f t="array" ref="E57">INDEX($A$9:A56, MAX(IF($D$9:D56=1, ROW(D$9:$D56)-ROW($D$9)+1, 0)))</f>
        <v>46125</v>
      </c>
      <c r="F57" s="23">
        <f t="shared" si="2"/>
        <v>0.1806981519507187</v>
      </c>
      <c r="G57" s="5">
        <f>INDEX('Default Prob'!$P$5:$P$14,MIN(1+_xlfn.IFNA(MATCH(F57,'Default Prob'!$F$5:$F$14,1),0),COUNT('Default Prob'!$P$5:$P$14)))</f>
        <v>2.626278464496291E-2</v>
      </c>
      <c r="H57" s="5">
        <f t="shared" si="11"/>
        <v>0.99526560609149806</v>
      </c>
      <c r="I57" s="24">
        <f t="shared" si="12"/>
        <v>7.1565738600565254E-5</v>
      </c>
      <c r="J57" s="25">
        <f>INDEX('Default Prob'!$C$3:$C$13, _xlfn.IFNA(MATCH(F57, 'Default Prob'!$B$3:$B$13, 1), 1))</f>
        <v>1.9099999999999999E-2</v>
      </c>
      <c r="K57" s="26">
        <f t="shared" si="3"/>
        <v>0.99658704917432928</v>
      </c>
      <c r="L57" s="27">
        <f t="shared" ca="1" si="4"/>
        <v>0</v>
      </c>
      <c r="M57" s="27">
        <f t="shared" ca="1" si="5"/>
        <v>2383.7640164558725</v>
      </c>
      <c r="N57" s="28">
        <f t="shared" ca="1" si="6"/>
        <v>0.17001359729977161</v>
      </c>
      <c r="O57" s="29">
        <f t="shared" ca="1" si="7"/>
        <v>600000</v>
      </c>
      <c r="P57" s="30">
        <f t="shared" ca="1" si="8"/>
        <v>42.792892952351231</v>
      </c>
    </row>
    <row r="58" spans="1:18" x14ac:dyDescent="0.25">
      <c r="A58" s="3">
        <f t="shared" si="9"/>
        <v>46192</v>
      </c>
      <c r="B58" s="21">
        <f t="shared" si="0"/>
        <v>36696</v>
      </c>
      <c r="C58" s="21">
        <f t="shared" si="1"/>
        <v>36697</v>
      </c>
      <c r="D58" s="1">
        <f t="shared" si="10"/>
        <v>0</v>
      </c>
      <c r="E58" s="3">
        <f t="array" ref="E58">INDEX($A$9:A57, MAX(IF($D$9:D57=1, ROW(D$9:$D57)-ROW($D$9)+1, 0)))</f>
        <v>46125</v>
      </c>
      <c r="F58" s="23">
        <f t="shared" si="2"/>
        <v>0.1834360027378508</v>
      </c>
      <c r="G58" s="5">
        <f>INDEX('Default Prob'!$P$5:$P$14,MIN(1+_xlfn.IFNA(MATCH(F58,'Default Prob'!$F$5:$F$14,1),0),COUNT('Default Prob'!$P$5:$P$14)))</f>
        <v>2.626278464496291E-2</v>
      </c>
      <c r="H58" s="5">
        <f t="shared" si="11"/>
        <v>0.99519404549854573</v>
      </c>
      <c r="I58" s="24">
        <f t="shared" si="12"/>
        <v>7.156059295232442E-5</v>
      </c>
      <c r="J58" s="25">
        <f>INDEX('Default Prob'!$C$3:$C$13, _xlfn.IFNA(MATCH(F58, 'Default Prob'!$B$3:$B$13, 1), 1))</f>
        <v>1.9099999999999999E-2</v>
      </c>
      <c r="K58" s="26">
        <f t="shared" si="3"/>
        <v>0.99653542747994606</v>
      </c>
      <c r="L58" s="27">
        <f t="shared" ca="1" si="4"/>
        <v>0</v>
      </c>
      <c r="M58" s="27">
        <f t="shared" ca="1" si="5"/>
        <v>2419.8816530688405</v>
      </c>
      <c r="N58" s="28">
        <f t="shared" ca="1" si="6"/>
        <v>0.17256821229889616</v>
      </c>
      <c r="O58" s="29">
        <f t="shared" ca="1" si="7"/>
        <v>600000</v>
      </c>
      <c r="P58" s="30">
        <f t="shared" ca="1" si="8"/>
        <v>42.78759965307782</v>
      </c>
    </row>
    <row r="59" spans="1:18" x14ac:dyDescent="0.25">
      <c r="A59" s="3">
        <f t="shared" si="9"/>
        <v>46195</v>
      </c>
      <c r="B59" s="21">
        <f t="shared" si="0"/>
        <v>36699</v>
      </c>
      <c r="C59" s="21">
        <f t="shared" si="1"/>
        <v>36789</v>
      </c>
      <c r="D59" s="1">
        <f t="shared" si="10"/>
        <v>1</v>
      </c>
      <c r="E59" s="3">
        <f t="array" ref="E59">INDEX($A$9:A58, MAX(IF($D$9:D58=1, ROW(D$9:$D58)-ROW($D$9)+1, 0)))</f>
        <v>46125</v>
      </c>
      <c r="F59" s="23">
        <f t="shared" si="2"/>
        <v>0.19164955509924708</v>
      </c>
      <c r="G59" s="5">
        <f>INDEX('Default Prob'!$P$5:$P$14,MIN(1+_xlfn.IFNA(MATCH(F59,'Default Prob'!$F$5:$F$14,1),0),COUNT('Default Prob'!$P$5:$P$14)))</f>
        <v>2.626278464496291E-2</v>
      </c>
      <c r="H59" s="5">
        <f t="shared" si="11"/>
        <v>0.99497939458987839</v>
      </c>
      <c r="I59" s="24">
        <f t="shared" si="12"/>
        <v>2.1465090866734649E-4</v>
      </c>
      <c r="J59" s="25">
        <f>INDEX('Default Prob'!$C$3:$C$13, _xlfn.IFNA(MATCH(F59, 'Default Prob'!$B$3:$B$13, 1), 1))</f>
        <v>1.9099999999999999E-2</v>
      </c>
      <c r="K59" s="26">
        <f t="shared" si="3"/>
        <v>0.99638057843979488</v>
      </c>
      <c r="L59" s="27">
        <f t="shared" ca="1" si="4"/>
        <v>2528.2345629077436</v>
      </c>
      <c r="M59" s="27">
        <f t="shared" ca="1" si="5"/>
        <v>2528.2345629077436</v>
      </c>
      <c r="N59" s="28">
        <f t="shared" ca="1" si="6"/>
        <v>2506.9772140153891</v>
      </c>
      <c r="O59" s="29">
        <f t="shared" ca="1" si="7"/>
        <v>600000</v>
      </c>
      <c r="P59" s="30">
        <f t="shared" ca="1" si="8"/>
        <v>128.32439792435898</v>
      </c>
    </row>
    <row r="60" spans="1:18" x14ac:dyDescent="0.25">
      <c r="A60" s="3">
        <f t="shared" si="9"/>
        <v>46196</v>
      </c>
      <c r="B60" s="21">
        <f t="shared" si="0"/>
        <v>36700</v>
      </c>
      <c r="C60" s="21">
        <f t="shared" si="1"/>
        <v>36789</v>
      </c>
      <c r="D60" s="1">
        <f t="shared" si="10"/>
        <v>0</v>
      </c>
      <c r="E60" s="3">
        <f t="array" ref="E60">INDEX($A$9:A59, MAX(IF($D$9:D59=1, ROW(D$9:$D59)-ROW($D$9)+1, 0)))</f>
        <v>46195</v>
      </c>
      <c r="F60" s="23">
        <f t="shared" si="2"/>
        <v>0.19438740588637921</v>
      </c>
      <c r="G60" s="5">
        <f>INDEX('Default Prob'!$P$5:$P$14,MIN(1+_xlfn.IFNA(MATCH(F60,'Default Prob'!$F$5:$F$14,1),0),COUNT('Default Prob'!$P$5:$P$14)))</f>
        <v>2.626278464496291E-2</v>
      </c>
      <c r="H60" s="5">
        <f t="shared" si="11"/>
        <v>0.99490785457581943</v>
      </c>
      <c r="I60" s="24">
        <f t="shared" si="12"/>
        <v>7.1540014058957269E-5</v>
      </c>
      <c r="J60" s="25">
        <f>INDEX('Default Prob'!$C$3:$C$13, _xlfn.IFNA(MATCH(F60, 'Default Prob'!$B$3:$B$13, 1), 1))</f>
        <v>1.9099999999999999E-2</v>
      </c>
      <c r="K60" s="26">
        <f t="shared" si="3"/>
        <v>0.99632896744028188</v>
      </c>
      <c r="L60" s="27">
        <f t="shared" ca="1" si="4"/>
        <v>0</v>
      </c>
      <c r="M60" s="27">
        <f t="shared" ca="1" si="5"/>
        <v>36.117636612967765</v>
      </c>
      <c r="N60" s="28">
        <f t="shared" ca="1" si="6"/>
        <v>2.5743708107141424E-3</v>
      </c>
      <c r="O60" s="29">
        <f t="shared" ca="1" si="7"/>
        <v>600000</v>
      </c>
      <c r="P60" s="30">
        <f t="shared" ca="1" si="8"/>
        <v>42.766433002814487</v>
      </c>
    </row>
    <row r="61" spans="1:18" x14ac:dyDescent="0.25">
      <c r="A61" s="3">
        <f t="shared" si="9"/>
        <v>46197</v>
      </c>
      <c r="B61" s="21">
        <f t="shared" si="0"/>
        <v>36701</v>
      </c>
      <c r="C61" s="21">
        <f t="shared" si="1"/>
        <v>36789</v>
      </c>
      <c r="D61" s="1">
        <f t="shared" si="10"/>
        <v>0</v>
      </c>
      <c r="E61" s="3">
        <f t="array" ref="E61">INDEX($A$9:A60, MAX(IF($D$9:D60=1, ROW(D$9:$D60)-ROW($D$9)+1, 0)))</f>
        <v>46195</v>
      </c>
      <c r="F61" s="23">
        <f t="shared" si="2"/>
        <v>0.1971252566735113</v>
      </c>
      <c r="G61" s="5">
        <f>INDEX('Default Prob'!$P$5:$P$14,MIN(1+_xlfn.IFNA(MATCH(F61,'Default Prob'!$F$5:$F$14,1),0),COUNT('Default Prob'!$P$5:$P$14)))</f>
        <v>2.626278464496291E-2</v>
      </c>
      <c r="H61" s="5">
        <f t="shared" si="11"/>
        <v>0.99483631970555908</v>
      </c>
      <c r="I61" s="24">
        <f t="shared" si="12"/>
        <v>7.1534870260347994E-5</v>
      </c>
      <c r="J61" s="25">
        <f>INDEX('Default Prob'!$C$3:$C$13, _xlfn.IFNA(MATCH(F61, 'Default Prob'!$B$3:$B$13, 1), 1))</f>
        <v>1.9099999999999999E-2</v>
      </c>
      <c r="K61" s="26">
        <f t="shared" si="3"/>
        <v>0.9962773591141405</v>
      </c>
      <c r="L61" s="27">
        <f t="shared" ca="1" si="4"/>
        <v>0</v>
      </c>
      <c r="M61" s="27">
        <f t="shared" ca="1" si="5"/>
        <v>72.235273225935529</v>
      </c>
      <c r="N61" s="28">
        <f t="shared" ca="1" si="6"/>
        <v>5.148104743938388E-3</v>
      </c>
      <c r="O61" s="29">
        <f t="shared" ca="1" si="7"/>
        <v>600000</v>
      </c>
      <c r="P61" s="30">
        <f t="shared" ca="1" si="8"/>
        <v>42.761142976531303</v>
      </c>
    </row>
    <row r="62" spans="1:18" x14ac:dyDescent="0.25">
      <c r="A62" s="3">
        <f t="shared" si="9"/>
        <v>46198</v>
      </c>
      <c r="B62" s="21">
        <f t="shared" si="0"/>
        <v>36702</v>
      </c>
      <c r="C62" s="21">
        <f t="shared" si="1"/>
        <v>36789</v>
      </c>
      <c r="D62" s="1">
        <f t="shared" si="10"/>
        <v>0</v>
      </c>
      <c r="E62" s="3">
        <f t="array" ref="E62">INDEX($A$9:A61, MAX(IF($D$9:D61=1, ROW(D$9:$D61)-ROW($D$9)+1, 0)))</f>
        <v>46195</v>
      </c>
      <c r="F62" s="23">
        <f t="shared" si="2"/>
        <v>0.1998631074606434</v>
      </c>
      <c r="G62" s="5">
        <f>INDEX('Default Prob'!$P$5:$P$14,MIN(1+_xlfn.IFNA(MATCH(F62,'Default Prob'!$F$5:$F$14,1),0),COUNT('Default Prob'!$P$5:$P$14)))</f>
        <v>2.626278464496291E-2</v>
      </c>
      <c r="H62" s="5">
        <f t="shared" si="11"/>
        <v>0.99476478997872753</v>
      </c>
      <c r="I62" s="24">
        <f t="shared" si="12"/>
        <v>7.1529726831554008E-5</v>
      </c>
      <c r="J62" s="25">
        <f>INDEX('Default Prob'!$C$3:$C$13, _xlfn.IFNA(MATCH(F62, 'Default Prob'!$B$3:$B$13, 1), 1))</f>
        <v>1.9099999999999999E-2</v>
      </c>
      <c r="K62" s="26">
        <f t="shared" si="3"/>
        <v>0.99622575346123188</v>
      </c>
      <c r="L62" s="27">
        <f t="shared" ca="1" si="4"/>
        <v>0</v>
      </c>
      <c r="M62" s="27">
        <f t="shared" ca="1" si="5"/>
        <v>108.35290983890332</v>
      </c>
      <c r="N62" s="28">
        <f t="shared" ca="1" si="6"/>
        <v>7.7212019178381731E-3</v>
      </c>
      <c r="O62" s="29">
        <f t="shared" ca="1" si="7"/>
        <v>600000</v>
      </c>
      <c r="P62" s="30">
        <f t="shared" ca="1" si="8"/>
        <v>42.755853604584594</v>
      </c>
    </row>
    <row r="63" spans="1:18" x14ac:dyDescent="0.25">
      <c r="A63" s="3">
        <f t="shared" si="9"/>
        <v>46199</v>
      </c>
      <c r="B63" s="21">
        <f t="shared" si="0"/>
        <v>36703</v>
      </c>
      <c r="C63" s="21">
        <f t="shared" si="1"/>
        <v>36789</v>
      </c>
      <c r="D63" s="1">
        <f t="shared" si="10"/>
        <v>0</v>
      </c>
      <c r="E63" s="3">
        <f t="array" ref="E63">INDEX($A$9:A62, MAX(IF($D$9:D62=1, ROW(D$9:$D62)-ROW($D$9)+1, 0)))</f>
        <v>46195</v>
      </c>
      <c r="F63" s="23">
        <f t="shared" si="2"/>
        <v>0.20260095824777549</v>
      </c>
      <c r="G63" s="5">
        <f>INDEX('Default Prob'!$P$5:$P$14,MIN(1+_xlfn.IFNA(MATCH(F63,'Default Prob'!$F$5:$F$14,1),0),COUNT('Default Prob'!$P$5:$P$14)))</f>
        <v>2.626278464496291E-2</v>
      </c>
      <c r="H63" s="5">
        <f t="shared" si="11"/>
        <v>0.99469326539495484</v>
      </c>
      <c r="I63" s="24">
        <f t="shared" si="12"/>
        <v>7.1524583772686334E-5</v>
      </c>
      <c r="J63" s="25">
        <f>INDEX('Default Prob'!$C$3:$C$13, _xlfn.IFNA(MATCH(F63, 'Default Prob'!$B$3:$B$13, 1), 1))</f>
        <v>1.9099999999999999E-2</v>
      </c>
      <c r="K63" s="26">
        <f t="shared" si="3"/>
        <v>0.99617415048141755</v>
      </c>
      <c r="L63" s="27">
        <f t="shared" ca="1" si="4"/>
        <v>0</v>
      </c>
      <c r="M63" s="27">
        <f t="shared" ca="1" si="5"/>
        <v>144.47054645187106</v>
      </c>
      <c r="N63" s="28">
        <f t="shared" ca="1" si="6"/>
        <v>1.0293662450579246E-2</v>
      </c>
      <c r="O63" s="29">
        <f t="shared" ca="1" si="7"/>
        <v>600000</v>
      </c>
      <c r="P63" s="30">
        <f t="shared" ca="1" si="8"/>
        <v>42.750564886975674</v>
      </c>
    </row>
    <row r="64" spans="1:18" x14ac:dyDescent="0.25">
      <c r="A64" s="3">
        <f t="shared" si="9"/>
        <v>46202</v>
      </c>
      <c r="B64" s="21">
        <f t="shared" si="0"/>
        <v>36706</v>
      </c>
      <c r="C64" s="21">
        <f t="shared" si="1"/>
        <v>36789</v>
      </c>
      <c r="D64" s="1">
        <f t="shared" si="10"/>
        <v>0</v>
      </c>
      <c r="E64" s="3">
        <f t="array" ref="E64">INDEX($A$9:A63, MAX(IF($D$9:D63=1, ROW(D$9:$D63)-ROW($D$9)+1, 0)))</f>
        <v>46195</v>
      </c>
      <c r="F64" s="23">
        <f t="shared" si="2"/>
        <v>0.21081451060917181</v>
      </c>
      <c r="G64" s="5">
        <f>INDEX('Default Prob'!$P$5:$P$14,MIN(1+_xlfn.IFNA(MATCH(F64,'Default Prob'!$F$5:$F$14,1),0),COUNT('Default Prob'!$P$5:$P$14)))</f>
        <v>2.626278464496291E-2</v>
      </c>
      <c r="H64" s="5">
        <f t="shared" si="11"/>
        <v>0.9944787224982925</v>
      </c>
      <c r="I64" s="24">
        <f t="shared" si="12"/>
        <v>2.1454289666233972E-4</v>
      </c>
      <c r="J64" s="25">
        <f>INDEX('Default Prob'!$C$3:$C$13, _xlfn.IFNA(MATCH(F64, 'Default Prob'!$B$3:$B$13, 1), 1))</f>
        <v>1.9099999999999999E-2</v>
      </c>
      <c r="K64" s="26">
        <f t="shared" si="3"/>
        <v>0.99601935757915649</v>
      </c>
      <c r="L64" s="27">
        <f t="shared" ca="1" si="4"/>
        <v>0</v>
      </c>
      <c r="M64" s="27">
        <f t="shared" ca="1" si="5"/>
        <v>252.82345629077437</v>
      </c>
      <c r="N64" s="28">
        <f t="shared" ca="1" si="6"/>
        <v>5.4025560733857891E-2</v>
      </c>
      <c r="O64" s="29">
        <f t="shared" ca="1" si="7"/>
        <v>600000</v>
      </c>
      <c r="P64" s="30">
        <f t="shared" ca="1" si="8"/>
        <v>128.21332686407698</v>
      </c>
    </row>
    <row r="65" spans="1:16" x14ac:dyDescent="0.25">
      <c r="A65" s="3">
        <f t="shared" si="9"/>
        <v>46203</v>
      </c>
      <c r="B65" s="21">
        <f t="shared" si="0"/>
        <v>36707</v>
      </c>
      <c r="C65" s="21">
        <f t="shared" si="1"/>
        <v>36789</v>
      </c>
      <c r="D65" s="1">
        <f t="shared" si="10"/>
        <v>0</v>
      </c>
      <c r="E65" s="3">
        <f t="array" ref="E65">INDEX($A$9:A64, MAX(IF($D$9:D64=1, ROW(D$9:$D64)-ROW($D$9)+1, 0)))</f>
        <v>46195</v>
      </c>
      <c r="F65" s="23">
        <f t="shared" si="2"/>
        <v>0.2135523613963039</v>
      </c>
      <c r="G65" s="5">
        <f>INDEX('Default Prob'!$P$5:$P$14,MIN(1+_xlfn.IFNA(MATCH(F65,'Default Prob'!$F$5:$F$14,1),0),COUNT('Default Prob'!$P$5:$P$14)))</f>
        <v>2.626278464496291E-2</v>
      </c>
      <c r="H65" s="5">
        <f t="shared" si="11"/>
        <v>0.99440721848305791</v>
      </c>
      <c r="I65" s="24">
        <f t="shared" si="12"/>
        <v>7.1504015234591378E-5</v>
      </c>
      <c r="J65" s="25">
        <f>INDEX('Default Prob'!$C$3:$C$13, _xlfn.IFNA(MATCH(F65, 'Default Prob'!$B$3:$B$13, 1), 1))</f>
        <v>1.9099999999999999E-2</v>
      </c>
      <c r="K65" s="26">
        <f t="shared" si="3"/>
        <v>0.99596776529033515</v>
      </c>
      <c r="L65" s="27">
        <f t="shared" ca="1" si="4"/>
        <v>0</v>
      </c>
      <c r="M65" s="27">
        <f t="shared" ca="1" si="5"/>
        <v>288.94109290374212</v>
      </c>
      <c r="N65" s="28">
        <f t="shared" ca="1" si="6"/>
        <v>2.0577140532100323E-2</v>
      </c>
      <c r="O65" s="29">
        <f t="shared" ca="1" si="7"/>
        <v>600000</v>
      </c>
      <c r="P65" s="30">
        <f t="shared" ca="1" si="8"/>
        <v>42.72941655748923</v>
      </c>
    </row>
    <row r="66" spans="1:16" x14ac:dyDescent="0.25">
      <c r="A66" s="3">
        <f t="shared" si="9"/>
        <v>46204</v>
      </c>
      <c r="B66" s="21">
        <f t="shared" si="0"/>
        <v>36708</v>
      </c>
      <c r="C66" s="21">
        <f t="shared" si="1"/>
        <v>36789</v>
      </c>
      <c r="D66" s="1">
        <f t="shared" si="10"/>
        <v>0</v>
      </c>
      <c r="E66" s="3">
        <f t="array" ref="E66">INDEX($A$9:A65, MAX(IF($D$9:D65=1, ROW(D$9:$D65)-ROW($D$9)+1, 0)))</f>
        <v>46195</v>
      </c>
      <c r="F66" s="23">
        <f t="shared" si="2"/>
        <v>0.216290212183436</v>
      </c>
      <c r="G66" s="5">
        <f>INDEX('Default Prob'!$P$5:$P$14,MIN(1+_xlfn.IFNA(MATCH(F66,'Default Prob'!$F$5:$F$14,1),0),COUNT('Default Prob'!$P$5:$P$14)))</f>
        <v>2.626278464496291E-2</v>
      </c>
      <c r="H66" s="5">
        <f t="shared" si="11"/>
        <v>0.99433571960903355</v>
      </c>
      <c r="I66" s="24">
        <f t="shared" si="12"/>
        <v>7.1498874024356063E-5</v>
      </c>
      <c r="J66" s="25">
        <f>INDEX('Default Prob'!$C$3:$C$13, _xlfn.IFNA(MATCH(F66, 'Default Prob'!$B$3:$B$13, 1), 1))</f>
        <v>1.9099999999999999E-2</v>
      </c>
      <c r="K66" s="26">
        <f t="shared" si="3"/>
        <v>0.99591617567391622</v>
      </c>
      <c r="L66" s="27">
        <f t="shared" ca="1" si="4"/>
        <v>0</v>
      </c>
      <c r="M66" s="27">
        <f t="shared" ca="1" si="5"/>
        <v>325.05872951670989</v>
      </c>
      <c r="N66" s="28">
        <f t="shared" ca="1" si="6"/>
        <v>2.3146419630534768E-2</v>
      </c>
      <c r="O66" s="29">
        <f t="shared" ca="1" si="7"/>
        <v>600000</v>
      </c>
      <c r="P66" s="30">
        <f t="shared" ca="1" si="8"/>
        <v>42.724131109996677</v>
      </c>
    </row>
    <row r="67" spans="1:16" x14ac:dyDescent="0.25">
      <c r="A67" s="3">
        <f t="shared" si="9"/>
        <v>46205</v>
      </c>
      <c r="B67" s="21">
        <f t="shared" si="0"/>
        <v>36709</v>
      </c>
      <c r="C67" s="21">
        <f t="shared" si="1"/>
        <v>36789</v>
      </c>
      <c r="D67" s="1">
        <f t="shared" si="10"/>
        <v>0</v>
      </c>
      <c r="E67" s="3">
        <f t="array" ref="E67">INDEX($A$9:A66, MAX(IF($D$9:D66=1, ROW(D$9:$D66)-ROW($D$9)+1, 0)))</f>
        <v>46195</v>
      </c>
      <c r="F67" s="23">
        <f t="shared" si="2"/>
        <v>0.21902806297056809</v>
      </c>
      <c r="G67" s="5">
        <f>INDEX('Default Prob'!$P$5:$P$14,MIN(1+_xlfn.IFNA(MATCH(F67,'Default Prob'!$F$5:$F$14,1),0),COUNT('Default Prob'!$P$5:$P$14)))</f>
        <v>2.626278464496291E-2</v>
      </c>
      <c r="H67" s="5">
        <f t="shared" si="11"/>
        <v>0.99426422587584984</v>
      </c>
      <c r="I67" s="24">
        <f t="shared" si="12"/>
        <v>7.1493733183713992E-5</v>
      </c>
      <c r="J67" s="25">
        <f>INDEX('Default Prob'!$C$3:$C$13, _xlfn.IFNA(MATCH(F67, 'Default Prob'!$B$3:$B$13, 1), 1))</f>
        <v>1.9099999999999999E-2</v>
      </c>
      <c r="K67" s="26">
        <f t="shared" si="3"/>
        <v>0.99586458872976058</v>
      </c>
      <c r="L67" s="27">
        <f t="shared" ca="1" si="4"/>
        <v>0</v>
      </c>
      <c r="M67" s="27">
        <f t="shared" ca="1" si="5"/>
        <v>361.17636612967766</v>
      </c>
      <c r="N67" s="28">
        <f t="shared" ca="1" si="6"/>
        <v>2.5715062796260554E-2</v>
      </c>
      <c r="O67" s="29">
        <f t="shared" ca="1" si="7"/>
        <v>600000</v>
      </c>
      <c r="P67" s="30">
        <f t="shared" ca="1" si="8"/>
        <v>42.718846316252744</v>
      </c>
    </row>
    <row r="68" spans="1:16" x14ac:dyDescent="0.25">
      <c r="A68" s="3">
        <f t="shared" si="9"/>
        <v>46206</v>
      </c>
      <c r="B68" s="21">
        <f t="shared" si="0"/>
        <v>36710</v>
      </c>
      <c r="C68" s="21">
        <f t="shared" si="1"/>
        <v>36789</v>
      </c>
      <c r="D68" s="1">
        <f t="shared" si="10"/>
        <v>0</v>
      </c>
      <c r="E68" s="3">
        <f t="array" ref="E68">INDEX($A$9:A67, MAX(IF($D$9:D67=1, ROW(D$9:$D67)-ROW($D$9)+1, 0)))</f>
        <v>46195</v>
      </c>
      <c r="F68" s="23">
        <f t="shared" si="2"/>
        <v>0.22176591375770022</v>
      </c>
      <c r="G68" s="5">
        <f>INDEX('Default Prob'!$P$5:$P$14,MIN(1+_xlfn.IFNA(MATCH(F68,'Default Prob'!$F$5:$F$14,1),0),COUNT('Default Prob'!$P$5:$P$14)))</f>
        <v>2.626278464496291E-2</v>
      </c>
      <c r="H68" s="5">
        <f t="shared" si="11"/>
        <v>0.99419273728313706</v>
      </c>
      <c r="I68" s="24">
        <f t="shared" si="12"/>
        <v>7.1488592712776189E-5</v>
      </c>
      <c r="J68" s="25">
        <f>INDEX('Default Prob'!$C$3:$C$13, _xlfn.IFNA(MATCH(F68, 'Default Prob'!$B$3:$B$13, 1), 1))</f>
        <v>1.9099999999999999E-2</v>
      </c>
      <c r="K68" s="26">
        <f t="shared" si="3"/>
        <v>0.99581300445773047</v>
      </c>
      <c r="L68" s="27">
        <f t="shared" ca="1" si="4"/>
        <v>0</v>
      </c>
      <c r="M68" s="27">
        <f t="shared" ca="1" si="5"/>
        <v>397.29400274264543</v>
      </c>
      <c r="N68" s="28">
        <f t="shared" ca="1" si="6"/>
        <v>2.8283070147337872E-2</v>
      </c>
      <c r="O68" s="29">
        <f t="shared" ca="1" si="7"/>
        <v>600000</v>
      </c>
      <c r="P68" s="30">
        <f t="shared" ca="1" si="8"/>
        <v>42.713562176258804</v>
      </c>
    </row>
    <row r="69" spans="1:16" x14ac:dyDescent="0.25">
      <c r="A69" s="3">
        <f t="shared" si="9"/>
        <v>46209</v>
      </c>
      <c r="B69" s="21">
        <f t="shared" si="0"/>
        <v>36713</v>
      </c>
      <c r="C69" s="21">
        <f t="shared" si="1"/>
        <v>36789</v>
      </c>
      <c r="D69" s="1">
        <f t="shared" si="10"/>
        <v>0</v>
      </c>
      <c r="E69" s="3">
        <f t="array" ref="E69">INDEX($A$9:A68, MAX(IF($D$9:D68=1, ROW(D$9:$D68)-ROW($D$9)+1, 0)))</f>
        <v>46195</v>
      </c>
      <c r="F69" s="23">
        <f t="shared" si="2"/>
        <v>0.2299794661190965</v>
      </c>
      <c r="G69" s="5">
        <f>INDEX('Default Prob'!$P$5:$P$14,MIN(1+_xlfn.IFNA(MATCH(F69,'Default Prob'!$F$5:$F$14,1),0),COUNT('Default Prob'!$P$5:$P$14)))</f>
        <v>2.626278464496291E-2</v>
      </c>
      <c r="H69" s="5">
        <f t="shared" si="11"/>
        <v>0.99397830234412832</v>
      </c>
      <c r="I69" s="24">
        <f t="shared" si="12"/>
        <v>2.1443493900874522E-4</v>
      </c>
      <c r="J69" s="25">
        <f>INDEX('Default Prob'!$C$3:$C$13, _xlfn.IFNA(MATCH(F69, 'Default Prob'!$B$3:$B$13, 1), 1))</f>
        <v>1.9099999999999999E-2</v>
      </c>
      <c r="K69" s="26">
        <f t="shared" si="3"/>
        <v>0.9956582676730078</v>
      </c>
      <c r="L69" s="27">
        <f t="shared" ca="1" si="4"/>
        <v>0</v>
      </c>
      <c r="M69" s="27">
        <f t="shared" ca="1" si="5"/>
        <v>505.64691258154875</v>
      </c>
      <c r="N69" s="28">
        <f t="shared" ca="1" si="6"/>
        <v>0.10795759792251183</v>
      </c>
      <c r="O69" s="29">
        <f t="shared" ca="1" si="7"/>
        <v>600000</v>
      </c>
      <c r="P69" s="30">
        <f t="shared" ca="1" si="8"/>
        <v>128.10235194120858</v>
      </c>
    </row>
    <row r="70" spans="1:16" x14ac:dyDescent="0.25">
      <c r="A70" s="3">
        <f t="shared" si="9"/>
        <v>46210</v>
      </c>
      <c r="B70" s="21">
        <f t="shared" si="0"/>
        <v>36714</v>
      </c>
      <c r="C70" s="21">
        <f t="shared" si="1"/>
        <v>36789</v>
      </c>
      <c r="D70" s="1">
        <f t="shared" si="10"/>
        <v>0</v>
      </c>
      <c r="E70" s="3">
        <f t="array" ref="E70">INDEX($A$9:A69, MAX(IF($D$9:D69=1, ROW(D$9:$D69)-ROW($D$9)+1, 0)))</f>
        <v>46195</v>
      </c>
      <c r="F70" s="23">
        <f t="shared" si="2"/>
        <v>0.2327173169062286</v>
      </c>
      <c r="G70" s="5">
        <f>INDEX('Default Prob'!$P$5:$P$14,MIN(1+_xlfn.IFNA(MATCH(F70,'Default Prob'!$F$5:$F$14,1),0),COUNT('Default Prob'!$P$5:$P$14)))</f>
        <v>2.626278464496291E-2</v>
      </c>
      <c r="H70" s="5">
        <f t="shared" si="11"/>
        <v>0.99390683430960358</v>
      </c>
      <c r="I70" s="24">
        <f t="shared" si="12"/>
        <v>7.146803452473538E-5</v>
      </c>
      <c r="J70" s="25">
        <f>INDEX('Default Prob'!$C$3:$C$13, _xlfn.IFNA(MATCH(F70, 'Default Prob'!$B$3:$B$13, 1), 1))</f>
        <v>1.9099999999999999E-2</v>
      </c>
      <c r="K70" s="26">
        <f t="shared" si="3"/>
        <v>0.99560669408809477</v>
      </c>
      <c r="L70" s="27">
        <f t="shared" ca="1" si="4"/>
        <v>0</v>
      </c>
      <c r="M70" s="27">
        <f t="shared" ca="1" si="5"/>
        <v>541.76454919451646</v>
      </c>
      <c r="N70" s="28">
        <f t="shared" ca="1" si="6"/>
        <v>3.8548743764460644E-2</v>
      </c>
      <c r="O70" s="29">
        <f t="shared" ca="1" si="7"/>
        <v>600000</v>
      </c>
      <c r="P70" s="30">
        <f t="shared" ca="1" si="8"/>
        <v>42.69243215168737</v>
      </c>
    </row>
    <row r="71" spans="1:16" x14ac:dyDescent="0.25">
      <c r="A71" s="3">
        <f t="shared" si="9"/>
        <v>46211</v>
      </c>
      <c r="B71" s="21">
        <f t="shared" si="0"/>
        <v>36715</v>
      </c>
      <c r="C71" s="21">
        <f t="shared" si="1"/>
        <v>36789</v>
      </c>
      <c r="D71" s="1">
        <f t="shared" si="10"/>
        <v>0</v>
      </c>
      <c r="E71" s="3">
        <f t="array" ref="E71">INDEX($A$9:A70, MAX(IF($D$9:D70=1, ROW(D$9:$D70)-ROW($D$9)+1, 0)))</f>
        <v>46195</v>
      </c>
      <c r="F71" s="23">
        <f t="shared" si="2"/>
        <v>0.23545516769336072</v>
      </c>
      <c r="G71" s="5">
        <f>INDEX('Default Prob'!$P$5:$P$14,MIN(1+_xlfn.IFNA(MATCH(F71,'Default Prob'!$F$5:$F$14,1),0),COUNT('Default Prob'!$P$5:$P$14)))</f>
        <v>2.626278464496291E-2</v>
      </c>
      <c r="H71" s="5">
        <f t="shared" si="11"/>
        <v>0.99383537141370204</v>
      </c>
      <c r="I71" s="24">
        <f t="shared" si="12"/>
        <v>7.1462895901541756E-5</v>
      </c>
      <c r="J71" s="25">
        <f>INDEX('Default Prob'!$C$3:$C$13, _xlfn.IFNA(MATCH(F71, 'Default Prob'!$B$3:$B$13, 1), 1))</f>
        <v>1.9099999999999999E-2</v>
      </c>
      <c r="K71" s="26">
        <f t="shared" si="3"/>
        <v>0.99555512317461514</v>
      </c>
      <c r="L71" s="27">
        <f t="shared" ca="1" si="4"/>
        <v>0</v>
      </c>
      <c r="M71" s="27">
        <f t="shared" ca="1" si="5"/>
        <v>577.88218580748423</v>
      </c>
      <c r="N71" s="28">
        <f t="shared" ca="1" si="6"/>
        <v>4.1113573811676407E-2</v>
      </c>
      <c r="O71" s="29">
        <f t="shared" ca="1" si="7"/>
        <v>600000</v>
      </c>
      <c r="P71" s="30">
        <f t="shared" ca="1" si="8"/>
        <v>42.68715127900446</v>
      </c>
    </row>
    <row r="72" spans="1:16" x14ac:dyDescent="0.25">
      <c r="A72" s="3">
        <f t="shared" si="9"/>
        <v>46212</v>
      </c>
      <c r="B72" s="21">
        <f t="shared" si="0"/>
        <v>36716</v>
      </c>
      <c r="C72" s="21">
        <f t="shared" si="1"/>
        <v>36789</v>
      </c>
      <c r="D72" s="1">
        <f t="shared" si="10"/>
        <v>0</v>
      </c>
      <c r="E72" s="3">
        <f t="array" ref="E72">INDEX($A$9:A71, MAX(IF($D$9:D71=1, ROW(D$9:$D71)-ROW($D$9)+1, 0)))</f>
        <v>46195</v>
      </c>
      <c r="F72" s="23">
        <f t="shared" si="2"/>
        <v>0.23819301848049282</v>
      </c>
      <c r="G72" s="5">
        <f>INDEX('Default Prob'!$P$5:$P$14,MIN(1+_xlfn.IFNA(MATCH(F72,'Default Prob'!$F$5:$F$14,1),0),COUNT('Default Prob'!$P$5:$P$14)))</f>
        <v>2.626278464496291E-2</v>
      </c>
      <c r="H72" s="5">
        <f t="shared" si="11"/>
        <v>0.99376391365605421</v>
      </c>
      <c r="I72" s="24">
        <f t="shared" si="12"/>
        <v>7.1457757647830356E-5</v>
      </c>
      <c r="J72" s="25">
        <f>INDEX('Default Prob'!$C$3:$C$13, _xlfn.IFNA(MATCH(F72, 'Default Prob'!$B$3:$B$13, 1), 1))</f>
        <v>1.9099999999999999E-2</v>
      </c>
      <c r="K72" s="26">
        <f t="shared" si="3"/>
        <v>0.99550355493243048</v>
      </c>
      <c r="L72" s="27">
        <f t="shared" ca="1" si="4"/>
        <v>0</v>
      </c>
      <c r="M72" s="27">
        <f t="shared" ca="1" si="5"/>
        <v>613.99982242045212</v>
      </c>
      <c r="N72" s="28">
        <f t="shared" ca="1" si="6"/>
        <v>4.3677768751892984E-2</v>
      </c>
      <c r="O72" s="29">
        <f t="shared" ca="1" si="7"/>
        <v>600000</v>
      </c>
      <c r="P72" s="30">
        <f t="shared" ca="1" si="8"/>
        <v>42.681871059549117</v>
      </c>
    </row>
    <row r="73" spans="1:16" x14ac:dyDescent="0.25">
      <c r="A73" s="3">
        <f t="shared" si="9"/>
        <v>46213</v>
      </c>
      <c r="B73" s="21">
        <f t="shared" ref="B73:B136" si="13">DATE(2000, MONTH(A73), DAY(A73))</f>
        <v>36717</v>
      </c>
      <c r="C73" s="21">
        <f t="shared" ref="C73:C136" si="14">VLOOKUP(B73, $R$9:$S$13, 2)</f>
        <v>36789</v>
      </c>
      <c r="D73" s="1">
        <f t="shared" si="10"/>
        <v>0</v>
      </c>
      <c r="E73" s="3">
        <f t="array" ref="E73">INDEX($A$9:A72, MAX(IF($D$9:D72=1, ROW(D$9:$D72)-ROW($D$9)+1, 0)))</f>
        <v>46195</v>
      </c>
      <c r="F73" s="23">
        <f t="shared" ref="F73:F136" si="15">(A73-$A$2)/365.25</f>
        <v>0.24093086926762491</v>
      </c>
      <c r="G73" s="5">
        <f>INDEX('Default Prob'!$P$5:$P$14,MIN(1+_xlfn.IFNA(MATCH(F73,'Default Prob'!$F$5:$F$14,1),0),COUNT('Default Prob'!$P$5:$P$14)))</f>
        <v>2.626278464496291E-2</v>
      </c>
      <c r="H73" s="5">
        <f t="shared" si="11"/>
        <v>0.99369246103629061</v>
      </c>
      <c r="I73" s="24">
        <f t="shared" si="12"/>
        <v>7.1452619763601177E-5</v>
      </c>
      <c r="J73" s="25">
        <f>INDEX('Default Prob'!$C$3:$C$13, _xlfn.IFNA(MATCH(F73, 'Default Prob'!$B$3:$B$13, 1), 1))</f>
        <v>1.9099999999999999E-2</v>
      </c>
      <c r="K73" s="26">
        <f t="shared" ref="K73:K136" si="16">1/((1+J73)^F73)</f>
        <v>0.99545198936140245</v>
      </c>
      <c r="L73" s="27">
        <f t="shared" ref="L73:L136" ca="1" si="17">IF(AND(D73, A73 &lt;= $G$2), $D$5*$D$2*(A73-E73)/365.25, 0)</f>
        <v>0</v>
      </c>
      <c r="M73" s="27">
        <f t="shared" ref="M73:M136" ca="1" si="18">IF(A73&lt;=$G$2, $D$5*$D$2*(A73-E73)/365.25, 0)</f>
        <v>650.11745903341978</v>
      </c>
      <c r="N73" s="28">
        <f t="shared" ref="N73:N136" ca="1" si="19">(L73*H73 + M73*I73) * K73</f>
        <v>4.6241328703005173E-2</v>
      </c>
      <c r="O73" s="29">
        <f t="shared" ref="O73:O136" ca="1" si="20">IF(A73&lt;=$G$2, $D$2*(1-$D$3), 0)</f>
        <v>600000</v>
      </c>
      <c r="P73" s="30">
        <f t="shared" ref="P73:P136" ca="1" si="21">O73*I73*K73</f>
        <v>42.676591493256389</v>
      </c>
    </row>
    <row r="74" spans="1:16" x14ac:dyDescent="0.25">
      <c r="A74" s="3">
        <f t="shared" ref="A74:A137" si="22">WORKDAY(A73, 1)</f>
        <v>46216</v>
      </c>
      <c r="B74" s="21">
        <f t="shared" si="13"/>
        <v>36720</v>
      </c>
      <c r="C74" s="21">
        <f t="shared" si="14"/>
        <v>36789</v>
      </c>
      <c r="D74" s="1">
        <f t="shared" ref="D74:D137" si="23">IF(OR(C74=B74, AND(C74&lt;&gt;C73, C73&gt;B73)), 1, 0)</f>
        <v>0</v>
      </c>
      <c r="E74" s="3">
        <f t="array" ref="E74">INDEX($A$9:A73, MAX(IF($D$9:D73=1, ROW(D$9:$D73)-ROW($D$9)+1, 0)))</f>
        <v>46195</v>
      </c>
      <c r="F74" s="23">
        <f t="shared" si="15"/>
        <v>0.24914442162902123</v>
      </c>
      <c r="G74" s="5">
        <f>INDEX('Default Prob'!$P$5:$P$14,MIN(1+_xlfn.IFNA(MATCH(F74,'Default Prob'!$F$5:$F$14,1),0),COUNT('Default Prob'!$P$5:$P$14)))</f>
        <v>2.626278464496291E-2</v>
      </c>
      <c r="H74" s="5">
        <f t="shared" ref="H74:H137" si="24">H73*EXP(-G73*(F74-F73))</f>
        <v>0.99347813400061136</v>
      </c>
      <c r="I74" s="24">
        <f t="shared" ref="I74:I137" si="25">H73-H74</f>
        <v>2.1432703567925149E-4</v>
      </c>
      <c r="J74" s="25">
        <f>INDEX('Default Prob'!$C$3:$C$13, _xlfn.IFNA(MATCH(F74, 'Default Prob'!$B$3:$B$13, 1), 1))</f>
        <v>1.9099999999999999E-2</v>
      </c>
      <c r="K74" s="26">
        <f t="shared" si="16"/>
        <v>0.99529730867387356</v>
      </c>
      <c r="L74" s="27">
        <f t="shared" ca="1" si="17"/>
        <v>0</v>
      </c>
      <c r="M74" s="27">
        <f t="shared" ca="1" si="18"/>
        <v>758.47036887232321</v>
      </c>
      <c r="N74" s="28">
        <f t="shared" ca="1" si="19"/>
        <v>0.16179623298976728</v>
      </c>
      <c r="O74" s="29">
        <f t="shared" ca="1" si="20"/>
        <v>600000</v>
      </c>
      <c r="P74" s="30">
        <f t="shared" ca="1" si="21"/>
        <v>127.99147307256497</v>
      </c>
    </row>
    <row r="75" spans="1:16" x14ac:dyDescent="0.25">
      <c r="A75" s="3">
        <f t="shared" si="22"/>
        <v>46217</v>
      </c>
      <c r="B75" s="21">
        <f t="shared" si="13"/>
        <v>36721</v>
      </c>
      <c r="C75" s="21">
        <f t="shared" si="14"/>
        <v>36789</v>
      </c>
      <c r="D75" s="1">
        <f t="shared" si="23"/>
        <v>0</v>
      </c>
      <c r="E75" s="3">
        <f t="array" ref="E75">INDEX($A$9:A74, MAX(IF($D$9:D74=1, ROW(D$9:$D74)-ROW($D$9)+1, 0)))</f>
        <v>46195</v>
      </c>
      <c r="F75" s="23">
        <f t="shared" si="15"/>
        <v>0.2518822724161533</v>
      </c>
      <c r="G75" s="5">
        <f>INDEX('Default Prob'!$P$5:$P$14,MIN(1+_xlfn.IFNA(MATCH(F75,'Default Prob'!$F$5:$F$14,1),0),COUNT('Default Prob'!$P$5:$P$14)))</f>
        <v>2.626278464496291E-2</v>
      </c>
      <c r="H75" s="5">
        <f t="shared" si="24"/>
        <v>0.99340670192869096</v>
      </c>
      <c r="I75" s="24">
        <f t="shared" si="25"/>
        <v>7.1432071920396467E-5</v>
      </c>
      <c r="J75" s="25">
        <f>INDEX('Default Prob'!$C$3:$C$13, _xlfn.IFNA(MATCH(F75, 'Default Prob'!$B$3:$B$13, 1), 1))</f>
        <v>1.9099999999999999E-2</v>
      </c>
      <c r="K75" s="26">
        <f t="shared" si="16"/>
        <v>0.99524575378608815</v>
      </c>
      <c r="L75" s="27">
        <f t="shared" ca="1" si="17"/>
        <v>0</v>
      </c>
      <c r="M75" s="27">
        <f t="shared" ca="1" si="18"/>
        <v>794.58800548529086</v>
      </c>
      <c r="N75" s="28">
        <f t="shared" ca="1" si="19"/>
        <v>5.6489220972881581E-2</v>
      </c>
      <c r="O75" s="29">
        <f t="shared" ca="1" si="20"/>
        <v>600000</v>
      </c>
      <c r="P75" s="30">
        <f t="shared" ca="1" si="21"/>
        <v>42.655479757750228</v>
      </c>
    </row>
    <row r="76" spans="1:16" x14ac:dyDescent="0.25">
      <c r="A76" s="3">
        <f t="shared" si="22"/>
        <v>46218</v>
      </c>
      <c r="B76" s="21">
        <f t="shared" si="13"/>
        <v>36722</v>
      </c>
      <c r="C76" s="21">
        <f t="shared" si="14"/>
        <v>36789</v>
      </c>
      <c r="D76" s="1">
        <f t="shared" si="23"/>
        <v>0</v>
      </c>
      <c r="E76" s="3">
        <f t="array" ref="E76">INDEX($A$9:A75, MAX(IF($D$9:D75=1, ROW(D$9:$D75)-ROW($D$9)+1, 0)))</f>
        <v>46195</v>
      </c>
      <c r="F76" s="23">
        <f t="shared" si="15"/>
        <v>0.25462012320328542</v>
      </c>
      <c r="G76" s="5">
        <f>INDEX('Default Prob'!$P$5:$P$14,MIN(1+_xlfn.IFNA(MATCH(F76,'Default Prob'!$F$5:$F$14,1),0),COUNT('Default Prob'!$P$5:$P$14)))</f>
        <v>2.626278464496291E-2</v>
      </c>
      <c r="H76" s="5">
        <f t="shared" si="24"/>
        <v>0.99333527499280805</v>
      </c>
      <c r="I76" s="24">
        <f t="shared" si="25"/>
        <v>7.1426935882912268E-5</v>
      </c>
      <c r="J76" s="25">
        <f>INDEX('Default Prob'!$C$3:$C$13, _xlfn.IFNA(MATCH(F76, 'Default Prob'!$B$3:$B$13, 1), 1))</f>
        <v>1.9099999999999999E-2</v>
      </c>
      <c r="K76" s="26">
        <f t="shared" si="16"/>
        <v>0.99519420156876748</v>
      </c>
      <c r="L76" s="27">
        <f t="shared" ca="1" si="17"/>
        <v>0</v>
      </c>
      <c r="M76" s="27">
        <f t="shared" ca="1" si="18"/>
        <v>830.70564209825864</v>
      </c>
      <c r="N76" s="28">
        <f t="shared" ca="1" si="19"/>
        <v>5.9049607745756655E-2</v>
      </c>
      <c r="O76" s="29">
        <f t="shared" ca="1" si="20"/>
        <v>600000</v>
      </c>
      <c r="P76" s="30">
        <f t="shared" ca="1" si="21"/>
        <v>42.650203455899053</v>
      </c>
    </row>
    <row r="77" spans="1:16" x14ac:dyDescent="0.25">
      <c r="A77" s="3">
        <f t="shared" si="22"/>
        <v>46219</v>
      </c>
      <c r="B77" s="21">
        <f t="shared" si="13"/>
        <v>36723</v>
      </c>
      <c r="C77" s="21">
        <f t="shared" si="14"/>
        <v>36789</v>
      </c>
      <c r="D77" s="1">
        <f t="shared" si="23"/>
        <v>0</v>
      </c>
      <c r="E77" s="3">
        <f t="array" ref="E77">INDEX($A$9:A76, MAX(IF($D$9:D76=1, ROW(D$9:$D76)-ROW($D$9)+1, 0)))</f>
        <v>46195</v>
      </c>
      <c r="F77" s="23">
        <f t="shared" si="15"/>
        <v>0.25735797399041754</v>
      </c>
      <c r="G77" s="5">
        <f>INDEX('Default Prob'!$P$5:$P$14,MIN(1+_xlfn.IFNA(MATCH(F77,'Default Prob'!$F$5:$F$14,1),0),COUNT('Default Prob'!$P$5:$P$14)))</f>
        <v>2.626278464496291E-2</v>
      </c>
      <c r="H77" s="5">
        <f t="shared" si="24"/>
        <v>0.99326385319259325</v>
      </c>
      <c r="I77" s="24">
        <f t="shared" si="25"/>
        <v>7.1421800214799269E-5</v>
      </c>
      <c r="J77" s="25">
        <f>INDEX('Default Prob'!$C$3:$C$13, _xlfn.IFNA(MATCH(F77, 'Default Prob'!$B$3:$B$13, 1), 1))</f>
        <v>1.9099999999999999E-2</v>
      </c>
      <c r="K77" s="26">
        <f t="shared" si="16"/>
        <v>0.99514265202177332</v>
      </c>
      <c r="L77" s="27">
        <f t="shared" ca="1" si="17"/>
        <v>0</v>
      </c>
      <c r="M77" s="27">
        <f t="shared" ca="1" si="18"/>
        <v>866.82327871122652</v>
      </c>
      <c r="N77" s="28">
        <f t="shared" ca="1" si="19"/>
        <v>6.1609360236424528E-2</v>
      </c>
      <c r="O77" s="29">
        <f t="shared" ca="1" si="20"/>
        <v>600000</v>
      </c>
      <c r="P77" s="30">
        <f t="shared" ca="1" si="21"/>
        <v>42.644927806754765</v>
      </c>
    </row>
    <row r="78" spans="1:16" x14ac:dyDescent="0.25">
      <c r="A78" s="3">
        <f t="shared" si="22"/>
        <v>46220</v>
      </c>
      <c r="B78" s="21">
        <f t="shared" si="13"/>
        <v>36724</v>
      </c>
      <c r="C78" s="21">
        <f t="shared" si="14"/>
        <v>36789</v>
      </c>
      <c r="D78" s="1">
        <f t="shared" si="23"/>
        <v>0</v>
      </c>
      <c r="E78" s="3">
        <f t="array" ref="E78">INDEX($A$9:A77, MAX(IF($D$9:D77=1, ROW(D$9:$D77)-ROW($D$9)+1, 0)))</f>
        <v>46195</v>
      </c>
      <c r="F78" s="23">
        <f t="shared" si="15"/>
        <v>0.26009582477754961</v>
      </c>
      <c r="G78" s="5">
        <f>INDEX('Default Prob'!$P$5:$P$14,MIN(1+_xlfn.IFNA(MATCH(F78,'Default Prob'!$F$5:$F$14,1),0),COUNT('Default Prob'!$P$5:$P$14)))</f>
        <v>2.626278464496291E-2</v>
      </c>
      <c r="H78" s="5">
        <f t="shared" si="24"/>
        <v>0.99319243652767741</v>
      </c>
      <c r="I78" s="24">
        <f t="shared" si="25"/>
        <v>7.1416664915835426E-5</v>
      </c>
      <c r="J78" s="25">
        <f>INDEX('Default Prob'!$C$3:$C$13, _xlfn.IFNA(MATCH(F78, 'Default Prob'!$B$3:$B$13, 1), 1))</f>
        <v>1.9099999999999999E-2</v>
      </c>
      <c r="K78" s="26">
        <f t="shared" si="16"/>
        <v>0.99509110514496735</v>
      </c>
      <c r="L78" s="27">
        <f t="shared" ca="1" si="17"/>
        <v>0</v>
      </c>
      <c r="M78" s="27">
        <f t="shared" ca="1" si="18"/>
        <v>902.94091532419418</v>
      </c>
      <c r="N78" s="28">
        <f t="shared" ca="1" si="19"/>
        <v>6.4168478562459177E-2</v>
      </c>
      <c r="O78" s="29">
        <f t="shared" ca="1" si="20"/>
        <v>600000</v>
      </c>
      <c r="P78" s="30">
        <f t="shared" ca="1" si="21"/>
        <v>42.639652810119891</v>
      </c>
    </row>
    <row r="79" spans="1:16" x14ac:dyDescent="0.25">
      <c r="A79" s="3">
        <f t="shared" si="22"/>
        <v>46223</v>
      </c>
      <c r="B79" s="21">
        <f t="shared" si="13"/>
        <v>36727</v>
      </c>
      <c r="C79" s="21">
        <f t="shared" si="14"/>
        <v>36789</v>
      </c>
      <c r="D79" s="1">
        <f t="shared" si="23"/>
        <v>0</v>
      </c>
      <c r="E79" s="3">
        <f t="array" ref="E79">INDEX($A$9:A78, MAX(IF($D$9:D78=1, ROW(D$9:$D78)-ROW($D$9)+1, 0)))</f>
        <v>46195</v>
      </c>
      <c r="F79" s="23">
        <f t="shared" si="15"/>
        <v>0.26830937713894593</v>
      </c>
      <c r="G79" s="5">
        <f>INDEX('Default Prob'!$P$5:$P$14,MIN(1+_xlfn.IFNA(MATCH(F79,'Default Prob'!$F$5:$F$14,1),0),COUNT('Default Prob'!$P$5:$P$14)))</f>
        <v>2.626278464496291E-2</v>
      </c>
      <c r="H79" s="5">
        <f t="shared" si="24"/>
        <v>0.99297821734103087</v>
      </c>
      <c r="I79" s="24">
        <f t="shared" si="25"/>
        <v>2.1421918664654704E-4</v>
      </c>
      <c r="J79" s="25">
        <f>INDEX('Default Prob'!$C$3:$C$13, _xlfn.IFNA(MATCH(F79, 'Default Prob'!$B$3:$B$13, 1), 1))</f>
        <v>1.9099999999999999E-2</v>
      </c>
      <c r="K79" s="26">
        <f t="shared" si="16"/>
        <v>0.99493648053429551</v>
      </c>
      <c r="L79" s="27">
        <f t="shared" ca="1" si="17"/>
        <v>0</v>
      </c>
      <c r="M79" s="27">
        <f t="shared" ca="1" si="18"/>
        <v>1011.2938251630975</v>
      </c>
      <c r="N79" s="28">
        <f t="shared" ca="1" si="19"/>
        <v>0.21554158721932309</v>
      </c>
      <c r="O79" s="29">
        <f t="shared" ca="1" si="20"/>
        <v>600000</v>
      </c>
      <c r="P79" s="30">
        <f t="shared" ca="1" si="21"/>
        <v>127.88069017502093</v>
      </c>
    </row>
    <row r="80" spans="1:16" x14ac:dyDescent="0.25">
      <c r="A80" s="3">
        <f t="shared" si="22"/>
        <v>46224</v>
      </c>
      <c r="B80" s="21">
        <f t="shared" si="13"/>
        <v>36728</v>
      </c>
      <c r="C80" s="21">
        <f t="shared" si="14"/>
        <v>36789</v>
      </c>
      <c r="D80" s="1">
        <f t="shared" si="23"/>
        <v>0</v>
      </c>
      <c r="E80" s="3">
        <f t="array" ref="E80">INDEX($A$9:A79, MAX(IF($D$9:D79=1, ROW(D$9:$D79)-ROW($D$9)+1, 0)))</f>
        <v>46195</v>
      </c>
      <c r="F80" s="23">
        <f t="shared" si="15"/>
        <v>0.27104722792607805</v>
      </c>
      <c r="G80" s="5">
        <f>INDEX('Default Prob'!$P$5:$P$14,MIN(1+_xlfn.IFNA(MATCH(F80,'Default Prob'!$F$5:$F$14,1),0),COUNT('Default Prob'!$P$5:$P$14)))</f>
        <v>2.626278464496291E-2</v>
      </c>
      <c r="H80" s="5">
        <f t="shared" si="24"/>
        <v>0.99290682121361851</v>
      </c>
      <c r="I80" s="24">
        <f t="shared" si="25"/>
        <v>7.1396127412359789E-5</v>
      </c>
      <c r="J80" s="25">
        <f>INDEX('Default Prob'!$C$3:$C$13, _xlfn.IFNA(MATCH(F80, 'Default Prob'!$B$3:$B$13, 1), 1))</f>
        <v>1.9099999999999999E-2</v>
      </c>
      <c r="K80" s="26">
        <f t="shared" si="16"/>
        <v>0.99488494433685926</v>
      </c>
      <c r="L80" s="27">
        <f t="shared" ca="1" si="17"/>
        <v>0</v>
      </c>
      <c r="M80" s="27">
        <f t="shared" ca="1" si="18"/>
        <v>1047.4114617760652</v>
      </c>
      <c r="N80" s="28">
        <f t="shared" ca="1" si="19"/>
        <v>7.4398612575636694E-2</v>
      </c>
      <c r="O80" s="29">
        <f t="shared" ca="1" si="20"/>
        <v>600000</v>
      </c>
      <c r="P80" s="30">
        <f t="shared" ca="1" si="21"/>
        <v>42.618559347907727</v>
      </c>
    </row>
    <row r="81" spans="1:16" x14ac:dyDescent="0.25">
      <c r="A81" s="3">
        <f t="shared" si="22"/>
        <v>46225</v>
      </c>
      <c r="B81" s="21">
        <f t="shared" si="13"/>
        <v>36729</v>
      </c>
      <c r="C81" s="21">
        <f t="shared" si="14"/>
        <v>36789</v>
      </c>
      <c r="D81" s="1">
        <f t="shared" si="23"/>
        <v>0</v>
      </c>
      <c r="E81" s="3">
        <f t="array" ref="E81">INDEX($A$9:A80, MAX(IF($D$9:D80=1, ROW(D$9:$D80)-ROW($D$9)+1, 0)))</f>
        <v>46195</v>
      </c>
      <c r="F81" s="23">
        <f t="shared" si="15"/>
        <v>0.27378507871321012</v>
      </c>
      <c r="G81" s="5">
        <f>INDEX('Default Prob'!$P$5:$P$14,MIN(1+_xlfn.IFNA(MATCH(F81,'Default Prob'!$F$5:$F$14,1),0),COUNT('Default Prob'!$P$5:$P$14)))</f>
        <v>2.626278464496291E-2</v>
      </c>
      <c r="H81" s="5">
        <f t="shared" si="24"/>
        <v>0.99283543021965914</v>
      </c>
      <c r="I81" s="24">
        <f t="shared" si="25"/>
        <v>7.1390993959363769E-5</v>
      </c>
      <c r="J81" s="25">
        <f>INDEX('Default Prob'!$C$3:$C$13, _xlfn.IFNA(MATCH(F81, 'Default Prob'!$B$3:$B$13, 1), 1))</f>
        <v>1.9099999999999999E-2</v>
      </c>
      <c r="K81" s="26">
        <f t="shared" si="16"/>
        <v>0.99483341080891952</v>
      </c>
      <c r="L81" s="27">
        <f t="shared" ca="1" si="17"/>
        <v>0</v>
      </c>
      <c r="M81" s="27">
        <f t="shared" ca="1" si="18"/>
        <v>1083.5290983890329</v>
      </c>
      <c r="N81" s="28">
        <f t="shared" ca="1" si="19"/>
        <v>7.6954561844474051E-2</v>
      </c>
      <c r="O81" s="29">
        <f t="shared" ca="1" si="20"/>
        <v>600000</v>
      </c>
      <c r="P81" s="30">
        <f t="shared" ca="1" si="21"/>
        <v>42.613287612979697</v>
      </c>
    </row>
    <row r="82" spans="1:16" x14ac:dyDescent="0.25">
      <c r="A82" s="3">
        <f t="shared" si="22"/>
        <v>46226</v>
      </c>
      <c r="B82" s="21">
        <f t="shared" si="13"/>
        <v>36730</v>
      </c>
      <c r="C82" s="21">
        <f t="shared" si="14"/>
        <v>36789</v>
      </c>
      <c r="D82" s="1">
        <f t="shared" si="23"/>
        <v>0</v>
      </c>
      <c r="E82" s="3">
        <f t="array" ref="E82">INDEX($A$9:A81, MAX(IF($D$9:D81=1, ROW(D$9:$D81)-ROW($D$9)+1, 0)))</f>
        <v>46195</v>
      </c>
      <c r="F82" s="23">
        <f t="shared" si="15"/>
        <v>0.27652292950034224</v>
      </c>
      <c r="G82" s="5">
        <f>INDEX('Default Prob'!$P$5:$P$14,MIN(1+_xlfn.IFNA(MATCH(F82,'Default Prob'!$F$5:$F$14,1),0),COUNT('Default Prob'!$P$5:$P$14)))</f>
        <v>2.626278464496291E-2</v>
      </c>
      <c r="H82" s="5">
        <f t="shared" si="24"/>
        <v>0.99276404435878374</v>
      </c>
      <c r="I82" s="24">
        <f t="shared" si="25"/>
        <v>7.1385860875405882E-5</v>
      </c>
      <c r="J82" s="25">
        <f>INDEX('Default Prob'!$C$3:$C$13, _xlfn.IFNA(MATCH(F82, 'Default Prob'!$B$3:$B$13, 1), 1))</f>
        <v>1.9099999999999999E-2</v>
      </c>
      <c r="K82" s="26">
        <f t="shared" si="16"/>
        <v>0.99478187995033829</v>
      </c>
      <c r="L82" s="27">
        <f t="shared" ca="1" si="17"/>
        <v>0</v>
      </c>
      <c r="M82" s="27">
        <f t="shared" ca="1" si="18"/>
        <v>1119.6467350020009</v>
      </c>
      <c r="N82" s="28">
        <f t="shared" ca="1" si="19"/>
        <v>7.9509877654740282E-2</v>
      </c>
      <c r="O82" s="29">
        <f t="shared" ca="1" si="20"/>
        <v>600000</v>
      </c>
      <c r="P82" s="30">
        <f t="shared" ca="1" si="21"/>
        <v>42.608016530105736</v>
      </c>
    </row>
    <row r="83" spans="1:16" x14ac:dyDescent="0.25">
      <c r="A83" s="3">
        <f t="shared" si="22"/>
        <v>46227</v>
      </c>
      <c r="B83" s="21">
        <f t="shared" si="13"/>
        <v>36731</v>
      </c>
      <c r="C83" s="21">
        <f t="shared" si="14"/>
        <v>36789</v>
      </c>
      <c r="D83" s="1">
        <f t="shared" si="23"/>
        <v>0</v>
      </c>
      <c r="E83" s="3">
        <f t="array" ref="E83">INDEX($A$9:A82, MAX(IF($D$9:D82=1, ROW(D$9:$D82)-ROW($D$9)+1, 0)))</f>
        <v>46195</v>
      </c>
      <c r="F83" s="23">
        <f t="shared" si="15"/>
        <v>0.27926078028747431</v>
      </c>
      <c r="G83" s="5">
        <f>INDEX('Default Prob'!$P$5:$P$14,MIN(1+_xlfn.IFNA(MATCH(F83,'Default Prob'!$F$5:$F$14,1),0),COUNT('Default Prob'!$P$5:$P$14)))</f>
        <v>2.626278464496291E-2</v>
      </c>
      <c r="H83" s="5">
        <f t="shared" si="24"/>
        <v>0.99269266363062314</v>
      </c>
      <c r="I83" s="24">
        <f t="shared" si="25"/>
        <v>7.1380728160597151E-5</v>
      </c>
      <c r="J83" s="25">
        <f>INDEX('Default Prob'!$C$3:$C$13, _xlfn.IFNA(MATCH(F83, 'Default Prob'!$B$3:$B$13, 1), 1))</f>
        <v>1.9099999999999999E-2</v>
      </c>
      <c r="K83" s="26">
        <f t="shared" si="16"/>
        <v>0.99473035176097746</v>
      </c>
      <c r="L83" s="27">
        <f t="shared" ca="1" si="17"/>
        <v>0</v>
      </c>
      <c r="M83" s="27">
        <f t="shared" ca="1" si="18"/>
        <v>1155.7643716149685</v>
      </c>
      <c r="N83" s="28">
        <f t="shared" ca="1" si="19"/>
        <v>8.2064560124191402E-2</v>
      </c>
      <c r="O83" s="29">
        <f t="shared" ca="1" si="20"/>
        <v>600000</v>
      </c>
      <c r="P83" s="30">
        <f t="shared" ca="1" si="21"/>
        <v>42.602746099287309</v>
      </c>
    </row>
    <row r="84" spans="1:16" x14ac:dyDescent="0.25">
      <c r="A84" s="3">
        <f t="shared" si="22"/>
        <v>46230</v>
      </c>
      <c r="B84" s="21">
        <f t="shared" si="13"/>
        <v>36734</v>
      </c>
      <c r="C84" s="21">
        <f t="shared" si="14"/>
        <v>36789</v>
      </c>
      <c r="D84" s="1">
        <f t="shared" si="23"/>
        <v>0</v>
      </c>
      <c r="E84" s="3">
        <f t="array" ref="E84">INDEX($A$9:A83, MAX(IF($D$9:D83=1, ROW(D$9:$D83)-ROW($D$9)+1, 0)))</f>
        <v>46195</v>
      </c>
      <c r="F84" s="23">
        <f t="shared" si="15"/>
        <v>0.28747433264887062</v>
      </c>
      <c r="G84" s="5">
        <f>INDEX('Default Prob'!$P$5:$P$14,MIN(1+_xlfn.IFNA(MATCH(F84,'Default Prob'!$F$5:$F$14,1),0),COUNT('Default Prob'!$P$5:$P$14)))</f>
        <v>2.626278464496291E-2</v>
      </c>
      <c r="H84" s="5">
        <f t="shared" si="24"/>
        <v>0.99247855223873982</v>
      </c>
      <c r="I84" s="24">
        <f t="shared" si="25"/>
        <v>2.141113918833204E-4</v>
      </c>
      <c r="J84" s="25">
        <f>INDEX('Default Prob'!$C$3:$C$13, _xlfn.IFNA(MATCH(F84, 'Default Prob'!$B$3:$B$13, 1), 1))</f>
        <v>1.9099999999999999E-2</v>
      </c>
      <c r="K84" s="26">
        <f t="shared" si="16"/>
        <v>0.9945757832068326</v>
      </c>
      <c r="L84" s="27">
        <f t="shared" ca="1" si="17"/>
        <v>0</v>
      </c>
      <c r="M84" s="27">
        <f t="shared" ca="1" si="18"/>
        <v>1264.1172814538718</v>
      </c>
      <c r="N84" s="28">
        <f t="shared" ca="1" si="19"/>
        <v>0.26919378175490583</v>
      </c>
      <c r="O84" s="29">
        <f t="shared" ca="1" si="20"/>
        <v>600000</v>
      </c>
      <c r="P84" s="30">
        <f t="shared" ca="1" si="21"/>
        <v>127.77000316551506</v>
      </c>
    </row>
    <row r="85" spans="1:16" x14ac:dyDescent="0.25">
      <c r="A85" s="3">
        <f t="shared" si="22"/>
        <v>46231</v>
      </c>
      <c r="B85" s="21">
        <f t="shared" si="13"/>
        <v>36735</v>
      </c>
      <c r="C85" s="21">
        <f t="shared" si="14"/>
        <v>36789</v>
      </c>
      <c r="D85" s="1">
        <f t="shared" si="23"/>
        <v>0</v>
      </c>
      <c r="E85" s="3">
        <f t="array" ref="E85">INDEX($A$9:A84, MAX(IF($D$9:D84=1, ROW(D$9:$D84)-ROW($D$9)+1, 0)))</f>
        <v>46195</v>
      </c>
      <c r="F85" s="23">
        <f t="shared" si="15"/>
        <v>0.29021218343600275</v>
      </c>
      <c r="G85" s="5">
        <f>INDEX('Default Prob'!$P$5:$P$14,MIN(1+_xlfn.IFNA(MATCH(F85,'Default Prob'!$F$5:$F$14,1),0),COUNT('Default Prob'!$P$5:$P$14)))</f>
        <v>2.626278464496291E-2</v>
      </c>
      <c r="H85" s="5">
        <f t="shared" si="24"/>
        <v>0.9924071920377483</v>
      </c>
      <c r="I85" s="24">
        <f t="shared" si="25"/>
        <v>7.1360200991521516E-5</v>
      </c>
      <c r="J85" s="25">
        <f>INDEX('Default Prob'!$C$3:$C$13, _xlfn.IFNA(MATCH(F85, 'Default Prob'!$B$3:$B$13, 1), 1))</f>
        <v>1.9099999999999999E-2</v>
      </c>
      <c r="K85" s="26">
        <f t="shared" si="16"/>
        <v>0.99452426569296959</v>
      </c>
      <c r="L85" s="27">
        <f t="shared" ca="1" si="17"/>
        <v>0</v>
      </c>
      <c r="M85" s="27">
        <f t="shared" ca="1" si="18"/>
        <v>1300.2349180668396</v>
      </c>
      <c r="N85" s="28">
        <f t="shared" ca="1" si="19"/>
        <v>9.2276958944383231E-2</v>
      </c>
      <c r="O85" s="29">
        <f t="shared" ca="1" si="20"/>
        <v>600000</v>
      </c>
      <c r="P85" s="30">
        <f t="shared" ca="1" si="21"/>
        <v>42.581670894477391</v>
      </c>
    </row>
    <row r="86" spans="1:16" x14ac:dyDescent="0.25">
      <c r="A86" s="3">
        <f t="shared" si="22"/>
        <v>46232</v>
      </c>
      <c r="B86" s="21">
        <f t="shared" si="13"/>
        <v>36736</v>
      </c>
      <c r="C86" s="21">
        <f t="shared" si="14"/>
        <v>36789</v>
      </c>
      <c r="D86" s="1">
        <f t="shared" si="23"/>
        <v>0</v>
      </c>
      <c r="E86" s="3">
        <f t="array" ref="E86">INDEX($A$9:A85, MAX(IF($D$9:D85=1, ROW(D$9:$D85)-ROW($D$9)+1, 0)))</f>
        <v>46195</v>
      </c>
      <c r="F86" s="23">
        <f t="shared" si="15"/>
        <v>0.29295003422313481</v>
      </c>
      <c r="G86" s="5">
        <f>INDEX('Default Prob'!$P$5:$P$14,MIN(1+_xlfn.IFNA(MATCH(F86,'Default Prob'!$F$5:$F$14,1),0),COUNT('Default Prob'!$P$5:$P$14)))</f>
        <v>2.626278464496291E-2</v>
      </c>
      <c r="H86" s="5">
        <f t="shared" si="24"/>
        <v>0.99233583696762662</v>
      </c>
      <c r="I86" s="24">
        <f t="shared" si="25"/>
        <v>7.1355070121681408E-5</v>
      </c>
      <c r="J86" s="25">
        <f>INDEX('Default Prob'!$C$3:$C$13, _xlfn.IFNA(MATCH(F86, 'Default Prob'!$B$3:$B$13, 1), 1))</f>
        <v>1.9099999999999999E-2</v>
      </c>
      <c r="K86" s="26">
        <f t="shared" si="16"/>
        <v>0.99447275084763564</v>
      </c>
      <c r="L86" s="27">
        <f t="shared" ca="1" si="17"/>
        <v>0</v>
      </c>
      <c r="M86" s="27">
        <f t="shared" ca="1" si="18"/>
        <v>1336.3525546798076</v>
      </c>
      <c r="N86" s="28">
        <f t="shared" ca="1" si="19"/>
        <v>9.4828476472737733E-2</v>
      </c>
      <c r="O86" s="29">
        <f t="shared" ca="1" si="20"/>
        <v>600000</v>
      </c>
      <c r="P86" s="30">
        <f t="shared" ca="1" si="21"/>
        <v>42.576403722500665</v>
      </c>
    </row>
    <row r="87" spans="1:16" x14ac:dyDescent="0.25">
      <c r="A87" s="3">
        <f t="shared" si="22"/>
        <v>46233</v>
      </c>
      <c r="B87" s="21">
        <f t="shared" si="13"/>
        <v>36737</v>
      </c>
      <c r="C87" s="21">
        <f t="shared" si="14"/>
        <v>36789</v>
      </c>
      <c r="D87" s="1">
        <f t="shared" si="23"/>
        <v>0</v>
      </c>
      <c r="E87" s="3">
        <f t="array" ref="E87">INDEX($A$9:A86, MAX(IF($D$9:D86=1, ROW(D$9:$D86)-ROW($D$9)+1, 0)))</f>
        <v>46195</v>
      </c>
      <c r="F87" s="23">
        <f t="shared" si="15"/>
        <v>0.29568788501026694</v>
      </c>
      <c r="G87" s="5">
        <f>INDEX('Default Prob'!$P$5:$P$14,MIN(1+_xlfn.IFNA(MATCH(F87,'Default Prob'!$F$5:$F$14,1),0),COUNT('Default Prob'!$P$5:$P$14)))</f>
        <v>2.626278464496291E-2</v>
      </c>
      <c r="H87" s="5">
        <f t="shared" si="24"/>
        <v>0.99226448702800585</v>
      </c>
      <c r="I87" s="24">
        <f t="shared" si="25"/>
        <v>7.134993962076841E-5</v>
      </c>
      <c r="J87" s="25">
        <f>INDEX('Default Prob'!$C$3:$C$13, _xlfn.IFNA(MATCH(F87, 'Default Prob'!$B$3:$B$13, 1), 1))</f>
        <v>1.9099999999999999E-2</v>
      </c>
      <c r="K87" s="26">
        <f t="shared" si="16"/>
        <v>0.99442123867069221</v>
      </c>
      <c r="L87" s="27">
        <f t="shared" ca="1" si="17"/>
        <v>0</v>
      </c>
      <c r="M87" s="27">
        <f t="shared" ca="1" si="18"/>
        <v>1372.4701912927751</v>
      </c>
      <c r="N87" s="28">
        <f t="shared" ca="1" si="19"/>
        <v>9.7379361365432918E-2</v>
      </c>
      <c r="O87" s="29">
        <f t="shared" ca="1" si="20"/>
        <v>600000</v>
      </c>
      <c r="P87" s="30">
        <f t="shared" ca="1" si="21"/>
        <v>42.571137202058175</v>
      </c>
    </row>
    <row r="88" spans="1:16" x14ac:dyDescent="0.25">
      <c r="A88" s="3">
        <f t="shared" si="22"/>
        <v>46234</v>
      </c>
      <c r="B88" s="21">
        <f t="shared" si="13"/>
        <v>36738</v>
      </c>
      <c r="C88" s="21">
        <f t="shared" si="14"/>
        <v>36789</v>
      </c>
      <c r="D88" s="1">
        <f t="shared" si="23"/>
        <v>0</v>
      </c>
      <c r="E88" s="3">
        <f t="array" ref="E88">INDEX($A$9:A87, MAX(IF($D$9:D87=1, ROW(D$9:$D87)-ROW($D$9)+1, 0)))</f>
        <v>46195</v>
      </c>
      <c r="F88" s="23">
        <f t="shared" si="15"/>
        <v>0.29842573579739906</v>
      </c>
      <c r="G88" s="5">
        <f>INDEX('Default Prob'!$P$5:$P$14,MIN(1+_xlfn.IFNA(MATCH(F88,'Default Prob'!$F$5:$F$14,1),0),COUNT('Default Prob'!$P$5:$P$14)))</f>
        <v>2.626278464496291E-2</v>
      </c>
      <c r="H88" s="5">
        <f t="shared" si="24"/>
        <v>0.99219314221851718</v>
      </c>
      <c r="I88" s="24">
        <f t="shared" si="25"/>
        <v>7.1344809488671501E-5</v>
      </c>
      <c r="J88" s="25">
        <f>INDEX('Default Prob'!$C$3:$C$13, _xlfn.IFNA(MATCH(F88, 'Default Prob'!$B$3:$B$13, 1), 1))</f>
        <v>1.9099999999999999E-2</v>
      </c>
      <c r="K88" s="26">
        <f t="shared" si="16"/>
        <v>0.99436972916200139</v>
      </c>
      <c r="L88" s="27">
        <f t="shared" ca="1" si="17"/>
        <v>0</v>
      </c>
      <c r="M88" s="27">
        <f t="shared" ca="1" si="18"/>
        <v>1408.5878279057429</v>
      </c>
      <c r="N88" s="28">
        <f t="shared" ca="1" si="19"/>
        <v>9.9929613739820747E-2</v>
      </c>
      <c r="O88" s="29">
        <f t="shared" ca="1" si="20"/>
        <v>600000</v>
      </c>
      <c r="P88" s="30">
        <f t="shared" ca="1" si="21"/>
        <v>42.565871333018919</v>
      </c>
    </row>
    <row r="89" spans="1:16" x14ac:dyDescent="0.25">
      <c r="A89" s="3">
        <f t="shared" si="22"/>
        <v>46237</v>
      </c>
      <c r="B89" s="21">
        <f t="shared" si="13"/>
        <v>36741</v>
      </c>
      <c r="C89" s="21">
        <f t="shared" si="14"/>
        <v>36789</v>
      </c>
      <c r="D89" s="1">
        <f t="shared" si="23"/>
        <v>0</v>
      </c>
      <c r="E89" s="3">
        <f t="array" ref="E89">INDEX($A$9:A88, MAX(IF($D$9:D88=1, ROW(D$9:$D88)-ROW($D$9)+1, 0)))</f>
        <v>46195</v>
      </c>
      <c r="F89" s="23">
        <f t="shared" si="15"/>
        <v>0.30663928815879532</v>
      </c>
      <c r="G89" s="5">
        <f>INDEX('Default Prob'!$P$5:$P$14,MIN(1+_xlfn.IFNA(MATCH(F89,'Default Prob'!$F$5:$F$14,1),0),COUNT('Default Prob'!$P$5:$P$14)))</f>
        <v>2.626278464496291E-2</v>
      </c>
      <c r="H89" s="5">
        <f t="shared" si="24"/>
        <v>0.99197913856715481</v>
      </c>
      <c r="I89" s="24">
        <f t="shared" si="25"/>
        <v>2.1400365136237109E-4</v>
      </c>
      <c r="J89" s="25">
        <f>INDEX('Default Prob'!$C$3:$C$13, _xlfn.IFNA(MATCH(F89, 'Default Prob'!$B$3:$B$13, 1), 1))</f>
        <v>1.9099999999999999E-2</v>
      </c>
      <c r="K89" s="26">
        <f t="shared" si="16"/>
        <v>0.99421521664406154</v>
      </c>
      <c r="L89" s="27">
        <f t="shared" ca="1" si="17"/>
        <v>0</v>
      </c>
      <c r="M89" s="27">
        <f t="shared" ca="1" si="18"/>
        <v>1516.9407377446464</v>
      </c>
      <c r="N89" s="28">
        <f t="shared" ca="1" si="19"/>
        <v>0.32275293760057172</v>
      </c>
      <c r="O89" s="29">
        <f t="shared" ca="1" si="20"/>
        <v>600000</v>
      </c>
      <c r="P89" s="30">
        <f t="shared" ca="1" si="21"/>
        <v>127.65941196111599</v>
      </c>
    </row>
    <row r="90" spans="1:16" x14ac:dyDescent="0.25">
      <c r="A90" s="3">
        <f t="shared" si="22"/>
        <v>46238</v>
      </c>
      <c r="B90" s="21">
        <f t="shared" si="13"/>
        <v>36742</v>
      </c>
      <c r="C90" s="21">
        <f t="shared" si="14"/>
        <v>36789</v>
      </c>
      <c r="D90" s="1">
        <f t="shared" si="23"/>
        <v>0</v>
      </c>
      <c r="E90" s="3">
        <f t="array" ref="E90">INDEX($A$9:A89, MAX(IF($D$9:D89=1, ROW(D$9:$D89)-ROW($D$9)+1, 0)))</f>
        <v>46195</v>
      </c>
      <c r="F90" s="23">
        <f t="shared" si="15"/>
        <v>0.30937713894592744</v>
      </c>
      <c r="G90" s="5">
        <f>INDEX('Default Prob'!$P$5:$P$14,MIN(1+_xlfn.IFNA(MATCH(F90,'Default Prob'!$F$5:$F$14,1),0),COUNT('Default Prob'!$P$5:$P$14)))</f>
        <v>2.626278464496291E-2</v>
      </c>
      <c r="H90" s="5">
        <f t="shared" si="24"/>
        <v>0.99190781427450603</v>
      </c>
      <c r="I90" s="24">
        <f t="shared" si="25"/>
        <v>7.1324292648777821E-5</v>
      </c>
      <c r="J90" s="25">
        <f>INDEX('Default Prob'!$C$3:$C$13, _xlfn.IFNA(MATCH(F90, 'Default Prob'!$B$3:$B$13, 1), 1))</f>
        <v>1.9099999999999999E-2</v>
      </c>
      <c r="K90" s="26">
        <f t="shared" si="16"/>
        <v>0.9941637178069983</v>
      </c>
      <c r="L90" s="27">
        <f t="shared" ca="1" si="17"/>
        <v>0</v>
      </c>
      <c r="M90" s="27">
        <f t="shared" ca="1" si="18"/>
        <v>1553.0583743576142</v>
      </c>
      <c r="N90" s="28">
        <f t="shared" ca="1" si="19"/>
        <v>0.11012430040417488</v>
      </c>
      <c r="O90" s="29">
        <f t="shared" ca="1" si="20"/>
        <v>600000</v>
      </c>
      <c r="P90" s="30">
        <f t="shared" ca="1" si="21"/>
        <v>42.54481436979799</v>
      </c>
    </row>
    <row r="91" spans="1:16" x14ac:dyDescent="0.25">
      <c r="A91" s="3">
        <f t="shared" si="22"/>
        <v>46239</v>
      </c>
      <c r="B91" s="21">
        <f t="shared" si="13"/>
        <v>36743</v>
      </c>
      <c r="C91" s="21">
        <f t="shared" si="14"/>
        <v>36789</v>
      </c>
      <c r="D91" s="1">
        <f t="shared" si="23"/>
        <v>0</v>
      </c>
      <c r="E91" s="3">
        <f t="array" ref="E91">INDEX($A$9:A90, MAX(IF($D$9:D90=1, ROW(D$9:$D90)-ROW($D$9)+1, 0)))</f>
        <v>46195</v>
      </c>
      <c r="F91" s="23">
        <f t="shared" si="15"/>
        <v>0.31211498973305957</v>
      </c>
      <c r="G91" s="5">
        <f>INDEX('Default Prob'!$P$5:$P$14,MIN(1+_xlfn.IFNA(MATCH(F91,'Default Prob'!$F$5:$F$14,1),0),COUNT('Default Prob'!$P$5:$P$14)))</f>
        <v>2.626278464496291E-2</v>
      </c>
      <c r="H91" s="5">
        <f t="shared" si="24"/>
        <v>0.99183649511014527</v>
      </c>
      <c r="I91" s="24">
        <f t="shared" si="25"/>
        <v>7.1319164360761356E-5</v>
      </c>
      <c r="J91" s="25">
        <f>INDEX('Default Prob'!$C$3:$C$13, _xlfn.IFNA(MATCH(F91, 'Default Prob'!$B$3:$B$13, 1), 1))</f>
        <v>1.9099999999999999E-2</v>
      </c>
      <c r="K91" s="26">
        <f t="shared" si="16"/>
        <v>0.99411222163749691</v>
      </c>
      <c r="L91" s="27">
        <f t="shared" ca="1" si="17"/>
        <v>0</v>
      </c>
      <c r="M91" s="27">
        <f t="shared" ca="1" si="18"/>
        <v>1589.1760109705817</v>
      </c>
      <c r="N91" s="28">
        <f t="shared" ca="1" si="19"/>
        <v>0.11267139194892332</v>
      </c>
      <c r="O91" s="29">
        <f t="shared" ca="1" si="20"/>
        <v>600000</v>
      </c>
      <c r="P91" s="30">
        <f t="shared" ca="1" si="21"/>
        <v>42.53955175680376</v>
      </c>
    </row>
    <row r="92" spans="1:16" x14ac:dyDescent="0.25">
      <c r="A92" s="3">
        <f t="shared" si="22"/>
        <v>46240</v>
      </c>
      <c r="B92" s="21">
        <f t="shared" si="13"/>
        <v>36744</v>
      </c>
      <c r="C92" s="21">
        <f t="shared" si="14"/>
        <v>36789</v>
      </c>
      <c r="D92" s="1">
        <f t="shared" si="23"/>
        <v>0</v>
      </c>
      <c r="E92" s="3">
        <f t="array" ref="E92">INDEX($A$9:A91, MAX(IF($D$9:D91=1, ROW(D$9:$D91)-ROW($D$9)+1, 0)))</f>
        <v>46195</v>
      </c>
      <c r="F92" s="23">
        <f t="shared" si="15"/>
        <v>0.31485284052019163</v>
      </c>
      <c r="G92" s="5">
        <f>INDEX('Default Prob'!$P$5:$P$14,MIN(1+_xlfn.IFNA(MATCH(F92,'Default Prob'!$F$5:$F$14,1),0),COUNT('Default Prob'!$P$5:$P$14)))</f>
        <v>2.626278464496291E-2</v>
      </c>
      <c r="H92" s="5">
        <f t="shared" si="24"/>
        <v>0.99176518107370371</v>
      </c>
      <c r="I92" s="24">
        <f t="shared" si="25"/>
        <v>7.131403644156098E-5</v>
      </c>
      <c r="J92" s="25">
        <f>INDEX('Default Prob'!$C$3:$C$13, _xlfn.IFNA(MATCH(F92, 'Default Prob'!$B$3:$B$13, 1), 1))</f>
        <v>1.9099999999999999E-2</v>
      </c>
      <c r="K92" s="26">
        <f t="shared" si="16"/>
        <v>0.99406072813541868</v>
      </c>
      <c r="L92" s="27">
        <f t="shared" ca="1" si="17"/>
        <v>0</v>
      </c>
      <c r="M92" s="27">
        <f t="shared" ca="1" si="18"/>
        <v>1625.2936475835495</v>
      </c>
      <c r="N92" s="28">
        <f t="shared" ca="1" si="19"/>
        <v>0.11521785168000964</v>
      </c>
      <c r="O92" s="29">
        <f t="shared" ca="1" si="20"/>
        <v>600000</v>
      </c>
      <c r="P92" s="30">
        <f t="shared" ca="1" si="21"/>
        <v>42.534289794824332</v>
      </c>
    </row>
    <row r="93" spans="1:16" x14ac:dyDescent="0.25">
      <c r="A93" s="3">
        <f t="shared" si="22"/>
        <v>46241</v>
      </c>
      <c r="B93" s="21">
        <f t="shared" si="13"/>
        <v>36745</v>
      </c>
      <c r="C93" s="21">
        <f t="shared" si="14"/>
        <v>36789</v>
      </c>
      <c r="D93" s="1">
        <f t="shared" si="23"/>
        <v>0</v>
      </c>
      <c r="E93" s="3">
        <f t="array" ref="E93">INDEX($A$9:A92, MAX(IF($D$9:D92=1, ROW(D$9:$D92)-ROW($D$9)+1, 0)))</f>
        <v>46195</v>
      </c>
      <c r="F93" s="23">
        <f t="shared" si="15"/>
        <v>0.31759069130732376</v>
      </c>
      <c r="G93" s="5">
        <f>INDEX('Default Prob'!$P$5:$P$14,MIN(1+_xlfn.IFNA(MATCH(F93,'Default Prob'!$F$5:$F$14,1),0),COUNT('Default Prob'!$P$5:$P$14)))</f>
        <v>2.626278464496291E-2</v>
      </c>
      <c r="H93" s="5">
        <f t="shared" si="24"/>
        <v>0.99169387216481275</v>
      </c>
      <c r="I93" s="24">
        <f t="shared" si="25"/>
        <v>7.1308908890954648E-5</v>
      </c>
      <c r="J93" s="25">
        <f>INDEX('Default Prob'!$C$3:$C$13, _xlfn.IFNA(MATCH(F93, 'Default Prob'!$B$3:$B$13, 1), 1))</f>
        <v>1.9099999999999999E-2</v>
      </c>
      <c r="K93" s="26">
        <f t="shared" si="16"/>
        <v>0.9940092373006254</v>
      </c>
      <c r="L93" s="27">
        <f t="shared" ca="1" si="17"/>
        <v>0</v>
      </c>
      <c r="M93" s="27">
        <f t="shared" ca="1" si="18"/>
        <v>1661.4112841965173</v>
      </c>
      <c r="N93" s="28">
        <f t="shared" ca="1" si="19"/>
        <v>0.11776367971445349</v>
      </c>
      <c r="O93" s="29">
        <f t="shared" ca="1" si="20"/>
        <v>600000</v>
      </c>
      <c r="P93" s="30">
        <f t="shared" ca="1" si="21"/>
        <v>42.529028483662572</v>
      </c>
    </row>
    <row r="94" spans="1:16" x14ac:dyDescent="0.25">
      <c r="A94" s="3">
        <f t="shared" si="22"/>
        <v>46244</v>
      </c>
      <c r="B94" s="21">
        <f t="shared" si="13"/>
        <v>36748</v>
      </c>
      <c r="C94" s="21">
        <f t="shared" si="14"/>
        <v>36789</v>
      </c>
      <c r="D94" s="1">
        <f t="shared" si="23"/>
        <v>0</v>
      </c>
      <c r="E94" s="3">
        <f t="array" ref="E94">INDEX($A$9:A93, MAX(IF($D$9:D93=1, ROW(D$9:$D93)-ROW($D$9)+1, 0)))</f>
        <v>46195</v>
      </c>
      <c r="F94" s="23">
        <f t="shared" si="15"/>
        <v>0.32580424366872007</v>
      </c>
      <c r="G94" s="5">
        <f>INDEX('Default Prob'!$P$5:$P$14,MIN(1+_xlfn.IFNA(MATCH(F94,'Default Prob'!$F$5:$F$14,1),0),COUNT('Default Prob'!$P$5:$P$14)))</f>
        <v>2.626278464496291E-2</v>
      </c>
      <c r="H94" s="5">
        <f t="shared" si="24"/>
        <v>0.99147997619975659</v>
      </c>
      <c r="I94" s="24">
        <f t="shared" si="25"/>
        <v>2.1389596505616559E-4</v>
      </c>
      <c r="J94" s="25">
        <f>INDEX('Default Prob'!$C$3:$C$13, _xlfn.IFNA(MATCH(F94, 'Default Prob'!$B$3:$B$13, 1), 1))</f>
        <v>1.9099999999999999E-2</v>
      </c>
      <c r="K94" s="26">
        <f t="shared" si="16"/>
        <v>0.99385478079857525</v>
      </c>
      <c r="L94" s="27">
        <f t="shared" ca="1" si="17"/>
        <v>0</v>
      </c>
      <c r="M94" s="27">
        <f t="shared" ca="1" si="18"/>
        <v>1769.7641940354208</v>
      </c>
      <c r="N94" s="28">
        <f t="shared" ca="1" si="19"/>
        <v>0.37621917562019797</v>
      </c>
      <c r="O94" s="29">
        <f t="shared" ca="1" si="20"/>
        <v>600000</v>
      </c>
      <c r="P94" s="30">
        <f t="shared" ca="1" si="21"/>
        <v>127.54891647875709</v>
      </c>
    </row>
    <row r="95" spans="1:16" x14ac:dyDescent="0.25">
      <c r="A95" s="3">
        <f t="shared" si="22"/>
        <v>46245</v>
      </c>
      <c r="B95" s="21">
        <f t="shared" si="13"/>
        <v>36749</v>
      </c>
      <c r="C95" s="21">
        <f t="shared" si="14"/>
        <v>36789</v>
      </c>
      <c r="D95" s="1">
        <f t="shared" si="23"/>
        <v>0</v>
      </c>
      <c r="E95" s="3">
        <f t="array" ref="E95">INDEX($A$9:A94, MAX(IF($D$9:D94=1, ROW(D$9:$D94)-ROW($D$9)+1, 0)))</f>
        <v>46195</v>
      </c>
      <c r="F95" s="23">
        <f t="shared" si="15"/>
        <v>0.32854209445585214</v>
      </c>
      <c r="G95" s="5">
        <f>INDEX('Default Prob'!$P$5:$P$14,MIN(1+_xlfn.IFNA(MATCH(F95,'Default Prob'!$F$5:$F$14,1),0),COUNT('Default Prob'!$P$5:$P$14)))</f>
        <v>2.626278464496291E-2</v>
      </c>
      <c r="H95" s="5">
        <f t="shared" si="24"/>
        <v>0.99140868779738145</v>
      </c>
      <c r="I95" s="24">
        <f t="shared" si="25"/>
        <v>7.1288402375135895E-5</v>
      </c>
      <c r="J95" s="25">
        <f>INDEX('Default Prob'!$C$3:$C$13, _xlfn.IFNA(MATCH(F95, 'Default Prob'!$B$3:$B$13, 1), 1))</f>
        <v>1.9099999999999999E-2</v>
      </c>
      <c r="K95" s="26">
        <f t="shared" si="16"/>
        <v>0.99380330063154132</v>
      </c>
      <c r="L95" s="27">
        <f t="shared" ca="1" si="17"/>
        <v>0</v>
      </c>
      <c r="M95" s="27">
        <f t="shared" ca="1" si="18"/>
        <v>1805.8818306483884</v>
      </c>
      <c r="N95" s="28">
        <f t="shared" ca="1" si="19"/>
        <v>0.12794067723370561</v>
      </c>
      <c r="O95" s="29">
        <f t="shared" ca="1" si="20"/>
        <v>600000</v>
      </c>
      <c r="P95" s="30">
        <f t="shared" ca="1" si="21"/>
        <v>42.507989746295678</v>
      </c>
    </row>
    <row r="96" spans="1:16" x14ac:dyDescent="0.25">
      <c r="A96" s="3">
        <f t="shared" si="22"/>
        <v>46246</v>
      </c>
      <c r="B96" s="21">
        <f t="shared" si="13"/>
        <v>36750</v>
      </c>
      <c r="C96" s="21">
        <f t="shared" si="14"/>
        <v>36789</v>
      </c>
      <c r="D96" s="1">
        <f t="shared" si="23"/>
        <v>0</v>
      </c>
      <c r="E96" s="3">
        <f t="array" ref="E96">INDEX($A$9:A95, MAX(IF($D$9:D95=1, ROW(D$9:$D95)-ROW($D$9)+1, 0)))</f>
        <v>46195</v>
      </c>
      <c r="F96" s="23">
        <f t="shared" si="15"/>
        <v>0.33127994524298426</v>
      </c>
      <c r="G96" s="5">
        <f>INDEX('Default Prob'!$P$5:$P$14,MIN(1+_xlfn.IFNA(MATCH(F96,'Default Prob'!$F$5:$F$14,1),0),COUNT('Default Prob'!$P$5:$P$14)))</f>
        <v>2.626278464496291E-2</v>
      </c>
      <c r="H96" s="5">
        <f t="shared" si="24"/>
        <v>0.99133740452071373</v>
      </c>
      <c r="I96" s="24">
        <f t="shared" si="25"/>
        <v>7.1283276667721829E-5</v>
      </c>
      <c r="J96" s="25">
        <f>INDEX('Default Prob'!$C$3:$C$13, _xlfn.IFNA(MATCH(F96, 'Default Prob'!$B$3:$B$13, 1), 1))</f>
        <v>1.9099999999999999E-2</v>
      </c>
      <c r="K96" s="26">
        <f t="shared" si="16"/>
        <v>0.99375182313110166</v>
      </c>
      <c r="L96" s="27">
        <f t="shared" ca="1" si="17"/>
        <v>0</v>
      </c>
      <c r="M96" s="27">
        <f t="shared" ca="1" si="18"/>
        <v>1841.9994672613561</v>
      </c>
      <c r="N96" s="28">
        <f t="shared" ca="1" si="19"/>
        <v>0.13048334854526064</v>
      </c>
      <c r="O96" s="29">
        <f t="shared" ca="1" si="20"/>
        <v>600000</v>
      </c>
      <c r="P96" s="30">
        <f t="shared" ca="1" si="21"/>
        <v>42.502731688384372</v>
      </c>
    </row>
    <row r="97" spans="1:16" x14ac:dyDescent="0.25">
      <c r="A97" s="3">
        <f t="shared" si="22"/>
        <v>46247</v>
      </c>
      <c r="B97" s="21">
        <f t="shared" si="13"/>
        <v>36751</v>
      </c>
      <c r="C97" s="21">
        <f t="shared" si="14"/>
        <v>36789</v>
      </c>
      <c r="D97" s="1">
        <f t="shared" si="23"/>
        <v>0</v>
      </c>
      <c r="E97" s="3">
        <f t="array" ref="E97">INDEX($A$9:A96, MAX(IF($D$9:D96=1, ROW(D$9:$D96)-ROW($D$9)+1, 0)))</f>
        <v>46195</v>
      </c>
      <c r="F97" s="23">
        <f t="shared" si="15"/>
        <v>0.33401779603011633</v>
      </c>
      <c r="G97" s="5">
        <f>INDEX('Default Prob'!$P$5:$P$14,MIN(1+_xlfn.IFNA(MATCH(F97,'Default Prob'!$F$5:$F$14,1),0),COUNT('Default Prob'!$P$5:$P$14)))</f>
        <v>2.626278464496291E-2</v>
      </c>
      <c r="H97" s="5">
        <f t="shared" si="24"/>
        <v>0.99126612636938494</v>
      </c>
      <c r="I97" s="24">
        <f t="shared" si="25"/>
        <v>7.1278151328790784E-5</v>
      </c>
      <c r="J97" s="25">
        <f>INDEX('Default Prob'!$C$3:$C$13, _xlfn.IFNA(MATCH(F97, 'Default Prob'!$B$3:$B$13, 1), 1))</f>
        <v>1.9099999999999999E-2</v>
      </c>
      <c r="K97" s="26">
        <f t="shared" si="16"/>
        <v>0.99370034829711817</v>
      </c>
      <c r="L97" s="27">
        <f t="shared" ca="1" si="17"/>
        <v>0</v>
      </c>
      <c r="M97" s="27">
        <f t="shared" ca="1" si="18"/>
        <v>1878.1171038743239</v>
      </c>
      <c r="N97" s="28">
        <f t="shared" ca="1" si="19"/>
        <v>0.13302538886383022</v>
      </c>
      <c r="O97" s="29">
        <f t="shared" ca="1" si="20"/>
        <v>600000</v>
      </c>
      <c r="P97" s="30">
        <f t="shared" ca="1" si="21"/>
        <v>42.497474280836457</v>
      </c>
    </row>
    <row r="98" spans="1:16" x14ac:dyDescent="0.25">
      <c r="A98" s="3">
        <f t="shared" si="22"/>
        <v>46248</v>
      </c>
      <c r="B98" s="21">
        <f t="shared" si="13"/>
        <v>36752</v>
      </c>
      <c r="C98" s="21">
        <f t="shared" si="14"/>
        <v>36789</v>
      </c>
      <c r="D98" s="1">
        <f t="shared" si="23"/>
        <v>0</v>
      </c>
      <c r="E98" s="3">
        <f t="array" ref="E98">INDEX($A$9:A97, MAX(IF($D$9:D97=1, ROW(D$9:$D97)-ROW($D$9)+1, 0)))</f>
        <v>46195</v>
      </c>
      <c r="F98" s="23">
        <f t="shared" si="15"/>
        <v>0.33675564681724846</v>
      </c>
      <c r="G98" s="5">
        <f>INDEX('Default Prob'!$P$5:$P$14,MIN(1+_xlfn.IFNA(MATCH(F98,'Default Prob'!$F$5:$F$14,1),0),COUNT('Default Prob'!$P$5:$P$14)))</f>
        <v>2.626278464496291E-2</v>
      </c>
      <c r="H98" s="5">
        <f t="shared" si="24"/>
        <v>0.99119485334302659</v>
      </c>
      <c r="I98" s="24">
        <f t="shared" si="25"/>
        <v>7.1273026358342761E-5</v>
      </c>
      <c r="J98" s="25">
        <f>INDEX('Default Prob'!$C$3:$C$13, _xlfn.IFNA(MATCH(F98, 'Default Prob'!$B$3:$B$13, 1), 1))</f>
        <v>1.9099999999999999E-2</v>
      </c>
      <c r="K98" s="26">
        <f t="shared" si="16"/>
        <v>0.99364887612945285</v>
      </c>
      <c r="L98" s="27">
        <f t="shared" ca="1" si="17"/>
        <v>0</v>
      </c>
      <c r="M98" s="27">
        <f t="shared" ca="1" si="18"/>
        <v>1914.2347404872917</v>
      </c>
      <c r="N98" s="28">
        <f t="shared" ca="1" si="19"/>
        <v>0.13556679830665611</v>
      </c>
      <c r="O98" s="29">
        <f t="shared" ca="1" si="20"/>
        <v>600000</v>
      </c>
      <c r="P98" s="30">
        <f t="shared" ca="1" si="21"/>
        <v>42.492217523587293</v>
      </c>
    </row>
    <row r="99" spans="1:16" x14ac:dyDescent="0.25">
      <c r="A99" s="3">
        <f t="shared" si="22"/>
        <v>46251</v>
      </c>
      <c r="B99" s="21">
        <f t="shared" si="13"/>
        <v>36755</v>
      </c>
      <c r="C99" s="21">
        <f t="shared" si="14"/>
        <v>36789</v>
      </c>
      <c r="D99" s="1">
        <f t="shared" si="23"/>
        <v>0</v>
      </c>
      <c r="E99" s="3">
        <f t="array" ref="E99">INDEX($A$9:A98, MAX(IF($D$9:D98=1, ROW(D$9:$D98)-ROW($D$9)+1, 0)))</f>
        <v>46195</v>
      </c>
      <c r="F99" s="23">
        <f t="shared" si="15"/>
        <v>0.34496919917864477</v>
      </c>
      <c r="G99" s="5">
        <f>INDEX('Default Prob'!$P$5:$P$14,MIN(1+_xlfn.IFNA(MATCH(F99,'Default Prob'!$F$5:$F$14,1),0),COUNT('Default Prob'!$P$5:$P$14)))</f>
        <v>2.626278464496291E-2</v>
      </c>
      <c r="H99" s="5">
        <f t="shared" si="24"/>
        <v>0.99098106501008909</v>
      </c>
      <c r="I99" s="24">
        <f t="shared" si="25"/>
        <v>2.1378833293750343E-4</v>
      </c>
      <c r="J99" s="25">
        <f>INDEX('Default Prob'!$C$3:$C$13, _xlfn.IFNA(MATCH(F99, 'Default Prob'!$B$3:$B$13, 1), 1))</f>
        <v>1.9099999999999999E-2</v>
      </c>
      <c r="K99" s="26">
        <f t="shared" si="16"/>
        <v>0.99349447562298498</v>
      </c>
      <c r="L99" s="27">
        <f t="shared" ca="1" si="17"/>
        <v>0</v>
      </c>
      <c r="M99" s="27">
        <f t="shared" ca="1" si="18"/>
        <v>2022.587650326195</v>
      </c>
      <c r="N99" s="28">
        <f t="shared" ca="1" si="19"/>
        <v>0.4295926165385387</v>
      </c>
      <c r="O99" s="29">
        <f t="shared" ca="1" si="20"/>
        <v>600000</v>
      </c>
      <c r="P99" s="30">
        <f t="shared" ca="1" si="21"/>
        <v>127.43851663563426</v>
      </c>
    </row>
    <row r="100" spans="1:16" x14ac:dyDescent="0.25">
      <c r="A100" s="3">
        <f t="shared" si="22"/>
        <v>46252</v>
      </c>
      <c r="B100" s="21">
        <f t="shared" si="13"/>
        <v>36756</v>
      </c>
      <c r="C100" s="21">
        <f t="shared" si="14"/>
        <v>36789</v>
      </c>
      <c r="D100" s="1">
        <f t="shared" si="23"/>
        <v>0</v>
      </c>
      <c r="E100" s="3">
        <f t="array" ref="E100">INDEX($A$9:A99, MAX(IF($D$9:D99=1, ROW(D$9:$D99)-ROW($D$9)+1, 0)))</f>
        <v>46195</v>
      </c>
      <c r="F100" s="23">
        <f t="shared" si="15"/>
        <v>0.34770704996577684</v>
      </c>
      <c r="G100" s="5">
        <f>INDEX('Default Prob'!$P$5:$P$14,MIN(1+_xlfn.IFNA(MATCH(F100,'Default Prob'!$F$5:$F$14,1),0),COUNT('Default Prob'!$P$5:$P$14)))</f>
        <v>2.626278464496291E-2</v>
      </c>
      <c r="H100" s="5">
        <f t="shared" si="24"/>
        <v>0.99090981247992771</v>
      </c>
      <c r="I100" s="24">
        <f t="shared" si="25"/>
        <v>7.1252530161380889E-5</v>
      </c>
      <c r="J100" s="25">
        <f>INDEX('Default Prob'!$C$3:$C$13, _xlfn.IFNA(MATCH(F100, 'Default Prob'!$B$3:$B$13, 1), 1))</f>
        <v>1.9099999999999999E-2</v>
      </c>
      <c r="K100" s="26">
        <f t="shared" si="16"/>
        <v>0.99344301411921143</v>
      </c>
      <c r="L100" s="27">
        <f t="shared" ca="1" si="17"/>
        <v>0</v>
      </c>
      <c r="M100" s="27">
        <f t="shared" ca="1" si="18"/>
        <v>2058.7052869391628</v>
      </c>
      <c r="N100" s="28">
        <f t="shared" ca="1" si="19"/>
        <v>0.14572612966481222</v>
      </c>
      <c r="O100" s="29">
        <f t="shared" ca="1" si="20"/>
        <v>600000</v>
      </c>
      <c r="P100" s="30">
        <f t="shared" ca="1" si="21"/>
        <v>42.47119699628535</v>
      </c>
    </row>
    <row r="101" spans="1:16" x14ac:dyDescent="0.25">
      <c r="A101" s="3">
        <f t="shared" si="22"/>
        <v>46253</v>
      </c>
      <c r="B101" s="21">
        <f t="shared" si="13"/>
        <v>36757</v>
      </c>
      <c r="C101" s="21">
        <f t="shared" si="14"/>
        <v>36789</v>
      </c>
      <c r="D101" s="1">
        <f t="shared" si="23"/>
        <v>0</v>
      </c>
      <c r="E101" s="3">
        <f t="array" ref="E101">INDEX($A$9:A100, MAX(IF($D$9:D100=1, ROW(D$9:$D100)-ROW($D$9)+1, 0)))</f>
        <v>46195</v>
      </c>
      <c r="F101" s="23">
        <f t="shared" si="15"/>
        <v>0.35044490075290896</v>
      </c>
      <c r="G101" s="5">
        <f>INDEX('Default Prob'!$P$5:$P$14,MIN(1+_xlfn.IFNA(MATCH(F101,'Default Prob'!$F$5:$F$14,1),0),COUNT('Default Prob'!$P$5:$P$14)))</f>
        <v>2.626278464496291E-2</v>
      </c>
      <c r="H101" s="5">
        <f t="shared" si="24"/>
        <v>0.99083856507289458</v>
      </c>
      <c r="I101" s="24">
        <f t="shared" si="25"/>
        <v>7.1247407033125931E-5</v>
      </c>
      <c r="J101" s="25">
        <f>INDEX('Default Prob'!$C$3:$C$13, _xlfn.IFNA(MATCH(F101, 'Default Prob'!$B$3:$B$13, 1), 1))</f>
        <v>1.9099999999999999E-2</v>
      </c>
      <c r="K101" s="26">
        <f t="shared" si="16"/>
        <v>0.99339155528106537</v>
      </c>
      <c r="L101" s="27">
        <f t="shared" ca="1" si="17"/>
        <v>0</v>
      </c>
      <c r="M101" s="27">
        <f t="shared" ca="1" si="18"/>
        <v>2094.8229235521303</v>
      </c>
      <c r="N101" s="28">
        <f t="shared" ca="1" si="19"/>
        <v>0.1482643864865387</v>
      </c>
      <c r="O101" s="29">
        <f t="shared" ca="1" si="20"/>
        <v>600000</v>
      </c>
      <c r="P101" s="30">
        <f t="shared" ca="1" si="21"/>
        <v>42.465943489428049</v>
      </c>
    </row>
    <row r="102" spans="1:16" x14ac:dyDescent="0.25">
      <c r="A102" s="3">
        <f t="shared" si="22"/>
        <v>46254</v>
      </c>
      <c r="B102" s="21">
        <f t="shared" si="13"/>
        <v>36758</v>
      </c>
      <c r="C102" s="21">
        <f t="shared" si="14"/>
        <v>36789</v>
      </c>
      <c r="D102" s="1">
        <f t="shared" si="23"/>
        <v>0</v>
      </c>
      <c r="E102" s="3">
        <f t="array" ref="E102">INDEX($A$9:A101, MAX(IF($D$9:D101=1, ROW(D$9:$D101)-ROW($D$9)+1, 0)))</f>
        <v>46195</v>
      </c>
      <c r="F102" s="23">
        <f t="shared" si="15"/>
        <v>0.35318275154004108</v>
      </c>
      <c r="G102" s="5">
        <f>INDEX('Default Prob'!$P$5:$P$14,MIN(1+_xlfn.IFNA(MATCH(F102,'Default Prob'!$F$5:$F$14,1),0),COUNT('Default Prob'!$P$5:$P$14)))</f>
        <v>2.626278464496291E-2</v>
      </c>
      <c r="H102" s="5">
        <f t="shared" si="24"/>
        <v>0.99076732278862123</v>
      </c>
      <c r="I102" s="24">
        <f t="shared" si="25"/>
        <v>7.1242284273353995E-5</v>
      </c>
      <c r="J102" s="25">
        <f>INDEX('Default Prob'!$C$3:$C$13, _xlfn.IFNA(MATCH(F102, 'Default Prob'!$B$3:$B$13, 1), 1))</f>
        <v>1.9099999999999999E-2</v>
      </c>
      <c r="K102" s="26">
        <f t="shared" si="16"/>
        <v>0.99334009910840892</v>
      </c>
      <c r="L102" s="27">
        <f t="shared" ca="1" si="17"/>
        <v>0</v>
      </c>
      <c r="M102" s="27">
        <f t="shared" ca="1" si="18"/>
        <v>2130.9405601650983</v>
      </c>
      <c r="N102" s="28">
        <f t="shared" ca="1" si="19"/>
        <v>0.1508020131356293</v>
      </c>
      <c r="O102" s="29">
        <f t="shared" ca="1" si="20"/>
        <v>600000</v>
      </c>
      <c r="P102" s="30">
        <f t="shared" ca="1" si="21"/>
        <v>42.460690632481743</v>
      </c>
    </row>
    <row r="103" spans="1:16" x14ac:dyDescent="0.25">
      <c r="A103" s="3">
        <f t="shared" si="22"/>
        <v>46255</v>
      </c>
      <c r="B103" s="21">
        <f t="shared" si="13"/>
        <v>36759</v>
      </c>
      <c r="C103" s="21">
        <f t="shared" si="14"/>
        <v>36789</v>
      </c>
      <c r="D103" s="1">
        <f t="shared" si="23"/>
        <v>0</v>
      </c>
      <c r="E103" s="3">
        <f t="array" ref="E103">INDEX($A$9:A102, MAX(IF($D$9:D102=1, ROW(D$9:$D102)-ROW($D$9)+1, 0)))</f>
        <v>46195</v>
      </c>
      <c r="F103" s="23">
        <f t="shared" si="15"/>
        <v>0.35592060232717315</v>
      </c>
      <c r="G103" s="5">
        <f>INDEX('Default Prob'!$P$5:$P$14,MIN(1+_xlfn.IFNA(MATCH(F103,'Default Prob'!$F$5:$F$14,1),0),COUNT('Default Prob'!$P$5:$P$14)))</f>
        <v>2.626278464496291E-2</v>
      </c>
      <c r="H103" s="5">
        <f t="shared" si="24"/>
        <v>0.9906960856267395</v>
      </c>
      <c r="I103" s="24">
        <f t="shared" si="25"/>
        <v>7.1237161881732014E-5</v>
      </c>
      <c r="J103" s="25">
        <f>INDEX('Default Prob'!$C$3:$C$13, _xlfn.IFNA(MATCH(F103, 'Default Prob'!$B$3:$B$13, 1), 1))</f>
        <v>1.9099999999999999E-2</v>
      </c>
      <c r="K103" s="26">
        <f t="shared" si="16"/>
        <v>0.99328864560110419</v>
      </c>
      <c r="L103" s="27">
        <f t="shared" ca="1" si="17"/>
        <v>0</v>
      </c>
      <c r="M103" s="27">
        <f t="shared" ca="1" si="18"/>
        <v>2167.0581967780658</v>
      </c>
      <c r="N103" s="28">
        <f t="shared" ca="1" si="19"/>
        <v>0.15333900972849995</v>
      </c>
      <c r="O103" s="29">
        <f t="shared" ca="1" si="20"/>
        <v>600000</v>
      </c>
      <c r="P103" s="30">
        <f t="shared" ca="1" si="21"/>
        <v>42.455438425183317</v>
      </c>
    </row>
    <row r="104" spans="1:16" x14ac:dyDescent="0.25">
      <c r="A104" s="3">
        <f t="shared" si="22"/>
        <v>46258</v>
      </c>
      <c r="B104" s="21">
        <f t="shared" si="13"/>
        <v>36762</v>
      </c>
      <c r="C104" s="21">
        <f t="shared" si="14"/>
        <v>36789</v>
      </c>
      <c r="D104" s="1">
        <f t="shared" si="23"/>
        <v>0</v>
      </c>
      <c r="E104" s="3">
        <f t="array" ref="E104">INDEX($A$9:A103, MAX(IF($D$9:D103=1, ROW(D$9:$D103)-ROW($D$9)+1, 0)))</f>
        <v>46195</v>
      </c>
      <c r="F104" s="23">
        <f t="shared" si="15"/>
        <v>0.36413415468856947</v>
      </c>
      <c r="G104" s="5">
        <f>INDEX('Default Prob'!$P$5:$P$14,MIN(1+_xlfn.IFNA(MATCH(F104,'Default Prob'!$F$5:$F$14,1),0),COUNT('Default Prob'!$P$5:$P$14)))</f>
        <v>2.626278464496291E-2</v>
      </c>
      <c r="H104" s="5">
        <f t="shared" si="24"/>
        <v>0.99048240487176031</v>
      </c>
      <c r="I104" s="24">
        <f t="shared" si="25"/>
        <v>2.1368075497918415E-4</v>
      </c>
      <c r="J104" s="25">
        <f>INDEX('Default Prob'!$C$3:$C$13, _xlfn.IFNA(MATCH(F104, 'Default Prob'!$B$3:$B$13, 1), 1))</f>
        <v>1.9099999999999999E-2</v>
      </c>
      <c r="K104" s="26">
        <f t="shared" si="16"/>
        <v>0.99313430106991818</v>
      </c>
      <c r="L104" s="27">
        <f t="shared" ca="1" si="17"/>
        <v>0</v>
      </c>
      <c r="M104" s="27">
        <f t="shared" ca="1" si="18"/>
        <v>2275.4111066169694</v>
      </c>
      <c r="N104" s="28">
        <f t="shared" ca="1" si="19"/>
        <v>0.482873380941023</v>
      </c>
      <c r="O104" s="29">
        <f t="shared" ca="1" si="20"/>
        <v>600000</v>
      </c>
      <c r="P104" s="30">
        <f t="shared" ca="1" si="21"/>
        <v>127.32821234900671</v>
      </c>
    </row>
    <row r="105" spans="1:16" x14ac:dyDescent="0.25">
      <c r="A105" s="3">
        <f t="shared" si="22"/>
        <v>46259</v>
      </c>
      <c r="B105" s="21">
        <f t="shared" si="13"/>
        <v>36763</v>
      </c>
      <c r="C105" s="21">
        <f t="shared" si="14"/>
        <v>36789</v>
      </c>
      <c r="D105" s="1">
        <f t="shared" si="23"/>
        <v>0</v>
      </c>
      <c r="E105" s="3">
        <f t="array" ref="E105">INDEX($A$9:A104, MAX(IF($D$9:D104=1, ROW(D$9:$D104)-ROW($D$9)+1, 0)))</f>
        <v>46195</v>
      </c>
      <c r="F105" s="23">
        <f t="shared" si="15"/>
        <v>0.36687200547570159</v>
      </c>
      <c r="G105" s="5">
        <f>INDEX('Default Prob'!$P$5:$P$14,MIN(1+_xlfn.IFNA(MATCH(F105,'Default Prob'!$F$5:$F$14,1),0),COUNT('Default Prob'!$P$5:$P$14)))</f>
        <v>2.626278464496291E-2</v>
      </c>
      <c r="H105" s="5">
        <f t="shared" si="24"/>
        <v>0.99041118819576179</v>
      </c>
      <c r="I105" s="24">
        <f t="shared" si="25"/>
        <v>7.1216675998519996E-5</v>
      </c>
      <c r="J105" s="25">
        <f>INDEX('Default Prob'!$C$3:$C$13, _xlfn.IFNA(MATCH(F105, 'Default Prob'!$B$3:$B$13, 1), 1))</f>
        <v>1.9099999999999999E-2</v>
      </c>
      <c r="K105" s="26">
        <f t="shared" si="16"/>
        <v>0.99308285822263909</v>
      </c>
      <c r="L105" s="27">
        <f t="shared" ca="1" si="17"/>
        <v>0</v>
      </c>
      <c r="M105" s="27">
        <f t="shared" ca="1" si="18"/>
        <v>2311.5287432299369</v>
      </c>
      <c r="N105" s="28">
        <f t="shared" ca="1" si="19"/>
        <v>0.16348069788326039</v>
      </c>
      <c r="O105" s="29">
        <f t="shared" ca="1" si="20"/>
        <v>600000</v>
      </c>
      <c r="P105" s="30">
        <f t="shared" ca="1" si="21"/>
        <v>42.434436092235515</v>
      </c>
    </row>
    <row r="106" spans="1:16" x14ac:dyDescent="0.25">
      <c r="A106" s="3">
        <f t="shared" si="22"/>
        <v>46260</v>
      </c>
      <c r="B106" s="21">
        <f t="shared" si="13"/>
        <v>36764</v>
      </c>
      <c r="C106" s="21">
        <f t="shared" si="14"/>
        <v>36789</v>
      </c>
      <c r="D106" s="1">
        <f t="shared" si="23"/>
        <v>0</v>
      </c>
      <c r="E106" s="3">
        <f t="array" ref="E106">INDEX($A$9:A105, MAX(IF($D$9:D105=1, ROW(D$9:$D105)-ROW($D$9)+1, 0)))</f>
        <v>46195</v>
      </c>
      <c r="F106" s="23">
        <f t="shared" si="15"/>
        <v>0.36960985626283366</v>
      </c>
      <c r="G106" s="5">
        <f>INDEX('Default Prob'!$P$5:$P$14,MIN(1+_xlfn.IFNA(MATCH(F106,'Default Prob'!$F$5:$F$14,1),0),COUNT('Default Prob'!$P$5:$P$14)))</f>
        <v>2.626278464496291E-2</v>
      </c>
      <c r="H106" s="5">
        <f t="shared" si="24"/>
        <v>0.99033997664031359</v>
      </c>
      <c r="I106" s="24">
        <f t="shared" si="25"/>
        <v>7.1211555448202901E-5</v>
      </c>
      <c r="J106" s="25">
        <f>INDEX('Default Prob'!$C$3:$C$13, _xlfn.IFNA(MATCH(F106, 'Default Prob'!$B$3:$B$13, 1), 1))</f>
        <v>1.9099999999999999E-2</v>
      </c>
      <c r="K106" s="26">
        <f t="shared" si="16"/>
        <v>0.99303141804002104</v>
      </c>
      <c r="L106" s="27">
        <f t="shared" ca="1" si="17"/>
        <v>0</v>
      </c>
      <c r="M106" s="27">
        <f t="shared" ca="1" si="18"/>
        <v>2347.6463798429049</v>
      </c>
      <c r="N106" s="28">
        <f t="shared" ca="1" si="19"/>
        <v>0.16601454595230278</v>
      </c>
      <c r="O106" s="29">
        <f t="shared" ca="1" si="20"/>
        <v>600000</v>
      </c>
      <c r="P106" s="30">
        <f t="shared" ca="1" si="21"/>
        <v>42.429187132538708</v>
      </c>
    </row>
    <row r="107" spans="1:16" x14ac:dyDescent="0.25">
      <c r="A107" s="3">
        <f t="shared" si="22"/>
        <v>46261</v>
      </c>
      <c r="B107" s="21">
        <f t="shared" si="13"/>
        <v>36765</v>
      </c>
      <c r="C107" s="21">
        <f t="shared" si="14"/>
        <v>36789</v>
      </c>
      <c r="D107" s="1">
        <f t="shared" si="23"/>
        <v>0</v>
      </c>
      <c r="E107" s="3">
        <f t="array" ref="E107">INDEX($A$9:A106, MAX(IF($D$9:D106=1, ROW(D$9:$D106)-ROW($D$9)+1, 0)))</f>
        <v>46195</v>
      </c>
      <c r="F107" s="23">
        <f t="shared" si="15"/>
        <v>0.37234770704996578</v>
      </c>
      <c r="G107" s="5">
        <f>INDEX('Default Prob'!$P$5:$P$14,MIN(1+_xlfn.IFNA(MATCH(F107,'Default Prob'!$F$5:$F$14,1),0),COUNT('Default Prob'!$P$5:$P$14)))</f>
        <v>2.626278464496291E-2</v>
      </c>
      <c r="H107" s="5">
        <f t="shared" si="24"/>
        <v>0.99026877020504744</v>
      </c>
      <c r="I107" s="24">
        <f t="shared" si="25"/>
        <v>7.1206435266146784E-5</v>
      </c>
      <c r="J107" s="25">
        <f>INDEX('Default Prob'!$C$3:$C$13, _xlfn.IFNA(MATCH(F107, 'Default Prob'!$B$3:$B$13, 1), 1))</f>
        <v>1.9099999999999999E-2</v>
      </c>
      <c r="K107" s="26">
        <f t="shared" si="16"/>
        <v>0.99297998052192649</v>
      </c>
      <c r="L107" s="27">
        <f t="shared" ca="1" si="17"/>
        <v>0</v>
      </c>
      <c r="M107" s="27">
        <f t="shared" ca="1" si="18"/>
        <v>2383.7640164558725</v>
      </c>
      <c r="N107" s="28">
        <f t="shared" ca="1" si="19"/>
        <v>0.16854776466768454</v>
      </c>
      <c r="O107" s="29">
        <f t="shared" ca="1" si="20"/>
        <v>600000</v>
      </c>
      <c r="P107" s="30">
        <f t="shared" ca="1" si="21"/>
        <v>42.423938822168552</v>
      </c>
    </row>
    <row r="108" spans="1:16" x14ac:dyDescent="0.25">
      <c r="A108" s="3">
        <f t="shared" si="22"/>
        <v>46262</v>
      </c>
      <c r="B108" s="21">
        <f t="shared" si="13"/>
        <v>36766</v>
      </c>
      <c r="C108" s="21">
        <f t="shared" si="14"/>
        <v>36789</v>
      </c>
      <c r="D108" s="1">
        <f t="shared" si="23"/>
        <v>0</v>
      </c>
      <c r="E108" s="3">
        <f t="array" ref="E108">INDEX($A$9:A107, MAX(IF($D$9:D107=1, ROW(D$9:$D107)-ROW($D$9)+1, 0)))</f>
        <v>46195</v>
      </c>
      <c r="F108" s="23">
        <f t="shared" si="15"/>
        <v>0.3750855578370979</v>
      </c>
      <c r="G108" s="5">
        <f>INDEX('Default Prob'!$P$5:$P$14,MIN(1+_xlfn.IFNA(MATCH(F108,'Default Prob'!$F$5:$F$14,1),0),COUNT('Default Prob'!$P$5:$P$14)))</f>
        <v>2.626278464496291E-2</v>
      </c>
      <c r="H108" s="5">
        <f t="shared" si="24"/>
        <v>0.99019756888959531</v>
      </c>
      <c r="I108" s="24">
        <f t="shared" si="25"/>
        <v>7.1201315452129599E-5</v>
      </c>
      <c r="J108" s="25">
        <f>INDEX('Default Prob'!$C$3:$C$13, _xlfn.IFNA(MATCH(F108, 'Default Prob'!$B$3:$B$13, 1), 1))</f>
        <v>1.9099999999999999E-2</v>
      </c>
      <c r="K108" s="26">
        <f t="shared" si="16"/>
        <v>0.99292854566821709</v>
      </c>
      <c r="L108" s="27">
        <f t="shared" ca="1" si="17"/>
        <v>0</v>
      </c>
      <c r="M108" s="27">
        <f t="shared" ca="1" si="18"/>
        <v>2419.8816530688405</v>
      </c>
      <c r="N108" s="28">
        <f t="shared" ca="1" si="19"/>
        <v>0.17108035414587258</v>
      </c>
      <c r="O108" s="29">
        <f t="shared" ca="1" si="20"/>
        <v>600000</v>
      </c>
      <c r="P108" s="30">
        <f t="shared" ca="1" si="21"/>
        <v>42.418691160928198</v>
      </c>
    </row>
    <row r="109" spans="1:16" x14ac:dyDescent="0.25">
      <c r="A109" s="3">
        <f t="shared" si="22"/>
        <v>46265</v>
      </c>
      <c r="B109" s="21">
        <f t="shared" si="13"/>
        <v>36769</v>
      </c>
      <c r="C109" s="21">
        <f t="shared" si="14"/>
        <v>36789</v>
      </c>
      <c r="D109" s="1">
        <f t="shared" si="23"/>
        <v>0</v>
      </c>
      <c r="E109" s="3">
        <f t="array" ref="E109">INDEX($A$9:A108, MAX(IF($D$9:D108=1, ROW(D$9:$D108)-ROW($D$9)+1, 0)))</f>
        <v>46195</v>
      </c>
      <c r="F109" s="23">
        <f t="shared" si="15"/>
        <v>0.38329911019849416</v>
      </c>
      <c r="G109" s="5">
        <f>INDEX('Default Prob'!$P$5:$P$14,MIN(1+_xlfn.IFNA(MATCH(F109,'Default Prob'!$F$5:$F$14,1),0),COUNT('Default Prob'!$P$5:$P$14)))</f>
        <v>2.626278464496291E-2</v>
      </c>
      <c r="H109" s="5">
        <f t="shared" si="24"/>
        <v>0.98998399565844131</v>
      </c>
      <c r="I109" s="24">
        <f t="shared" si="25"/>
        <v>2.1357323115400728E-4</v>
      </c>
      <c r="J109" s="25">
        <f>INDEX('Default Prob'!$C$3:$C$13, _xlfn.IFNA(MATCH(F109, 'Default Prob'!$B$3:$B$13, 1), 1))</f>
        <v>1.9099999999999999E-2</v>
      </c>
      <c r="K109" s="26">
        <f t="shared" si="16"/>
        <v>0.99277425709202016</v>
      </c>
      <c r="L109" s="27">
        <f t="shared" ca="1" si="17"/>
        <v>0</v>
      </c>
      <c r="M109" s="27">
        <f t="shared" ca="1" si="18"/>
        <v>2528.2345629077436</v>
      </c>
      <c r="N109" s="28">
        <f t="shared" ca="1" si="19"/>
        <v>0.53606158927388858</v>
      </c>
      <c r="O109" s="29">
        <f t="shared" ca="1" si="20"/>
        <v>600000</v>
      </c>
      <c r="P109" s="30">
        <f t="shared" ca="1" si="21"/>
        <v>127.21800353619712</v>
      </c>
    </row>
    <row r="110" spans="1:16" x14ac:dyDescent="0.25">
      <c r="A110" s="3">
        <f t="shared" si="22"/>
        <v>46266</v>
      </c>
      <c r="B110" s="21">
        <f t="shared" si="13"/>
        <v>36770</v>
      </c>
      <c r="C110" s="21">
        <f t="shared" si="14"/>
        <v>36789</v>
      </c>
      <c r="D110" s="1">
        <f t="shared" si="23"/>
        <v>0</v>
      </c>
      <c r="E110" s="3">
        <f t="array" ref="E110">INDEX($A$9:A109, MAX(IF($D$9:D109=1, ROW(D$9:$D109)-ROW($D$9)+1, 0)))</f>
        <v>46195</v>
      </c>
      <c r="F110" s="23">
        <f t="shared" si="15"/>
        <v>0.38603696098562629</v>
      </c>
      <c r="G110" s="5">
        <f>INDEX('Default Prob'!$P$5:$P$14,MIN(1+_xlfn.IFNA(MATCH(F110,'Default Prob'!$F$5:$F$14,1),0),COUNT('Default Prob'!$P$5:$P$14)))</f>
        <v>2.626278464496291E-2</v>
      </c>
      <c r="H110" s="5">
        <f t="shared" si="24"/>
        <v>0.98991281481856397</v>
      </c>
      <c r="I110" s="24">
        <f t="shared" si="25"/>
        <v>7.1180839877338364E-5</v>
      </c>
      <c r="J110" s="25">
        <f>INDEX('Default Prob'!$C$3:$C$13, _xlfn.IFNA(MATCH(F110, 'Default Prob'!$B$3:$B$13, 1), 1))</f>
        <v>1.9099999999999999E-2</v>
      </c>
      <c r="K110" s="26">
        <f t="shared" si="16"/>
        <v>0.99272283289447161</v>
      </c>
      <c r="L110" s="27">
        <f t="shared" ca="1" si="17"/>
        <v>0</v>
      </c>
      <c r="M110" s="27">
        <f t="shared" ca="1" si="18"/>
        <v>2564.3521995207116</v>
      </c>
      <c r="N110" s="28">
        <f t="shared" ca="1" si="19"/>
        <v>0.18120442202793643</v>
      </c>
      <c r="O110" s="29">
        <f t="shared" ca="1" si="20"/>
        <v>600000</v>
      </c>
      <c r="P110" s="30">
        <f t="shared" ca="1" si="21"/>
        <v>42.397707006503467</v>
      </c>
    </row>
    <row r="111" spans="1:16" x14ac:dyDescent="0.25">
      <c r="A111" s="3">
        <f t="shared" si="22"/>
        <v>46267</v>
      </c>
      <c r="B111" s="21">
        <f t="shared" si="13"/>
        <v>36771</v>
      </c>
      <c r="C111" s="21">
        <f t="shared" si="14"/>
        <v>36789</v>
      </c>
      <c r="D111" s="1">
        <f t="shared" si="23"/>
        <v>0</v>
      </c>
      <c r="E111" s="3">
        <f t="array" ref="E111">INDEX($A$9:A110, MAX(IF($D$9:D110=1, ROW(D$9:$D110)-ROW($D$9)+1, 0)))</f>
        <v>46195</v>
      </c>
      <c r="F111" s="23">
        <f t="shared" si="15"/>
        <v>0.38877481177275841</v>
      </c>
      <c r="G111" s="5">
        <f>INDEX('Default Prob'!$P$5:$P$14,MIN(1+_xlfn.IFNA(MATCH(F111,'Default Prob'!$F$5:$F$14,1),0),COUNT('Default Prob'!$P$5:$P$14)))</f>
        <v>2.626278464496291E-2</v>
      </c>
      <c r="H111" s="5">
        <f t="shared" si="24"/>
        <v>0.98984163909666023</v>
      </c>
      <c r="I111" s="24">
        <f t="shared" si="25"/>
        <v>7.1175721903737887E-5</v>
      </c>
      <c r="J111" s="25">
        <f>INDEX('Default Prob'!$C$3:$C$13, _xlfn.IFNA(MATCH(F111, 'Default Prob'!$B$3:$B$13, 1), 1))</f>
        <v>1.9099999999999999E-2</v>
      </c>
      <c r="K111" s="26">
        <f t="shared" si="16"/>
        <v>0.99267141136061854</v>
      </c>
      <c r="L111" s="27">
        <f t="shared" ca="1" si="17"/>
        <v>0</v>
      </c>
      <c r="M111" s="27">
        <f t="shared" ca="1" si="18"/>
        <v>2600.4698361336791</v>
      </c>
      <c r="N111" s="28">
        <f t="shared" ca="1" si="19"/>
        <v>0.18373386707486616</v>
      </c>
      <c r="O111" s="29">
        <f t="shared" ca="1" si="20"/>
        <v>600000</v>
      </c>
      <c r="P111" s="30">
        <f t="shared" ca="1" si="21"/>
        <v>42.392462590076626</v>
      </c>
    </row>
    <row r="112" spans="1:16" x14ac:dyDescent="0.25">
      <c r="A112" s="3">
        <f t="shared" si="22"/>
        <v>46268</v>
      </c>
      <c r="B112" s="21">
        <f t="shared" si="13"/>
        <v>36772</v>
      </c>
      <c r="C112" s="21">
        <f t="shared" si="14"/>
        <v>36789</v>
      </c>
      <c r="D112" s="1">
        <f t="shared" si="23"/>
        <v>0</v>
      </c>
      <c r="E112" s="3">
        <f t="array" ref="E112">INDEX($A$9:A111, MAX(IF($D$9:D111=1, ROW(D$9:$D111)-ROW($D$9)+1, 0)))</f>
        <v>46195</v>
      </c>
      <c r="F112" s="23">
        <f t="shared" si="15"/>
        <v>0.39151266255989048</v>
      </c>
      <c r="G112" s="5">
        <f>INDEX('Default Prob'!$P$5:$P$14,MIN(1+_xlfn.IFNA(MATCH(F112,'Default Prob'!$F$5:$F$14,1),0),COUNT('Default Prob'!$P$5:$P$14)))</f>
        <v>2.626278464496291E-2</v>
      </c>
      <c r="H112" s="5">
        <f t="shared" si="24"/>
        <v>0.98977046849236217</v>
      </c>
      <c r="I112" s="24">
        <f t="shared" si="25"/>
        <v>7.1170604298065321E-5</v>
      </c>
      <c r="J112" s="25">
        <f>INDEX('Default Prob'!$C$3:$C$13, _xlfn.IFNA(MATCH(F112, 'Default Prob'!$B$3:$B$13, 1), 1))</f>
        <v>1.9099999999999999E-2</v>
      </c>
      <c r="K112" s="26">
        <f t="shared" si="16"/>
        <v>0.99261999249032273</v>
      </c>
      <c r="L112" s="27">
        <f t="shared" ca="1" si="17"/>
        <v>0</v>
      </c>
      <c r="M112" s="27">
        <f t="shared" ca="1" si="18"/>
        <v>2636.5874727466467</v>
      </c>
      <c r="N112" s="28">
        <f t="shared" ca="1" si="19"/>
        <v>0.18626268358586107</v>
      </c>
      <c r="O112" s="29">
        <f t="shared" ca="1" si="20"/>
        <v>600000</v>
      </c>
      <c r="P112" s="30">
        <f t="shared" ca="1" si="21"/>
        <v>42.387218822326396</v>
      </c>
    </row>
    <row r="113" spans="1:16" x14ac:dyDescent="0.25">
      <c r="A113" s="3">
        <f t="shared" si="22"/>
        <v>46269</v>
      </c>
      <c r="B113" s="21">
        <f t="shared" si="13"/>
        <v>36773</v>
      </c>
      <c r="C113" s="21">
        <f t="shared" si="14"/>
        <v>36789</v>
      </c>
      <c r="D113" s="1">
        <f t="shared" si="23"/>
        <v>0</v>
      </c>
      <c r="E113" s="3">
        <f t="array" ref="E113">INDEX($A$9:A112, MAX(IF($D$9:D112=1, ROW(D$9:$D112)-ROW($D$9)+1, 0)))</f>
        <v>46195</v>
      </c>
      <c r="F113" s="23">
        <f t="shared" si="15"/>
        <v>0.3942505133470226</v>
      </c>
      <c r="G113" s="5">
        <f>INDEX('Default Prob'!$P$5:$P$14,MIN(1+_xlfn.IFNA(MATCH(F113,'Default Prob'!$F$5:$F$14,1),0),COUNT('Default Prob'!$P$5:$P$14)))</f>
        <v>2.626278464496291E-2</v>
      </c>
      <c r="H113" s="5">
        <f t="shared" si="24"/>
        <v>0.98969930300530173</v>
      </c>
      <c r="I113" s="24">
        <f t="shared" si="25"/>
        <v>7.1165487060431687E-5</v>
      </c>
      <c r="J113" s="25">
        <f>INDEX('Default Prob'!$C$3:$C$13, _xlfn.IFNA(MATCH(F113, 'Default Prob'!$B$3:$B$13, 1), 1))</f>
        <v>1.9099999999999999E-2</v>
      </c>
      <c r="K113" s="26">
        <f t="shared" si="16"/>
        <v>0.99256857628344619</v>
      </c>
      <c r="L113" s="27">
        <f t="shared" ca="1" si="17"/>
        <v>0</v>
      </c>
      <c r="M113" s="27">
        <f t="shared" ca="1" si="18"/>
        <v>2672.7051093596151</v>
      </c>
      <c r="N113" s="28">
        <f t="shared" ca="1" si="19"/>
        <v>0.1887908716780719</v>
      </c>
      <c r="O113" s="29">
        <f t="shared" ca="1" si="20"/>
        <v>600000</v>
      </c>
      <c r="P113" s="30">
        <f t="shared" ca="1" si="21"/>
        <v>42.381975703254412</v>
      </c>
    </row>
    <row r="114" spans="1:16" x14ac:dyDescent="0.25">
      <c r="A114" s="3">
        <f t="shared" si="22"/>
        <v>46272</v>
      </c>
      <c r="B114" s="21">
        <f t="shared" si="13"/>
        <v>36776</v>
      </c>
      <c r="C114" s="21">
        <f t="shared" si="14"/>
        <v>36789</v>
      </c>
      <c r="D114" s="1">
        <f t="shared" si="23"/>
        <v>0</v>
      </c>
      <c r="E114" s="3">
        <f t="array" ref="E114">INDEX($A$9:A113, MAX(IF($D$9:D113=1, ROW(D$9:$D113)-ROW($D$9)+1, 0)))</f>
        <v>46195</v>
      </c>
      <c r="F114" s="23">
        <f t="shared" si="15"/>
        <v>0.40246406570841892</v>
      </c>
      <c r="G114" s="5">
        <f>INDEX('Default Prob'!$P$5:$P$14,MIN(1+_xlfn.IFNA(MATCH(F114,'Default Prob'!$F$5:$F$14,1),0),COUNT('Default Prob'!$P$5:$P$14)))</f>
        <v>2.626278464496291E-2</v>
      </c>
      <c r="H114" s="5">
        <f t="shared" si="24"/>
        <v>0.98948583724386707</v>
      </c>
      <c r="I114" s="24">
        <f t="shared" si="25"/>
        <v>2.1346576143466134E-4</v>
      </c>
      <c r="J114" s="25">
        <f>INDEX('Default Prob'!$C$3:$C$13, _xlfn.IFNA(MATCH(F114, 'Default Prob'!$B$3:$B$13, 1), 1))</f>
        <v>1.9099999999999999E-2</v>
      </c>
      <c r="K114" s="26">
        <f t="shared" si="16"/>
        <v>0.9924143436419528</v>
      </c>
      <c r="L114" s="27">
        <f t="shared" ca="1" si="17"/>
        <v>0</v>
      </c>
      <c r="M114" s="27">
        <f t="shared" ca="1" si="18"/>
        <v>2781.0580191985182</v>
      </c>
      <c r="N114" s="28">
        <f t="shared" ca="1" si="19"/>
        <v>0.58915736184400858</v>
      </c>
      <c r="O114" s="29">
        <f t="shared" ca="1" si="20"/>
        <v>600000</v>
      </c>
      <c r="P114" s="30">
        <f t="shared" ca="1" si="21"/>
        <v>127.10789011452546</v>
      </c>
    </row>
    <row r="115" spans="1:16" x14ac:dyDescent="0.25">
      <c r="A115" s="3">
        <f t="shared" si="22"/>
        <v>46273</v>
      </c>
      <c r="B115" s="21">
        <f t="shared" si="13"/>
        <v>36777</v>
      </c>
      <c r="C115" s="21">
        <f t="shared" si="14"/>
        <v>36789</v>
      </c>
      <c r="D115" s="1">
        <f t="shared" si="23"/>
        <v>0</v>
      </c>
      <c r="E115" s="3">
        <f t="array" ref="E115">INDEX($A$9:A114, MAX(IF($D$9:D114=1, ROW(D$9:$D114)-ROW($D$9)+1, 0)))</f>
        <v>46195</v>
      </c>
      <c r="F115" s="23">
        <f t="shared" si="15"/>
        <v>0.40520191649555098</v>
      </c>
      <c r="G115" s="5">
        <f>INDEX('Default Prob'!$P$5:$P$14,MIN(1+_xlfn.IFNA(MATCH(F115,'Default Prob'!$F$5:$F$14,1),0),COUNT('Default Prob'!$P$5:$P$14)))</f>
        <v>2.626278464496291E-2</v>
      </c>
      <c r="H115" s="5">
        <f t="shared" si="24"/>
        <v>0.98941469222207823</v>
      </c>
      <c r="I115" s="24">
        <f t="shared" si="25"/>
        <v>7.1145021788843188E-5</v>
      </c>
      <c r="J115" s="25">
        <f>INDEX('Default Prob'!$C$3:$C$13, _xlfn.IFNA(MATCH(F115, 'Default Prob'!$B$3:$B$13, 1), 1))</f>
        <v>1.9099999999999999E-2</v>
      </c>
      <c r="K115" s="26">
        <f t="shared" si="16"/>
        <v>0.99236293808737408</v>
      </c>
      <c r="L115" s="27">
        <f t="shared" ca="1" si="17"/>
        <v>0</v>
      </c>
      <c r="M115" s="27">
        <f t="shared" ca="1" si="18"/>
        <v>2817.1756558114857</v>
      </c>
      <c r="N115" s="28">
        <f t="shared" ca="1" si="19"/>
        <v>0.19889734219185576</v>
      </c>
      <c r="O115" s="29">
        <f t="shared" ca="1" si="20"/>
        <v>600000</v>
      </c>
      <c r="P115" s="30">
        <f t="shared" ca="1" si="21"/>
        <v>42.361009711600005</v>
      </c>
    </row>
    <row r="116" spans="1:16" x14ac:dyDescent="0.25">
      <c r="A116" s="3">
        <f t="shared" si="22"/>
        <v>46274</v>
      </c>
      <c r="B116" s="21">
        <f t="shared" si="13"/>
        <v>36778</v>
      </c>
      <c r="C116" s="21">
        <f t="shared" si="14"/>
        <v>36789</v>
      </c>
      <c r="D116" s="1">
        <f t="shared" si="23"/>
        <v>0</v>
      </c>
      <c r="E116" s="3">
        <f t="array" ref="E116">INDEX($A$9:A115, MAX(IF($D$9:D115=1, ROW(D$9:$D115)-ROW($D$9)+1, 0)))</f>
        <v>46195</v>
      </c>
      <c r="F116" s="23">
        <f t="shared" si="15"/>
        <v>0.40793976728268311</v>
      </c>
      <c r="G116" s="5">
        <f>INDEX('Default Prob'!$P$5:$P$14,MIN(1+_xlfn.IFNA(MATCH(F116,'Default Prob'!$F$5:$F$14,1),0),COUNT('Default Prob'!$P$5:$P$14)))</f>
        <v>2.626278464496291E-2</v>
      </c>
      <c r="H116" s="5">
        <f t="shared" si="24"/>
        <v>0.9893435523156876</v>
      </c>
      <c r="I116" s="24">
        <f t="shared" si="25"/>
        <v>7.1139906390627061E-5</v>
      </c>
      <c r="J116" s="25">
        <f>INDEX('Default Prob'!$C$3:$C$13, _xlfn.IFNA(MATCH(F116, 'Default Prob'!$B$3:$B$13, 1), 1))</f>
        <v>1.9099999999999999E-2</v>
      </c>
      <c r="K116" s="26">
        <f t="shared" si="16"/>
        <v>0.99231153519552473</v>
      </c>
      <c r="L116" s="27">
        <f t="shared" ca="1" si="17"/>
        <v>0</v>
      </c>
      <c r="M116" s="27">
        <f t="shared" ca="1" si="18"/>
        <v>2853.2932924244533</v>
      </c>
      <c r="N116" s="28">
        <f t="shared" ca="1" si="19"/>
        <v>0.20142238994037118</v>
      </c>
      <c r="O116" s="29">
        <f t="shared" ca="1" si="20"/>
        <v>600000</v>
      </c>
      <c r="P116" s="30">
        <f t="shared" ca="1" si="21"/>
        <v>42.355769834489436</v>
      </c>
    </row>
    <row r="117" spans="1:16" x14ac:dyDescent="0.25">
      <c r="A117" s="3">
        <f t="shared" si="22"/>
        <v>46275</v>
      </c>
      <c r="B117" s="21">
        <f t="shared" si="13"/>
        <v>36779</v>
      </c>
      <c r="C117" s="21">
        <f t="shared" si="14"/>
        <v>36789</v>
      </c>
      <c r="D117" s="1">
        <f t="shared" si="23"/>
        <v>0</v>
      </c>
      <c r="E117" s="3">
        <f t="array" ref="E117">INDEX($A$9:A116, MAX(IF($D$9:D116=1, ROW(D$9:$D116)-ROW($D$9)+1, 0)))</f>
        <v>46195</v>
      </c>
      <c r="F117" s="23">
        <f t="shared" si="15"/>
        <v>0.41067761806981518</v>
      </c>
      <c r="G117" s="5">
        <f>INDEX('Default Prob'!$P$5:$P$14,MIN(1+_xlfn.IFNA(MATCH(F117,'Default Prob'!$F$5:$F$14,1),0),COUNT('Default Prob'!$P$5:$P$14)))</f>
        <v>2.626278464496291E-2</v>
      </c>
      <c r="H117" s="5">
        <f t="shared" si="24"/>
        <v>0.98927241752432749</v>
      </c>
      <c r="I117" s="24">
        <f t="shared" si="25"/>
        <v>7.11347913601168E-5</v>
      </c>
      <c r="J117" s="25">
        <f>INDEX('Default Prob'!$C$3:$C$13, _xlfn.IFNA(MATCH(F117, 'Default Prob'!$B$3:$B$13, 1), 1))</f>
        <v>1.9099999999999999E-2</v>
      </c>
      <c r="K117" s="26">
        <f t="shared" si="16"/>
        <v>0.9922601349662673</v>
      </c>
      <c r="L117" s="27">
        <f t="shared" ca="1" si="17"/>
        <v>0</v>
      </c>
      <c r="M117" s="27">
        <f t="shared" ca="1" si="18"/>
        <v>2889.4109290374213</v>
      </c>
      <c r="N117" s="28">
        <f t="shared" ca="1" si="19"/>
        <v>0.20394680996997461</v>
      </c>
      <c r="O117" s="29">
        <f t="shared" ca="1" si="20"/>
        <v>600000</v>
      </c>
      <c r="P117" s="30">
        <f t="shared" ca="1" si="21"/>
        <v>42.350530605472059</v>
      </c>
    </row>
    <row r="118" spans="1:16" x14ac:dyDescent="0.25">
      <c r="A118" s="3">
        <f t="shared" si="22"/>
        <v>46276</v>
      </c>
      <c r="B118" s="21">
        <f t="shared" si="13"/>
        <v>36780</v>
      </c>
      <c r="C118" s="21">
        <f t="shared" si="14"/>
        <v>36789</v>
      </c>
      <c r="D118" s="1">
        <f t="shared" si="23"/>
        <v>0</v>
      </c>
      <c r="E118" s="3">
        <f t="array" ref="E118">INDEX($A$9:A117, MAX(IF($D$9:D117=1, ROW(D$9:$D117)-ROW($D$9)+1, 0)))</f>
        <v>46195</v>
      </c>
      <c r="F118" s="23">
        <f t="shared" si="15"/>
        <v>0.4134154688569473</v>
      </c>
      <c r="G118" s="5">
        <f>INDEX('Default Prob'!$P$5:$P$14,MIN(1+_xlfn.IFNA(MATCH(F118,'Default Prob'!$F$5:$F$14,1),0),COUNT('Default Prob'!$P$5:$P$14)))</f>
        <v>2.626278464496291E-2</v>
      </c>
      <c r="H118" s="5">
        <f t="shared" si="24"/>
        <v>0.98920128784763006</v>
      </c>
      <c r="I118" s="24">
        <f t="shared" si="25"/>
        <v>7.1129676697423427E-5</v>
      </c>
      <c r="J118" s="25">
        <f>INDEX('Default Prob'!$C$3:$C$13, _xlfn.IFNA(MATCH(F118, 'Default Prob'!$B$3:$B$13, 1), 1))</f>
        <v>1.9099999999999999E-2</v>
      </c>
      <c r="K118" s="26">
        <f t="shared" si="16"/>
        <v>0.99220873739946358</v>
      </c>
      <c r="L118" s="27">
        <f t="shared" ca="1" si="17"/>
        <v>0</v>
      </c>
      <c r="M118" s="27">
        <f t="shared" ca="1" si="18"/>
        <v>2925.5285656503888</v>
      </c>
      <c r="N118" s="28">
        <f t="shared" ca="1" si="19"/>
        <v>0.20647060239771206</v>
      </c>
      <c r="O118" s="29">
        <f t="shared" ca="1" si="20"/>
        <v>600000</v>
      </c>
      <c r="P118" s="30">
        <f t="shared" ca="1" si="21"/>
        <v>42.345292024549529</v>
      </c>
    </row>
    <row r="119" spans="1:16" x14ac:dyDescent="0.25">
      <c r="A119" s="3">
        <f t="shared" si="22"/>
        <v>46279</v>
      </c>
      <c r="B119" s="21">
        <f t="shared" si="13"/>
        <v>36783</v>
      </c>
      <c r="C119" s="21">
        <f t="shared" si="14"/>
        <v>36789</v>
      </c>
      <c r="D119" s="1">
        <f t="shared" si="23"/>
        <v>0</v>
      </c>
      <c r="E119" s="3">
        <f t="array" ref="E119">INDEX($A$9:A118, MAX(IF($D$9:D118=1, ROW(D$9:$D118)-ROW($D$9)+1, 0)))</f>
        <v>46195</v>
      </c>
      <c r="F119" s="23">
        <f t="shared" si="15"/>
        <v>0.42162902121834361</v>
      </c>
      <c r="G119" s="5">
        <f>INDEX('Default Prob'!$P$5:$P$14,MIN(1+_xlfn.IFNA(MATCH(F119,'Default Prob'!$F$5:$F$14,1),0),COUNT('Default Prob'!$P$5:$P$14)))</f>
        <v>2.626278464496291E-2</v>
      </c>
      <c r="H119" s="5">
        <f t="shared" si="24"/>
        <v>0.98898792950183623</v>
      </c>
      <c r="I119" s="24">
        <f t="shared" si="25"/>
        <v>2.1335834579383484E-4</v>
      </c>
      <c r="J119" s="25">
        <f>INDEX('Default Prob'!$C$3:$C$13, _xlfn.IFNA(MATCH(F119, 'Default Prob'!$B$3:$B$13, 1), 1))</f>
        <v>1.9099999999999999E-2</v>
      </c>
      <c r="K119" s="26">
        <f t="shared" si="16"/>
        <v>0.99205456067239572</v>
      </c>
      <c r="L119" s="27">
        <f t="shared" ca="1" si="17"/>
        <v>0</v>
      </c>
      <c r="M119" s="27">
        <f t="shared" ca="1" si="18"/>
        <v>3033.8814754892928</v>
      </c>
      <c r="N119" s="28">
        <f t="shared" ca="1" si="19"/>
        <v>0.6421608188192206</v>
      </c>
      <c r="O119" s="29">
        <f t="shared" ca="1" si="20"/>
        <v>600000</v>
      </c>
      <c r="P119" s="30">
        <f t="shared" ca="1" si="21"/>
        <v>126.99787200137514</v>
      </c>
    </row>
    <row r="120" spans="1:16" x14ac:dyDescent="0.25">
      <c r="A120" s="3">
        <f t="shared" si="22"/>
        <v>46280</v>
      </c>
      <c r="B120" s="21">
        <f t="shared" si="13"/>
        <v>36784</v>
      </c>
      <c r="C120" s="21">
        <f t="shared" si="14"/>
        <v>36789</v>
      </c>
      <c r="D120" s="1">
        <f t="shared" si="23"/>
        <v>0</v>
      </c>
      <c r="E120" s="3">
        <f t="array" ref="E120">INDEX($A$9:A119, MAX(IF($D$9:D119=1, ROW(D$9:$D119)-ROW($D$9)+1, 0)))</f>
        <v>46195</v>
      </c>
      <c r="F120" s="23">
        <f t="shared" si="15"/>
        <v>0.42436687200547568</v>
      </c>
      <c r="G120" s="5">
        <f>INDEX('Default Prob'!$P$5:$P$14,MIN(1+_xlfn.IFNA(MATCH(F120,'Default Prob'!$F$5:$F$14,1),0),COUNT('Default Prob'!$P$5:$P$14)))</f>
        <v>2.626278464496291E-2</v>
      </c>
      <c r="H120" s="5">
        <f t="shared" si="24"/>
        <v>0.9889168202801123</v>
      </c>
      <c r="I120" s="24">
        <f t="shared" si="25"/>
        <v>7.1109221723930638E-5</v>
      </c>
      <c r="J120" s="25">
        <f>INDEX('Default Prob'!$C$3:$C$13, _xlfn.IFNA(MATCH(F120, 'Default Prob'!$B$3:$B$13, 1), 1))</f>
        <v>1.9099999999999999E-2</v>
      </c>
      <c r="K120" s="26">
        <f t="shared" si="16"/>
        <v>0.9920031737540278</v>
      </c>
      <c r="L120" s="27">
        <f t="shared" ca="1" si="17"/>
        <v>0</v>
      </c>
      <c r="M120" s="27">
        <f t="shared" ca="1" si="18"/>
        <v>3069.9991121022604</v>
      </c>
      <c r="N120" s="28">
        <f t="shared" ca="1" si="19"/>
        <v>0.21655949842147051</v>
      </c>
      <c r="O120" s="29">
        <f t="shared" ca="1" si="20"/>
        <v>600000</v>
      </c>
      <c r="P120" s="30">
        <f t="shared" ca="1" si="21"/>
        <v>42.324344179990831</v>
      </c>
    </row>
    <row r="121" spans="1:16" x14ac:dyDescent="0.25">
      <c r="A121" s="3">
        <f t="shared" si="22"/>
        <v>46281</v>
      </c>
      <c r="B121" s="21">
        <f t="shared" si="13"/>
        <v>36785</v>
      </c>
      <c r="C121" s="21">
        <f t="shared" si="14"/>
        <v>36789</v>
      </c>
      <c r="D121" s="1">
        <f t="shared" si="23"/>
        <v>0</v>
      </c>
      <c r="E121" s="3">
        <f t="array" ref="E121">INDEX($A$9:A120, MAX(IF($D$9:D120=1, ROW(D$9:$D120)-ROW($D$9)+1, 0)))</f>
        <v>46195</v>
      </c>
      <c r="F121" s="23">
        <f t="shared" si="15"/>
        <v>0.4271047227926078</v>
      </c>
      <c r="G121" s="5">
        <f>INDEX('Default Prob'!$P$5:$P$14,MIN(1+_xlfn.IFNA(MATCH(F121,'Default Prob'!$F$5:$F$14,1),0),COUNT('Default Prob'!$P$5:$P$14)))</f>
        <v>2.626278464496291E-2</v>
      </c>
      <c r="H121" s="5">
        <f t="shared" si="24"/>
        <v>0.98884571617121253</v>
      </c>
      <c r="I121" s="24">
        <f t="shared" si="25"/>
        <v>7.1104108899766594E-5</v>
      </c>
      <c r="J121" s="25">
        <f>INDEX('Default Prob'!$C$3:$C$13, _xlfn.IFNA(MATCH(F121, 'Default Prob'!$B$3:$B$13, 1), 1))</f>
        <v>1.9099999999999999E-2</v>
      </c>
      <c r="K121" s="26">
        <f t="shared" si="16"/>
        <v>0.99195178949742435</v>
      </c>
      <c r="L121" s="27">
        <f t="shared" ca="1" si="17"/>
        <v>0</v>
      </c>
      <c r="M121" s="27">
        <f t="shared" ca="1" si="18"/>
        <v>3106.1167487152284</v>
      </c>
      <c r="N121" s="28">
        <f t="shared" ca="1" si="19"/>
        <v>0.21908015458863056</v>
      </c>
      <c r="O121" s="29">
        <f t="shared" ca="1" si="20"/>
        <v>600000</v>
      </c>
      <c r="P121" s="30">
        <f t="shared" ca="1" si="21"/>
        <v>42.319108838245924</v>
      </c>
    </row>
    <row r="122" spans="1:16" x14ac:dyDescent="0.25">
      <c r="A122" s="3">
        <f t="shared" si="22"/>
        <v>46282</v>
      </c>
      <c r="B122" s="21">
        <f t="shared" si="13"/>
        <v>36786</v>
      </c>
      <c r="C122" s="21">
        <f t="shared" si="14"/>
        <v>36789</v>
      </c>
      <c r="D122" s="1">
        <f t="shared" si="23"/>
        <v>0</v>
      </c>
      <c r="E122" s="3">
        <f t="array" ref="E122">INDEX($A$9:A121, MAX(IF($D$9:D121=1, ROW(D$9:$D121)-ROW($D$9)+1, 0)))</f>
        <v>46195</v>
      </c>
      <c r="F122" s="23">
        <f t="shared" si="15"/>
        <v>0.42984257357973993</v>
      </c>
      <c r="G122" s="5">
        <f>INDEX('Default Prob'!$P$5:$P$14,MIN(1+_xlfn.IFNA(MATCH(F122,'Default Prob'!$F$5:$F$14,1),0),COUNT('Default Prob'!$P$5:$P$14)))</f>
        <v>2.626278464496291E-2</v>
      </c>
      <c r="H122" s="5">
        <f t="shared" si="24"/>
        <v>0.98877461717476933</v>
      </c>
      <c r="I122" s="24">
        <f t="shared" si="25"/>
        <v>7.1098996443197393E-5</v>
      </c>
      <c r="J122" s="25">
        <f>INDEX('Default Prob'!$C$3:$C$13, _xlfn.IFNA(MATCH(F122, 'Default Prob'!$B$3:$B$13, 1), 1))</f>
        <v>1.9099999999999999E-2</v>
      </c>
      <c r="K122" s="26">
        <f t="shared" si="16"/>
        <v>0.99190040790244705</v>
      </c>
      <c r="L122" s="27">
        <f t="shared" ca="1" si="17"/>
        <v>0</v>
      </c>
      <c r="M122" s="27">
        <f t="shared" ca="1" si="18"/>
        <v>3142.2343853281959</v>
      </c>
      <c r="N122" s="28">
        <f t="shared" ca="1" si="19"/>
        <v>0.22160018385328215</v>
      </c>
      <c r="O122" s="29">
        <f t="shared" ca="1" si="20"/>
        <v>600000</v>
      </c>
      <c r="P122" s="30">
        <f t="shared" ca="1" si="21"/>
        <v>42.313874144077275</v>
      </c>
    </row>
    <row r="123" spans="1:16" x14ac:dyDescent="0.25">
      <c r="A123" s="3">
        <f t="shared" si="22"/>
        <v>46283</v>
      </c>
      <c r="B123" s="21">
        <f t="shared" si="13"/>
        <v>36787</v>
      </c>
      <c r="C123" s="21">
        <f t="shared" si="14"/>
        <v>36789</v>
      </c>
      <c r="D123" s="1">
        <f t="shared" si="23"/>
        <v>0</v>
      </c>
      <c r="E123" s="3">
        <f t="array" ref="E123">INDEX($A$9:A122, MAX(IF($D$9:D122=1, ROW(D$9:$D122)-ROW($D$9)+1, 0)))</f>
        <v>46195</v>
      </c>
      <c r="F123" s="23">
        <f t="shared" si="15"/>
        <v>0.432580424366872</v>
      </c>
      <c r="G123" s="5">
        <f>INDEX('Default Prob'!$P$5:$P$14,MIN(1+_xlfn.IFNA(MATCH(F123,'Default Prob'!$F$5:$F$14,1),0),COUNT('Default Prob'!$P$5:$P$14)))</f>
        <v>2.626278464496291E-2</v>
      </c>
      <c r="H123" s="5">
        <f t="shared" si="24"/>
        <v>0.98870352329041511</v>
      </c>
      <c r="I123" s="24">
        <f t="shared" si="25"/>
        <v>7.1093884354223036E-5</v>
      </c>
      <c r="J123" s="25">
        <f>INDEX('Default Prob'!$C$3:$C$13, _xlfn.IFNA(MATCH(F123, 'Default Prob'!$B$3:$B$13, 1), 1))</f>
        <v>1.9099999999999999E-2</v>
      </c>
      <c r="K123" s="26">
        <f t="shared" si="16"/>
        <v>0.99184902896895843</v>
      </c>
      <c r="L123" s="27">
        <f t="shared" ca="1" si="17"/>
        <v>0</v>
      </c>
      <c r="M123" s="27">
        <f t="shared" ca="1" si="18"/>
        <v>3178.3520219411635</v>
      </c>
      <c r="N123" s="28">
        <f t="shared" ca="1" si="19"/>
        <v>0.22411958633202916</v>
      </c>
      <c r="O123" s="29">
        <f t="shared" ca="1" si="20"/>
        <v>600000</v>
      </c>
      <c r="P123" s="30">
        <f t="shared" ca="1" si="21"/>
        <v>42.308640097420529</v>
      </c>
    </row>
    <row r="124" spans="1:16" x14ac:dyDescent="0.25">
      <c r="A124" s="3">
        <f t="shared" si="22"/>
        <v>46286</v>
      </c>
      <c r="B124" s="21">
        <f t="shared" si="13"/>
        <v>36790</v>
      </c>
      <c r="C124" s="21">
        <f t="shared" si="14"/>
        <v>36880</v>
      </c>
      <c r="D124" s="1">
        <f t="shared" si="23"/>
        <v>1</v>
      </c>
      <c r="E124" s="3">
        <f t="array" ref="E124">INDEX($A$9:A123, MAX(IF($D$9:D123=1, ROW(D$9:$D123)-ROW($D$9)+1, 0)))</f>
        <v>46195</v>
      </c>
      <c r="F124" s="23">
        <f t="shared" si="15"/>
        <v>0.44079397672826831</v>
      </c>
      <c r="G124" s="5">
        <f>INDEX('Default Prob'!$P$5:$P$14,MIN(1+_xlfn.IFNA(MATCH(F124,'Default Prob'!$F$5:$F$14,1),0),COUNT('Default Prob'!$P$5:$P$14)))</f>
        <v>2.626278464496291E-2</v>
      </c>
      <c r="H124" s="5">
        <f t="shared" si="24"/>
        <v>0.98849027230621078</v>
      </c>
      <c r="I124" s="24">
        <f t="shared" si="25"/>
        <v>2.1325098420432731E-4</v>
      </c>
      <c r="J124" s="25">
        <f>INDEX('Default Prob'!$C$3:$C$13, _xlfn.IFNA(MATCH(F124, 'Default Prob'!$B$3:$B$13, 1), 1))</f>
        <v>1.9099999999999999E-2</v>
      </c>
      <c r="K124" s="26">
        <f t="shared" si="16"/>
        <v>0.99169490813604522</v>
      </c>
      <c r="L124" s="27">
        <f t="shared" ca="1" si="17"/>
        <v>3286.7049317800665</v>
      </c>
      <c r="M124" s="27">
        <f t="shared" ca="1" si="18"/>
        <v>3286.7049317800665</v>
      </c>
      <c r="N124" s="28">
        <f t="shared" ca="1" si="19"/>
        <v>3222.5887126718776</v>
      </c>
      <c r="O124" s="29">
        <f t="shared" ca="1" si="20"/>
        <v>600000</v>
      </c>
      <c r="P124" s="30">
        <f t="shared" ca="1" si="21"/>
        <v>126.88794911425896</v>
      </c>
    </row>
    <row r="125" spans="1:16" x14ac:dyDescent="0.25">
      <c r="A125" s="3">
        <f t="shared" si="22"/>
        <v>46287</v>
      </c>
      <c r="B125" s="21">
        <f t="shared" si="13"/>
        <v>36791</v>
      </c>
      <c r="C125" s="21">
        <f t="shared" si="14"/>
        <v>36880</v>
      </c>
      <c r="D125" s="1">
        <f t="shared" si="23"/>
        <v>0</v>
      </c>
      <c r="E125" s="3">
        <f t="array" ref="E125">INDEX($A$9:A124, MAX(IF($D$9:D124=1, ROW(D$9:$D124)-ROW($D$9)+1, 0)))</f>
        <v>46286</v>
      </c>
      <c r="F125" s="23">
        <f t="shared" si="15"/>
        <v>0.44353182751540043</v>
      </c>
      <c r="G125" s="5">
        <f>INDEX('Default Prob'!$P$5:$P$14,MIN(1+_xlfn.IFNA(MATCH(F125,'Default Prob'!$F$5:$F$14,1),0),COUNT('Default Prob'!$P$5:$P$14)))</f>
        <v>2.626278464496291E-2</v>
      </c>
      <c r="H125" s="5">
        <f t="shared" si="24"/>
        <v>0.98841919886653717</v>
      </c>
      <c r="I125" s="24">
        <f t="shared" si="25"/>
        <v>7.1073439673607908E-5</v>
      </c>
      <c r="J125" s="25">
        <f>INDEX('Default Prob'!$C$3:$C$13, _xlfn.IFNA(MATCH(F125, 'Default Prob'!$B$3:$B$13, 1), 1))</f>
        <v>1.9099999999999999E-2</v>
      </c>
      <c r="K125" s="26">
        <f t="shared" si="16"/>
        <v>0.99164353984713205</v>
      </c>
      <c r="L125" s="27">
        <f t="shared" ca="1" si="17"/>
        <v>0</v>
      </c>
      <c r="M125" s="27">
        <f t="shared" ca="1" si="18"/>
        <v>36.117636612967765</v>
      </c>
      <c r="N125" s="28">
        <f t="shared" ca="1" si="19"/>
        <v>2.5455535947533372E-3</v>
      </c>
      <c r="O125" s="29">
        <f t="shared" ca="1" si="20"/>
        <v>600000</v>
      </c>
      <c r="P125" s="30">
        <f t="shared" ca="1" si="21"/>
        <v>42.28771038422888</v>
      </c>
    </row>
    <row r="126" spans="1:16" x14ac:dyDescent="0.25">
      <c r="A126" s="3">
        <f t="shared" si="22"/>
        <v>46288</v>
      </c>
      <c r="B126" s="21">
        <f t="shared" si="13"/>
        <v>36792</v>
      </c>
      <c r="C126" s="21">
        <f t="shared" si="14"/>
        <v>36880</v>
      </c>
      <c r="D126" s="1">
        <f t="shared" si="23"/>
        <v>0</v>
      </c>
      <c r="E126" s="3">
        <f t="array" ref="E126">INDEX($A$9:A125, MAX(IF($D$9:D125=1, ROW(D$9:$D125)-ROW($D$9)+1, 0)))</f>
        <v>46286</v>
      </c>
      <c r="F126" s="23">
        <f t="shared" si="15"/>
        <v>0.4462696783025325</v>
      </c>
      <c r="G126" s="5">
        <f>INDEX('Default Prob'!$P$5:$P$14,MIN(1+_xlfn.IFNA(MATCH(F126,'Default Prob'!$F$5:$F$14,1),0),COUNT('Default Prob'!$P$5:$P$14)))</f>
        <v>2.626278464496291E-2</v>
      </c>
      <c r="H126" s="5">
        <f t="shared" si="24"/>
        <v>0.9883481305371149</v>
      </c>
      <c r="I126" s="24">
        <f t="shared" si="25"/>
        <v>7.1068329422274701E-5</v>
      </c>
      <c r="J126" s="25">
        <f>INDEX('Default Prob'!$C$3:$C$13, _xlfn.IFNA(MATCH(F126, 'Default Prob'!$B$3:$B$13, 1), 1))</f>
        <v>1.9099999999999999E-2</v>
      </c>
      <c r="K126" s="26">
        <f t="shared" si="16"/>
        <v>0.99159217421901824</v>
      </c>
      <c r="L126" s="27">
        <f t="shared" ca="1" si="17"/>
        <v>0</v>
      </c>
      <c r="M126" s="27">
        <f t="shared" ca="1" si="18"/>
        <v>72.235273225935529</v>
      </c>
      <c r="N126" s="28">
        <f t="shared" ca="1" si="19"/>
        <v>5.0904774411593698E-3</v>
      </c>
      <c r="O126" s="29">
        <f t="shared" ca="1" si="20"/>
        <v>600000</v>
      </c>
      <c r="P126" s="30">
        <f t="shared" ca="1" si="21"/>
        <v>42.282479573968075</v>
      </c>
    </row>
    <row r="127" spans="1:16" x14ac:dyDescent="0.25">
      <c r="A127" s="3">
        <f t="shared" si="22"/>
        <v>46289</v>
      </c>
      <c r="B127" s="21">
        <f t="shared" si="13"/>
        <v>36793</v>
      </c>
      <c r="C127" s="21">
        <f t="shared" si="14"/>
        <v>36880</v>
      </c>
      <c r="D127" s="1">
        <f t="shared" si="23"/>
        <v>0</v>
      </c>
      <c r="E127" s="3">
        <f t="array" ref="E127">INDEX($A$9:A126, MAX(IF($D$9:D126=1, ROW(D$9:$D126)-ROW($D$9)+1, 0)))</f>
        <v>46286</v>
      </c>
      <c r="F127" s="23">
        <f t="shared" si="15"/>
        <v>0.44900752908966463</v>
      </c>
      <c r="G127" s="5">
        <f>INDEX('Default Prob'!$P$5:$P$14,MIN(1+_xlfn.IFNA(MATCH(F127,'Default Prob'!$F$5:$F$14,1),0),COUNT('Default Prob'!$P$5:$P$14)))</f>
        <v>2.626278464496291E-2</v>
      </c>
      <c r="H127" s="5">
        <f t="shared" si="24"/>
        <v>0.9882770673175767</v>
      </c>
      <c r="I127" s="24">
        <f t="shared" si="25"/>
        <v>7.1063219538203271E-5</v>
      </c>
      <c r="J127" s="25">
        <f>INDEX('Default Prob'!$C$3:$C$13, _xlfn.IFNA(MATCH(F127, 'Default Prob'!$B$3:$B$13, 1), 1))</f>
        <v>1.9099999999999999E-2</v>
      </c>
      <c r="K127" s="26">
        <f t="shared" si="16"/>
        <v>0.99154081125156601</v>
      </c>
      <c r="L127" s="27">
        <f t="shared" ca="1" si="17"/>
        <v>0</v>
      </c>
      <c r="M127" s="27">
        <f t="shared" ca="1" si="18"/>
        <v>108.35290983890332</v>
      </c>
      <c r="N127" s="28">
        <f t="shared" ca="1" si="19"/>
        <v>7.6347716560455905E-3</v>
      </c>
      <c r="O127" s="29">
        <f t="shared" ca="1" si="20"/>
        <v>600000</v>
      </c>
      <c r="P127" s="30">
        <f t="shared" ca="1" si="21"/>
        <v>42.277249410634923</v>
      </c>
    </row>
    <row r="128" spans="1:16" x14ac:dyDescent="0.25">
      <c r="A128" s="3">
        <f t="shared" si="22"/>
        <v>46290</v>
      </c>
      <c r="B128" s="21">
        <f t="shared" si="13"/>
        <v>36794</v>
      </c>
      <c r="C128" s="21">
        <f t="shared" si="14"/>
        <v>36880</v>
      </c>
      <c r="D128" s="1">
        <f t="shared" si="23"/>
        <v>0</v>
      </c>
      <c r="E128" s="3">
        <f t="array" ref="E128">INDEX($A$9:A127, MAX(IF($D$9:D127=1, ROW(D$9:$D127)-ROW($D$9)+1, 0)))</f>
        <v>46286</v>
      </c>
      <c r="F128" s="23">
        <f t="shared" si="15"/>
        <v>0.45174537987679669</v>
      </c>
      <c r="G128" s="5">
        <f>INDEX('Default Prob'!$P$5:$P$14,MIN(1+_xlfn.IFNA(MATCH(F128,'Default Prob'!$F$5:$F$14,1),0),COUNT('Default Prob'!$P$5:$P$14)))</f>
        <v>2.626278464496291E-2</v>
      </c>
      <c r="H128" s="5">
        <f t="shared" si="24"/>
        <v>0.98820600920755508</v>
      </c>
      <c r="I128" s="24">
        <f t="shared" si="25"/>
        <v>7.1058110021615661E-5</v>
      </c>
      <c r="J128" s="25">
        <f>INDEX('Default Prob'!$C$3:$C$13, _xlfn.IFNA(MATCH(F128, 'Default Prob'!$B$3:$B$13, 1), 1))</f>
        <v>1.9099999999999999E-2</v>
      </c>
      <c r="K128" s="26">
        <f t="shared" si="16"/>
        <v>0.99148945094463736</v>
      </c>
      <c r="L128" s="27">
        <f t="shared" ca="1" si="17"/>
        <v>0</v>
      </c>
      <c r="M128" s="27">
        <f t="shared" ca="1" si="18"/>
        <v>144.47054645187106</v>
      </c>
      <c r="N128" s="28">
        <f t="shared" ca="1" si="19"/>
        <v>1.0178436356255803E-2</v>
      </c>
      <c r="O128" s="29">
        <f t="shared" ca="1" si="20"/>
        <v>600000</v>
      </c>
      <c r="P128" s="30">
        <f t="shared" ca="1" si="21"/>
        <v>42.272019894297209</v>
      </c>
    </row>
    <row r="129" spans="1:16" x14ac:dyDescent="0.25">
      <c r="A129" s="3">
        <f t="shared" si="22"/>
        <v>46293</v>
      </c>
      <c r="B129" s="21">
        <f t="shared" si="13"/>
        <v>36797</v>
      </c>
      <c r="C129" s="21">
        <f t="shared" si="14"/>
        <v>36880</v>
      </c>
      <c r="D129" s="1">
        <f t="shared" si="23"/>
        <v>0</v>
      </c>
      <c r="E129" s="3">
        <f t="array" ref="E129">INDEX($A$9:A128, MAX(IF($D$9:D128=1, ROW(D$9:$D128)-ROW($D$9)+1, 0)))</f>
        <v>46286</v>
      </c>
      <c r="F129" s="23">
        <f t="shared" si="15"/>
        <v>0.45995893223819301</v>
      </c>
      <c r="G129" s="5">
        <f>INDEX('Default Prob'!$P$5:$P$14,MIN(1+_xlfn.IFNA(MATCH(F129,'Default Prob'!$F$5:$F$14,1),0),COUNT('Default Prob'!$P$5:$P$14)))</f>
        <v>2.626278464496291E-2</v>
      </c>
      <c r="H129" s="5">
        <f t="shared" si="24"/>
        <v>0.98799286553091592</v>
      </c>
      <c r="I129" s="24">
        <f t="shared" si="25"/>
        <v>2.1314367663916034E-4</v>
      </c>
      <c r="J129" s="25">
        <f>INDEX('Default Prob'!$C$3:$C$13, _xlfn.IFNA(MATCH(F129, 'Default Prob'!$B$3:$B$13, 1), 1))</f>
        <v>1.9099999999999999E-2</v>
      </c>
      <c r="K129" s="26">
        <f t="shared" si="16"/>
        <v>0.99133538598561499</v>
      </c>
      <c r="L129" s="27">
        <f t="shared" ca="1" si="17"/>
        <v>0</v>
      </c>
      <c r="M129" s="27">
        <f t="shared" ca="1" si="18"/>
        <v>252.82345629077437</v>
      </c>
      <c r="N129" s="28">
        <f t="shared" ca="1" si="19"/>
        <v>5.3420804711730753E-2</v>
      </c>
      <c r="O129" s="29">
        <f t="shared" ca="1" si="20"/>
        <v>600000</v>
      </c>
      <c r="P129" s="30">
        <f t="shared" ca="1" si="21"/>
        <v>126.77812137088509</v>
      </c>
    </row>
    <row r="130" spans="1:16" x14ac:dyDescent="0.25">
      <c r="A130" s="3">
        <f t="shared" si="22"/>
        <v>46294</v>
      </c>
      <c r="B130" s="21">
        <f t="shared" si="13"/>
        <v>36798</v>
      </c>
      <c r="C130" s="21">
        <f t="shared" si="14"/>
        <v>36880</v>
      </c>
      <c r="D130" s="1">
        <f t="shared" si="23"/>
        <v>0</v>
      </c>
      <c r="E130" s="3">
        <f t="array" ref="E130">INDEX($A$9:A129, MAX(IF($D$9:D129=1, ROW(D$9:$D129)-ROW($D$9)+1, 0)))</f>
        <v>46286</v>
      </c>
      <c r="F130" s="23">
        <f t="shared" si="15"/>
        <v>0.46269678302532513</v>
      </c>
      <c r="G130" s="5">
        <f>INDEX('Default Prob'!$P$5:$P$14,MIN(1+_xlfn.IFNA(MATCH(F130,'Default Prob'!$F$5:$F$14,1),0),COUNT('Default Prob'!$P$5:$P$14)))</f>
        <v>2.626278464496291E-2</v>
      </c>
      <c r="H130" s="5">
        <f t="shared" si="24"/>
        <v>0.98792182785528715</v>
      </c>
      <c r="I130" s="24">
        <f t="shared" si="25"/>
        <v>7.1037675628771169E-5</v>
      </c>
      <c r="J130" s="25">
        <f>INDEX('Default Prob'!$C$3:$C$13, _xlfn.IFNA(MATCH(F130, 'Default Prob'!$B$3:$B$13, 1), 1))</f>
        <v>1.9099999999999999E-2</v>
      </c>
      <c r="K130" s="26">
        <f t="shared" si="16"/>
        <v>0.99128403631940287</v>
      </c>
      <c r="L130" s="27">
        <f t="shared" ca="1" si="17"/>
        <v>0</v>
      </c>
      <c r="M130" s="27">
        <f t="shared" ca="1" si="18"/>
        <v>288.94109290374212</v>
      </c>
      <c r="N130" s="28">
        <f t="shared" ca="1" si="19"/>
        <v>2.0346802346130219E-2</v>
      </c>
      <c r="O130" s="29">
        <f t="shared" ca="1" si="20"/>
        <v>600000</v>
      </c>
      <c r="P130" s="30">
        <f t="shared" ca="1" si="21"/>
        <v>42.251108296822053</v>
      </c>
    </row>
    <row r="131" spans="1:16" x14ac:dyDescent="0.25">
      <c r="A131" s="3">
        <f t="shared" si="22"/>
        <v>46295</v>
      </c>
      <c r="B131" s="21">
        <f t="shared" si="13"/>
        <v>36799</v>
      </c>
      <c r="C131" s="21">
        <f t="shared" si="14"/>
        <v>36880</v>
      </c>
      <c r="D131" s="1">
        <f t="shared" si="23"/>
        <v>0</v>
      </c>
      <c r="E131" s="3">
        <f t="array" ref="E131">INDEX($A$9:A130, MAX(IF($D$9:D130=1, ROW(D$9:$D130)-ROW($D$9)+1, 0)))</f>
        <v>46286</v>
      </c>
      <c r="F131" s="23">
        <f t="shared" si="15"/>
        <v>0.4654346338124572</v>
      </c>
      <c r="G131" s="5">
        <f>INDEX('Default Prob'!$P$5:$P$14,MIN(1+_xlfn.IFNA(MATCH(F131,'Default Prob'!$F$5:$F$14,1),0),COUNT('Default Prob'!$P$5:$P$14)))</f>
        <v>2.626278464496291E-2</v>
      </c>
      <c r="H131" s="5">
        <f t="shared" si="24"/>
        <v>0.98785079528733832</v>
      </c>
      <c r="I131" s="24">
        <f t="shared" si="25"/>
        <v>7.1032567948825509E-5</v>
      </c>
      <c r="J131" s="25">
        <f>INDEX('Default Prob'!$C$3:$C$13, _xlfn.IFNA(MATCH(F131, 'Default Prob'!$B$3:$B$13, 1), 1))</f>
        <v>1.9099999999999999E-2</v>
      </c>
      <c r="K131" s="26">
        <f t="shared" si="16"/>
        <v>0.99123268931302533</v>
      </c>
      <c r="L131" s="27">
        <f t="shared" ca="1" si="17"/>
        <v>0</v>
      </c>
      <c r="M131" s="27">
        <f t="shared" ca="1" si="18"/>
        <v>325.05872951670989</v>
      </c>
      <c r="N131" s="28">
        <f t="shared" ca="1" si="19"/>
        <v>2.2887321224658249E-2</v>
      </c>
      <c r="O131" s="29">
        <f t="shared" ca="1" si="20"/>
        <v>600000</v>
      </c>
      <c r="P131" s="30">
        <f t="shared" ca="1" si="21"/>
        <v>42.245882014034713</v>
      </c>
    </row>
    <row r="132" spans="1:16" x14ac:dyDescent="0.25">
      <c r="A132" s="3">
        <f t="shared" si="22"/>
        <v>46296</v>
      </c>
      <c r="B132" s="21">
        <f t="shared" si="13"/>
        <v>36800</v>
      </c>
      <c r="C132" s="21">
        <f t="shared" si="14"/>
        <v>36880</v>
      </c>
      <c r="D132" s="1">
        <f t="shared" si="23"/>
        <v>0</v>
      </c>
      <c r="E132" s="3">
        <f t="array" ref="E132">INDEX($A$9:A131, MAX(IF($D$9:D131=1, ROW(D$9:$D131)-ROW($D$9)+1, 0)))</f>
        <v>46286</v>
      </c>
      <c r="F132" s="23">
        <f t="shared" si="15"/>
        <v>0.46817248459958932</v>
      </c>
      <c r="G132" s="5">
        <f>INDEX('Default Prob'!$P$5:$P$14,MIN(1+_xlfn.IFNA(MATCH(F132,'Default Prob'!$F$5:$F$14,1),0),COUNT('Default Prob'!$P$5:$P$14)))</f>
        <v>2.626278464496291E-2</v>
      </c>
      <c r="H132" s="5">
        <f t="shared" si="24"/>
        <v>0.98777976782670218</v>
      </c>
      <c r="I132" s="24">
        <f t="shared" si="25"/>
        <v>7.1027460636141626E-5</v>
      </c>
      <c r="J132" s="25">
        <f>INDEX('Default Prob'!$C$3:$C$13, _xlfn.IFNA(MATCH(F132, 'Default Prob'!$B$3:$B$13, 1), 1))</f>
        <v>1.9099999999999999E-2</v>
      </c>
      <c r="K132" s="26">
        <f t="shared" si="16"/>
        <v>0.99118134496634469</v>
      </c>
      <c r="L132" s="27">
        <f t="shared" ca="1" si="17"/>
        <v>0</v>
      </c>
      <c r="M132" s="27">
        <f t="shared" ca="1" si="18"/>
        <v>361.17636612967766</v>
      </c>
      <c r="N132" s="28">
        <f t="shared" ca="1" si="19"/>
        <v>2.5427211289065166E-2</v>
      </c>
      <c r="O132" s="29">
        <f t="shared" ca="1" si="20"/>
        <v>600000</v>
      </c>
      <c r="P132" s="30">
        <f t="shared" ca="1" si="21"/>
        <v>42.240656377724974</v>
      </c>
    </row>
    <row r="133" spans="1:16" x14ac:dyDescent="0.25">
      <c r="A133" s="3">
        <f t="shared" si="22"/>
        <v>46297</v>
      </c>
      <c r="B133" s="21">
        <f t="shared" si="13"/>
        <v>36801</v>
      </c>
      <c r="C133" s="21">
        <f t="shared" si="14"/>
        <v>36880</v>
      </c>
      <c r="D133" s="1">
        <f t="shared" si="23"/>
        <v>0</v>
      </c>
      <c r="E133" s="3">
        <f t="array" ref="E133">INDEX($A$9:A132, MAX(IF($D$9:D132=1, ROW(D$9:$D132)-ROW($D$9)+1, 0)))</f>
        <v>46286</v>
      </c>
      <c r="F133" s="23">
        <f t="shared" si="15"/>
        <v>0.47091033538672145</v>
      </c>
      <c r="G133" s="5">
        <f>INDEX('Default Prob'!$P$5:$P$14,MIN(1+_xlfn.IFNA(MATCH(F133,'Default Prob'!$F$5:$F$14,1),0),COUNT('Default Prob'!$P$5:$P$14)))</f>
        <v>2.626278464496291E-2</v>
      </c>
      <c r="H133" s="5">
        <f t="shared" si="24"/>
        <v>0.98770874547301157</v>
      </c>
      <c r="I133" s="24">
        <f t="shared" si="25"/>
        <v>7.1022353690608497E-5</v>
      </c>
      <c r="J133" s="25">
        <f>INDEX('Default Prob'!$C$3:$C$13, _xlfn.IFNA(MATCH(F133, 'Default Prob'!$B$3:$B$13, 1), 1))</f>
        <v>1.9099999999999999E-2</v>
      </c>
      <c r="K133" s="26">
        <f t="shared" si="16"/>
        <v>0.99113000327922318</v>
      </c>
      <c r="L133" s="27">
        <f t="shared" ca="1" si="17"/>
        <v>0</v>
      </c>
      <c r="M133" s="27">
        <f t="shared" ca="1" si="18"/>
        <v>397.29400274264543</v>
      </c>
      <c r="N133" s="28">
        <f t="shared" ca="1" si="19"/>
        <v>2.7966472656010925E-2</v>
      </c>
      <c r="O133" s="29">
        <f t="shared" ca="1" si="20"/>
        <v>600000</v>
      </c>
      <c r="P133" s="30">
        <f t="shared" ca="1" si="21"/>
        <v>42.235431387762567</v>
      </c>
    </row>
    <row r="134" spans="1:16" x14ac:dyDescent="0.25">
      <c r="A134" s="3">
        <f t="shared" si="22"/>
        <v>46300</v>
      </c>
      <c r="B134" s="21">
        <f t="shared" si="13"/>
        <v>36804</v>
      </c>
      <c r="C134" s="21">
        <f t="shared" si="14"/>
        <v>36880</v>
      </c>
      <c r="D134" s="1">
        <f t="shared" si="23"/>
        <v>0</v>
      </c>
      <c r="E134" s="3">
        <f t="array" ref="E134">INDEX($A$9:A133, MAX(IF($D$9:D133=1, ROW(D$9:$D133)-ROW($D$9)+1, 0)))</f>
        <v>46286</v>
      </c>
      <c r="F134" s="23">
        <f t="shared" si="15"/>
        <v>0.4791238877481177</v>
      </c>
      <c r="G134" s="5">
        <f>INDEX('Default Prob'!$P$5:$P$14,MIN(1+_xlfn.IFNA(MATCH(F134,'Default Prob'!$F$5:$F$14,1),0),COUNT('Default Prob'!$P$5:$P$14)))</f>
        <v>2.626278464496291E-2</v>
      </c>
      <c r="H134" s="5">
        <f t="shared" si="24"/>
        <v>0.98749570904994066</v>
      </c>
      <c r="I134" s="24">
        <f t="shared" si="25"/>
        <v>2.1303642307091142E-4</v>
      </c>
      <c r="J134" s="25">
        <f>INDEX('Default Prob'!$C$3:$C$13, _xlfn.IFNA(MATCH(F134, 'Default Prob'!$B$3:$B$13, 1), 1))</f>
        <v>1.9099999999999999E-2</v>
      </c>
      <c r="K134" s="26">
        <f t="shared" si="16"/>
        <v>0.99097599417383597</v>
      </c>
      <c r="L134" s="27">
        <f t="shared" ca="1" si="17"/>
        <v>0</v>
      </c>
      <c r="M134" s="27">
        <f t="shared" ca="1" si="18"/>
        <v>505.64691258154875</v>
      </c>
      <c r="N134" s="28">
        <f t="shared" ca="1" si="19"/>
        <v>0.1067491327702523</v>
      </c>
      <c r="O134" s="29">
        <f t="shared" ca="1" si="20"/>
        <v>600000</v>
      </c>
      <c r="P134" s="30">
        <f t="shared" ca="1" si="21"/>
        <v>126.66838868876063</v>
      </c>
    </row>
    <row r="135" spans="1:16" x14ac:dyDescent="0.25">
      <c r="A135" s="3">
        <f t="shared" si="22"/>
        <v>46301</v>
      </c>
      <c r="B135" s="21">
        <f t="shared" si="13"/>
        <v>36805</v>
      </c>
      <c r="C135" s="21">
        <f t="shared" si="14"/>
        <v>36880</v>
      </c>
      <c r="D135" s="1">
        <f t="shared" si="23"/>
        <v>0</v>
      </c>
      <c r="E135" s="3">
        <f t="array" ref="E135">INDEX($A$9:A134, MAX(IF($D$9:D134=1, ROW(D$9:$D134)-ROW($D$9)+1, 0)))</f>
        <v>46286</v>
      </c>
      <c r="F135" s="23">
        <f t="shared" si="15"/>
        <v>0.48186173853524983</v>
      </c>
      <c r="G135" s="5">
        <f>INDEX('Default Prob'!$P$5:$P$14,MIN(1+_xlfn.IFNA(MATCH(F135,'Default Prob'!$F$5:$F$14,1),0),COUNT('Default Prob'!$P$5:$P$14)))</f>
        <v>2.626278464496291E-2</v>
      </c>
      <c r="H135" s="5">
        <f t="shared" si="24"/>
        <v>0.98742470712036035</v>
      </c>
      <c r="I135" s="24">
        <f t="shared" si="25"/>
        <v>7.1001929580316592E-5</v>
      </c>
      <c r="J135" s="25">
        <f>INDEX('Default Prob'!$C$3:$C$13, _xlfn.IFNA(MATCH(F135, 'Default Prob'!$B$3:$B$13, 1), 1))</f>
        <v>1.9099999999999999E-2</v>
      </c>
      <c r="K135" s="26">
        <f t="shared" si="16"/>
        <v>0.9909246631235733</v>
      </c>
      <c r="L135" s="27">
        <f t="shared" ca="1" si="17"/>
        <v>0</v>
      </c>
      <c r="M135" s="27">
        <f t="shared" ca="1" si="18"/>
        <v>541.76454919451646</v>
      </c>
      <c r="N135" s="28">
        <f t="shared" ca="1" si="19"/>
        <v>3.8117233482654757E-2</v>
      </c>
      <c r="O135" s="29">
        <f t="shared" ca="1" si="20"/>
        <v>600000</v>
      </c>
      <c r="P135" s="30">
        <f t="shared" ca="1" si="21"/>
        <v>42.214537890299333</v>
      </c>
    </row>
    <row r="136" spans="1:16" x14ac:dyDescent="0.25">
      <c r="A136" s="3">
        <f t="shared" si="22"/>
        <v>46302</v>
      </c>
      <c r="B136" s="21">
        <f t="shared" si="13"/>
        <v>36806</v>
      </c>
      <c r="C136" s="21">
        <f t="shared" si="14"/>
        <v>36880</v>
      </c>
      <c r="D136" s="1">
        <f t="shared" si="23"/>
        <v>0</v>
      </c>
      <c r="E136" s="3">
        <f t="array" ref="E136">INDEX($A$9:A135, MAX(IF($D$9:D135=1, ROW(D$9:$D135)-ROW($D$9)+1, 0)))</f>
        <v>46286</v>
      </c>
      <c r="F136" s="23">
        <f t="shared" si="15"/>
        <v>0.48459958932238195</v>
      </c>
      <c r="G136" s="5">
        <f>INDEX('Default Prob'!$P$5:$P$14,MIN(1+_xlfn.IFNA(MATCH(F136,'Default Prob'!$F$5:$F$14,1),0),COUNT('Default Prob'!$P$5:$P$14)))</f>
        <v>2.626278464496291E-2</v>
      </c>
      <c r="H136" s="5">
        <f t="shared" si="24"/>
        <v>0.98735371029588981</v>
      </c>
      <c r="I136" s="24">
        <f t="shared" si="25"/>
        <v>7.0996824470537234E-5</v>
      </c>
      <c r="J136" s="25">
        <f>INDEX('Default Prob'!$C$3:$C$13, _xlfn.IFNA(MATCH(F136, 'Default Prob'!$B$3:$B$13, 1), 1))</f>
        <v>1.9099999999999999E-2</v>
      </c>
      <c r="K136" s="26">
        <f t="shared" si="16"/>
        <v>0.9908733347321812</v>
      </c>
      <c r="L136" s="27">
        <f t="shared" ca="1" si="17"/>
        <v>0</v>
      </c>
      <c r="M136" s="27">
        <f t="shared" ca="1" si="18"/>
        <v>577.88218580748423</v>
      </c>
      <c r="N136" s="28">
        <f t="shared" ca="1" si="19"/>
        <v>4.0653353112141515E-2</v>
      </c>
      <c r="O136" s="29">
        <f t="shared" ca="1" si="20"/>
        <v>600000</v>
      </c>
      <c r="P136" s="30">
        <f t="shared" ca="1" si="21"/>
        <v>42.209316131109929</v>
      </c>
    </row>
    <row r="137" spans="1:16" x14ac:dyDescent="0.25">
      <c r="A137" s="3">
        <f t="shared" si="22"/>
        <v>46303</v>
      </c>
      <c r="B137" s="21">
        <f t="shared" ref="B137:B200" si="26">DATE(2000, MONTH(A137), DAY(A137))</f>
        <v>36807</v>
      </c>
      <c r="C137" s="21">
        <f t="shared" ref="C137:C200" si="27">VLOOKUP(B137, $R$9:$S$13, 2)</f>
        <v>36880</v>
      </c>
      <c r="D137" s="1">
        <f t="shared" si="23"/>
        <v>0</v>
      </c>
      <c r="E137" s="3">
        <f t="array" ref="E137">INDEX($A$9:A136, MAX(IF($D$9:D136=1, ROW(D$9:$D136)-ROW($D$9)+1, 0)))</f>
        <v>46286</v>
      </c>
      <c r="F137" s="23">
        <f t="shared" ref="F137:F200" si="28">(A137-$A$2)/365.25</f>
        <v>0.48733744010951402</v>
      </c>
      <c r="G137" s="5">
        <f>INDEX('Default Prob'!$P$5:$P$14,MIN(1+_xlfn.IFNA(MATCH(F137,'Default Prob'!$F$5:$F$14,1),0),COUNT('Default Prob'!$P$5:$P$14)))</f>
        <v>2.626278464496291E-2</v>
      </c>
      <c r="H137" s="5">
        <f t="shared" si="24"/>
        <v>0.9872827185761619</v>
      </c>
      <c r="I137" s="24">
        <f t="shared" si="25"/>
        <v>7.0991719727908631E-5</v>
      </c>
      <c r="J137" s="25">
        <f>INDEX('Default Prob'!$C$3:$C$13, _xlfn.IFNA(MATCH(F137, 'Default Prob'!$B$3:$B$13, 1), 1))</f>
        <v>1.9099999999999999E-2</v>
      </c>
      <c r="K137" s="26">
        <f t="shared" ref="K137:K200" si="29">1/((1+J137)^F137)</f>
        <v>0.99082200899952177</v>
      </c>
      <c r="L137" s="27">
        <f t="shared" ref="L137:L200" ca="1" si="30">IF(AND(D137, A137 &lt;= $G$2), $D$5*$D$2*(A137-E137)/365.25, 0)</f>
        <v>0</v>
      </c>
      <c r="M137" s="27">
        <f t="shared" ref="M137:M200" ca="1" si="31">IF(A137&lt;=$G$2, $D$5*$D$2*(A137-E137)/365.25, 0)</f>
        <v>613.99982242045212</v>
      </c>
      <c r="N137" s="28">
        <f t="shared" ref="N137:N200" ca="1" si="32">(L137*H137 + M137*I137) * K137</f>
        <v>4.3188844743992851E-2</v>
      </c>
      <c r="O137" s="29">
        <f t="shared" ref="O137:O200" ca="1" si="33">IF(A137&lt;=$G$2, $D$2*(1-$D$3), 0)</f>
        <v>600000</v>
      </c>
      <c r="P137" s="30">
        <f t="shared" ref="P137:P200" ca="1" si="34">O137*I137*K137</f>
        <v>42.204095017882445</v>
      </c>
    </row>
    <row r="138" spans="1:16" x14ac:dyDescent="0.25">
      <c r="A138" s="3">
        <f t="shared" ref="A138:A201" si="35">WORKDAY(A137, 1)</f>
        <v>46304</v>
      </c>
      <c r="B138" s="21">
        <f t="shared" si="26"/>
        <v>36808</v>
      </c>
      <c r="C138" s="21">
        <f t="shared" si="27"/>
        <v>36880</v>
      </c>
      <c r="D138" s="1">
        <f t="shared" ref="D138:D201" si="36">IF(OR(C138=B138, AND(C138&lt;&gt;C137, C137&gt;B137)), 1, 0)</f>
        <v>0</v>
      </c>
      <c r="E138" s="3">
        <f t="array" ref="E138">INDEX($A$9:A137, MAX(IF($D$9:D137=1, ROW(D$9:$D137)-ROW($D$9)+1, 0)))</f>
        <v>46286</v>
      </c>
      <c r="F138" s="23">
        <f t="shared" si="28"/>
        <v>0.49007529089664614</v>
      </c>
      <c r="G138" s="5">
        <f>INDEX('Default Prob'!$P$5:$P$14,MIN(1+_xlfn.IFNA(MATCH(F138,'Default Prob'!$F$5:$F$14,1),0),COUNT('Default Prob'!$P$5:$P$14)))</f>
        <v>2.626278464496291E-2</v>
      </c>
      <c r="H138" s="5">
        <f t="shared" ref="H138:H201" si="37">H137*EXP(-G137*(F138-F137))</f>
        <v>0.98721173196080969</v>
      </c>
      <c r="I138" s="24">
        <f t="shared" ref="I138:I201" si="38">H137-H138</f>
        <v>7.0986615352208737E-5</v>
      </c>
      <c r="J138" s="25">
        <f>INDEX('Default Prob'!$C$3:$C$13, _xlfn.IFNA(MATCH(F138, 'Default Prob'!$B$3:$B$13, 1), 1))</f>
        <v>1.9099999999999999E-2</v>
      </c>
      <c r="K138" s="26">
        <f t="shared" si="29"/>
        <v>0.99077068592545714</v>
      </c>
      <c r="L138" s="27">
        <f t="shared" ca="1" si="30"/>
        <v>0</v>
      </c>
      <c r="M138" s="27">
        <f t="shared" ca="1" si="31"/>
        <v>650.11745903341978</v>
      </c>
      <c r="N138" s="28">
        <f t="shared" ca="1" si="32"/>
        <v>4.5723708494649212E-2</v>
      </c>
      <c r="O138" s="29">
        <f t="shared" ca="1" si="33"/>
        <v>600000</v>
      </c>
      <c r="P138" s="30">
        <f t="shared" ca="1" si="34"/>
        <v>42.198874550420662</v>
      </c>
    </row>
    <row r="139" spans="1:16" x14ac:dyDescent="0.25">
      <c r="A139" s="3">
        <f t="shared" si="35"/>
        <v>46307</v>
      </c>
      <c r="B139" s="21">
        <f t="shared" si="26"/>
        <v>36811</v>
      </c>
      <c r="C139" s="21">
        <f t="shared" si="27"/>
        <v>36880</v>
      </c>
      <c r="D139" s="1">
        <f t="shared" si="36"/>
        <v>0</v>
      </c>
      <c r="E139" s="3">
        <f t="array" ref="E139">INDEX($A$9:A138, MAX(IF($D$9:D138=1, ROW(D$9:$D138)-ROW($D$9)+1, 0)))</f>
        <v>46286</v>
      </c>
      <c r="F139" s="23">
        <f t="shared" si="28"/>
        <v>0.49828884325804246</v>
      </c>
      <c r="G139" s="5">
        <f>INDEX('Default Prob'!$P$5:$P$14,MIN(1+_xlfn.IFNA(MATCH(F139,'Default Prob'!$F$5:$F$14,1),0),COUNT('Default Prob'!$P$5:$P$14)))</f>
        <v>2.626278464496291E-2</v>
      </c>
      <c r="H139" s="5">
        <f t="shared" si="37"/>
        <v>0.9869988027373372</v>
      </c>
      <c r="I139" s="24">
        <f t="shared" si="38"/>
        <v>2.129292234724911E-4</v>
      </c>
      <c r="J139" s="25">
        <f>INDEX('Default Prob'!$C$3:$C$13, _xlfn.IFNA(MATCH(F139, 'Default Prob'!$B$3:$B$13, 1), 1))</f>
        <v>1.9099999999999999E-2</v>
      </c>
      <c r="K139" s="26">
        <f t="shared" si="29"/>
        <v>0.99061673265345596</v>
      </c>
      <c r="L139" s="27">
        <f t="shared" ca="1" si="30"/>
        <v>0</v>
      </c>
      <c r="M139" s="27">
        <f t="shared" ca="1" si="31"/>
        <v>758.47036887232321</v>
      </c>
      <c r="N139" s="28">
        <f t="shared" ca="1" si="32"/>
        <v>0.1599851042401825</v>
      </c>
      <c r="O139" s="29">
        <f t="shared" ca="1" si="33"/>
        <v>600000</v>
      </c>
      <c r="P139" s="30">
        <f t="shared" ca="1" si="34"/>
        <v>126.55875098565402</v>
      </c>
    </row>
    <row r="140" spans="1:16" x14ac:dyDescent="0.25">
      <c r="A140" s="3">
        <f t="shared" si="35"/>
        <v>46308</v>
      </c>
      <c r="B140" s="21">
        <f t="shared" si="26"/>
        <v>36812</v>
      </c>
      <c r="C140" s="21">
        <f t="shared" si="27"/>
        <v>36880</v>
      </c>
      <c r="D140" s="1">
        <f t="shared" si="36"/>
        <v>0</v>
      </c>
      <c r="E140" s="3">
        <f t="array" ref="E140">INDEX($A$9:A139, MAX(IF($D$9:D139=1, ROW(D$9:$D139)-ROW($D$9)+1, 0)))</f>
        <v>46286</v>
      </c>
      <c r="F140" s="23">
        <f t="shared" si="28"/>
        <v>0.50102669404517453</v>
      </c>
      <c r="G140" s="5">
        <f>INDEX('Default Prob'!$P$5:$P$14,MIN(1+_xlfn.IFNA(MATCH(F140,'Default Prob'!$F$5:$F$14,1),0),COUNT('Default Prob'!$P$5:$P$14)))</f>
        <v>2.626278464496291E-2</v>
      </c>
      <c r="H140" s="5">
        <f t="shared" si="37"/>
        <v>0.98692783653581795</v>
      </c>
      <c r="I140" s="24">
        <f t="shared" si="38"/>
        <v>7.0966201519251371E-5</v>
      </c>
      <c r="J140" s="25">
        <f>INDEX('Default Prob'!$C$3:$C$13, _xlfn.IFNA(MATCH(F140, 'Default Prob'!$B$3:$B$13, 1), 1))</f>
        <v>1.9099999999999999E-2</v>
      </c>
      <c r="K140" s="26">
        <f t="shared" si="29"/>
        <v>0.99056542021239402</v>
      </c>
      <c r="L140" s="27">
        <f t="shared" ca="1" si="30"/>
        <v>0</v>
      </c>
      <c r="M140" s="27">
        <f t="shared" ca="1" si="31"/>
        <v>794.58800548529086</v>
      </c>
      <c r="N140" s="28">
        <f t="shared" ca="1" si="32"/>
        <v>5.5856887016415155E-2</v>
      </c>
      <c r="O140" s="29">
        <f t="shared" ca="1" si="33"/>
        <v>600000</v>
      </c>
      <c r="P140" s="30">
        <f t="shared" ca="1" si="34"/>
        <v>42.1779991372768</v>
      </c>
    </row>
    <row r="141" spans="1:16" x14ac:dyDescent="0.25">
      <c r="A141" s="3">
        <f t="shared" si="35"/>
        <v>46309</v>
      </c>
      <c r="B141" s="21">
        <f t="shared" si="26"/>
        <v>36813</v>
      </c>
      <c r="C141" s="21">
        <f t="shared" si="27"/>
        <v>36880</v>
      </c>
      <c r="D141" s="1">
        <f t="shared" si="36"/>
        <v>0</v>
      </c>
      <c r="E141" s="3">
        <f t="array" ref="E141">INDEX($A$9:A140, MAX(IF($D$9:D140=1, ROW(D$9:$D140)-ROW($D$9)+1, 0)))</f>
        <v>46286</v>
      </c>
      <c r="F141" s="23">
        <f t="shared" si="28"/>
        <v>0.50376454483230659</v>
      </c>
      <c r="G141" s="5">
        <f>INDEX('Default Prob'!$P$5:$P$14,MIN(1+_xlfn.IFNA(MATCH(F141,'Default Prob'!$F$5:$F$14,1),0),COUNT('Default Prob'!$P$5:$P$14)))</f>
        <v>2.626278464496291E-2</v>
      </c>
      <c r="H141" s="5">
        <f t="shared" si="37"/>
        <v>0.98685687543683953</v>
      </c>
      <c r="I141" s="24">
        <f t="shared" si="38"/>
        <v>7.096109897841707E-5</v>
      </c>
      <c r="J141" s="25">
        <f>INDEX('Default Prob'!$C$3:$C$13, _xlfn.IFNA(MATCH(F141, 'Default Prob'!$B$3:$B$13, 1), 1))</f>
        <v>1.9099999999999999E-2</v>
      </c>
      <c r="K141" s="26">
        <f t="shared" si="29"/>
        <v>0.99051411042923865</v>
      </c>
      <c r="L141" s="27">
        <f t="shared" ca="1" si="30"/>
        <v>0</v>
      </c>
      <c r="M141" s="27">
        <f t="shared" ca="1" si="31"/>
        <v>830.70564209825864</v>
      </c>
      <c r="N141" s="28">
        <f t="shared" ca="1" si="32"/>
        <v>5.8388613109153949E-2</v>
      </c>
      <c r="O141" s="29">
        <f t="shared" ca="1" si="33"/>
        <v>600000</v>
      </c>
      <c r="P141" s="30">
        <f t="shared" ca="1" si="34"/>
        <v>42.172781897812762</v>
      </c>
    </row>
    <row r="142" spans="1:16" x14ac:dyDescent="0.25">
      <c r="A142" s="3">
        <f t="shared" si="35"/>
        <v>46310</v>
      </c>
      <c r="B142" s="21">
        <f t="shared" si="26"/>
        <v>36814</v>
      </c>
      <c r="C142" s="21">
        <f t="shared" si="27"/>
        <v>36880</v>
      </c>
      <c r="D142" s="1">
        <f t="shared" si="36"/>
        <v>0</v>
      </c>
      <c r="E142" s="3">
        <f t="array" ref="E142">INDEX($A$9:A141, MAX(IF($D$9:D141=1, ROW(D$9:$D141)-ROW($D$9)+1, 0)))</f>
        <v>46286</v>
      </c>
      <c r="F142" s="23">
        <f t="shared" si="28"/>
        <v>0.50650239561943877</v>
      </c>
      <c r="G142" s="5">
        <f>INDEX('Default Prob'!$P$5:$P$14,MIN(1+_xlfn.IFNA(MATCH(F142,'Default Prob'!$F$5:$F$14,1),0),COUNT('Default Prob'!$P$5:$P$14)))</f>
        <v>2.626278464496291E-2</v>
      </c>
      <c r="H142" s="5">
        <f t="shared" si="37"/>
        <v>0.98678591944003513</v>
      </c>
      <c r="I142" s="24">
        <f t="shared" si="38"/>
        <v>7.0955996804400456E-5</v>
      </c>
      <c r="J142" s="25">
        <f>INDEX('Default Prob'!$C$3:$C$13, _xlfn.IFNA(MATCH(F142, 'Default Prob'!$B$3:$B$13, 1), 1))</f>
        <v>1.9099999999999999E-2</v>
      </c>
      <c r="K142" s="26">
        <f t="shared" si="29"/>
        <v>0.99046280330385206</v>
      </c>
      <c r="L142" s="27">
        <f t="shared" ca="1" si="30"/>
        <v>0</v>
      </c>
      <c r="M142" s="27">
        <f t="shared" ca="1" si="31"/>
        <v>866.82327871122652</v>
      </c>
      <c r="N142" s="28">
        <f t="shared" ca="1" si="32"/>
        <v>6.0919712019652093E-2</v>
      </c>
      <c r="O142" s="29">
        <f t="shared" ca="1" si="33"/>
        <v>600000</v>
      </c>
      <c r="P142" s="30">
        <f t="shared" ca="1" si="34"/>
        <v>42.167565303663388</v>
      </c>
    </row>
    <row r="143" spans="1:16" x14ac:dyDescent="0.25">
      <c r="A143" s="3">
        <f t="shared" si="35"/>
        <v>46311</v>
      </c>
      <c r="B143" s="21">
        <f t="shared" si="26"/>
        <v>36815</v>
      </c>
      <c r="C143" s="21">
        <f t="shared" si="27"/>
        <v>36880</v>
      </c>
      <c r="D143" s="1">
        <f t="shared" si="36"/>
        <v>0</v>
      </c>
      <c r="E143" s="3">
        <f t="array" ref="E143">INDEX($A$9:A142, MAX(IF($D$9:D142=1, ROW(D$9:$D142)-ROW($D$9)+1, 0)))</f>
        <v>46286</v>
      </c>
      <c r="F143" s="23">
        <f t="shared" si="28"/>
        <v>0.50924024640657084</v>
      </c>
      <c r="G143" s="5">
        <f>INDEX('Default Prob'!$P$5:$P$14,MIN(1+_xlfn.IFNA(MATCH(F143,'Default Prob'!$F$5:$F$14,1),0),COUNT('Default Prob'!$P$5:$P$14)))</f>
        <v>2.626278464496291E-2</v>
      </c>
      <c r="H143" s="5">
        <f t="shared" si="37"/>
        <v>0.98671496854503793</v>
      </c>
      <c r="I143" s="24">
        <f t="shared" si="38"/>
        <v>7.095089499720153E-5</v>
      </c>
      <c r="J143" s="25">
        <f>INDEX('Default Prob'!$C$3:$C$13, _xlfn.IFNA(MATCH(F143, 'Default Prob'!$B$3:$B$13, 1), 1))</f>
        <v>1.9099999999999999E-2</v>
      </c>
      <c r="K143" s="26">
        <f t="shared" si="29"/>
        <v>0.99041149883609647</v>
      </c>
      <c r="L143" s="27">
        <f t="shared" ca="1" si="30"/>
        <v>0</v>
      </c>
      <c r="M143" s="27">
        <f t="shared" ca="1" si="31"/>
        <v>902.94091532419418</v>
      </c>
      <c r="N143" s="28">
        <f t="shared" ca="1" si="32"/>
        <v>6.3450183864349197E-2</v>
      </c>
      <c r="O143" s="29">
        <f t="shared" ca="1" si="33"/>
        <v>600000</v>
      </c>
      <c r="P143" s="30">
        <f t="shared" ca="1" si="34"/>
        <v>42.162349354764523</v>
      </c>
    </row>
    <row r="144" spans="1:16" x14ac:dyDescent="0.25">
      <c r="A144" s="3">
        <f t="shared" si="35"/>
        <v>46314</v>
      </c>
      <c r="B144" s="21">
        <f t="shared" si="26"/>
        <v>36818</v>
      </c>
      <c r="C144" s="21">
        <f t="shared" si="27"/>
        <v>36880</v>
      </c>
      <c r="D144" s="1">
        <f t="shared" si="36"/>
        <v>0</v>
      </c>
      <c r="E144" s="3">
        <f t="array" ref="E144">INDEX($A$9:A143, MAX(IF($D$9:D143=1, ROW(D$9:$D143)-ROW($D$9)+1, 0)))</f>
        <v>46286</v>
      </c>
      <c r="F144" s="23">
        <f t="shared" si="28"/>
        <v>0.51745379876796715</v>
      </c>
      <c r="G144" s="5">
        <f>INDEX('Default Prob'!$P$5:$P$14,MIN(1+_xlfn.IFNA(MATCH(F144,'Default Prob'!$F$5:$F$14,1),0),COUNT('Default Prob'!$P$5:$P$14)))</f>
        <v>2.626278464496291E-2</v>
      </c>
      <c r="H144" s="5">
        <f t="shared" si="37"/>
        <v>0.98650214646722112</v>
      </c>
      <c r="I144" s="24">
        <f t="shared" si="38"/>
        <v>2.1282207781680995E-4</v>
      </c>
      <c r="J144" s="25">
        <f>INDEX('Default Prob'!$C$3:$C$13, _xlfn.IFNA(MATCH(F144, 'Default Prob'!$B$3:$B$13, 1), 1))</f>
        <v>1.9099999999999999E-2</v>
      </c>
      <c r="K144" s="26">
        <f t="shared" si="29"/>
        <v>0.99025760137724006</v>
      </c>
      <c r="L144" s="27">
        <f t="shared" ca="1" si="30"/>
        <v>0</v>
      </c>
      <c r="M144" s="27">
        <f t="shared" ca="1" si="31"/>
        <v>1011.2938251630975</v>
      </c>
      <c r="N144" s="28">
        <f t="shared" ca="1" si="32"/>
        <v>0.21312883904764493</v>
      </c>
      <c r="O144" s="29">
        <f t="shared" ca="1" si="33"/>
        <v>600000</v>
      </c>
      <c r="P144" s="30">
        <f t="shared" ca="1" si="34"/>
        <v>126.44920817939673</v>
      </c>
    </row>
    <row r="145" spans="1:16" x14ac:dyDescent="0.25">
      <c r="A145" s="3">
        <f t="shared" si="35"/>
        <v>46315</v>
      </c>
      <c r="B145" s="21">
        <f t="shared" si="26"/>
        <v>36819</v>
      </c>
      <c r="C145" s="21">
        <f t="shared" si="27"/>
        <v>36880</v>
      </c>
      <c r="D145" s="1">
        <f t="shared" si="36"/>
        <v>0</v>
      </c>
      <c r="E145" s="3">
        <f t="array" ref="E145">INDEX($A$9:A144, MAX(IF($D$9:D144=1, ROW(D$9:$D144)-ROW($D$9)+1, 0)))</f>
        <v>46286</v>
      </c>
      <c r="F145" s="23">
        <f t="shared" si="28"/>
        <v>0.52019164955509922</v>
      </c>
      <c r="G145" s="5">
        <f>INDEX('Default Prob'!$P$5:$P$14,MIN(1+_xlfn.IFNA(MATCH(F145,'Default Prob'!$F$5:$F$14,1),0),COUNT('Default Prob'!$P$5:$P$14)))</f>
        <v>2.626278464496291E-2</v>
      </c>
      <c r="H145" s="5">
        <f t="shared" si="37"/>
        <v>0.98643121597578465</v>
      </c>
      <c r="I145" s="24">
        <f t="shared" si="38"/>
        <v>7.0930491436471677E-5</v>
      </c>
      <c r="J145" s="25">
        <f>INDEX('Default Prob'!$C$3:$C$13, _xlfn.IFNA(MATCH(F145, 'Default Prob'!$B$3:$B$13, 1), 1))</f>
        <v>1.9099999999999999E-2</v>
      </c>
      <c r="K145" s="26">
        <f t="shared" si="29"/>
        <v>0.99020630753863248</v>
      </c>
      <c r="L145" s="27">
        <f t="shared" ca="1" si="30"/>
        <v>0</v>
      </c>
      <c r="M145" s="27">
        <f t="shared" ca="1" si="31"/>
        <v>1047.4114617760652</v>
      </c>
      <c r="N145" s="28">
        <f t="shared" ca="1" si="32"/>
        <v>7.3565802913265713E-2</v>
      </c>
      <c r="O145" s="29">
        <f t="shared" ca="1" si="33"/>
        <v>600000</v>
      </c>
      <c r="P145" s="30">
        <f t="shared" ca="1" si="34"/>
        <v>42.141492010325528</v>
      </c>
    </row>
    <row r="146" spans="1:16" x14ac:dyDescent="0.25">
      <c r="A146" s="3">
        <f t="shared" si="35"/>
        <v>46316</v>
      </c>
      <c r="B146" s="21">
        <f t="shared" si="26"/>
        <v>36820</v>
      </c>
      <c r="C146" s="21">
        <f t="shared" si="27"/>
        <v>36880</v>
      </c>
      <c r="D146" s="1">
        <f t="shared" si="36"/>
        <v>0</v>
      </c>
      <c r="E146" s="3">
        <f t="array" ref="E146">INDEX($A$9:A145, MAX(IF($D$9:D145=1, ROW(D$9:$D145)-ROW($D$9)+1, 0)))</f>
        <v>46286</v>
      </c>
      <c r="F146" s="23">
        <f t="shared" si="28"/>
        <v>0.5229295003422314</v>
      </c>
      <c r="G146" s="5">
        <f>INDEX('Default Prob'!$P$5:$P$14,MIN(1+_xlfn.IFNA(MATCH(F146,'Default Prob'!$F$5:$F$14,1),0),COUNT('Default Prob'!$P$5:$P$14)))</f>
        <v>2.626278464496291E-2</v>
      </c>
      <c r="H146" s="5">
        <f t="shared" si="37"/>
        <v>0.98636029058432151</v>
      </c>
      <c r="I146" s="24">
        <f t="shared" si="38"/>
        <v>7.0925391463139142E-5</v>
      </c>
      <c r="J146" s="25">
        <f>INDEX('Default Prob'!$C$3:$C$13, _xlfn.IFNA(MATCH(F146, 'Default Prob'!$B$3:$B$13, 1), 1))</f>
        <v>1.9099999999999999E-2</v>
      </c>
      <c r="K146" s="26">
        <f t="shared" si="29"/>
        <v>0.99015501635696779</v>
      </c>
      <c r="L146" s="27">
        <f t="shared" ca="1" si="30"/>
        <v>0</v>
      </c>
      <c r="M146" s="27">
        <f t="shared" ca="1" si="31"/>
        <v>1083.5290983890329</v>
      </c>
      <c r="N146" s="28">
        <f t="shared" ca="1" si="32"/>
        <v>7.6093141174770479E-2</v>
      </c>
      <c r="O146" s="29">
        <f t="shared" ca="1" si="33"/>
        <v>600000</v>
      </c>
      <c r="P146" s="30">
        <f t="shared" ca="1" si="34"/>
        <v>42.136279286585328</v>
      </c>
    </row>
    <row r="147" spans="1:16" x14ac:dyDescent="0.25">
      <c r="A147" s="3">
        <f t="shared" si="35"/>
        <v>46317</v>
      </c>
      <c r="B147" s="21">
        <f t="shared" si="26"/>
        <v>36821</v>
      </c>
      <c r="C147" s="21">
        <f t="shared" si="27"/>
        <v>36880</v>
      </c>
      <c r="D147" s="1">
        <f t="shared" si="36"/>
        <v>0</v>
      </c>
      <c r="E147" s="3">
        <f t="array" ref="E147">INDEX($A$9:A146, MAX(IF($D$9:D146=1, ROW(D$9:$D146)-ROW($D$9)+1, 0)))</f>
        <v>46286</v>
      </c>
      <c r="F147" s="23">
        <f t="shared" si="28"/>
        <v>0.52566735112936347</v>
      </c>
      <c r="G147" s="5">
        <f>INDEX('Default Prob'!$P$5:$P$14,MIN(1+_xlfn.IFNA(MATCH(F147,'Default Prob'!$F$5:$F$14,1),0),COUNT('Default Prob'!$P$5:$P$14)))</f>
        <v>2.626278464496291E-2</v>
      </c>
      <c r="H147" s="5">
        <f t="shared" si="37"/>
        <v>0.986289370292465</v>
      </c>
      <c r="I147" s="24">
        <f t="shared" si="38"/>
        <v>7.0920291856513273E-5</v>
      </c>
      <c r="J147" s="25">
        <f>INDEX('Default Prob'!$C$3:$C$13, _xlfn.IFNA(MATCH(F147, 'Default Prob'!$B$3:$B$13, 1), 1))</f>
        <v>1.9099999999999999E-2</v>
      </c>
      <c r="K147" s="26">
        <f t="shared" si="29"/>
        <v>0.9901037278321082</v>
      </c>
      <c r="L147" s="27">
        <f t="shared" ca="1" si="30"/>
        <v>0</v>
      </c>
      <c r="M147" s="27">
        <f t="shared" ca="1" si="31"/>
        <v>1119.6467350020009</v>
      </c>
      <c r="N147" s="28">
        <f t="shared" ca="1" si="32"/>
        <v>7.8619853068649215E-2</v>
      </c>
      <c r="O147" s="29">
        <f t="shared" ca="1" si="33"/>
        <v>600000</v>
      </c>
      <c r="P147" s="30">
        <f t="shared" ca="1" si="34"/>
        <v>42.131067207644939</v>
      </c>
    </row>
    <row r="148" spans="1:16" x14ac:dyDescent="0.25">
      <c r="A148" s="3">
        <f t="shared" si="35"/>
        <v>46318</v>
      </c>
      <c r="B148" s="21">
        <f t="shared" si="26"/>
        <v>36822</v>
      </c>
      <c r="C148" s="21">
        <f t="shared" si="27"/>
        <v>36880</v>
      </c>
      <c r="D148" s="1">
        <f t="shared" si="36"/>
        <v>0</v>
      </c>
      <c r="E148" s="3">
        <f t="array" ref="E148">INDEX($A$9:A147, MAX(IF($D$9:D147=1, ROW(D$9:$D147)-ROW($D$9)+1, 0)))</f>
        <v>46286</v>
      </c>
      <c r="F148" s="23">
        <f t="shared" si="28"/>
        <v>0.52840520191649554</v>
      </c>
      <c r="G148" s="5">
        <f>INDEX('Default Prob'!$P$5:$P$14,MIN(1+_xlfn.IFNA(MATCH(F148,'Default Prob'!$F$5:$F$14,1),0),COUNT('Default Prob'!$P$5:$P$14)))</f>
        <v>2.626278464496291E-2</v>
      </c>
      <c r="H148" s="5">
        <f t="shared" si="37"/>
        <v>0.9862184550998484</v>
      </c>
      <c r="I148" s="24">
        <f t="shared" si="38"/>
        <v>7.0915192616594069E-5</v>
      </c>
      <c r="J148" s="25">
        <f>INDEX('Default Prob'!$C$3:$C$13, _xlfn.IFNA(MATCH(F148, 'Default Prob'!$B$3:$B$13, 1), 1))</f>
        <v>1.9099999999999999E-2</v>
      </c>
      <c r="K148" s="26">
        <f t="shared" si="29"/>
        <v>0.9900524419639164</v>
      </c>
      <c r="L148" s="27">
        <f t="shared" ca="1" si="30"/>
        <v>0</v>
      </c>
      <c r="M148" s="27">
        <f t="shared" ca="1" si="31"/>
        <v>1155.7643716149685</v>
      </c>
      <c r="N148" s="28">
        <f t="shared" ca="1" si="32"/>
        <v>8.1145938711221652E-2</v>
      </c>
      <c r="O148" s="29">
        <f t="shared" ca="1" si="33"/>
        <v>600000</v>
      </c>
      <c r="P148" s="30">
        <f t="shared" ca="1" si="34"/>
        <v>42.125855773440271</v>
      </c>
    </row>
    <row r="149" spans="1:16" x14ac:dyDescent="0.25">
      <c r="A149" s="3">
        <f t="shared" si="35"/>
        <v>46321</v>
      </c>
      <c r="B149" s="21">
        <f t="shared" si="26"/>
        <v>36825</v>
      </c>
      <c r="C149" s="21">
        <f t="shared" si="27"/>
        <v>36880</v>
      </c>
      <c r="D149" s="1">
        <f t="shared" si="36"/>
        <v>0</v>
      </c>
      <c r="E149" s="3">
        <f t="array" ref="E149">INDEX($A$9:A148, MAX(IF($D$9:D148=1, ROW(D$9:$D148)-ROW($D$9)+1, 0)))</f>
        <v>46286</v>
      </c>
      <c r="F149" s="23">
        <f t="shared" si="28"/>
        <v>0.53661875427789185</v>
      </c>
      <c r="G149" s="5">
        <f>INDEX('Default Prob'!$P$5:$P$14,MIN(1+_xlfn.IFNA(MATCH(F149,'Default Prob'!$F$5:$F$14,1),0),COUNT('Default Prob'!$P$5:$P$14)))</f>
        <v>2.626278464496291E-2</v>
      </c>
      <c r="H149" s="5">
        <f t="shared" si="37"/>
        <v>0.98600574011377184</v>
      </c>
      <c r="I149" s="24">
        <f t="shared" si="38"/>
        <v>2.1271498607655648E-4</v>
      </c>
      <c r="J149" s="25">
        <f>INDEX('Default Prob'!$C$3:$C$13, _xlfn.IFNA(MATCH(F149, 'Default Prob'!$B$3:$B$13, 1), 1))</f>
        <v>1.9099999999999999E-2</v>
      </c>
      <c r="K149" s="26">
        <f t="shared" si="29"/>
        <v>0.98989860029797039</v>
      </c>
      <c r="L149" s="27">
        <f t="shared" ca="1" si="30"/>
        <v>0</v>
      </c>
      <c r="M149" s="27">
        <f t="shared" ca="1" si="31"/>
        <v>1264.1172814538718</v>
      </c>
      <c r="N149" s="28">
        <f t="shared" ca="1" si="32"/>
        <v>0.26618045698012383</v>
      </c>
      <c r="O149" s="29">
        <f t="shared" ca="1" si="33"/>
        <v>600000</v>
      </c>
      <c r="P149" s="30">
        <f t="shared" ca="1" si="34"/>
        <v>126.33976018775132</v>
      </c>
    </row>
    <row r="150" spans="1:16" x14ac:dyDescent="0.25">
      <c r="A150" s="3">
        <f t="shared" si="35"/>
        <v>46322</v>
      </c>
      <c r="B150" s="21">
        <f t="shared" si="26"/>
        <v>36826</v>
      </c>
      <c r="C150" s="21">
        <f t="shared" si="27"/>
        <v>36880</v>
      </c>
      <c r="D150" s="1">
        <f t="shared" si="36"/>
        <v>0</v>
      </c>
      <c r="E150" s="3">
        <f t="array" ref="E150">INDEX($A$9:A149, MAX(IF($D$9:D149=1, ROW(D$9:$D149)-ROW($D$9)+1, 0)))</f>
        <v>46286</v>
      </c>
      <c r="F150" s="23">
        <f t="shared" si="28"/>
        <v>0.53935660506502392</v>
      </c>
      <c r="G150" s="5">
        <f>INDEX('Default Prob'!$P$5:$P$14,MIN(1+_xlfn.IFNA(MATCH(F150,'Default Prob'!$F$5:$F$14,1),0),COUNT('Default Prob'!$P$5:$P$14)))</f>
        <v>2.626278464496291E-2</v>
      </c>
      <c r="H150" s="5">
        <f t="shared" si="37"/>
        <v>0.98593484531444886</v>
      </c>
      <c r="I150" s="24">
        <f t="shared" si="38"/>
        <v>7.0894799322984703E-5</v>
      </c>
      <c r="J150" s="25">
        <f>INDEX('Default Prob'!$C$3:$C$13, _xlfn.IFNA(MATCH(F150, 'Default Prob'!$B$3:$B$13, 1), 1))</f>
        <v>1.9099999999999999E-2</v>
      </c>
      <c r="K150" s="26">
        <f t="shared" si="29"/>
        <v>0.98984732505507311</v>
      </c>
      <c r="L150" s="27">
        <f t="shared" ca="1" si="30"/>
        <v>0</v>
      </c>
      <c r="M150" s="27">
        <f t="shared" ca="1" si="31"/>
        <v>1300.2349180668396</v>
      </c>
      <c r="N150" s="28">
        <f t="shared" ca="1" si="32"/>
        <v>9.1244021093018102E-2</v>
      </c>
      <c r="O150" s="29">
        <f t="shared" ca="1" si="33"/>
        <v>600000</v>
      </c>
      <c r="P150" s="30">
        <f t="shared" ca="1" si="34"/>
        <v>42.105016482103572</v>
      </c>
    </row>
    <row r="151" spans="1:16" x14ac:dyDescent="0.25">
      <c r="A151" s="3">
        <f t="shared" si="35"/>
        <v>46323</v>
      </c>
      <c r="B151" s="21">
        <f t="shared" si="26"/>
        <v>36827</v>
      </c>
      <c r="C151" s="21">
        <f t="shared" si="27"/>
        <v>36880</v>
      </c>
      <c r="D151" s="1">
        <f t="shared" si="36"/>
        <v>0</v>
      </c>
      <c r="E151" s="3">
        <f t="array" ref="E151">INDEX($A$9:A150, MAX(IF($D$9:D150=1, ROW(D$9:$D150)-ROW($D$9)+1, 0)))</f>
        <v>46286</v>
      </c>
      <c r="F151" s="23">
        <f t="shared" si="28"/>
        <v>0.5420944558521561</v>
      </c>
      <c r="G151" s="5">
        <f>INDEX('Default Prob'!$P$5:$P$14,MIN(1+_xlfn.IFNA(MATCH(F151,'Default Prob'!$F$5:$F$14,1),0),COUNT('Default Prob'!$P$5:$P$14)))</f>
        <v>2.626278464496291E-2</v>
      </c>
      <c r="H151" s="5">
        <f t="shared" si="37"/>
        <v>0.98586395561253293</v>
      </c>
      <c r="I151" s="24">
        <f t="shared" si="38"/>
        <v>7.088970191593269E-5</v>
      </c>
      <c r="J151" s="25">
        <f>INDEX('Default Prob'!$C$3:$C$13, _xlfn.IFNA(MATCH(F151, 'Default Prob'!$B$3:$B$13, 1), 1))</f>
        <v>1.9099999999999999E-2</v>
      </c>
      <c r="K151" s="26">
        <f t="shared" si="29"/>
        <v>0.98979605246815539</v>
      </c>
      <c r="L151" s="27">
        <f t="shared" ca="1" si="30"/>
        <v>0</v>
      </c>
      <c r="M151" s="27">
        <f t="shared" ca="1" si="31"/>
        <v>1336.3525546798076</v>
      </c>
      <c r="N151" s="28">
        <f t="shared" ca="1" si="32"/>
        <v>9.3766977222399087E-2</v>
      </c>
      <c r="O151" s="29">
        <f t="shared" ca="1" si="33"/>
        <v>600000</v>
      </c>
      <c r="P151" s="30">
        <f t="shared" ca="1" si="34"/>
        <v>42.099808270220642</v>
      </c>
    </row>
    <row r="152" spans="1:16" x14ac:dyDescent="0.25">
      <c r="A152" s="3">
        <f t="shared" si="35"/>
        <v>46324</v>
      </c>
      <c r="B152" s="21">
        <f t="shared" si="26"/>
        <v>36828</v>
      </c>
      <c r="C152" s="21">
        <f t="shared" si="27"/>
        <v>36880</v>
      </c>
      <c r="D152" s="1">
        <f t="shared" si="36"/>
        <v>0</v>
      </c>
      <c r="E152" s="3">
        <f t="array" ref="E152">INDEX($A$9:A151, MAX(IF($D$9:D151=1, ROW(D$9:$D151)-ROW($D$9)+1, 0)))</f>
        <v>46286</v>
      </c>
      <c r="F152" s="23">
        <f t="shared" si="28"/>
        <v>0.54483230663928817</v>
      </c>
      <c r="G152" s="5">
        <f>INDEX('Default Prob'!$P$5:$P$14,MIN(1+_xlfn.IFNA(MATCH(F152,'Default Prob'!$F$5:$F$14,1),0),COUNT('Default Prob'!$P$5:$P$14)))</f>
        <v>2.626278464496291E-2</v>
      </c>
      <c r="H152" s="5">
        <f t="shared" si="37"/>
        <v>0.98579307100765745</v>
      </c>
      <c r="I152" s="24">
        <f t="shared" si="38"/>
        <v>7.088460487547632E-5</v>
      </c>
      <c r="J152" s="25">
        <f>INDEX('Default Prob'!$C$3:$C$13, _xlfn.IFNA(MATCH(F152, 'Default Prob'!$B$3:$B$13, 1), 1))</f>
        <v>1.9099999999999999E-2</v>
      </c>
      <c r="K152" s="26">
        <f t="shared" si="29"/>
        <v>0.98974478253707976</v>
      </c>
      <c r="L152" s="27">
        <f t="shared" ca="1" si="30"/>
        <v>0</v>
      </c>
      <c r="M152" s="27">
        <f t="shared" ca="1" si="31"/>
        <v>1372.4701912927751</v>
      </c>
      <c r="N152" s="28">
        <f t="shared" ca="1" si="32"/>
        <v>9.6289307797870136E-2</v>
      </c>
      <c r="O152" s="29">
        <f t="shared" ca="1" si="33"/>
        <v>600000</v>
      </c>
      <c r="P152" s="30">
        <f t="shared" ca="1" si="34"/>
        <v>42.094600702623083</v>
      </c>
    </row>
    <row r="153" spans="1:16" x14ac:dyDescent="0.25">
      <c r="A153" s="3">
        <f t="shared" si="35"/>
        <v>46325</v>
      </c>
      <c r="B153" s="21">
        <f t="shared" si="26"/>
        <v>36829</v>
      </c>
      <c r="C153" s="21">
        <f t="shared" si="27"/>
        <v>36880</v>
      </c>
      <c r="D153" s="1">
        <f t="shared" si="36"/>
        <v>0</v>
      </c>
      <c r="E153" s="3">
        <f t="array" ref="E153">INDEX($A$9:A152, MAX(IF($D$9:D152=1, ROW(D$9:$D152)-ROW($D$9)+1, 0)))</f>
        <v>46286</v>
      </c>
      <c r="F153" s="23">
        <f t="shared" si="28"/>
        <v>0.54757015742642023</v>
      </c>
      <c r="G153" s="5">
        <f>INDEX('Default Prob'!$P$5:$P$14,MIN(1+_xlfn.IFNA(MATCH(F153,'Default Prob'!$F$5:$F$14,1),0),COUNT('Default Prob'!$P$5:$P$14)))</f>
        <v>2.626278464496291E-2</v>
      </c>
      <c r="H153" s="5">
        <f t="shared" si="37"/>
        <v>0.98572219149945606</v>
      </c>
      <c r="I153" s="24">
        <f t="shared" si="38"/>
        <v>7.0879508201393548E-5</v>
      </c>
      <c r="J153" s="25">
        <f>INDEX('Default Prob'!$C$3:$C$13, _xlfn.IFNA(MATCH(F153, 'Default Prob'!$B$3:$B$13, 1), 1))</f>
        <v>1.9099999999999999E-2</v>
      </c>
      <c r="K153" s="26">
        <f t="shared" si="29"/>
        <v>0.98969351526170846</v>
      </c>
      <c r="L153" s="27">
        <f t="shared" ca="1" si="30"/>
        <v>0</v>
      </c>
      <c r="M153" s="27">
        <f t="shared" ca="1" si="31"/>
        <v>1408.5878279057429</v>
      </c>
      <c r="N153" s="28">
        <f t="shared" ca="1" si="32"/>
        <v>9.8811012935321726E-2</v>
      </c>
      <c r="O153" s="29">
        <f t="shared" ca="1" si="33"/>
        <v>600000</v>
      </c>
      <c r="P153" s="30">
        <f t="shared" ca="1" si="34"/>
        <v>42.089393779114964</v>
      </c>
    </row>
    <row r="154" spans="1:16" x14ac:dyDescent="0.25">
      <c r="A154" s="3">
        <f t="shared" si="35"/>
        <v>46328</v>
      </c>
      <c r="B154" s="21">
        <f t="shared" si="26"/>
        <v>36832</v>
      </c>
      <c r="C154" s="21">
        <f t="shared" si="27"/>
        <v>36880</v>
      </c>
      <c r="D154" s="1">
        <f t="shared" si="36"/>
        <v>0</v>
      </c>
      <c r="E154" s="3">
        <f t="array" ref="E154">INDEX($A$9:A153, MAX(IF($D$9:D153=1, ROW(D$9:$D153)-ROW($D$9)+1, 0)))</f>
        <v>46286</v>
      </c>
      <c r="F154" s="23">
        <f t="shared" si="28"/>
        <v>0.55578370978781655</v>
      </c>
      <c r="G154" s="5">
        <f>INDEX('Default Prob'!$P$5:$P$14,MIN(1+_xlfn.IFNA(MATCH(F154,'Default Prob'!$F$5:$F$14,1),0),COUNT('Default Prob'!$P$5:$P$14)))</f>
        <v>2.626278464496291E-2</v>
      </c>
      <c r="H154" s="5">
        <f t="shared" si="37"/>
        <v>0.98550958355123131</v>
      </c>
      <c r="I154" s="24">
        <f t="shared" si="38"/>
        <v>2.1260794822475226E-4</v>
      </c>
      <c r="J154" s="25">
        <f>INDEX('Default Prob'!$C$3:$C$13, _xlfn.IFNA(MATCH(F154, 'Default Prob'!$B$3:$B$13, 1), 1))</f>
        <v>1.9099999999999999E-2</v>
      </c>
      <c r="K154" s="26">
        <f t="shared" si="29"/>
        <v>0.98953972936844647</v>
      </c>
      <c r="L154" s="27">
        <f t="shared" ca="1" si="30"/>
        <v>0</v>
      </c>
      <c r="M154" s="27">
        <f t="shared" ca="1" si="31"/>
        <v>1516.9407377446464</v>
      </c>
      <c r="N154" s="28">
        <f t="shared" ca="1" si="32"/>
        <v>0.31914007768715275</v>
      </c>
      <c r="O154" s="29">
        <f t="shared" ca="1" si="33"/>
        <v>600000</v>
      </c>
      <c r="P154" s="30">
        <f t="shared" ca="1" si="34"/>
        <v>126.23040692874122</v>
      </c>
    </row>
    <row r="155" spans="1:16" x14ac:dyDescent="0.25">
      <c r="A155" s="3">
        <f t="shared" si="35"/>
        <v>46329</v>
      </c>
      <c r="B155" s="21">
        <f t="shared" si="26"/>
        <v>36833</v>
      </c>
      <c r="C155" s="21">
        <f t="shared" si="27"/>
        <v>36880</v>
      </c>
      <c r="D155" s="1">
        <f t="shared" si="36"/>
        <v>0</v>
      </c>
      <c r="E155" s="3">
        <f t="array" ref="E155">INDEX($A$9:A154, MAX(IF($D$9:D154=1, ROW(D$9:$D154)-ROW($D$9)+1, 0)))</f>
        <v>46286</v>
      </c>
      <c r="F155" s="23">
        <f t="shared" si="28"/>
        <v>0.55852156057494862</v>
      </c>
      <c r="G155" s="5">
        <f>INDEX('Default Prob'!$P$5:$P$14,MIN(1+_xlfn.IFNA(MATCH(F155,'Default Prob'!$F$5:$F$14,1),0),COUNT('Default Prob'!$P$5:$P$14)))</f>
        <v>2.626278464496291E-2</v>
      </c>
      <c r="H155" s="5">
        <f t="shared" si="37"/>
        <v>0.98543872442606162</v>
      </c>
      <c r="I155" s="24">
        <f t="shared" si="38"/>
        <v>7.0859125169686621E-5</v>
      </c>
      <c r="J155" s="25">
        <f>INDEX('Default Prob'!$C$3:$C$13, _xlfn.IFNA(MATCH(F155, 'Default Prob'!$B$3:$B$13, 1), 1))</f>
        <v>1.9099999999999999E-2</v>
      </c>
      <c r="K155" s="26">
        <f t="shared" si="29"/>
        <v>0.98948847271451779</v>
      </c>
      <c r="L155" s="27">
        <f t="shared" ca="1" si="30"/>
        <v>0</v>
      </c>
      <c r="M155" s="27">
        <f t="shared" ca="1" si="31"/>
        <v>1553.0583743576142</v>
      </c>
      <c r="N155" s="28">
        <f t="shared" ca="1" si="32"/>
        <v>0.10889158142928305</v>
      </c>
      <c r="O155" s="29">
        <f t="shared" ca="1" si="33"/>
        <v>600000</v>
      </c>
      <c r="P155" s="30">
        <f t="shared" ca="1" si="34"/>
        <v>42.068572525224035</v>
      </c>
    </row>
    <row r="156" spans="1:16" x14ac:dyDescent="0.25">
      <c r="A156" s="3">
        <f t="shared" si="35"/>
        <v>46330</v>
      </c>
      <c r="B156" s="21">
        <f t="shared" si="26"/>
        <v>36834</v>
      </c>
      <c r="C156" s="21">
        <f t="shared" si="27"/>
        <v>36880</v>
      </c>
      <c r="D156" s="1">
        <f t="shared" si="36"/>
        <v>0</v>
      </c>
      <c r="E156" s="3">
        <f t="array" ref="E156">INDEX($A$9:A155, MAX(IF($D$9:D155=1, ROW(D$9:$D155)-ROW($D$9)+1, 0)))</f>
        <v>46286</v>
      </c>
      <c r="F156" s="23">
        <f t="shared" si="28"/>
        <v>0.5612594113620808</v>
      </c>
      <c r="G156" s="5">
        <f>INDEX('Default Prob'!$P$5:$P$14,MIN(1+_xlfn.IFNA(MATCH(F156,'Default Prob'!$F$5:$F$14,1),0),COUNT('Default Prob'!$P$5:$P$14)))</f>
        <v>2.626278464496291E-2</v>
      </c>
      <c r="H156" s="5">
        <f t="shared" si="37"/>
        <v>0.98536787039573392</v>
      </c>
      <c r="I156" s="24">
        <f t="shared" si="38"/>
        <v>7.0854030327693884E-5</v>
      </c>
      <c r="J156" s="25">
        <f>INDEX('Default Prob'!$C$3:$C$13, _xlfn.IFNA(MATCH(F156, 'Default Prob'!$B$3:$B$13, 1), 1))</f>
        <v>1.9099999999999999E-2</v>
      </c>
      <c r="K156" s="26">
        <f t="shared" si="29"/>
        <v>0.98943721871560586</v>
      </c>
      <c r="L156" s="27">
        <f t="shared" ca="1" si="30"/>
        <v>0</v>
      </c>
      <c r="M156" s="27">
        <f t="shared" ca="1" si="31"/>
        <v>1589.1760109705817</v>
      </c>
      <c r="N156" s="28">
        <f t="shared" ca="1" si="32"/>
        <v>0.1114101611191219</v>
      </c>
      <c r="O156" s="29">
        <f t="shared" ca="1" si="33"/>
        <v>600000</v>
      </c>
      <c r="P156" s="30">
        <f t="shared" ca="1" si="34"/>
        <v>42.063368821334777</v>
      </c>
    </row>
    <row r="157" spans="1:16" x14ac:dyDescent="0.25">
      <c r="A157" s="3">
        <f t="shared" si="35"/>
        <v>46331</v>
      </c>
      <c r="B157" s="21">
        <f t="shared" si="26"/>
        <v>36835</v>
      </c>
      <c r="C157" s="21">
        <f t="shared" si="27"/>
        <v>36880</v>
      </c>
      <c r="D157" s="1">
        <f t="shared" si="36"/>
        <v>0</v>
      </c>
      <c r="E157" s="3">
        <f t="array" ref="E157">INDEX($A$9:A156, MAX(IF($D$9:D156=1, ROW(D$9:$D156)-ROW($D$9)+1, 0)))</f>
        <v>46286</v>
      </c>
      <c r="F157" s="23">
        <f t="shared" si="28"/>
        <v>0.56399726214921286</v>
      </c>
      <c r="G157" s="5">
        <f>INDEX('Default Prob'!$P$5:$P$14,MIN(1+_xlfn.IFNA(MATCH(F157,'Default Prob'!$F$5:$F$14,1),0),COUNT('Default Prob'!$P$5:$P$14)))</f>
        <v>2.626278464496291E-2</v>
      </c>
      <c r="H157" s="5">
        <f t="shared" si="37"/>
        <v>0.98529702145988196</v>
      </c>
      <c r="I157" s="24">
        <f t="shared" si="38"/>
        <v>7.0848935851963724E-5</v>
      </c>
      <c r="J157" s="25">
        <f>INDEX('Default Prob'!$C$3:$C$13, _xlfn.IFNA(MATCH(F157, 'Default Prob'!$B$3:$B$13, 1), 1))</f>
        <v>1.9099999999999999E-2</v>
      </c>
      <c r="K157" s="26">
        <f t="shared" si="29"/>
        <v>0.98938596737157325</v>
      </c>
      <c r="L157" s="27">
        <f t="shared" ca="1" si="30"/>
        <v>0</v>
      </c>
      <c r="M157" s="27">
        <f t="shared" ca="1" si="31"/>
        <v>1625.2936475835495</v>
      </c>
      <c r="N157" s="28">
        <f t="shared" ca="1" si="32"/>
        <v>0.11392811606751233</v>
      </c>
      <c r="O157" s="29">
        <f t="shared" ca="1" si="33"/>
        <v>600000</v>
      </c>
      <c r="P157" s="30">
        <f t="shared" ca="1" si="34"/>
        <v>42.058165761085</v>
      </c>
    </row>
    <row r="158" spans="1:16" x14ac:dyDescent="0.25">
      <c r="A158" s="3">
        <f t="shared" si="35"/>
        <v>46332</v>
      </c>
      <c r="B158" s="21">
        <f t="shared" si="26"/>
        <v>36836</v>
      </c>
      <c r="C158" s="21">
        <f t="shared" si="27"/>
        <v>36880</v>
      </c>
      <c r="D158" s="1">
        <f t="shared" si="36"/>
        <v>0</v>
      </c>
      <c r="E158" s="3">
        <f t="array" ref="E158">INDEX($A$9:A157, MAX(IF($D$9:D157=1, ROW(D$9:$D157)-ROW($D$9)+1, 0)))</f>
        <v>46286</v>
      </c>
      <c r="F158" s="23">
        <f t="shared" si="28"/>
        <v>0.56673511293634493</v>
      </c>
      <c r="G158" s="5">
        <f>INDEX('Default Prob'!$P$5:$P$14,MIN(1+_xlfn.IFNA(MATCH(F158,'Default Prob'!$F$5:$F$14,1),0),COUNT('Default Prob'!$P$5:$P$14)))</f>
        <v>2.626278464496291E-2</v>
      </c>
      <c r="H158" s="5">
        <f t="shared" si="37"/>
        <v>0.98522617761813935</v>
      </c>
      <c r="I158" s="24">
        <f t="shared" si="38"/>
        <v>7.0843841742607161E-5</v>
      </c>
      <c r="J158" s="25">
        <f>INDEX('Default Prob'!$C$3:$C$13, _xlfn.IFNA(MATCH(F158, 'Default Prob'!$B$3:$B$13, 1), 1))</f>
        <v>1.9099999999999999E-2</v>
      </c>
      <c r="K158" s="26">
        <f t="shared" si="29"/>
        <v>0.98933471868228229</v>
      </c>
      <c r="L158" s="27">
        <f t="shared" ca="1" si="30"/>
        <v>0</v>
      </c>
      <c r="M158" s="27">
        <f t="shared" ca="1" si="31"/>
        <v>1661.4112841965173</v>
      </c>
      <c r="N158" s="28">
        <f t="shared" ca="1" si="32"/>
        <v>0.11644544639069331</v>
      </c>
      <c r="O158" s="29">
        <f t="shared" ca="1" si="33"/>
        <v>600000</v>
      </c>
      <c r="P158" s="30">
        <f t="shared" ca="1" si="34"/>
        <v>42.05296334447663</v>
      </c>
    </row>
    <row r="159" spans="1:16" x14ac:dyDescent="0.25">
      <c r="A159" s="3">
        <f t="shared" si="35"/>
        <v>46335</v>
      </c>
      <c r="B159" s="21">
        <f t="shared" si="26"/>
        <v>36839</v>
      </c>
      <c r="C159" s="21">
        <f t="shared" si="27"/>
        <v>36880</v>
      </c>
      <c r="D159" s="1">
        <f t="shared" si="36"/>
        <v>0</v>
      </c>
      <c r="E159" s="3">
        <f t="array" ref="E159">INDEX($A$9:A158, MAX(IF($D$9:D158=1, ROW(D$9:$D158)-ROW($D$9)+1, 0)))</f>
        <v>46286</v>
      </c>
      <c r="F159" s="23">
        <f t="shared" si="28"/>
        <v>0.57494866529774125</v>
      </c>
      <c r="G159" s="5">
        <f>INDEX('Default Prob'!$P$5:$P$14,MIN(1+_xlfn.IFNA(MATCH(F159,'Default Prob'!$F$5:$F$14,1),0),COUNT('Default Prob'!$P$5:$P$14)))</f>
        <v>2.626278464496291E-2</v>
      </c>
      <c r="H159" s="5">
        <f t="shared" si="37"/>
        <v>0.98501367665390516</v>
      </c>
      <c r="I159" s="24">
        <f t="shared" si="38"/>
        <v>2.1250096423419684E-4</v>
      </c>
      <c r="J159" s="25">
        <f>INDEX('Default Prob'!$C$3:$C$13, _xlfn.IFNA(MATCH(F159, 'Default Prob'!$B$3:$B$13, 1), 1))</f>
        <v>1.9099999999999999E-2</v>
      </c>
      <c r="K159" s="26">
        <f t="shared" si="29"/>
        <v>0.98918098854148462</v>
      </c>
      <c r="L159" s="27">
        <f t="shared" ca="1" si="30"/>
        <v>0</v>
      </c>
      <c r="M159" s="27">
        <f t="shared" ca="1" si="31"/>
        <v>1769.7641940354208</v>
      </c>
      <c r="N159" s="28">
        <f t="shared" ca="1" si="32"/>
        <v>0.3720078206798908</v>
      </c>
      <c r="O159" s="29">
        <f t="shared" ca="1" si="33"/>
        <v>600000</v>
      </c>
      <c r="P159" s="30">
        <f t="shared" ca="1" si="34"/>
        <v>126.1211483203209</v>
      </c>
    </row>
    <row r="160" spans="1:16" x14ac:dyDescent="0.25">
      <c r="A160" s="3">
        <f t="shared" si="35"/>
        <v>46336</v>
      </c>
      <c r="B160" s="21">
        <f t="shared" si="26"/>
        <v>36840</v>
      </c>
      <c r="C160" s="21">
        <f t="shared" si="27"/>
        <v>36880</v>
      </c>
      <c r="D160" s="1">
        <f t="shared" si="36"/>
        <v>0</v>
      </c>
      <c r="E160" s="3">
        <f t="array" ref="E160">INDEX($A$9:A159, MAX(IF($D$9:D159=1, ROW(D$9:$D159)-ROW($D$9)+1, 0)))</f>
        <v>46286</v>
      </c>
      <c r="F160" s="23">
        <f t="shared" si="28"/>
        <v>0.57768651608487342</v>
      </c>
      <c r="G160" s="5">
        <f>INDEX('Default Prob'!$P$5:$P$14,MIN(1+_xlfn.IFNA(MATCH(F160,'Default Prob'!$F$5:$F$14,1),0),COUNT('Default Prob'!$P$5:$P$14)))</f>
        <v>2.626278464496291E-2</v>
      </c>
      <c r="H160" s="5">
        <f t="shared" si="37"/>
        <v>0.98494285318493757</v>
      </c>
      <c r="I160" s="24">
        <f t="shared" si="38"/>
        <v>7.0823468967584624E-5</v>
      </c>
      <c r="J160" s="25">
        <f>INDEX('Default Prob'!$C$3:$C$13, _xlfn.IFNA(MATCH(F160, 'Default Prob'!$B$3:$B$13, 1), 1))</f>
        <v>1.9099999999999999E-2</v>
      </c>
      <c r="K160" s="26">
        <f t="shared" si="29"/>
        <v>0.98912975046978546</v>
      </c>
      <c r="L160" s="27">
        <f t="shared" ca="1" si="30"/>
        <v>0</v>
      </c>
      <c r="M160" s="27">
        <f t="shared" ca="1" si="31"/>
        <v>1805.8818306483884</v>
      </c>
      <c r="N160" s="28">
        <f t="shared" ca="1" si="32"/>
        <v>0.12650852374977251</v>
      </c>
      <c r="O160" s="29">
        <f t="shared" ca="1" si="33"/>
        <v>600000</v>
      </c>
      <c r="P160" s="30">
        <f t="shared" ca="1" si="34"/>
        <v>42.032160112386947</v>
      </c>
    </row>
    <row r="161" spans="1:16" x14ac:dyDescent="0.25">
      <c r="A161" s="3">
        <f t="shared" si="35"/>
        <v>46337</v>
      </c>
      <c r="B161" s="21">
        <f t="shared" si="26"/>
        <v>36841</v>
      </c>
      <c r="C161" s="21">
        <f t="shared" si="27"/>
        <v>36880</v>
      </c>
      <c r="D161" s="1">
        <f t="shared" si="36"/>
        <v>0</v>
      </c>
      <c r="E161" s="3">
        <f t="array" ref="E161">INDEX($A$9:A160, MAX(IF($D$9:D160=1, ROW(D$9:$D160)-ROW($D$9)+1, 0)))</f>
        <v>46286</v>
      </c>
      <c r="F161" s="23">
        <f t="shared" si="28"/>
        <v>0.58042436687200549</v>
      </c>
      <c r="G161" s="5">
        <f>INDEX('Default Prob'!$P$5:$P$14,MIN(1+_xlfn.IFNA(MATCH(F161,'Default Prob'!$F$5:$F$14,1),0),COUNT('Default Prob'!$P$5:$P$14)))</f>
        <v>2.626278464496291E-2</v>
      </c>
      <c r="H161" s="5">
        <f t="shared" si="37"/>
        <v>0.98487203480824836</v>
      </c>
      <c r="I161" s="24">
        <f t="shared" si="38"/>
        <v>7.0818376689207874E-5</v>
      </c>
      <c r="J161" s="25">
        <f>INDEX('Default Prob'!$C$3:$C$13, _xlfn.IFNA(MATCH(F161, 'Default Prob'!$B$3:$B$13, 1), 1))</f>
        <v>1.9099999999999999E-2</v>
      </c>
      <c r="K161" s="26">
        <f t="shared" si="29"/>
        <v>0.98907851505214062</v>
      </c>
      <c r="L161" s="27">
        <f t="shared" ca="1" si="30"/>
        <v>0</v>
      </c>
      <c r="M161" s="27">
        <f t="shared" ca="1" si="31"/>
        <v>1841.9994672613561</v>
      </c>
      <c r="N161" s="28">
        <f t="shared" ca="1" si="32"/>
        <v>0.12902273268572806</v>
      </c>
      <c r="O161" s="29">
        <f t="shared" ca="1" si="33"/>
        <v>600000</v>
      </c>
      <c r="P161" s="30">
        <f t="shared" ca="1" si="34"/>
        <v>42.026960912498915</v>
      </c>
    </row>
    <row r="162" spans="1:16" x14ac:dyDescent="0.25">
      <c r="A162" s="3">
        <f t="shared" si="35"/>
        <v>46338</v>
      </c>
      <c r="B162" s="21">
        <f t="shared" si="26"/>
        <v>36842</v>
      </c>
      <c r="C162" s="21">
        <f t="shared" si="27"/>
        <v>36880</v>
      </c>
      <c r="D162" s="1">
        <f t="shared" si="36"/>
        <v>0</v>
      </c>
      <c r="E162" s="3">
        <f t="array" ref="E162">INDEX($A$9:A161, MAX(IF($D$9:D161=1, ROW(D$9:$D161)-ROW($D$9)+1, 0)))</f>
        <v>46286</v>
      </c>
      <c r="F162" s="23">
        <f t="shared" si="28"/>
        <v>0.58316221765913756</v>
      </c>
      <c r="G162" s="5">
        <f>INDEX('Default Prob'!$P$5:$P$14,MIN(1+_xlfn.IFNA(MATCH(F162,'Default Prob'!$F$5:$F$14,1),0),COUNT('Default Prob'!$P$5:$P$14)))</f>
        <v>2.626278464496291E-2</v>
      </c>
      <c r="H162" s="5">
        <f t="shared" si="37"/>
        <v>0.98480122152347127</v>
      </c>
      <c r="I162" s="24">
        <f t="shared" si="38"/>
        <v>7.0813284777093699E-5</v>
      </c>
      <c r="J162" s="25">
        <f>INDEX('Default Prob'!$C$3:$C$13, _xlfn.IFNA(MATCH(F162, 'Default Prob'!$B$3:$B$13, 1), 1))</f>
        <v>1.9099999999999999E-2</v>
      </c>
      <c r="K162" s="26">
        <f t="shared" si="29"/>
        <v>0.98902728228841252</v>
      </c>
      <c r="L162" s="27">
        <f t="shared" ca="1" si="30"/>
        <v>0</v>
      </c>
      <c r="M162" s="27">
        <f t="shared" ca="1" si="31"/>
        <v>1878.1171038743239</v>
      </c>
      <c r="N162" s="28">
        <f t="shared" ca="1" si="32"/>
        <v>0.1315363176922919</v>
      </c>
      <c r="O162" s="29">
        <f t="shared" ca="1" si="33"/>
        <v>600000</v>
      </c>
      <c r="P162" s="30">
        <f t="shared" ca="1" si="34"/>
        <v>42.021762355802636</v>
      </c>
    </row>
    <row r="163" spans="1:16" x14ac:dyDescent="0.25">
      <c r="A163" s="3">
        <f t="shared" si="35"/>
        <v>46339</v>
      </c>
      <c r="B163" s="21">
        <f t="shared" si="26"/>
        <v>36843</v>
      </c>
      <c r="C163" s="21">
        <f t="shared" si="27"/>
        <v>36880</v>
      </c>
      <c r="D163" s="1">
        <f t="shared" si="36"/>
        <v>0</v>
      </c>
      <c r="E163" s="3">
        <f t="array" ref="E163">INDEX($A$9:A162, MAX(IF($D$9:D162=1, ROW(D$9:$D162)-ROW($D$9)+1, 0)))</f>
        <v>46286</v>
      </c>
      <c r="F163" s="23">
        <f t="shared" si="28"/>
        <v>0.58590006844626963</v>
      </c>
      <c r="G163" s="5">
        <f>INDEX('Default Prob'!$P$5:$P$14,MIN(1+_xlfn.IFNA(MATCH(F163,'Default Prob'!$F$5:$F$14,1),0),COUNT('Default Prob'!$P$5:$P$14)))</f>
        <v>2.626278464496291E-2</v>
      </c>
      <c r="H163" s="5">
        <f t="shared" si="37"/>
        <v>0.98473041333024025</v>
      </c>
      <c r="I163" s="24">
        <f t="shared" si="38"/>
        <v>7.0808193231020056E-5</v>
      </c>
      <c r="J163" s="25">
        <f>INDEX('Default Prob'!$C$3:$C$13, _xlfn.IFNA(MATCH(F163, 'Default Prob'!$B$3:$B$13, 1), 1))</f>
        <v>1.9099999999999999E-2</v>
      </c>
      <c r="K163" s="26">
        <f t="shared" si="29"/>
        <v>0.98897605217846363</v>
      </c>
      <c r="L163" s="27">
        <f t="shared" ca="1" si="30"/>
        <v>0</v>
      </c>
      <c r="M163" s="27">
        <f t="shared" ca="1" si="31"/>
        <v>1914.2347404872917</v>
      </c>
      <c r="N163" s="28">
        <f t="shared" ca="1" si="32"/>
        <v>0.13404927888499249</v>
      </c>
      <c r="O163" s="29">
        <f t="shared" ca="1" si="33"/>
        <v>600000</v>
      </c>
      <c r="P163" s="30">
        <f t="shared" ca="1" si="34"/>
        <v>42.016564442102414</v>
      </c>
    </row>
    <row r="164" spans="1:16" x14ac:dyDescent="0.25">
      <c r="A164" s="3">
        <f t="shared" si="35"/>
        <v>46342</v>
      </c>
      <c r="B164" s="21">
        <f t="shared" si="26"/>
        <v>36846</v>
      </c>
      <c r="C164" s="21">
        <f t="shared" si="27"/>
        <v>36880</v>
      </c>
      <c r="D164" s="1">
        <f t="shared" si="36"/>
        <v>0</v>
      </c>
      <c r="E164" s="3">
        <f t="array" ref="E164">INDEX($A$9:A163, MAX(IF($D$9:D163=1, ROW(D$9:$D163)-ROW($D$9)+1, 0)))</f>
        <v>46286</v>
      </c>
      <c r="F164" s="23">
        <f t="shared" si="28"/>
        <v>0.59411362080766594</v>
      </c>
      <c r="G164" s="5">
        <f>INDEX('Default Prob'!$P$5:$P$14,MIN(1+_xlfn.IFNA(MATCH(F164,'Default Prob'!$F$5:$F$14,1),0),COUNT('Default Prob'!$P$5:$P$14)))</f>
        <v>2.626278464496291E-2</v>
      </c>
      <c r="H164" s="5">
        <f t="shared" si="37"/>
        <v>0.98451801929616234</v>
      </c>
      <c r="I164" s="24">
        <f t="shared" si="38"/>
        <v>2.123940340779118E-4</v>
      </c>
      <c r="J164" s="25">
        <f>INDEX('Default Prob'!$C$3:$C$13, _xlfn.IFNA(MATCH(F164, 'Default Prob'!$B$3:$B$13, 1), 1))</f>
        <v>1.9099999999999999E-2</v>
      </c>
      <c r="K164" s="26">
        <f t="shared" si="29"/>
        <v>0.98882237776991821</v>
      </c>
      <c r="L164" s="27">
        <f t="shared" ca="1" si="30"/>
        <v>0</v>
      </c>
      <c r="M164" s="27">
        <f t="shared" ca="1" si="31"/>
        <v>2022.587650326195</v>
      </c>
      <c r="N164" s="28">
        <f t="shared" ca="1" si="32"/>
        <v>0.42478380533186666</v>
      </c>
      <c r="O164" s="29">
        <f t="shared" ca="1" si="33"/>
        <v>600000</v>
      </c>
      <c r="P164" s="30">
        <f t="shared" ca="1" si="34"/>
        <v>126.01198428063947</v>
      </c>
    </row>
    <row r="165" spans="1:16" x14ac:dyDescent="0.25">
      <c r="A165" s="3">
        <f t="shared" si="35"/>
        <v>46343</v>
      </c>
      <c r="B165" s="21">
        <f t="shared" si="26"/>
        <v>36847</v>
      </c>
      <c r="C165" s="21">
        <f t="shared" si="27"/>
        <v>36880</v>
      </c>
      <c r="D165" s="1">
        <f t="shared" si="36"/>
        <v>0</v>
      </c>
      <c r="E165" s="3">
        <f t="array" ref="E165">INDEX($A$9:A164, MAX(IF($D$9:D164=1, ROW(D$9:$D164)-ROW($D$9)+1, 0)))</f>
        <v>46286</v>
      </c>
      <c r="F165" s="23">
        <f t="shared" si="28"/>
        <v>0.59685147159479812</v>
      </c>
      <c r="G165" s="5">
        <f>INDEX('Default Prob'!$P$5:$P$14,MIN(1+_xlfn.IFNA(MATCH(F165,'Default Prob'!$F$5:$F$14,1),0),COUNT('Default Prob'!$P$5:$P$14)))</f>
        <v>2.626278464496291E-2</v>
      </c>
      <c r="H165" s="5">
        <f t="shared" si="37"/>
        <v>0.98444723146545476</v>
      </c>
      <c r="I165" s="24">
        <f t="shared" si="38"/>
        <v>7.0787830707574884E-5</v>
      </c>
      <c r="J165" s="25">
        <f>INDEX('Default Prob'!$C$3:$C$13, _xlfn.IFNA(MATCH(F165, 'Default Prob'!$B$3:$B$13, 1), 1))</f>
        <v>1.9099999999999999E-2</v>
      </c>
      <c r="K165" s="26">
        <f t="shared" si="29"/>
        <v>0.98877115827371198</v>
      </c>
      <c r="L165" s="27">
        <f t="shared" ca="1" si="30"/>
        <v>0</v>
      </c>
      <c r="M165" s="27">
        <f t="shared" ca="1" si="31"/>
        <v>2058.7052869391628</v>
      </c>
      <c r="N165" s="28">
        <f t="shared" ca="1" si="32"/>
        <v>0.14409488783603039</v>
      </c>
      <c r="O165" s="29">
        <f t="shared" ca="1" si="33"/>
        <v>600000</v>
      </c>
      <c r="P165" s="30">
        <f t="shared" ca="1" si="34"/>
        <v>41.99577921624735</v>
      </c>
    </row>
    <row r="166" spans="1:16" x14ac:dyDescent="0.25">
      <c r="A166" s="3">
        <f t="shared" si="35"/>
        <v>46344</v>
      </c>
      <c r="B166" s="21">
        <f t="shared" si="26"/>
        <v>36848</v>
      </c>
      <c r="C166" s="21">
        <f t="shared" si="27"/>
        <v>36880</v>
      </c>
      <c r="D166" s="1">
        <f t="shared" si="36"/>
        <v>0</v>
      </c>
      <c r="E166" s="3">
        <f t="array" ref="E166">INDEX($A$9:A165, MAX(IF($D$9:D165=1, ROW(D$9:$D165)-ROW($D$9)+1, 0)))</f>
        <v>46286</v>
      </c>
      <c r="F166" s="23">
        <f t="shared" si="28"/>
        <v>0.59958932238193019</v>
      </c>
      <c r="G166" s="5">
        <f>INDEX('Default Prob'!$P$5:$P$14,MIN(1+_xlfn.IFNA(MATCH(F166,'Default Prob'!$F$5:$F$14,1),0),COUNT('Default Prob'!$P$5:$P$14)))</f>
        <v>2.626278464496291E-2</v>
      </c>
      <c r="H166" s="5">
        <f t="shared" si="37"/>
        <v>0.98437644872446306</v>
      </c>
      <c r="I166" s="24">
        <f t="shared" si="38"/>
        <v>7.0782740991703896E-5</v>
      </c>
      <c r="J166" s="25">
        <f>INDEX('Default Prob'!$C$3:$C$13, _xlfn.IFNA(MATCH(F166, 'Default Prob'!$B$3:$B$13, 1), 1))</f>
        <v>1.9099999999999999E-2</v>
      </c>
      <c r="K166" s="26">
        <f t="shared" si="29"/>
        <v>0.98871994143059783</v>
      </c>
      <c r="L166" s="27">
        <f t="shared" ca="1" si="30"/>
        <v>0</v>
      </c>
      <c r="M166" s="27">
        <f t="shared" ca="1" si="31"/>
        <v>2094.8229235521303</v>
      </c>
      <c r="N166" s="28">
        <f t="shared" ca="1" si="32"/>
        <v>0.14660473169776908</v>
      </c>
      <c r="O166" s="29">
        <f t="shared" ca="1" si="33"/>
        <v>600000</v>
      </c>
      <c r="P166" s="30">
        <f t="shared" ca="1" si="34"/>
        <v>41.990584516568788</v>
      </c>
    </row>
    <row r="167" spans="1:16" x14ac:dyDescent="0.25">
      <c r="A167" s="3">
        <f t="shared" si="35"/>
        <v>46345</v>
      </c>
      <c r="B167" s="21">
        <f t="shared" si="26"/>
        <v>36849</v>
      </c>
      <c r="C167" s="21">
        <f t="shared" si="27"/>
        <v>36880</v>
      </c>
      <c r="D167" s="1">
        <f t="shared" si="36"/>
        <v>0</v>
      </c>
      <c r="E167" s="3">
        <f t="array" ref="E167">INDEX($A$9:A166, MAX(IF($D$9:D166=1, ROW(D$9:$D166)-ROW($D$9)+1, 0)))</f>
        <v>46286</v>
      </c>
      <c r="F167" s="23">
        <f t="shared" si="28"/>
        <v>0.60232717316906226</v>
      </c>
      <c r="G167" s="5">
        <f>INDEX('Default Prob'!$P$5:$P$14,MIN(1+_xlfn.IFNA(MATCH(F167,'Default Prob'!$F$5:$F$14,1),0),COUNT('Default Prob'!$P$5:$P$14)))</f>
        <v>2.626278464496291E-2</v>
      </c>
      <c r="H167" s="5">
        <f t="shared" si="37"/>
        <v>0.9843056710728213</v>
      </c>
      <c r="I167" s="24">
        <f t="shared" si="38"/>
        <v>7.0777651641762418E-5</v>
      </c>
      <c r="J167" s="25">
        <f>INDEX('Default Prob'!$C$3:$C$13, _xlfn.IFNA(MATCH(F167, 'Default Prob'!$B$3:$B$13, 1), 1))</f>
        <v>1.9099999999999999E-2</v>
      </c>
      <c r="K167" s="26">
        <f t="shared" si="29"/>
        <v>0.98866872724043842</v>
      </c>
      <c r="L167" s="27">
        <f t="shared" ca="1" si="30"/>
        <v>0</v>
      </c>
      <c r="M167" s="27">
        <f t="shared" ca="1" si="31"/>
        <v>2130.9405601650983</v>
      </c>
      <c r="N167" s="28">
        <f t="shared" ca="1" si="32"/>
        <v>0.14911395244063852</v>
      </c>
      <c r="O167" s="29">
        <f t="shared" ca="1" si="33"/>
        <v>600000</v>
      </c>
      <c r="P167" s="30">
        <f t="shared" ca="1" si="34"/>
        <v>41.985390459437028</v>
      </c>
    </row>
    <row r="168" spans="1:16" x14ac:dyDescent="0.25">
      <c r="A168" s="3">
        <f t="shared" si="35"/>
        <v>46346</v>
      </c>
      <c r="B168" s="21">
        <f t="shared" si="26"/>
        <v>36850</v>
      </c>
      <c r="C168" s="21">
        <f t="shared" si="27"/>
        <v>36880</v>
      </c>
      <c r="D168" s="1">
        <f t="shared" si="36"/>
        <v>0</v>
      </c>
      <c r="E168" s="3">
        <f t="array" ref="E168">INDEX($A$9:A167, MAX(IF($D$9:D167=1, ROW(D$9:$D167)-ROW($D$9)+1, 0)))</f>
        <v>46286</v>
      </c>
      <c r="F168" s="23">
        <f t="shared" si="28"/>
        <v>0.60506502395619444</v>
      </c>
      <c r="G168" s="5">
        <f>INDEX('Default Prob'!$P$5:$P$14,MIN(1+_xlfn.IFNA(MATCH(F168,'Default Prob'!$F$5:$F$14,1),0),COUNT('Default Prob'!$P$5:$P$14)))</f>
        <v>2.626278464496291E-2</v>
      </c>
      <c r="H168" s="5">
        <f t="shared" si="37"/>
        <v>0.98423489851016344</v>
      </c>
      <c r="I168" s="24">
        <f t="shared" si="38"/>
        <v>7.0772562657861471E-5</v>
      </c>
      <c r="J168" s="25">
        <f>INDEX('Default Prob'!$C$3:$C$13, _xlfn.IFNA(MATCH(F168, 'Default Prob'!$B$3:$B$13, 1), 1))</f>
        <v>1.9099999999999999E-2</v>
      </c>
      <c r="K168" s="26">
        <f t="shared" si="29"/>
        <v>0.98861751570309608</v>
      </c>
      <c r="L168" s="27">
        <f t="shared" ca="1" si="30"/>
        <v>0</v>
      </c>
      <c r="M168" s="27">
        <f t="shared" ca="1" si="31"/>
        <v>2167.0581967780658</v>
      </c>
      <c r="N168" s="28">
        <f t="shared" ca="1" si="32"/>
        <v>0.1516225501806821</v>
      </c>
      <c r="O168" s="29">
        <f t="shared" ca="1" si="33"/>
        <v>600000</v>
      </c>
      <c r="P168" s="30">
        <f t="shared" ca="1" si="34"/>
        <v>41.98019704485403</v>
      </c>
    </row>
    <row r="169" spans="1:16" x14ac:dyDescent="0.25">
      <c r="A169" s="3">
        <f t="shared" si="35"/>
        <v>46349</v>
      </c>
      <c r="B169" s="21">
        <f t="shared" si="26"/>
        <v>36853</v>
      </c>
      <c r="C169" s="21">
        <f t="shared" si="27"/>
        <v>36880</v>
      </c>
      <c r="D169" s="1">
        <f t="shared" si="36"/>
        <v>0</v>
      </c>
      <c r="E169" s="3">
        <f t="array" ref="E169">INDEX($A$9:A168, MAX(IF($D$9:D168=1, ROW(D$9:$D168)-ROW($D$9)+1, 0)))</f>
        <v>46286</v>
      </c>
      <c r="F169" s="23">
        <f t="shared" si="28"/>
        <v>0.61327857631759064</v>
      </c>
      <c r="G169" s="5">
        <f>INDEX('Default Prob'!$P$5:$P$14,MIN(1+_xlfn.IFNA(MATCH(F169,'Default Prob'!$F$5:$F$14,1),0),COUNT('Default Prob'!$P$5:$P$14)))</f>
        <v>2.626278464496291E-2</v>
      </c>
      <c r="H169" s="5">
        <f t="shared" si="37"/>
        <v>0.98402261135243485</v>
      </c>
      <c r="I169" s="24">
        <f t="shared" si="38"/>
        <v>2.1228715772858564E-4</v>
      </c>
      <c r="J169" s="25">
        <f>INDEX('Default Prob'!$C$3:$C$13, _xlfn.IFNA(MATCH(F169, 'Default Prob'!$B$3:$B$13, 1), 1))</f>
        <v>1.9099999999999999E-2</v>
      </c>
      <c r="K169" s="26">
        <f t="shared" si="29"/>
        <v>0.9884638970065982</v>
      </c>
      <c r="L169" s="27">
        <f t="shared" ca="1" si="30"/>
        <v>0</v>
      </c>
      <c r="M169" s="27">
        <f t="shared" ca="1" si="31"/>
        <v>2275.4111066169694</v>
      </c>
      <c r="N169" s="28">
        <f t="shared" ca="1" si="32"/>
        <v>0.4774681508781391</v>
      </c>
      <c r="O169" s="29">
        <f t="shared" ca="1" si="33"/>
        <v>600000</v>
      </c>
      <c r="P169" s="30">
        <f t="shared" ca="1" si="34"/>
        <v>125.90291472771129</v>
      </c>
    </row>
    <row r="170" spans="1:16" x14ac:dyDescent="0.25">
      <c r="A170" s="3">
        <f t="shared" si="35"/>
        <v>46350</v>
      </c>
      <c r="B170" s="21">
        <f t="shared" si="26"/>
        <v>36854</v>
      </c>
      <c r="C170" s="21">
        <f t="shared" si="27"/>
        <v>36880</v>
      </c>
      <c r="D170" s="1">
        <f t="shared" si="36"/>
        <v>0</v>
      </c>
      <c r="E170" s="3">
        <f t="array" ref="E170">INDEX($A$9:A169, MAX(IF($D$9:D169=1, ROW(D$9:$D169)-ROW($D$9)+1, 0)))</f>
        <v>46286</v>
      </c>
      <c r="F170" s="23">
        <f t="shared" si="28"/>
        <v>0.61601642710472282</v>
      </c>
      <c r="G170" s="5">
        <f>INDEX('Default Prob'!$P$5:$P$14,MIN(1+_xlfn.IFNA(MATCH(F170,'Default Prob'!$F$5:$F$14,1),0),COUNT('Default Prob'!$P$5:$P$14)))</f>
        <v>2.626278464496291E-2</v>
      </c>
      <c r="H170" s="5">
        <f t="shared" si="37"/>
        <v>0.98395185914205419</v>
      </c>
      <c r="I170" s="24">
        <f t="shared" si="38"/>
        <v>7.0752210380664593E-5</v>
      </c>
      <c r="J170" s="25">
        <f>INDEX('Default Prob'!$C$3:$C$13, _xlfn.IFNA(MATCH(F170, 'Default Prob'!$B$3:$B$13, 1), 1))</f>
        <v>1.9099999999999999E-2</v>
      </c>
      <c r="K170" s="26">
        <f t="shared" si="29"/>
        <v>0.9884126960791505</v>
      </c>
      <c r="L170" s="27">
        <f t="shared" ca="1" si="30"/>
        <v>0</v>
      </c>
      <c r="M170" s="27">
        <f t="shared" ca="1" si="31"/>
        <v>2311.5287432299369</v>
      </c>
      <c r="N170" s="28">
        <f t="shared" ca="1" si="32"/>
        <v>0.16165071342384552</v>
      </c>
      <c r="O170" s="29">
        <f t="shared" ca="1" si="33"/>
        <v>600000</v>
      </c>
      <c r="P170" s="30">
        <f t="shared" ca="1" si="34"/>
        <v>41.959429809547167</v>
      </c>
    </row>
    <row r="171" spans="1:16" x14ac:dyDescent="0.25">
      <c r="A171" s="3">
        <f t="shared" si="35"/>
        <v>46351</v>
      </c>
      <c r="B171" s="21">
        <f t="shared" si="26"/>
        <v>36855</v>
      </c>
      <c r="C171" s="21">
        <f t="shared" si="27"/>
        <v>36880</v>
      </c>
      <c r="D171" s="1">
        <f t="shared" si="36"/>
        <v>0</v>
      </c>
      <c r="E171" s="3">
        <f t="array" ref="E171">INDEX($A$9:A170, MAX(IF($D$9:D170=1, ROW(D$9:$D170)-ROW($D$9)+1, 0)))</f>
        <v>46286</v>
      </c>
      <c r="F171" s="23">
        <f t="shared" si="28"/>
        <v>0.61875427789185489</v>
      </c>
      <c r="G171" s="5">
        <f>INDEX('Default Prob'!$P$5:$P$14,MIN(1+_xlfn.IFNA(MATCH(F171,'Default Prob'!$F$5:$F$14,1),0),COUNT('Default Prob'!$P$5:$P$14)))</f>
        <v>2.626278464496291E-2</v>
      </c>
      <c r="H171" s="5">
        <f t="shared" si="37"/>
        <v>0.98388111201882822</v>
      </c>
      <c r="I171" s="24">
        <f t="shared" si="38"/>
        <v>7.0747123225967101E-5</v>
      </c>
      <c r="J171" s="25">
        <f>INDEX('Default Prob'!$C$3:$C$13, _xlfn.IFNA(MATCH(F171, 'Default Prob'!$B$3:$B$13, 1), 1))</f>
        <v>1.9099999999999999E-2</v>
      </c>
      <c r="K171" s="26">
        <f t="shared" si="29"/>
        <v>0.9883614978038332</v>
      </c>
      <c r="L171" s="27">
        <f t="shared" ca="1" si="30"/>
        <v>0</v>
      </c>
      <c r="M171" s="27">
        <f t="shared" ca="1" si="31"/>
        <v>2347.6463798429049</v>
      </c>
      <c r="N171" s="28">
        <f t="shared" ca="1" si="32"/>
        <v>0.16415619788409586</v>
      </c>
      <c r="O171" s="29">
        <f t="shared" ca="1" si="33"/>
        <v>600000</v>
      </c>
      <c r="P171" s="30">
        <f t="shared" ca="1" si="34"/>
        <v>41.954239606157522</v>
      </c>
    </row>
    <row r="172" spans="1:16" x14ac:dyDescent="0.25">
      <c r="A172" s="3">
        <f t="shared" si="35"/>
        <v>46352</v>
      </c>
      <c r="B172" s="21">
        <f t="shared" si="26"/>
        <v>36856</v>
      </c>
      <c r="C172" s="21">
        <f t="shared" si="27"/>
        <v>36880</v>
      </c>
      <c r="D172" s="1">
        <f t="shared" si="36"/>
        <v>0</v>
      </c>
      <c r="E172" s="3">
        <f t="array" ref="E172">INDEX($A$9:A171, MAX(IF($D$9:D171=1, ROW(D$9:$D171)-ROW($D$9)+1, 0)))</f>
        <v>46286</v>
      </c>
      <c r="F172" s="23">
        <f t="shared" si="28"/>
        <v>0.62149212867898695</v>
      </c>
      <c r="G172" s="5">
        <f>INDEX('Default Prob'!$P$5:$P$14,MIN(1+_xlfn.IFNA(MATCH(F172,'Default Prob'!$F$5:$F$14,1),0),COUNT('Default Prob'!$P$5:$P$14)))</f>
        <v>2.626278464496291E-2</v>
      </c>
      <c r="H172" s="5">
        <f t="shared" si="37"/>
        <v>0.98381036998239124</v>
      </c>
      <c r="I172" s="24">
        <f t="shared" si="38"/>
        <v>7.0742036436977074E-5</v>
      </c>
      <c r="J172" s="25">
        <f>INDEX('Default Prob'!$C$3:$C$13, _xlfn.IFNA(MATCH(F172, 'Default Prob'!$B$3:$B$13, 1), 1))</f>
        <v>1.9099999999999999E-2</v>
      </c>
      <c r="K172" s="26">
        <f t="shared" si="29"/>
        <v>0.98831030218050875</v>
      </c>
      <c r="L172" s="27">
        <f t="shared" ca="1" si="30"/>
        <v>0</v>
      </c>
      <c r="M172" s="27">
        <f t="shared" ca="1" si="31"/>
        <v>2383.7640164558725</v>
      </c>
      <c r="N172" s="28">
        <f t="shared" ca="1" si="32"/>
        <v>0.16666106003524725</v>
      </c>
      <c r="O172" s="29">
        <f t="shared" ca="1" si="33"/>
        <v>600000</v>
      </c>
      <c r="P172" s="30">
        <f t="shared" ca="1" si="34"/>
        <v>41.949050044736026</v>
      </c>
    </row>
    <row r="173" spans="1:16" x14ac:dyDescent="0.25">
      <c r="A173" s="3">
        <f t="shared" si="35"/>
        <v>46353</v>
      </c>
      <c r="B173" s="21">
        <f t="shared" si="26"/>
        <v>36857</v>
      </c>
      <c r="C173" s="21">
        <f t="shared" si="27"/>
        <v>36880</v>
      </c>
      <c r="D173" s="1">
        <f t="shared" si="36"/>
        <v>0</v>
      </c>
      <c r="E173" s="3">
        <f t="array" ref="E173">INDEX($A$9:A172, MAX(IF($D$9:D172=1, ROW(D$9:$D172)-ROW($D$9)+1, 0)))</f>
        <v>46286</v>
      </c>
      <c r="F173" s="23">
        <f t="shared" si="28"/>
        <v>0.62422997946611913</v>
      </c>
      <c r="G173" s="5">
        <f>INDEX('Default Prob'!$P$5:$P$14,MIN(1+_xlfn.IFNA(MATCH(F173,'Default Prob'!$F$5:$F$14,1),0),COUNT('Default Prob'!$P$5:$P$14)))</f>
        <v>2.626278464496291E-2</v>
      </c>
      <c r="H173" s="5">
        <f t="shared" si="37"/>
        <v>0.98373963303237744</v>
      </c>
      <c r="I173" s="24">
        <f t="shared" si="38"/>
        <v>7.0736950013805533E-5</v>
      </c>
      <c r="J173" s="25">
        <f>INDEX('Default Prob'!$C$3:$C$13, _xlfn.IFNA(MATCH(F173, 'Default Prob'!$B$3:$B$13, 1), 1))</f>
        <v>1.9099999999999999E-2</v>
      </c>
      <c r="K173" s="26">
        <f t="shared" si="29"/>
        <v>0.9882591092090397</v>
      </c>
      <c r="L173" s="27">
        <f t="shared" ca="1" si="30"/>
        <v>0</v>
      </c>
      <c r="M173" s="27">
        <f t="shared" ca="1" si="31"/>
        <v>2419.8816530688405</v>
      </c>
      <c r="N173" s="28">
        <f t="shared" ca="1" si="32"/>
        <v>0.16916529999323965</v>
      </c>
      <c r="O173" s="29">
        <f t="shared" ca="1" si="33"/>
        <v>600000</v>
      </c>
      <c r="P173" s="30">
        <f t="shared" ca="1" si="34"/>
        <v>41.943861125284691</v>
      </c>
    </row>
    <row r="174" spans="1:16" x14ac:dyDescent="0.25">
      <c r="A174" s="3">
        <f t="shared" si="35"/>
        <v>46356</v>
      </c>
      <c r="B174" s="21">
        <f t="shared" si="26"/>
        <v>36860</v>
      </c>
      <c r="C174" s="21">
        <f t="shared" si="27"/>
        <v>36880</v>
      </c>
      <c r="D174" s="1">
        <f t="shared" si="36"/>
        <v>0</v>
      </c>
      <c r="E174" s="3">
        <f t="array" ref="E174">INDEX($A$9:A173, MAX(IF($D$9:D173=1, ROW(D$9:$D173)-ROW($D$9)+1, 0)))</f>
        <v>46286</v>
      </c>
      <c r="F174" s="23">
        <f t="shared" si="28"/>
        <v>0.63244353182751545</v>
      </c>
      <c r="G174" s="5">
        <f>INDEX('Default Prob'!$P$5:$P$14,MIN(1+_xlfn.IFNA(MATCH(F174,'Default Prob'!$F$5:$F$14,1),0),COUNT('Default Prob'!$P$5:$P$14)))</f>
        <v>2.626278464496291E-2</v>
      </c>
      <c r="H174" s="5">
        <f t="shared" si="37"/>
        <v>0.98352745269721809</v>
      </c>
      <c r="I174" s="24">
        <f t="shared" si="38"/>
        <v>2.1218033515935097E-4</v>
      </c>
      <c r="J174" s="25">
        <f>INDEX('Default Prob'!$C$3:$C$13, _xlfn.IFNA(MATCH(F174, 'Default Prob'!$B$3:$B$13, 1), 1))</f>
        <v>1.9099999999999999E-2</v>
      </c>
      <c r="K174" s="26">
        <f t="shared" si="29"/>
        <v>0.98810554620439173</v>
      </c>
      <c r="L174" s="27">
        <f t="shared" ca="1" si="30"/>
        <v>0</v>
      </c>
      <c r="M174" s="27">
        <f t="shared" ca="1" si="31"/>
        <v>2528.2345629077436</v>
      </c>
      <c r="N174" s="28">
        <f t="shared" ca="1" si="32"/>
        <v>0.53006097641695504</v>
      </c>
      <c r="O174" s="29">
        <f t="shared" ca="1" si="33"/>
        <v>600000</v>
      </c>
      <c r="P174" s="30">
        <f t="shared" ca="1" si="34"/>
        <v>125.79393957987683</v>
      </c>
    </row>
    <row r="175" spans="1:16" x14ac:dyDescent="0.25">
      <c r="A175" s="3">
        <f t="shared" si="35"/>
        <v>46357</v>
      </c>
      <c r="B175" s="21">
        <f t="shared" si="26"/>
        <v>36861</v>
      </c>
      <c r="C175" s="21">
        <f t="shared" si="27"/>
        <v>36880</v>
      </c>
      <c r="D175" s="1">
        <f t="shared" si="36"/>
        <v>0</v>
      </c>
      <c r="E175" s="3">
        <f t="array" ref="E175">INDEX($A$9:A174, MAX(IF($D$9:D174=1, ROW(D$9:$D174)-ROW($D$9)+1, 0)))</f>
        <v>46286</v>
      </c>
      <c r="F175" s="23">
        <f t="shared" si="28"/>
        <v>0.63518138261464752</v>
      </c>
      <c r="G175" s="5">
        <f>INDEX('Default Prob'!$P$5:$P$14,MIN(1+_xlfn.IFNA(MATCH(F175,'Default Prob'!$F$5:$F$14,1),0),COUNT('Default Prob'!$P$5:$P$14)))</f>
        <v>2.626278464496291E-2</v>
      </c>
      <c r="H175" s="5">
        <f t="shared" si="37"/>
        <v>0.98345673608924022</v>
      </c>
      <c r="I175" s="24">
        <f t="shared" si="38"/>
        <v>7.0716607977860946E-5</v>
      </c>
      <c r="J175" s="25">
        <f>INDEX('Default Prob'!$C$3:$C$13, _xlfn.IFNA(MATCH(F175, 'Default Prob'!$B$3:$B$13, 1), 1))</f>
        <v>1.9099999999999999E-2</v>
      </c>
      <c r="K175" s="26">
        <f t="shared" si="29"/>
        <v>0.98805436383897116</v>
      </c>
      <c r="L175" s="27">
        <f t="shared" ca="1" si="30"/>
        <v>0</v>
      </c>
      <c r="M175" s="27">
        <f t="shared" ca="1" si="31"/>
        <v>2564.3521995207116</v>
      </c>
      <c r="N175" s="28">
        <f t="shared" ca="1" si="32"/>
        <v>0.17917604020315286</v>
      </c>
      <c r="O175" s="29">
        <f t="shared" ca="1" si="33"/>
        <v>600000</v>
      </c>
      <c r="P175" s="30">
        <f t="shared" ca="1" si="34"/>
        <v>41.923111865049187</v>
      </c>
    </row>
    <row r="176" spans="1:16" x14ac:dyDescent="0.25">
      <c r="A176" s="3">
        <f t="shared" si="35"/>
        <v>46358</v>
      </c>
      <c r="B176" s="21">
        <f t="shared" si="26"/>
        <v>36862</v>
      </c>
      <c r="C176" s="21">
        <f t="shared" si="27"/>
        <v>36880</v>
      </c>
      <c r="D176" s="1">
        <f t="shared" si="36"/>
        <v>0</v>
      </c>
      <c r="E176" s="3">
        <f t="array" ref="E176">INDEX($A$9:A175, MAX(IF($D$9:D175=1, ROW(D$9:$D175)-ROW($D$9)+1, 0)))</f>
        <v>46286</v>
      </c>
      <c r="F176" s="23">
        <f t="shared" si="28"/>
        <v>0.63791923340177958</v>
      </c>
      <c r="G176" s="5">
        <f>INDEX('Default Prob'!$P$5:$P$14,MIN(1+_xlfn.IFNA(MATCH(F176,'Default Prob'!$F$5:$F$14,1),0),COUNT('Default Prob'!$P$5:$P$14)))</f>
        <v>2.626278464496291E-2</v>
      </c>
      <c r="H176" s="5">
        <f t="shared" si="37"/>
        <v>0.98338602456585722</v>
      </c>
      <c r="I176" s="24">
        <f t="shared" si="38"/>
        <v>7.0711523383004682E-5</v>
      </c>
      <c r="J176" s="25">
        <f>INDEX('Default Prob'!$C$3:$C$13, _xlfn.IFNA(MATCH(F176, 'Default Prob'!$B$3:$B$13, 1), 1))</f>
        <v>1.9099999999999999E-2</v>
      </c>
      <c r="K176" s="26">
        <f t="shared" si="29"/>
        <v>0.98800318412471921</v>
      </c>
      <c r="L176" s="27">
        <f t="shared" ca="1" si="30"/>
        <v>0</v>
      </c>
      <c r="M176" s="27">
        <f t="shared" ca="1" si="31"/>
        <v>2600.4698361336791</v>
      </c>
      <c r="N176" s="28">
        <f t="shared" ca="1" si="32"/>
        <v>0.18167717092806066</v>
      </c>
      <c r="O176" s="29">
        <f t="shared" ca="1" si="33"/>
        <v>600000</v>
      </c>
      <c r="P176" s="30">
        <f t="shared" ca="1" si="34"/>
        <v>41.917926154030894</v>
      </c>
    </row>
    <row r="177" spans="1:16" x14ac:dyDescent="0.25">
      <c r="A177" s="3">
        <f t="shared" si="35"/>
        <v>46359</v>
      </c>
      <c r="B177" s="21">
        <f t="shared" si="26"/>
        <v>36863</v>
      </c>
      <c r="C177" s="21">
        <f t="shared" si="27"/>
        <v>36880</v>
      </c>
      <c r="D177" s="1">
        <f t="shared" si="36"/>
        <v>0</v>
      </c>
      <c r="E177" s="3">
        <f t="array" ref="E177">INDEX($A$9:A176, MAX(IF($D$9:D176=1, ROW(D$9:$D176)-ROW($D$9)+1, 0)))</f>
        <v>46286</v>
      </c>
      <c r="F177" s="23">
        <f t="shared" si="28"/>
        <v>0.64065708418891165</v>
      </c>
      <c r="G177" s="5">
        <f>INDEX('Default Prob'!$P$5:$P$14,MIN(1+_xlfn.IFNA(MATCH(F177,'Default Prob'!$F$5:$F$14,1),0),COUNT('Default Prob'!$P$5:$P$14)))</f>
        <v>2.626278464496291E-2</v>
      </c>
      <c r="H177" s="5">
        <f t="shared" si="37"/>
        <v>0.98331531812670347</v>
      </c>
      <c r="I177" s="24">
        <f t="shared" si="38"/>
        <v>7.070643915374486E-5</v>
      </c>
      <c r="J177" s="25">
        <f>INDEX('Default Prob'!$C$3:$C$13, _xlfn.IFNA(MATCH(F177, 'Default Prob'!$B$3:$B$13, 1), 1))</f>
        <v>1.9099999999999999E-2</v>
      </c>
      <c r="K177" s="26">
        <f t="shared" si="29"/>
        <v>0.98795200706149877</v>
      </c>
      <c r="L177" s="27">
        <f t="shared" ca="1" si="30"/>
        <v>0</v>
      </c>
      <c r="M177" s="27">
        <f t="shared" ca="1" si="31"/>
        <v>2636.5874727466467</v>
      </c>
      <c r="N177" s="28">
        <f t="shared" ca="1" si="32"/>
        <v>0.18417768015297176</v>
      </c>
      <c r="O177" s="29">
        <f t="shared" ca="1" si="33"/>
        <v>600000</v>
      </c>
      <c r="P177" s="30">
        <f t="shared" ca="1" si="34"/>
        <v>41.912741084468387</v>
      </c>
    </row>
    <row r="178" spans="1:16" x14ac:dyDescent="0.25">
      <c r="A178" s="3">
        <f t="shared" si="35"/>
        <v>46360</v>
      </c>
      <c r="B178" s="21">
        <f t="shared" si="26"/>
        <v>36864</v>
      </c>
      <c r="C178" s="21">
        <f t="shared" si="27"/>
        <v>36880</v>
      </c>
      <c r="D178" s="1">
        <f t="shared" si="36"/>
        <v>0</v>
      </c>
      <c r="E178" s="3">
        <f t="array" ref="E178">INDEX($A$9:A177, MAX(IF($D$9:D177=1, ROW(D$9:$D177)-ROW($D$9)+1, 0)))</f>
        <v>46286</v>
      </c>
      <c r="F178" s="23">
        <f t="shared" si="28"/>
        <v>0.64339493497604383</v>
      </c>
      <c r="G178" s="5">
        <f>INDEX('Default Prob'!$P$5:$P$14,MIN(1+_xlfn.IFNA(MATCH(F178,'Default Prob'!$F$5:$F$14,1),0),COUNT('Default Prob'!$P$5:$P$14)))</f>
        <v>2.626278464496291E-2</v>
      </c>
      <c r="H178" s="5">
        <f t="shared" si="37"/>
        <v>0.98324461677141339</v>
      </c>
      <c r="I178" s="24">
        <f t="shared" si="38"/>
        <v>7.070135529008148E-5</v>
      </c>
      <c r="J178" s="25">
        <f>INDEX('Default Prob'!$C$3:$C$13, _xlfn.IFNA(MATCH(F178, 'Default Prob'!$B$3:$B$13, 1), 1))</f>
        <v>1.9099999999999999E-2</v>
      </c>
      <c r="K178" s="26">
        <f t="shared" si="29"/>
        <v>0.98790083264917228</v>
      </c>
      <c r="L178" s="27">
        <f t="shared" ca="1" si="30"/>
        <v>0</v>
      </c>
      <c r="M178" s="27">
        <f t="shared" ca="1" si="31"/>
        <v>2672.7051093596151</v>
      </c>
      <c r="N178" s="28">
        <f t="shared" ca="1" si="32"/>
        <v>0.18667756799344146</v>
      </c>
      <c r="O178" s="29">
        <f t="shared" ca="1" si="33"/>
        <v>600000</v>
      </c>
      <c r="P178" s="30">
        <f t="shared" ca="1" si="34"/>
        <v>41.907556656297871</v>
      </c>
    </row>
    <row r="179" spans="1:16" x14ac:dyDescent="0.25">
      <c r="A179" s="3">
        <f t="shared" si="35"/>
        <v>46363</v>
      </c>
      <c r="B179" s="21">
        <f t="shared" si="26"/>
        <v>36867</v>
      </c>
      <c r="C179" s="21">
        <f t="shared" si="27"/>
        <v>36880</v>
      </c>
      <c r="D179" s="1">
        <f t="shared" si="36"/>
        <v>0</v>
      </c>
      <c r="E179" s="3">
        <f t="array" ref="E179">INDEX($A$9:A178, MAX(IF($D$9:D178=1, ROW(D$9:$D178)-ROW($D$9)+1, 0)))</f>
        <v>46286</v>
      </c>
      <c r="F179" s="23">
        <f t="shared" si="28"/>
        <v>0.65160848733744015</v>
      </c>
      <c r="G179" s="5">
        <f>INDEX('Default Prob'!$P$5:$P$14,MIN(1+_xlfn.IFNA(MATCH(F179,'Default Prob'!$F$5:$F$14,1),0),COUNT('Default Prob'!$P$5:$P$14)))</f>
        <v>2.626278464496291E-2</v>
      </c>
      <c r="H179" s="5">
        <f t="shared" si="37"/>
        <v>0.98303254320507027</v>
      </c>
      <c r="I179" s="24">
        <f t="shared" si="38"/>
        <v>2.1207356634311836E-4</v>
      </c>
      <c r="J179" s="25">
        <f>INDEX('Default Prob'!$C$3:$C$13, _xlfn.IFNA(MATCH(F179, 'Default Prob'!$B$3:$B$13, 1), 1))</f>
        <v>1.9099999999999999E-2</v>
      </c>
      <c r="K179" s="26">
        <f t="shared" si="29"/>
        <v>0.98774732531618437</v>
      </c>
      <c r="L179" s="27">
        <f t="shared" ca="1" si="30"/>
        <v>0</v>
      </c>
      <c r="M179" s="27">
        <f t="shared" ca="1" si="31"/>
        <v>2781.0580191985182</v>
      </c>
      <c r="N179" s="28">
        <f t="shared" ca="1" si="32"/>
        <v>0.58256240090860589</v>
      </c>
      <c r="O179" s="29">
        <f t="shared" ca="1" si="33"/>
        <v>600000</v>
      </c>
      <c r="P179" s="30">
        <f t="shared" ca="1" si="34"/>
        <v>125.68505875540772</v>
      </c>
    </row>
    <row r="180" spans="1:16" x14ac:dyDescent="0.25">
      <c r="A180" s="3">
        <f t="shared" si="35"/>
        <v>46364</v>
      </c>
      <c r="B180" s="21">
        <f t="shared" si="26"/>
        <v>36868</v>
      </c>
      <c r="C180" s="21">
        <f t="shared" si="27"/>
        <v>36880</v>
      </c>
      <c r="D180" s="1">
        <f t="shared" si="36"/>
        <v>0</v>
      </c>
      <c r="E180" s="3">
        <f t="array" ref="E180">INDEX($A$9:A179, MAX(IF($D$9:D179=1, ROW(D$9:$D179)-ROW($D$9)+1, 0)))</f>
        <v>46286</v>
      </c>
      <c r="F180" s="23">
        <f t="shared" si="28"/>
        <v>0.65434633812457221</v>
      </c>
      <c r="G180" s="5">
        <f>INDEX('Default Prob'!$P$5:$P$14,MIN(1+_xlfn.IFNA(MATCH(F180,'Default Prob'!$F$5:$F$14,1),0),COUNT('Default Prob'!$P$5:$P$14)))</f>
        <v>2.626278464496291E-2</v>
      </c>
      <c r="H180" s="5">
        <f t="shared" si="37"/>
        <v>0.9829618621815801</v>
      </c>
      <c r="I180" s="24">
        <f t="shared" si="38"/>
        <v>7.0681023490171135E-5</v>
      </c>
      <c r="J180" s="25">
        <f>INDEX('Default Prob'!$C$3:$C$13, _xlfn.IFNA(MATCH(F180, 'Default Prob'!$B$3:$B$13, 1), 1))</f>
        <v>1.9099999999999999E-2</v>
      </c>
      <c r="K180" s="26">
        <f t="shared" si="29"/>
        <v>0.98769616150606132</v>
      </c>
      <c r="L180" s="27">
        <f t="shared" ca="1" si="30"/>
        <v>0</v>
      </c>
      <c r="M180" s="27">
        <f t="shared" ca="1" si="31"/>
        <v>2817.1756558114857</v>
      </c>
      <c r="N180" s="28">
        <f t="shared" ca="1" si="32"/>
        <v>0.1966709078180772</v>
      </c>
      <c r="O180" s="29">
        <f t="shared" ca="1" si="33"/>
        <v>600000</v>
      </c>
      <c r="P180" s="30">
        <f t="shared" ca="1" si="34"/>
        <v>41.88682535553707</v>
      </c>
    </row>
    <row r="181" spans="1:16" x14ac:dyDescent="0.25">
      <c r="A181" s="3">
        <f t="shared" si="35"/>
        <v>46365</v>
      </c>
      <c r="B181" s="21">
        <f t="shared" si="26"/>
        <v>36869</v>
      </c>
      <c r="C181" s="21">
        <f t="shared" si="27"/>
        <v>36880</v>
      </c>
      <c r="D181" s="1">
        <f t="shared" si="36"/>
        <v>0</v>
      </c>
      <c r="E181" s="3">
        <f t="array" ref="E181">INDEX($A$9:A180, MAX(IF($D$9:D180=1, ROW(D$9:$D180)-ROW($D$9)+1, 0)))</f>
        <v>46286</v>
      </c>
      <c r="F181" s="23">
        <f t="shared" si="28"/>
        <v>0.65708418891170428</v>
      </c>
      <c r="G181" s="5">
        <f>INDEX('Default Prob'!$P$5:$P$14,MIN(1+_xlfn.IFNA(MATCH(F181,'Default Prob'!$F$5:$F$14,1),0),COUNT('Default Prob'!$P$5:$P$14)))</f>
        <v>2.626278464496291E-2</v>
      </c>
      <c r="H181" s="5">
        <f t="shared" si="37"/>
        <v>0.98289118624012617</v>
      </c>
      <c r="I181" s="24">
        <f t="shared" si="38"/>
        <v>7.0675941453934854E-5</v>
      </c>
      <c r="J181" s="25">
        <f>INDEX('Default Prob'!$C$3:$C$13, _xlfn.IFNA(MATCH(F181, 'Default Prob'!$B$3:$B$13, 1), 1))</f>
        <v>1.9099999999999999E-2</v>
      </c>
      <c r="K181" s="26">
        <f t="shared" si="29"/>
        <v>0.98764500034614555</v>
      </c>
      <c r="L181" s="27">
        <f t="shared" ca="1" si="30"/>
        <v>0</v>
      </c>
      <c r="M181" s="27">
        <f t="shared" ca="1" si="31"/>
        <v>2853.2932924244533</v>
      </c>
      <c r="N181" s="28">
        <f t="shared" ca="1" si="32"/>
        <v>0.19916769046752492</v>
      </c>
      <c r="O181" s="29">
        <f t="shared" ca="1" si="33"/>
        <v>600000</v>
      </c>
      <c r="P181" s="30">
        <f t="shared" ca="1" si="34"/>
        <v>41.881644133041391</v>
      </c>
    </row>
    <row r="182" spans="1:16" x14ac:dyDescent="0.25">
      <c r="A182" s="3">
        <f t="shared" si="35"/>
        <v>46366</v>
      </c>
      <c r="B182" s="21">
        <f t="shared" si="26"/>
        <v>36870</v>
      </c>
      <c r="C182" s="21">
        <f t="shared" si="27"/>
        <v>36880</v>
      </c>
      <c r="D182" s="1">
        <f t="shared" si="36"/>
        <v>0</v>
      </c>
      <c r="E182" s="3">
        <f t="array" ref="E182">INDEX($A$9:A181, MAX(IF($D$9:D181=1, ROW(D$9:$D181)-ROW($D$9)+1, 0)))</f>
        <v>46286</v>
      </c>
      <c r="F182" s="23">
        <f t="shared" si="28"/>
        <v>0.65982203969883646</v>
      </c>
      <c r="G182" s="5">
        <f>INDEX('Default Prob'!$P$5:$P$14,MIN(1+_xlfn.IFNA(MATCH(F182,'Default Prob'!$F$5:$F$14,1),0),COUNT('Default Prob'!$P$5:$P$14)))</f>
        <v>2.626278464496291E-2</v>
      </c>
      <c r="H182" s="5">
        <f t="shared" si="37"/>
        <v>0.98282051538034321</v>
      </c>
      <c r="I182" s="24">
        <f t="shared" si="38"/>
        <v>7.0670859782961948E-5</v>
      </c>
      <c r="J182" s="25">
        <f>INDEX('Default Prob'!$C$3:$C$13, _xlfn.IFNA(MATCH(F182, 'Default Prob'!$B$3:$B$13, 1), 1))</f>
        <v>1.9099999999999999E-2</v>
      </c>
      <c r="K182" s="26">
        <f t="shared" si="29"/>
        <v>0.98759384183630039</v>
      </c>
      <c r="L182" s="27">
        <f t="shared" ca="1" si="30"/>
        <v>0</v>
      </c>
      <c r="M182" s="27">
        <f t="shared" ca="1" si="31"/>
        <v>2889.4109290374213</v>
      </c>
      <c r="N182" s="28">
        <f t="shared" ca="1" si="32"/>
        <v>0.2016638524245514</v>
      </c>
      <c r="O182" s="29">
        <f t="shared" ca="1" si="33"/>
        <v>600000</v>
      </c>
      <c r="P182" s="30">
        <f t="shared" ca="1" si="34"/>
        <v>41.876463551357929</v>
      </c>
    </row>
    <row r="183" spans="1:16" x14ac:dyDescent="0.25">
      <c r="A183" s="3">
        <f t="shared" si="35"/>
        <v>46367</v>
      </c>
      <c r="B183" s="21">
        <f t="shared" si="26"/>
        <v>36871</v>
      </c>
      <c r="C183" s="21">
        <f t="shared" si="27"/>
        <v>36880</v>
      </c>
      <c r="D183" s="1">
        <f t="shared" si="36"/>
        <v>0</v>
      </c>
      <c r="E183" s="3">
        <f t="array" ref="E183">INDEX($A$9:A182, MAX(IF($D$9:D182=1, ROW(D$9:$D182)-ROW($D$9)+1, 0)))</f>
        <v>46286</v>
      </c>
      <c r="F183" s="23">
        <f t="shared" si="28"/>
        <v>0.66255989048596853</v>
      </c>
      <c r="G183" s="5">
        <f>INDEX('Default Prob'!$P$5:$P$14,MIN(1+_xlfn.IFNA(MATCH(F183,'Default Prob'!$F$5:$F$14,1),0),COUNT('Default Prob'!$P$5:$P$14)))</f>
        <v>2.626278464496291E-2</v>
      </c>
      <c r="H183" s="5">
        <f t="shared" si="37"/>
        <v>0.98274984960186573</v>
      </c>
      <c r="I183" s="24">
        <f t="shared" si="38"/>
        <v>7.0665778477474461E-5</v>
      </c>
      <c r="J183" s="25">
        <f>INDEX('Default Prob'!$C$3:$C$13, _xlfn.IFNA(MATCH(F183, 'Default Prob'!$B$3:$B$13, 1), 1))</f>
        <v>1.9099999999999999E-2</v>
      </c>
      <c r="K183" s="26">
        <f t="shared" si="29"/>
        <v>0.98754268597638817</v>
      </c>
      <c r="L183" s="27">
        <f t="shared" ca="1" si="30"/>
        <v>0</v>
      </c>
      <c r="M183" s="27">
        <f t="shared" ca="1" si="31"/>
        <v>2925.5285656503888</v>
      </c>
      <c r="N183" s="28">
        <f t="shared" ca="1" si="32"/>
        <v>0.20415939380521042</v>
      </c>
      <c r="O183" s="29">
        <f t="shared" ca="1" si="33"/>
        <v>600000</v>
      </c>
      <c r="P183" s="30">
        <f t="shared" ca="1" si="34"/>
        <v>41.871283610554542</v>
      </c>
    </row>
    <row r="184" spans="1:16" x14ac:dyDescent="0.25">
      <c r="A184" s="3">
        <f t="shared" si="35"/>
        <v>46370</v>
      </c>
      <c r="B184" s="21">
        <f t="shared" si="26"/>
        <v>36874</v>
      </c>
      <c r="C184" s="21">
        <f t="shared" si="27"/>
        <v>36880</v>
      </c>
      <c r="D184" s="1">
        <f t="shared" si="36"/>
        <v>0</v>
      </c>
      <c r="E184" s="3">
        <f t="array" ref="E184">INDEX($A$9:A183, MAX(IF($D$9:D183=1, ROW(D$9:$D183)-ROW($D$9)+1, 0)))</f>
        <v>46286</v>
      </c>
      <c r="F184" s="23">
        <f t="shared" si="28"/>
        <v>0.67077344284736484</v>
      </c>
      <c r="G184" s="5">
        <f>INDEX('Default Prob'!$P$5:$P$14,MIN(1+_xlfn.IFNA(MATCH(F184,'Default Prob'!$F$5:$F$14,1),0),COUNT('Default Prob'!$P$5:$P$14)))</f>
        <v>2.626278464496291E-2</v>
      </c>
      <c r="H184" s="5">
        <f t="shared" si="37"/>
        <v>0.98253788275061305</v>
      </c>
      <c r="I184" s="24">
        <f t="shared" si="38"/>
        <v>2.1196685125268733E-4</v>
      </c>
      <c r="J184" s="25">
        <f>INDEX('Default Prob'!$C$3:$C$13, _xlfn.IFNA(MATCH(F184, 'Default Prob'!$B$3:$B$13, 1), 1))</f>
        <v>1.9099999999999999E-2</v>
      </c>
      <c r="K184" s="26">
        <f t="shared" si="29"/>
        <v>0.98738923429487746</v>
      </c>
      <c r="L184" s="27">
        <f t="shared" ca="1" si="30"/>
        <v>0</v>
      </c>
      <c r="M184" s="27">
        <f t="shared" ca="1" si="31"/>
        <v>3033.8814754892928</v>
      </c>
      <c r="N184" s="28">
        <f t="shared" ca="1" si="32"/>
        <v>0.63497254317561436</v>
      </c>
      <c r="O184" s="29">
        <f t="shared" ca="1" si="33"/>
        <v>600000</v>
      </c>
      <c r="P184" s="30">
        <f t="shared" ca="1" si="34"/>
        <v>125.57627217257229</v>
      </c>
    </row>
    <row r="185" spans="1:16" x14ac:dyDescent="0.25">
      <c r="A185" s="3">
        <f t="shared" si="35"/>
        <v>46371</v>
      </c>
      <c r="B185" s="21">
        <f t="shared" si="26"/>
        <v>36875</v>
      </c>
      <c r="C185" s="21">
        <f t="shared" si="27"/>
        <v>36880</v>
      </c>
      <c r="D185" s="1">
        <f t="shared" si="36"/>
        <v>0</v>
      </c>
      <c r="E185" s="3">
        <f t="array" ref="E185">INDEX($A$9:A184, MAX(IF($D$9:D184=1, ROW(D$9:$D184)-ROW($D$9)+1, 0)))</f>
        <v>46286</v>
      </c>
      <c r="F185" s="23">
        <f t="shared" si="28"/>
        <v>0.67351129363449691</v>
      </c>
      <c r="G185" s="5">
        <f>INDEX('Default Prob'!$P$5:$P$14,MIN(1+_xlfn.IFNA(MATCH(F185,'Default Prob'!$F$5:$F$14,1),0),COUNT('Default Prob'!$P$5:$P$14)))</f>
        <v>2.626278464496291E-2</v>
      </c>
      <c r="H185" s="5">
        <f t="shared" si="37"/>
        <v>0.98246723729370444</v>
      </c>
      <c r="I185" s="24">
        <f t="shared" si="38"/>
        <v>7.0645456908602355E-5</v>
      </c>
      <c r="J185" s="25">
        <f>INDEX('Default Prob'!$C$3:$C$13, _xlfn.IFNA(MATCH(F185, 'Default Prob'!$B$3:$B$13, 1), 1))</f>
        <v>1.9099999999999999E-2</v>
      </c>
      <c r="K185" s="26">
        <f t="shared" si="29"/>
        <v>0.98733808903332476</v>
      </c>
      <c r="L185" s="27">
        <f t="shared" ca="1" si="30"/>
        <v>0</v>
      </c>
      <c r="M185" s="27">
        <f t="shared" ca="1" si="31"/>
        <v>3069.9991121022604</v>
      </c>
      <c r="N185" s="28">
        <f t="shared" ca="1" si="32"/>
        <v>0.21413535586697721</v>
      </c>
      <c r="O185" s="29">
        <f t="shared" ca="1" si="33"/>
        <v>600000</v>
      </c>
      <c r="P185" s="30">
        <f t="shared" ca="1" si="34"/>
        <v>41.850570253815327</v>
      </c>
    </row>
    <row r="186" spans="1:16" x14ac:dyDescent="0.25">
      <c r="A186" s="3">
        <f t="shared" si="35"/>
        <v>46372</v>
      </c>
      <c r="B186" s="21">
        <f t="shared" si="26"/>
        <v>36876</v>
      </c>
      <c r="C186" s="21">
        <f t="shared" si="27"/>
        <v>36880</v>
      </c>
      <c r="D186" s="1">
        <f t="shared" si="36"/>
        <v>0</v>
      </c>
      <c r="E186" s="3">
        <f t="array" ref="E186">INDEX($A$9:A185, MAX(IF($D$9:D185=1, ROW(D$9:$D185)-ROW($D$9)+1, 0)))</f>
        <v>46286</v>
      </c>
      <c r="F186" s="23">
        <f t="shared" si="28"/>
        <v>0.67624914442162898</v>
      </c>
      <c r="G186" s="5">
        <f>INDEX('Default Prob'!$P$5:$P$14,MIN(1+_xlfn.IFNA(MATCH(F186,'Default Prob'!$F$5:$F$14,1),0),COUNT('Default Prob'!$P$5:$P$14)))</f>
        <v>2.626278464496291E-2</v>
      </c>
      <c r="H186" s="5">
        <f t="shared" si="37"/>
        <v>0.9823965969162749</v>
      </c>
      <c r="I186" s="24">
        <f t="shared" si="38"/>
        <v>7.0640377429542767E-5</v>
      </c>
      <c r="J186" s="25">
        <f>INDEX('Default Prob'!$C$3:$C$13, _xlfn.IFNA(MATCH(F186, 'Default Prob'!$B$3:$B$13, 1), 1))</f>
        <v>1.9099999999999999E-2</v>
      </c>
      <c r="K186" s="26">
        <f t="shared" si="29"/>
        <v>0.98728694642101911</v>
      </c>
      <c r="L186" s="27">
        <f t="shared" ca="1" si="30"/>
        <v>0</v>
      </c>
      <c r="M186" s="27">
        <f t="shared" ca="1" si="31"/>
        <v>3106.1167487152284</v>
      </c>
      <c r="N186" s="28">
        <f t="shared" ca="1" si="32"/>
        <v>0.21662779609367946</v>
      </c>
      <c r="O186" s="29">
        <f t="shared" ca="1" si="33"/>
        <v>600000</v>
      </c>
      <c r="P186" s="30">
        <f t="shared" ca="1" si="34"/>
        <v>41.845393515864934</v>
      </c>
    </row>
    <row r="187" spans="1:16" x14ac:dyDescent="0.25">
      <c r="A187" s="3">
        <f t="shared" si="35"/>
        <v>46373</v>
      </c>
      <c r="B187" s="21">
        <f t="shared" si="26"/>
        <v>36877</v>
      </c>
      <c r="C187" s="21">
        <f t="shared" si="27"/>
        <v>36880</v>
      </c>
      <c r="D187" s="1">
        <f t="shared" si="36"/>
        <v>0</v>
      </c>
      <c r="E187" s="3">
        <f t="array" ref="E187">INDEX($A$9:A186, MAX(IF($D$9:D186=1, ROW(D$9:$D186)-ROW($D$9)+1, 0)))</f>
        <v>46286</v>
      </c>
      <c r="F187" s="23">
        <f t="shared" si="28"/>
        <v>0.67898699520876116</v>
      </c>
      <c r="G187" s="5">
        <f>INDEX('Default Prob'!$P$5:$P$14,MIN(1+_xlfn.IFNA(MATCH(F187,'Default Prob'!$F$5:$F$14,1),0),COUNT('Default Prob'!$P$5:$P$14)))</f>
        <v>2.626278464496291E-2</v>
      </c>
      <c r="H187" s="5">
        <f t="shared" si="37"/>
        <v>0.98232596161795915</v>
      </c>
      <c r="I187" s="24">
        <f t="shared" si="38"/>
        <v>7.0635298315746553E-5</v>
      </c>
      <c r="J187" s="25">
        <f>INDEX('Default Prob'!$C$3:$C$13, _xlfn.IFNA(MATCH(F187, 'Default Prob'!$B$3:$B$13, 1), 1))</f>
        <v>1.9099999999999999E-2</v>
      </c>
      <c r="K187" s="26">
        <f t="shared" si="29"/>
        <v>0.98723580645782305</v>
      </c>
      <c r="L187" s="27">
        <f t="shared" ca="1" si="30"/>
        <v>0</v>
      </c>
      <c r="M187" s="27">
        <f t="shared" ca="1" si="31"/>
        <v>3142.2343853281959</v>
      </c>
      <c r="N187" s="28">
        <f t="shared" ca="1" si="32"/>
        <v>0.21911961643555034</v>
      </c>
      <c r="O187" s="29">
        <f t="shared" ca="1" si="33"/>
        <v>600000</v>
      </c>
      <c r="P187" s="30">
        <f t="shared" ca="1" si="34"/>
        <v>41.840217418280972</v>
      </c>
    </row>
    <row r="188" spans="1:16" x14ac:dyDescent="0.25">
      <c r="A188" s="3">
        <f t="shared" si="35"/>
        <v>46374</v>
      </c>
      <c r="B188" s="21">
        <f t="shared" si="26"/>
        <v>36878</v>
      </c>
      <c r="C188" s="21">
        <f t="shared" si="27"/>
        <v>36880</v>
      </c>
      <c r="D188" s="1">
        <f t="shared" si="36"/>
        <v>0</v>
      </c>
      <c r="E188" s="3">
        <f t="array" ref="E188">INDEX($A$9:A187, MAX(IF($D$9:D187=1, ROW(D$9:$D187)-ROW($D$9)+1, 0)))</f>
        <v>46286</v>
      </c>
      <c r="F188" s="23">
        <f t="shared" si="28"/>
        <v>0.68172484599589322</v>
      </c>
      <c r="G188" s="5">
        <f>INDEX('Default Prob'!$P$5:$P$14,MIN(1+_xlfn.IFNA(MATCH(F188,'Default Prob'!$F$5:$F$14,1),0),COUNT('Default Prob'!$P$5:$P$14)))</f>
        <v>2.626278464496291E-2</v>
      </c>
      <c r="H188" s="5">
        <f t="shared" si="37"/>
        <v>0.98225533139839205</v>
      </c>
      <c r="I188" s="24">
        <f t="shared" si="38"/>
        <v>7.0630219567102692E-5</v>
      </c>
      <c r="J188" s="25">
        <f>INDEX('Default Prob'!$C$3:$C$13, _xlfn.IFNA(MATCH(F188, 'Default Prob'!$B$3:$B$13, 1), 1))</f>
        <v>1.9099999999999999E-2</v>
      </c>
      <c r="K188" s="26">
        <f t="shared" si="29"/>
        <v>0.98718466914359926</v>
      </c>
      <c r="L188" s="27">
        <f t="shared" ca="1" si="30"/>
        <v>0</v>
      </c>
      <c r="M188" s="27">
        <f t="shared" ca="1" si="31"/>
        <v>3178.3520219411635</v>
      </c>
      <c r="N188" s="28">
        <f t="shared" ca="1" si="32"/>
        <v>0.22161081700754678</v>
      </c>
      <c r="O188" s="29">
        <f t="shared" ca="1" si="33"/>
        <v>600000</v>
      </c>
      <c r="P188" s="30">
        <f t="shared" ca="1" si="34"/>
        <v>41.835041960934028</v>
      </c>
    </row>
    <row r="189" spans="1:16" x14ac:dyDescent="0.25">
      <c r="A189" s="3">
        <f t="shared" si="35"/>
        <v>46377</v>
      </c>
      <c r="B189" s="21">
        <f t="shared" si="26"/>
        <v>36881</v>
      </c>
      <c r="C189" s="21">
        <f t="shared" si="27"/>
        <v>36605</v>
      </c>
      <c r="D189" s="1">
        <f t="shared" si="36"/>
        <v>1</v>
      </c>
      <c r="E189" s="3">
        <f t="array" ref="E189">INDEX($A$9:A188, MAX(IF($D$9:D188=1, ROW(D$9:$D188)-ROW($D$9)+1, 0)))</f>
        <v>46286</v>
      </c>
      <c r="F189" s="23">
        <f t="shared" si="28"/>
        <v>0.68993839835728954</v>
      </c>
      <c r="G189" s="5">
        <f>INDEX('Default Prob'!$P$5:$P$14,MIN(1+_xlfn.IFNA(MATCH(F189,'Default Prob'!$F$5:$F$14,1),0),COUNT('Default Prob'!$P$5:$P$14)))</f>
        <v>2.626278464496291E-2</v>
      </c>
      <c r="H189" s="5">
        <f t="shared" si="37"/>
        <v>0.98204347120853086</v>
      </c>
      <c r="I189" s="24">
        <f t="shared" si="38"/>
        <v>2.1186018986119048E-4</v>
      </c>
      <c r="J189" s="25">
        <f>INDEX('Default Prob'!$C$3:$C$13, _xlfn.IFNA(MATCH(F189, 'Default Prob'!$B$3:$B$13, 1), 1))</f>
        <v>1.9099999999999999E-2</v>
      </c>
      <c r="K189" s="26">
        <f t="shared" si="29"/>
        <v>0.98703127309339</v>
      </c>
      <c r="L189" s="27">
        <f t="shared" ca="1" si="30"/>
        <v>3286.7049317800665</v>
      </c>
      <c r="M189" s="27">
        <f t="shared" ca="1" si="31"/>
        <v>3286.7049317800665</v>
      </c>
      <c r="N189" s="28">
        <f t="shared" ca="1" si="32"/>
        <v>3186.5154187655717</v>
      </c>
      <c r="O189" s="29">
        <f t="shared" ca="1" si="33"/>
        <v>600000</v>
      </c>
      <c r="P189" s="30">
        <f t="shared" ca="1" si="34"/>
        <v>125.46757974989889</v>
      </c>
    </row>
    <row r="190" spans="1:16" x14ac:dyDescent="0.25">
      <c r="A190" s="3">
        <f t="shared" si="35"/>
        <v>46378</v>
      </c>
      <c r="B190" s="21">
        <f t="shared" si="26"/>
        <v>36882</v>
      </c>
      <c r="C190" s="21">
        <f t="shared" si="27"/>
        <v>36605</v>
      </c>
      <c r="D190" s="1">
        <f t="shared" si="36"/>
        <v>0</v>
      </c>
      <c r="E190" s="3">
        <f t="array" ref="E190">INDEX($A$9:A189, MAX(IF($D$9:D189=1, ROW(D$9:$D189)-ROW($D$9)+1, 0)))</f>
        <v>46377</v>
      </c>
      <c r="F190" s="23">
        <f t="shared" si="28"/>
        <v>0.69267624914442161</v>
      </c>
      <c r="G190" s="5">
        <f>INDEX('Default Prob'!$P$5:$P$14,MIN(1+_xlfn.IFNA(MATCH(F190,'Default Prob'!$F$5:$F$14,1),0),COUNT('Default Prob'!$P$5:$P$14)))</f>
        <v>2.626278464496291E-2</v>
      </c>
      <c r="H190" s="5">
        <f t="shared" si="37"/>
        <v>0.98197286130030692</v>
      </c>
      <c r="I190" s="24">
        <f t="shared" si="38"/>
        <v>7.0609908223939755E-5</v>
      </c>
      <c r="J190" s="25">
        <f>INDEX('Default Prob'!$C$3:$C$13, _xlfn.IFNA(MATCH(F190, 'Default Prob'!$B$3:$B$13, 1), 1))</f>
        <v>1.9099999999999999E-2</v>
      </c>
      <c r="K190" s="26">
        <f t="shared" si="29"/>
        <v>0.98698014637368359</v>
      </c>
      <c r="L190" s="27">
        <f t="shared" ca="1" si="30"/>
        <v>0</v>
      </c>
      <c r="M190" s="27">
        <f t="shared" ca="1" si="31"/>
        <v>36.117636612967765</v>
      </c>
      <c r="N190" s="28">
        <f t="shared" ca="1" si="32"/>
        <v>2.517058955453926E-3</v>
      </c>
      <c r="O190" s="29">
        <f t="shared" ca="1" si="33"/>
        <v>600000</v>
      </c>
      <c r="P190" s="30">
        <f t="shared" ca="1" si="34"/>
        <v>41.814346532577851</v>
      </c>
    </row>
    <row r="191" spans="1:16" x14ac:dyDescent="0.25">
      <c r="A191" s="3">
        <f t="shared" si="35"/>
        <v>46379</v>
      </c>
      <c r="B191" s="21">
        <f t="shared" si="26"/>
        <v>36883</v>
      </c>
      <c r="C191" s="21">
        <f t="shared" si="27"/>
        <v>36605</v>
      </c>
      <c r="D191" s="1">
        <f t="shared" si="36"/>
        <v>0</v>
      </c>
      <c r="E191" s="3">
        <f t="array" ref="E191">INDEX($A$9:A190, MAX(IF($D$9:D190=1, ROW(D$9:$D190)-ROW($D$9)+1, 0)))</f>
        <v>46377</v>
      </c>
      <c r="F191" s="23">
        <f t="shared" si="28"/>
        <v>0.69541409993155368</v>
      </c>
      <c r="G191" s="5">
        <f>INDEX('Default Prob'!$P$5:$P$14,MIN(1+_xlfn.IFNA(MATCH(F191,'Default Prob'!$F$5:$F$14,1),0),COUNT('Default Prob'!$P$5:$P$14)))</f>
        <v>2.626278464496291E-2</v>
      </c>
      <c r="H191" s="5">
        <f t="shared" si="37"/>
        <v>0.98190225646900597</v>
      </c>
      <c r="I191" s="24">
        <f t="shared" si="38"/>
        <v>7.0604831300946636E-5</v>
      </c>
      <c r="J191" s="25">
        <f>INDEX('Default Prob'!$C$3:$C$13, _xlfn.IFNA(MATCH(F191, 'Default Prob'!$B$3:$B$13, 1), 1))</f>
        <v>1.9099999999999999E-2</v>
      </c>
      <c r="K191" s="26">
        <f t="shared" si="29"/>
        <v>0.98692902230226365</v>
      </c>
      <c r="L191" s="27">
        <f t="shared" ca="1" si="30"/>
        <v>0</v>
      </c>
      <c r="M191" s="27">
        <f t="shared" ca="1" si="31"/>
        <v>72.235273225935529</v>
      </c>
      <c r="N191" s="28">
        <f t="shared" ca="1" si="32"/>
        <v>5.0334952118899412E-3</v>
      </c>
      <c r="O191" s="29">
        <f t="shared" ca="1" si="33"/>
        <v>600000</v>
      </c>
      <c r="P191" s="30">
        <f t="shared" ca="1" si="34"/>
        <v>41.809174275395712</v>
      </c>
    </row>
    <row r="192" spans="1:16" x14ac:dyDescent="0.25">
      <c r="A192" s="3">
        <f t="shared" si="35"/>
        <v>46380</v>
      </c>
      <c r="B192" s="21">
        <f t="shared" si="26"/>
        <v>36884</v>
      </c>
      <c r="C192" s="21">
        <f t="shared" si="27"/>
        <v>36605</v>
      </c>
      <c r="D192" s="1">
        <f t="shared" si="36"/>
        <v>0</v>
      </c>
      <c r="E192" s="3">
        <f t="array" ref="E192">INDEX($A$9:A191, MAX(IF($D$9:D191=1, ROW(D$9:$D191)-ROW($D$9)+1, 0)))</f>
        <v>46377</v>
      </c>
      <c r="F192" s="23">
        <f t="shared" si="28"/>
        <v>0.69815195071868585</v>
      </c>
      <c r="G192" s="5">
        <f>INDEX('Default Prob'!$P$5:$P$14,MIN(1+_xlfn.IFNA(MATCH(F192,'Default Prob'!$F$5:$F$14,1),0),COUNT('Default Prob'!$P$5:$P$14)))</f>
        <v>2.626278464496291E-2</v>
      </c>
      <c r="H192" s="5">
        <f t="shared" si="37"/>
        <v>0.98183165671426309</v>
      </c>
      <c r="I192" s="24">
        <f t="shared" si="38"/>
        <v>7.0599754742883825E-5</v>
      </c>
      <c r="J192" s="25">
        <f>INDEX('Default Prob'!$C$3:$C$13, _xlfn.IFNA(MATCH(F192, 'Default Prob'!$B$3:$B$13, 1), 1))</f>
        <v>1.9099999999999999E-2</v>
      </c>
      <c r="K192" s="26">
        <f t="shared" si="29"/>
        <v>0.98687790087899285</v>
      </c>
      <c r="L192" s="27">
        <f t="shared" ca="1" si="30"/>
        <v>0</v>
      </c>
      <c r="M192" s="27">
        <f t="shared" ca="1" si="31"/>
        <v>108.35290983890332</v>
      </c>
      <c r="N192" s="28">
        <f t="shared" ca="1" si="32"/>
        <v>7.5493088848345999E-3</v>
      </c>
      <c r="O192" s="29">
        <f t="shared" ca="1" si="33"/>
        <v>600000</v>
      </c>
      <c r="P192" s="30">
        <f t="shared" ca="1" si="34"/>
        <v>41.804002657937346</v>
      </c>
    </row>
    <row r="193" spans="1:16" x14ac:dyDescent="0.25">
      <c r="A193" s="3">
        <f t="shared" si="35"/>
        <v>46381</v>
      </c>
      <c r="B193" s="21">
        <f t="shared" si="26"/>
        <v>36885</v>
      </c>
      <c r="C193" s="21">
        <f t="shared" si="27"/>
        <v>36605</v>
      </c>
      <c r="D193" s="1">
        <f t="shared" si="36"/>
        <v>0</v>
      </c>
      <c r="E193" s="3">
        <f t="array" ref="E193">INDEX($A$9:A192, MAX(IF($D$9:D192=1, ROW(D$9:$D192)-ROW($D$9)+1, 0)))</f>
        <v>46377</v>
      </c>
      <c r="F193" s="23">
        <f t="shared" si="28"/>
        <v>0.70088980150581792</v>
      </c>
      <c r="G193" s="5">
        <f>INDEX('Default Prob'!$P$5:$P$14,MIN(1+_xlfn.IFNA(MATCH(F193,'Default Prob'!$F$5:$F$14,1),0),COUNT('Default Prob'!$P$5:$P$14)))</f>
        <v>2.626278464496291E-2</v>
      </c>
      <c r="H193" s="5">
        <f t="shared" si="37"/>
        <v>0.98176106203571323</v>
      </c>
      <c r="I193" s="24">
        <f t="shared" si="38"/>
        <v>7.0594678549862344E-5</v>
      </c>
      <c r="J193" s="25">
        <f>INDEX('Default Prob'!$C$3:$C$13, _xlfn.IFNA(MATCH(F193, 'Default Prob'!$B$3:$B$13, 1), 1))</f>
        <v>1.9099999999999999E-2</v>
      </c>
      <c r="K193" s="26">
        <f t="shared" si="29"/>
        <v>0.98682678210373409</v>
      </c>
      <c r="L193" s="27">
        <f t="shared" ca="1" si="30"/>
        <v>0</v>
      </c>
      <c r="M193" s="27">
        <f t="shared" ca="1" si="31"/>
        <v>144.47054645187106</v>
      </c>
      <c r="N193" s="28">
        <f t="shared" ca="1" si="32"/>
        <v>1.0064500089814967E-2</v>
      </c>
      <c r="O193" s="29">
        <f t="shared" ca="1" si="33"/>
        <v>600000</v>
      </c>
      <c r="P193" s="30">
        <f t="shared" ca="1" si="34"/>
        <v>41.798831680204898</v>
      </c>
    </row>
    <row r="194" spans="1:16" x14ac:dyDescent="0.25">
      <c r="A194" s="3">
        <f t="shared" si="35"/>
        <v>46384</v>
      </c>
      <c r="B194" s="21">
        <f t="shared" si="26"/>
        <v>36888</v>
      </c>
      <c r="C194" s="21">
        <f t="shared" si="27"/>
        <v>36605</v>
      </c>
      <c r="D194" s="1">
        <f t="shared" si="36"/>
        <v>0</v>
      </c>
      <c r="E194" s="3">
        <f t="array" ref="E194">INDEX($A$9:A193, MAX(IF($D$9:D193=1, ROW(D$9:$D193)-ROW($D$9)+1, 0)))</f>
        <v>46377</v>
      </c>
      <c r="F194" s="23">
        <f t="shared" si="28"/>
        <v>0.70910335386721424</v>
      </c>
      <c r="G194" s="5">
        <f>INDEX('Default Prob'!$P$5:$P$14,MIN(1+_xlfn.IFNA(MATCH(F194,'Default Prob'!$F$5:$F$14,1),0),COUNT('Default Prob'!$P$5:$P$14)))</f>
        <v>2.626278464496291E-2</v>
      </c>
      <c r="H194" s="5">
        <f t="shared" si="37"/>
        <v>0.98154930845357169</v>
      </c>
      <c r="I194" s="24">
        <f t="shared" si="38"/>
        <v>2.1175358214153839E-4</v>
      </c>
      <c r="J194" s="25">
        <f>INDEX('Default Prob'!$C$3:$C$13, _xlfn.IFNA(MATCH(F194, 'Default Prob'!$B$3:$B$13, 1), 1))</f>
        <v>1.9099999999999999E-2</v>
      </c>
      <c r="K194" s="26">
        <f t="shared" si="29"/>
        <v>0.9866734416646582</v>
      </c>
      <c r="L194" s="27">
        <f t="shared" ca="1" si="30"/>
        <v>0</v>
      </c>
      <c r="M194" s="27">
        <f t="shared" ca="1" si="31"/>
        <v>252.82345629077437</v>
      </c>
      <c r="N194" s="28">
        <f t="shared" ca="1" si="32"/>
        <v>5.2822818260195234E-2</v>
      </c>
      <c r="O194" s="29">
        <f t="shared" ca="1" si="33"/>
        <v>600000</v>
      </c>
      <c r="P194" s="30">
        <f t="shared" ca="1" si="34"/>
        <v>125.35898140584695</v>
      </c>
    </row>
    <row r="195" spans="1:16" x14ac:dyDescent="0.25">
      <c r="A195" s="3">
        <f t="shared" si="35"/>
        <v>46385</v>
      </c>
      <c r="B195" s="21">
        <f t="shared" si="26"/>
        <v>36889</v>
      </c>
      <c r="C195" s="21">
        <f t="shared" si="27"/>
        <v>36605</v>
      </c>
      <c r="D195" s="1">
        <f t="shared" si="36"/>
        <v>0</v>
      </c>
      <c r="E195" s="3">
        <f t="array" ref="E195">INDEX($A$9:A194, MAX(IF($D$9:D194=1, ROW(D$9:$D194)-ROW($D$9)+1, 0)))</f>
        <v>46377</v>
      </c>
      <c r="F195" s="23">
        <f t="shared" si="28"/>
        <v>0.7118412046543463</v>
      </c>
      <c r="G195" s="5">
        <f>INDEX('Default Prob'!$P$5:$P$14,MIN(1+_xlfn.IFNA(MATCH(F195,'Default Prob'!$F$5:$F$14,1),0),COUNT('Default Prob'!$P$5:$P$14)))</f>
        <v>2.626278464496291E-2</v>
      </c>
      <c r="H195" s="5">
        <f t="shared" si="37"/>
        <v>0.98147873407614428</v>
      </c>
      <c r="I195" s="24">
        <f t="shared" si="38"/>
        <v>7.0574377427412571E-5</v>
      </c>
      <c r="J195" s="25">
        <f>INDEX('Default Prob'!$C$3:$C$13, _xlfn.IFNA(MATCH(F195, 'Default Prob'!$B$3:$B$13, 1), 1))</f>
        <v>1.9099999999999999E-2</v>
      </c>
      <c r="K195" s="26">
        <f t="shared" si="29"/>
        <v>0.98662233348007589</v>
      </c>
      <c r="L195" s="27">
        <f t="shared" ca="1" si="30"/>
        <v>0</v>
      </c>
      <c r="M195" s="27">
        <f t="shared" ca="1" si="31"/>
        <v>288.94109290374212</v>
      </c>
      <c r="N195" s="28">
        <f t="shared" ca="1" si="32"/>
        <v>2.0119042539798401E-2</v>
      </c>
      <c r="O195" s="29">
        <f t="shared" ca="1" si="33"/>
        <v>600000</v>
      </c>
      <c r="P195" s="30">
        <f t="shared" ca="1" si="34"/>
        <v>41.77815416480243</v>
      </c>
    </row>
    <row r="196" spans="1:16" x14ac:dyDescent="0.25">
      <c r="A196" s="3">
        <f t="shared" si="35"/>
        <v>46386</v>
      </c>
      <c r="B196" s="21">
        <f t="shared" si="26"/>
        <v>36890</v>
      </c>
      <c r="C196" s="21">
        <f t="shared" si="27"/>
        <v>36605</v>
      </c>
      <c r="D196" s="1">
        <f t="shared" si="36"/>
        <v>0</v>
      </c>
      <c r="E196" s="3">
        <f t="array" ref="E196">INDEX($A$9:A195, MAX(IF($D$9:D195=1, ROW(D$9:$D195)-ROW($D$9)+1, 0)))</f>
        <v>46377</v>
      </c>
      <c r="F196" s="23">
        <f t="shared" si="28"/>
        <v>0.71457905544147848</v>
      </c>
      <c r="G196" s="5">
        <f>INDEX('Default Prob'!$P$5:$P$14,MIN(1+_xlfn.IFNA(MATCH(F196,'Default Prob'!$F$5:$F$14,1),0),COUNT('Default Prob'!$P$5:$P$14)))</f>
        <v>2.626278464496291E-2</v>
      </c>
      <c r="H196" s="5">
        <f t="shared" si="37"/>
        <v>0.98140816477308523</v>
      </c>
      <c r="I196" s="24">
        <f t="shared" si="38"/>
        <v>7.0569303059042632E-5</v>
      </c>
      <c r="J196" s="25">
        <f>INDEX('Default Prob'!$C$3:$C$13, _xlfn.IFNA(MATCH(F196, 'Default Prob'!$B$3:$B$13, 1), 1))</f>
        <v>1.9099999999999999E-2</v>
      </c>
      <c r="K196" s="26">
        <f t="shared" si="29"/>
        <v>0.98657122794282004</v>
      </c>
      <c r="L196" s="27">
        <f t="shared" ca="1" si="30"/>
        <v>0</v>
      </c>
      <c r="M196" s="27">
        <f t="shared" ca="1" si="31"/>
        <v>325.05872951670989</v>
      </c>
      <c r="N196" s="28">
        <f t="shared" ca="1" si="32"/>
        <v>2.2631123137062472E-2</v>
      </c>
      <c r="O196" s="29">
        <f t="shared" ca="1" si="33"/>
        <v>600000</v>
      </c>
      <c r="P196" s="30">
        <f t="shared" ca="1" si="34"/>
        <v>41.772986384417216</v>
      </c>
    </row>
    <row r="197" spans="1:16" x14ac:dyDescent="0.25">
      <c r="A197" s="3">
        <f t="shared" si="35"/>
        <v>46387</v>
      </c>
      <c r="B197" s="21">
        <f t="shared" si="26"/>
        <v>36891</v>
      </c>
      <c r="C197" s="21">
        <f t="shared" si="27"/>
        <v>36605</v>
      </c>
      <c r="D197" s="1">
        <f t="shared" si="36"/>
        <v>0</v>
      </c>
      <c r="E197" s="3">
        <f t="array" ref="E197">INDEX($A$9:A196, MAX(IF($D$9:D196=1, ROW(D$9:$D196)-ROW($D$9)+1, 0)))</f>
        <v>46377</v>
      </c>
      <c r="F197" s="23">
        <f t="shared" si="28"/>
        <v>0.71731690622861055</v>
      </c>
      <c r="G197" s="5">
        <f>INDEX('Default Prob'!$P$5:$P$14,MIN(1+_xlfn.IFNA(MATCH(F197,'Default Prob'!$F$5:$F$14,1),0),COUNT('Default Prob'!$P$5:$P$14)))</f>
        <v>2.626278464496291E-2</v>
      </c>
      <c r="H197" s="5">
        <f t="shared" si="37"/>
        <v>0.98133760054402963</v>
      </c>
      <c r="I197" s="24">
        <f t="shared" si="38"/>
        <v>7.0564229055603001E-5</v>
      </c>
      <c r="J197" s="25">
        <f>INDEX('Default Prob'!$C$3:$C$13, _xlfn.IFNA(MATCH(F197, 'Default Prob'!$B$3:$B$13, 1), 1))</f>
        <v>1.9099999999999999E-2</v>
      </c>
      <c r="K197" s="26">
        <f t="shared" si="29"/>
        <v>0.98652012505275311</v>
      </c>
      <c r="L197" s="27">
        <f t="shared" ca="1" si="30"/>
        <v>0</v>
      </c>
      <c r="M197" s="27">
        <f t="shared" ca="1" si="31"/>
        <v>361.17636612967766</v>
      </c>
      <c r="N197" s="28">
        <f t="shared" ca="1" si="32"/>
        <v>2.5142581959100335E-2</v>
      </c>
      <c r="O197" s="29">
        <f t="shared" ca="1" si="33"/>
        <v>600000</v>
      </c>
      <c r="P197" s="30">
        <f t="shared" ca="1" si="34"/>
        <v>41.767819243310754</v>
      </c>
    </row>
    <row r="198" spans="1:16" x14ac:dyDescent="0.25">
      <c r="A198" s="3">
        <f t="shared" si="35"/>
        <v>46388</v>
      </c>
      <c r="B198" s="21">
        <f t="shared" si="26"/>
        <v>36526</v>
      </c>
      <c r="C198" s="21">
        <f t="shared" si="27"/>
        <v>36605</v>
      </c>
      <c r="D198" s="1">
        <f t="shared" si="36"/>
        <v>0</v>
      </c>
      <c r="E198" s="3">
        <f t="array" ref="E198">INDEX($A$9:A197, MAX(IF($D$9:D197=1, ROW(D$9:$D197)-ROW($D$9)+1, 0)))</f>
        <v>46377</v>
      </c>
      <c r="F198" s="23">
        <f t="shared" si="28"/>
        <v>0.72005475701574262</v>
      </c>
      <c r="G198" s="5">
        <f>INDEX('Default Prob'!$P$5:$P$14,MIN(1+_xlfn.IFNA(MATCH(F198,'Default Prob'!$F$5:$F$14,1),0),COUNT('Default Prob'!$P$5:$P$14)))</f>
        <v>2.626278464496291E-2</v>
      </c>
      <c r="H198" s="5">
        <f t="shared" si="37"/>
        <v>0.98126704138861276</v>
      </c>
      <c r="I198" s="24">
        <f t="shared" si="38"/>
        <v>7.0559155416871633E-5</v>
      </c>
      <c r="J198" s="25">
        <f>INDEX('Default Prob'!$C$3:$C$13, _xlfn.IFNA(MATCH(F198, 'Default Prob'!$B$3:$B$13, 1), 1))</f>
        <v>1.9099999999999999E-2</v>
      </c>
      <c r="K198" s="26">
        <f t="shared" si="29"/>
        <v>0.98646902480973842</v>
      </c>
      <c r="L198" s="27">
        <f t="shared" ca="1" si="30"/>
        <v>0</v>
      </c>
      <c r="M198" s="27">
        <f t="shared" ca="1" si="31"/>
        <v>397.29400274264543</v>
      </c>
      <c r="N198" s="28">
        <f t="shared" ca="1" si="32"/>
        <v>2.7653419121229091E-2</v>
      </c>
      <c r="O198" s="29">
        <f t="shared" ca="1" si="33"/>
        <v>600000</v>
      </c>
      <c r="P198" s="30">
        <f t="shared" ca="1" si="34"/>
        <v>41.762652741288079</v>
      </c>
    </row>
    <row r="199" spans="1:16" x14ac:dyDescent="0.25">
      <c r="A199" s="3">
        <f t="shared" si="35"/>
        <v>46391</v>
      </c>
      <c r="B199" s="21">
        <f t="shared" si="26"/>
        <v>36529</v>
      </c>
      <c r="C199" s="21">
        <f t="shared" si="27"/>
        <v>36605</v>
      </c>
      <c r="D199" s="1">
        <f t="shared" si="36"/>
        <v>0</v>
      </c>
      <c r="E199" s="3">
        <f t="array" ref="E199">INDEX($A$9:A198, MAX(IF($D$9:D198=1, ROW(D$9:$D198)-ROW($D$9)+1, 0)))</f>
        <v>46377</v>
      </c>
      <c r="F199" s="23">
        <f t="shared" si="28"/>
        <v>0.72826830937713893</v>
      </c>
      <c r="G199" s="5">
        <f>INDEX('Default Prob'!$P$5:$P$14,MIN(1+_xlfn.IFNA(MATCH(F199,'Default Prob'!$F$5:$F$14,1),0),COUNT('Default Prob'!$P$5:$P$14)))</f>
        <v>2.626278464496291E-2</v>
      </c>
      <c r="H199" s="5">
        <f t="shared" si="37"/>
        <v>0.98105539436054612</v>
      </c>
      <c r="I199" s="24">
        <f t="shared" si="38"/>
        <v>2.116470280666416E-4</v>
      </c>
      <c r="J199" s="25">
        <f>INDEX('Default Prob'!$C$3:$C$13, _xlfn.IFNA(MATCH(F199, 'Default Prob'!$B$3:$B$13, 1), 1))</f>
        <v>1.9099999999999999E-2</v>
      </c>
      <c r="K199" s="26">
        <f t="shared" si="29"/>
        <v>0.98631573996163513</v>
      </c>
      <c r="L199" s="27">
        <f t="shared" ca="1" si="30"/>
        <v>0</v>
      </c>
      <c r="M199" s="27">
        <f t="shared" ca="1" si="31"/>
        <v>505.64691258154875</v>
      </c>
      <c r="N199" s="28">
        <f t="shared" ca="1" si="32"/>
        <v>0.10555419504036379</v>
      </c>
      <c r="O199" s="29">
        <f t="shared" ca="1" si="33"/>
        <v>600000</v>
      </c>
      <c r="P199" s="30">
        <f t="shared" ca="1" si="34"/>
        <v>125.25047705893834</v>
      </c>
    </row>
    <row r="200" spans="1:16" x14ac:dyDescent="0.25">
      <c r="A200" s="3">
        <f t="shared" si="35"/>
        <v>46392</v>
      </c>
      <c r="B200" s="21">
        <f t="shared" si="26"/>
        <v>36530</v>
      </c>
      <c r="C200" s="21">
        <f t="shared" si="27"/>
        <v>36605</v>
      </c>
      <c r="D200" s="1">
        <f t="shared" si="36"/>
        <v>0</v>
      </c>
      <c r="E200" s="3">
        <f t="array" ref="E200">INDEX($A$9:A199, MAX(IF($D$9:D199=1, ROW(D$9:$D199)-ROW($D$9)+1, 0)))</f>
        <v>46377</v>
      </c>
      <c r="F200" s="23">
        <f t="shared" si="28"/>
        <v>0.731006160164271</v>
      </c>
      <c r="G200" s="5">
        <f>INDEX('Default Prob'!$P$5:$P$14,MIN(1+_xlfn.IFNA(MATCH(F200,'Default Prob'!$F$5:$F$14,1),0),COUNT('Default Prob'!$P$5:$P$14)))</f>
        <v>2.626278464496291E-2</v>
      </c>
      <c r="H200" s="5">
        <f t="shared" si="37"/>
        <v>0.9809848554960362</v>
      </c>
      <c r="I200" s="24">
        <f t="shared" si="38"/>
        <v>7.0538864509916976E-5</v>
      </c>
      <c r="J200" s="25">
        <f>INDEX('Default Prob'!$C$3:$C$13, _xlfn.IFNA(MATCH(F200, 'Default Prob'!$B$3:$B$13, 1), 1))</f>
        <v>1.9099999999999999E-2</v>
      </c>
      <c r="K200" s="26">
        <f t="shared" si="29"/>
        <v>0.98626465030545729</v>
      </c>
      <c r="L200" s="27">
        <f t="shared" ca="1" si="30"/>
        <v>0</v>
      </c>
      <c r="M200" s="27">
        <f t="shared" ca="1" si="31"/>
        <v>541.76454919451646</v>
      </c>
      <c r="N200" s="28">
        <f t="shared" ca="1" si="32"/>
        <v>3.7690553478200037E-2</v>
      </c>
      <c r="O200" s="29">
        <f t="shared" ca="1" si="33"/>
        <v>600000</v>
      </c>
      <c r="P200" s="30">
        <f t="shared" ca="1" si="34"/>
        <v>41.741993123290378</v>
      </c>
    </row>
    <row r="201" spans="1:16" x14ac:dyDescent="0.25">
      <c r="A201" s="3">
        <f t="shared" si="35"/>
        <v>46393</v>
      </c>
      <c r="B201" s="21">
        <f t="shared" ref="B201:B264" si="39">DATE(2000, MONTH(A201), DAY(A201))</f>
        <v>36531</v>
      </c>
      <c r="C201" s="21">
        <f t="shared" ref="C201:C264" si="40">VLOOKUP(B201, $R$9:$S$13, 2)</f>
        <v>36605</v>
      </c>
      <c r="D201" s="1">
        <f t="shared" si="36"/>
        <v>0</v>
      </c>
      <c r="E201" s="3">
        <f t="array" ref="E201">INDEX($A$9:A200, MAX(IF($D$9:D200=1, ROW(D$9:$D200)-ROW($D$9)+1, 0)))</f>
        <v>46377</v>
      </c>
      <c r="F201" s="23">
        <f t="shared" ref="F201:F264" si="41">(A201-$A$2)/365.25</f>
        <v>0.73374401095140318</v>
      </c>
      <c r="G201" s="5">
        <f>INDEX('Default Prob'!$P$5:$P$14,MIN(1+_xlfn.IFNA(MATCH(F201,'Default Prob'!$F$5:$F$14,1),0),COUNT('Default Prob'!$P$5:$P$14)))</f>
        <v>2.626278464496291E-2</v>
      </c>
      <c r="H201" s="5">
        <f t="shared" si="37"/>
        <v>0.98091432170334125</v>
      </c>
      <c r="I201" s="24">
        <f t="shared" si="38"/>
        <v>7.0533792694948971E-5</v>
      </c>
      <c r="J201" s="25">
        <f>INDEX('Default Prob'!$C$3:$C$13, _xlfn.IFNA(MATCH(F201, 'Default Prob'!$B$3:$B$13, 1), 1))</f>
        <v>1.9099999999999999E-2</v>
      </c>
      <c r="K201" s="26">
        <f t="shared" ref="K201:K264" si="42">1/((1+J201)^F201)</f>
        <v>0.98621356329564624</v>
      </c>
      <c r="L201" s="27">
        <f t="shared" ref="L201:L264" ca="1" si="43">IF(AND(D201, A201 &lt;= $G$2), $D$5*$D$2*(A201-E201)/365.25, 0)</f>
        <v>0</v>
      </c>
      <c r="M201" s="27">
        <f t="shared" ref="M201:M264" ca="1" si="44">IF(A201&lt;=$G$2, $D$5*$D$2*(A201-E201)/365.25, 0)</f>
        <v>577.88218580748423</v>
      </c>
      <c r="N201" s="28">
        <f t="shared" ref="N201:N264" ca="1" si="45">(L201*H201 + M201*I201) * K201</f>
        <v>4.0198284071111964E-2</v>
      </c>
      <c r="O201" s="29">
        <f t="shared" ref="O201:O264" ca="1" si="46">IF(A201&lt;=$G$2, $D$2*(1-$D$3), 0)</f>
        <v>600000</v>
      </c>
      <c r="P201" s="30">
        <f t="shared" ref="P201:P264" ca="1" si="47">O201*I201*K201</f>
        <v>41.736829815865228</v>
      </c>
    </row>
    <row r="202" spans="1:16" x14ac:dyDescent="0.25">
      <c r="A202" s="3">
        <f t="shared" ref="A202:A265" si="48">WORKDAY(A201, 1)</f>
        <v>46394</v>
      </c>
      <c r="B202" s="21">
        <f t="shared" si="39"/>
        <v>36532</v>
      </c>
      <c r="C202" s="21">
        <f t="shared" si="40"/>
        <v>36605</v>
      </c>
      <c r="D202" s="1">
        <f t="shared" ref="D202:D265" si="49">IF(OR(C202=B202, AND(C202&lt;&gt;C201, C201&gt;B201)), 1, 0)</f>
        <v>0</v>
      </c>
      <c r="E202" s="3">
        <f t="array" ref="E202">INDEX($A$9:A201, MAX(IF($D$9:D201=1, ROW(D$9:$D201)-ROW($D$9)+1, 0)))</f>
        <v>46377</v>
      </c>
      <c r="F202" s="23">
        <f t="shared" si="41"/>
        <v>0.73648186173853525</v>
      </c>
      <c r="G202" s="5">
        <f>INDEX('Default Prob'!$P$5:$P$14,MIN(1+_xlfn.IFNA(MATCH(F202,'Default Prob'!$F$5:$F$14,1),0),COUNT('Default Prob'!$P$5:$P$14)))</f>
        <v>2.626278464496291E-2</v>
      </c>
      <c r="H202" s="5">
        <f t="shared" ref="H202:H265" si="50">H201*EXP(-G201*(F202-F201))</f>
        <v>0.98084379298209656</v>
      </c>
      <c r="I202" s="24">
        <f t="shared" ref="I202:I265" si="51">H201-H202</f>
        <v>7.052872124468923E-5</v>
      </c>
      <c r="J202" s="25">
        <f>INDEX('Default Prob'!$C$3:$C$13, _xlfn.IFNA(MATCH(F202, 'Default Prob'!$B$3:$B$13, 1), 1))</f>
        <v>1.9099999999999999E-2</v>
      </c>
      <c r="K202" s="26">
        <f t="shared" si="42"/>
        <v>0.98616247893206443</v>
      </c>
      <c r="L202" s="27">
        <f t="shared" ca="1" si="43"/>
        <v>0</v>
      </c>
      <c r="M202" s="27">
        <f t="shared" ca="1" si="44"/>
        <v>613.99982242045212</v>
      </c>
      <c r="N202" s="28">
        <f t="shared" ca="1" si="45"/>
        <v>4.2705393696091797E-2</v>
      </c>
      <c r="O202" s="29">
        <f t="shared" ca="1" si="46"/>
        <v>600000</v>
      </c>
      <c r="P202" s="30">
        <f t="shared" ca="1" si="47"/>
        <v>41.731667147142772</v>
      </c>
    </row>
    <row r="203" spans="1:16" x14ac:dyDescent="0.25">
      <c r="A203" s="3">
        <f t="shared" si="48"/>
        <v>46395</v>
      </c>
      <c r="B203" s="21">
        <f t="shared" si="39"/>
        <v>36533</v>
      </c>
      <c r="C203" s="21">
        <f t="shared" si="40"/>
        <v>36605</v>
      </c>
      <c r="D203" s="1">
        <f t="shared" si="49"/>
        <v>0</v>
      </c>
      <c r="E203" s="3">
        <f t="array" ref="E203">INDEX($A$9:A202, MAX(IF($D$9:D202=1, ROW(D$9:$D202)-ROW($D$9)+1, 0)))</f>
        <v>46377</v>
      </c>
      <c r="F203" s="23">
        <f t="shared" si="41"/>
        <v>0.73921971252566732</v>
      </c>
      <c r="G203" s="5">
        <f>INDEX('Default Prob'!$P$5:$P$14,MIN(1+_xlfn.IFNA(MATCH(F203,'Default Prob'!$F$5:$F$14,1),0),COUNT('Default Prob'!$P$5:$P$14)))</f>
        <v>2.626278464496291E-2</v>
      </c>
      <c r="H203" s="5">
        <f t="shared" si="50"/>
        <v>0.98077326933193743</v>
      </c>
      <c r="I203" s="24">
        <f t="shared" si="51"/>
        <v>7.0523650159137752E-5</v>
      </c>
      <c r="J203" s="25">
        <f>INDEX('Default Prob'!$C$3:$C$13, _xlfn.IFNA(MATCH(F203, 'Default Prob'!$B$3:$B$13, 1), 1))</f>
        <v>1.9099999999999999E-2</v>
      </c>
      <c r="K203" s="26">
        <f t="shared" si="42"/>
        <v>0.98611139721457508</v>
      </c>
      <c r="L203" s="27">
        <f t="shared" ca="1" si="43"/>
        <v>0</v>
      </c>
      <c r="M203" s="27">
        <f t="shared" ca="1" si="44"/>
        <v>650.11745903341978</v>
      </c>
      <c r="N203" s="28">
        <f t="shared" ca="1" si="45"/>
        <v>4.5211882468412887E-2</v>
      </c>
      <c r="O203" s="29">
        <f t="shared" ca="1" si="46"/>
        <v>600000</v>
      </c>
      <c r="P203" s="30">
        <f t="shared" ca="1" si="47"/>
        <v>41.726505117059531</v>
      </c>
    </row>
    <row r="204" spans="1:16" x14ac:dyDescent="0.25">
      <c r="A204" s="3">
        <f t="shared" si="48"/>
        <v>46398</v>
      </c>
      <c r="B204" s="21">
        <f t="shared" si="39"/>
        <v>36536</v>
      </c>
      <c r="C204" s="21">
        <f t="shared" si="40"/>
        <v>36605</v>
      </c>
      <c r="D204" s="1">
        <f t="shared" si="49"/>
        <v>0</v>
      </c>
      <c r="E204" s="3">
        <f t="array" ref="E204">INDEX($A$9:A203, MAX(IF($D$9:D203=1, ROW(D$9:$D203)-ROW($D$9)+1, 0)))</f>
        <v>46377</v>
      </c>
      <c r="F204" s="23">
        <f t="shared" si="41"/>
        <v>0.74743326488706363</v>
      </c>
      <c r="G204" s="5">
        <f>INDEX('Default Prob'!$P$5:$P$14,MIN(1+_xlfn.IFNA(MATCH(F204,'Default Prob'!$F$5:$F$14,1),0),COUNT('Default Prob'!$P$5:$P$14)))</f>
        <v>2.626278464496291E-2</v>
      </c>
      <c r="H204" s="5">
        <f t="shared" si="50"/>
        <v>0.98056172880432779</v>
      </c>
      <c r="I204" s="24">
        <f t="shared" si="51"/>
        <v>2.1154052760963271E-4</v>
      </c>
      <c r="J204" s="25">
        <f>INDEX('Default Prob'!$C$3:$C$13, _xlfn.IFNA(MATCH(F204, 'Default Prob'!$B$3:$B$13, 1), 1))</f>
        <v>1.9099999999999999E-2</v>
      </c>
      <c r="K204" s="26">
        <f t="shared" si="42"/>
        <v>0.98595816793729074</v>
      </c>
      <c r="L204" s="27">
        <f t="shared" ca="1" si="43"/>
        <v>0</v>
      </c>
      <c r="M204" s="27">
        <f t="shared" ca="1" si="44"/>
        <v>758.47036887232321</v>
      </c>
      <c r="N204" s="28">
        <f t="shared" ca="1" si="45"/>
        <v>0.15819424906116611</v>
      </c>
      <c r="O204" s="29">
        <f t="shared" ca="1" si="46"/>
        <v>600000</v>
      </c>
      <c r="P204" s="30">
        <f t="shared" ca="1" si="47"/>
        <v>125.14206662788881</v>
      </c>
    </row>
    <row r="205" spans="1:16" x14ac:dyDescent="0.25">
      <c r="A205" s="3">
        <f t="shared" si="48"/>
        <v>46399</v>
      </c>
      <c r="B205" s="21">
        <f t="shared" si="39"/>
        <v>36537</v>
      </c>
      <c r="C205" s="21">
        <f t="shared" si="40"/>
        <v>36605</v>
      </c>
      <c r="D205" s="1">
        <f t="shared" si="49"/>
        <v>0</v>
      </c>
      <c r="E205" s="3">
        <f t="array" ref="E205">INDEX($A$9:A204, MAX(IF($D$9:D204=1, ROW(D$9:$D204)-ROW($D$9)+1, 0)))</f>
        <v>46377</v>
      </c>
      <c r="F205" s="23">
        <f t="shared" si="41"/>
        <v>0.75017111567419581</v>
      </c>
      <c r="G205" s="5">
        <f>INDEX('Default Prob'!$P$5:$P$14,MIN(1+_xlfn.IFNA(MATCH(F205,'Default Prob'!$F$5:$F$14,1),0),COUNT('Default Prob'!$P$5:$P$14)))</f>
        <v>2.626278464496291E-2</v>
      </c>
      <c r="H205" s="5">
        <f t="shared" si="50"/>
        <v>0.98049122543486533</v>
      </c>
      <c r="I205" s="24">
        <f t="shared" si="51"/>
        <v>7.0503369462460164E-5</v>
      </c>
      <c r="J205" s="25">
        <f>INDEX('Default Prob'!$C$3:$C$13, _xlfn.IFNA(MATCH(F205, 'Default Prob'!$B$3:$B$13, 1), 1))</f>
        <v>1.9099999999999999E-2</v>
      </c>
      <c r="K205" s="26">
        <f t="shared" si="42"/>
        <v>0.98590709680280042</v>
      </c>
      <c r="L205" s="27">
        <f t="shared" ca="1" si="43"/>
        <v>0</v>
      </c>
      <c r="M205" s="27">
        <f t="shared" ca="1" si="44"/>
        <v>794.58800548529086</v>
      </c>
      <c r="N205" s="28">
        <f t="shared" ca="1" si="45"/>
        <v>5.5231631334824789E-2</v>
      </c>
      <c r="O205" s="29">
        <f t="shared" ca="1" si="46"/>
        <v>600000</v>
      </c>
      <c r="P205" s="30">
        <f t="shared" ca="1" si="47"/>
        <v>41.705863380929593</v>
      </c>
    </row>
    <row r="206" spans="1:16" x14ac:dyDescent="0.25">
      <c r="A206" s="3">
        <f t="shared" si="48"/>
        <v>46400</v>
      </c>
      <c r="B206" s="21">
        <f t="shared" si="39"/>
        <v>36538</v>
      </c>
      <c r="C206" s="21">
        <f t="shared" si="40"/>
        <v>36605</v>
      </c>
      <c r="D206" s="1">
        <f t="shared" si="49"/>
        <v>0</v>
      </c>
      <c r="E206" s="3">
        <f t="array" ref="E206">INDEX($A$9:A205, MAX(IF($D$9:D205=1, ROW(D$9:$D205)-ROW($D$9)+1, 0)))</f>
        <v>46377</v>
      </c>
      <c r="F206" s="23">
        <f t="shared" si="41"/>
        <v>0.75290896646132788</v>
      </c>
      <c r="G206" s="5">
        <f>INDEX('Default Prob'!$P$5:$P$14,MIN(1+_xlfn.IFNA(MATCH(F206,'Default Prob'!$F$5:$F$14,1),0),COUNT('Default Prob'!$P$5:$P$14)))</f>
        <v>2.626278464496291E-2</v>
      </c>
      <c r="H206" s="5">
        <f t="shared" si="50"/>
        <v>0.98042072713466566</v>
      </c>
      <c r="I206" s="24">
        <f t="shared" si="51"/>
        <v>7.0498300199672848E-5</v>
      </c>
      <c r="J206" s="25">
        <f>INDEX('Default Prob'!$C$3:$C$13, _xlfn.IFNA(MATCH(F206, 'Default Prob'!$B$3:$B$13, 1), 1))</f>
        <v>1.9099999999999999E-2</v>
      </c>
      <c r="K206" s="26">
        <f t="shared" si="42"/>
        <v>0.98585602831371733</v>
      </c>
      <c r="L206" s="27">
        <f t="shared" ca="1" si="43"/>
        <v>0</v>
      </c>
      <c r="M206" s="27">
        <f t="shared" ca="1" si="44"/>
        <v>830.70564209825864</v>
      </c>
      <c r="N206" s="28">
        <f t="shared" ca="1" si="45"/>
        <v>5.7735017571726166E-2</v>
      </c>
      <c r="O206" s="29">
        <f t="shared" ca="1" si="46"/>
        <v>600000</v>
      </c>
      <c r="P206" s="30">
        <f t="shared" ca="1" si="47"/>
        <v>41.700704542630568</v>
      </c>
    </row>
    <row r="207" spans="1:16" x14ac:dyDescent="0.25">
      <c r="A207" s="3">
        <f t="shared" si="48"/>
        <v>46401</v>
      </c>
      <c r="B207" s="21">
        <f t="shared" si="39"/>
        <v>36539</v>
      </c>
      <c r="C207" s="21">
        <f t="shared" si="40"/>
        <v>36605</v>
      </c>
      <c r="D207" s="1">
        <f t="shared" si="49"/>
        <v>0</v>
      </c>
      <c r="E207" s="3">
        <f t="array" ref="E207">INDEX($A$9:A206, MAX(IF($D$9:D206=1, ROW(D$9:$D206)-ROW($D$9)+1, 0)))</f>
        <v>46377</v>
      </c>
      <c r="F207" s="23">
        <f t="shared" si="41"/>
        <v>0.75564681724845995</v>
      </c>
      <c r="G207" s="5">
        <f>INDEX('Default Prob'!$P$5:$P$14,MIN(1+_xlfn.IFNA(MATCH(F207,'Default Prob'!$F$5:$F$14,1),0),COUNT('Default Prob'!$P$5:$P$14)))</f>
        <v>2.626278464496291E-2</v>
      </c>
      <c r="H207" s="5">
        <f t="shared" si="50"/>
        <v>0.98035023390336429</v>
      </c>
      <c r="I207" s="24">
        <f t="shared" si="51"/>
        <v>7.049323130137175E-5</v>
      </c>
      <c r="J207" s="25">
        <f>INDEX('Default Prob'!$C$3:$C$13, _xlfn.IFNA(MATCH(F207, 'Default Prob'!$B$3:$B$13, 1), 1))</f>
        <v>1.9099999999999999E-2</v>
      </c>
      <c r="K207" s="26">
        <f t="shared" si="42"/>
        <v>0.98580496246990423</v>
      </c>
      <c r="L207" s="27">
        <f t="shared" ca="1" si="43"/>
        <v>0</v>
      </c>
      <c r="M207" s="27">
        <f t="shared" ca="1" si="44"/>
        <v>866.82327871122652</v>
      </c>
      <c r="N207" s="28">
        <f t="shared" ca="1" si="45"/>
        <v>6.0237783647043137E-2</v>
      </c>
      <c r="O207" s="29">
        <f t="shared" ca="1" si="46"/>
        <v>600000</v>
      </c>
      <c r="P207" s="30">
        <f t="shared" ca="1" si="47"/>
        <v>41.695546342458634</v>
      </c>
    </row>
    <row r="208" spans="1:16" x14ac:dyDescent="0.25">
      <c r="A208" s="3">
        <f t="shared" si="48"/>
        <v>46402</v>
      </c>
      <c r="B208" s="21">
        <f t="shared" si="39"/>
        <v>36540</v>
      </c>
      <c r="C208" s="21">
        <f t="shared" si="40"/>
        <v>36605</v>
      </c>
      <c r="D208" s="1">
        <f t="shared" si="49"/>
        <v>0</v>
      </c>
      <c r="E208" s="3">
        <f t="array" ref="E208">INDEX($A$9:A207, MAX(IF($D$9:D207=1, ROW(D$9:$D207)-ROW($D$9)+1, 0)))</f>
        <v>46377</v>
      </c>
      <c r="F208" s="23">
        <f t="shared" si="41"/>
        <v>0.75838466803559201</v>
      </c>
      <c r="G208" s="5">
        <f>INDEX('Default Prob'!$P$5:$P$14,MIN(1+_xlfn.IFNA(MATCH(F208,'Default Prob'!$F$5:$F$14,1),0),COUNT('Default Prob'!$P$5:$P$14)))</f>
        <v>2.626278464496291E-2</v>
      </c>
      <c r="H208" s="5">
        <f t="shared" si="50"/>
        <v>0.98027974574059684</v>
      </c>
      <c r="I208" s="24">
        <f t="shared" si="51"/>
        <v>7.048816276744585E-5</v>
      </c>
      <c r="J208" s="25">
        <f>INDEX('Default Prob'!$C$3:$C$13, _xlfn.IFNA(MATCH(F208, 'Default Prob'!$B$3:$B$13, 1), 1))</f>
        <v>1.9099999999999999E-2</v>
      </c>
      <c r="K208" s="26">
        <f t="shared" si="42"/>
        <v>0.98575389927122414</v>
      </c>
      <c r="L208" s="27">
        <f t="shared" ca="1" si="43"/>
        <v>0</v>
      </c>
      <c r="M208" s="27">
        <f t="shared" ca="1" si="44"/>
        <v>902.94091532419418</v>
      </c>
      <c r="N208" s="28">
        <f t="shared" ca="1" si="45"/>
        <v>6.2739929675819608E-2</v>
      </c>
      <c r="O208" s="29">
        <f t="shared" ca="1" si="46"/>
        <v>600000</v>
      </c>
      <c r="P208" s="30">
        <f t="shared" ca="1" si="47"/>
        <v>41.690388780284678</v>
      </c>
    </row>
    <row r="209" spans="1:16" x14ac:dyDescent="0.25">
      <c r="A209" s="3">
        <f t="shared" si="48"/>
        <v>46405</v>
      </c>
      <c r="B209" s="21">
        <f t="shared" si="39"/>
        <v>36543</v>
      </c>
      <c r="C209" s="21">
        <f t="shared" si="40"/>
        <v>36605</v>
      </c>
      <c r="D209" s="1">
        <f t="shared" si="49"/>
        <v>0</v>
      </c>
      <c r="E209" s="3">
        <f t="array" ref="E209">INDEX($A$9:A208, MAX(IF($D$9:D208=1, ROW(D$9:$D208)-ROW($D$9)+1, 0)))</f>
        <v>46377</v>
      </c>
      <c r="F209" s="23">
        <f t="shared" si="41"/>
        <v>0.76659822039698833</v>
      </c>
      <c r="G209" s="5">
        <f>INDEX('Default Prob'!$P$5:$P$14,MIN(1+_xlfn.IFNA(MATCH(F209,'Default Prob'!$F$5:$F$14,1),0),COUNT('Default Prob'!$P$5:$P$14)))</f>
        <v>2.626278464496291E-2</v>
      </c>
      <c r="H209" s="5">
        <f t="shared" si="50"/>
        <v>0.98006831165985331</v>
      </c>
      <c r="I209" s="24">
        <f t="shared" si="51"/>
        <v>2.1143408074353331E-4</v>
      </c>
      <c r="J209" s="25">
        <f>INDEX('Default Prob'!$C$3:$C$13, _xlfn.IFNA(MATCH(F209, 'Default Prob'!$B$3:$B$13, 1), 1))</f>
        <v>1.9099999999999999E-2</v>
      </c>
      <c r="K209" s="26">
        <f t="shared" si="42"/>
        <v>0.98560072554461253</v>
      </c>
      <c r="L209" s="27">
        <f t="shared" ca="1" si="43"/>
        <v>0</v>
      </c>
      <c r="M209" s="27">
        <f t="shared" ca="1" si="44"/>
        <v>1011.2938251630975</v>
      </c>
      <c r="N209" s="28">
        <f t="shared" ca="1" si="45"/>
        <v>0.21074309890625326</v>
      </c>
      <c r="O209" s="29">
        <f t="shared" ca="1" si="46"/>
        <v>600000</v>
      </c>
      <c r="P209" s="30">
        <f t="shared" ca="1" si="47"/>
        <v>125.03375003141078</v>
      </c>
    </row>
    <row r="210" spans="1:16" x14ac:dyDescent="0.25">
      <c r="A210" s="3">
        <f t="shared" si="48"/>
        <v>46406</v>
      </c>
      <c r="B210" s="21">
        <f t="shared" si="39"/>
        <v>36544</v>
      </c>
      <c r="C210" s="21">
        <f t="shared" si="40"/>
        <v>36605</v>
      </c>
      <c r="D210" s="1">
        <f t="shared" si="49"/>
        <v>0</v>
      </c>
      <c r="E210" s="3">
        <f t="array" ref="E210">INDEX($A$9:A209, MAX(IF($D$9:D209=1, ROW(D$9:$D209)-ROW($D$9)+1, 0)))</f>
        <v>46377</v>
      </c>
      <c r="F210" s="23">
        <f t="shared" si="41"/>
        <v>0.76933607118412051</v>
      </c>
      <c r="G210" s="5">
        <f>INDEX('Default Prob'!$P$5:$P$14,MIN(1+_xlfn.IFNA(MATCH(F210,'Default Prob'!$F$5:$F$14,1),0),COUNT('Default Prob'!$P$5:$P$14)))</f>
        <v>2.626278464496291E-2</v>
      </c>
      <c r="H210" s="5">
        <f t="shared" si="50"/>
        <v>0.97999784376757726</v>
      </c>
      <c r="I210" s="24">
        <f t="shared" si="51"/>
        <v>7.0467892276049326E-5</v>
      </c>
      <c r="J210" s="25">
        <f>INDEX('Default Prob'!$C$3:$C$13, _xlfn.IFNA(MATCH(F210, 'Default Prob'!$B$3:$B$13, 1), 1))</f>
        <v>1.9099999999999999E-2</v>
      </c>
      <c r="K210" s="26">
        <f t="shared" si="42"/>
        <v>0.98554967292509477</v>
      </c>
      <c r="L210" s="27">
        <f t="shared" ca="1" si="43"/>
        <v>0</v>
      </c>
      <c r="M210" s="27">
        <f t="shared" ca="1" si="44"/>
        <v>1047.4114617760652</v>
      </c>
      <c r="N210" s="28">
        <f t="shared" ca="1" si="45"/>
        <v>7.2742315628177706E-2</v>
      </c>
      <c r="O210" s="29">
        <f t="shared" ca="1" si="46"/>
        <v>600000</v>
      </c>
      <c r="P210" s="30">
        <f t="shared" ca="1" si="47"/>
        <v>41.669764910628736</v>
      </c>
    </row>
    <row r="211" spans="1:16" x14ac:dyDescent="0.25">
      <c r="A211" s="3">
        <f t="shared" si="48"/>
        <v>46407</v>
      </c>
      <c r="B211" s="21">
        <f t="shared" si="39"/>
        <v>36545</v>
      </c>
      <c r="C211" s="21">
        <f t="shared" si="40"/>
        <v>36605</v>
      </c>
      <c r="D211" s="1">
        <f t="shared" si="49"/>
        <v>0</v>
      </c>
      <c r="E211" s="3">
        <f t="array" ref="E211">INDEX($A$9:A210, MAX(IF($D$9:D210=1, ROW(D$9:$D210)-ROW($D$9)+1, 0)))</f>
        <v>46377</v>
      </c>
      <c r="F211" s="23">
        <f t="shared" si="41"/>
        <v>0.77207392197125257</v>
      </c>
      <c r="G211" s="5">
        <f>INDEX('Default Prob'!$P$5:$P$14,MIN(1+_xlfn.IFNA(MATCH(F211,'Default Prob'!$F$5:$F$14,1),0),COUNT('Default Prob'!$P$5:$P$14)))</f>
        <v>2.626278464496291E-2</v>
      </c>
      <c r="H211" s="5">
        <f t="shared" si="50"/>
        <v>0.97992738094201315</v>
      </c>
      <c r="I211" s="24">
        <f t="shared" si="51"/>
        <v>7.0462825564110432E-5</v>
      </c>
      <c r="J211" s="25">
        <f>INDEX('Default Prob'!$C$3:$C$13, _xlfn.IFNA(MATCH(F211, 'Default Prob'!$B$3:$B$13, 1), 1))</f>
        <v>1.9099999999999999E-2</v>
      </c>
      <c r="K211" s="26">
        <f t="shared" si="42"/>
        <v>0.98549862295002522</v>
      </c>
      <c r="L211" s="27">
        <f t="shared" ca="1" si="43"/>
        <v>0</v>
      </c>
      <c r="M211" s="27">
        <f t="shared" ca="1" si="44"/>
        <v>1083.5290983890329</v>
      </c>
      <c r="N211" s="28">
        <f t="shared" ca="1" si="45"/>
        <v>7.5241363150819529E-2</v>
      </c>
      <c r="O211" s="29">
        <f t="shared" ca="1" si="46"/>
        <v>600000</v>
      </c>
      <c r="P211" s="30">
        <f t="shared" ca="1" si="47"/>
        <v>41.664610537559199</v>
      </c>
    </row>
    <row r="212" spans="1:16" x14ac:dyDescent="0.25">
      <c r="A212" s="3">
        <f t="shared" si="48"/>
        <v>46408</v>
      </c>
      <c r="B212" s="21">
        <f t="shared" si="39"/>
        <v>36546</v>
      </c>
      <c r="C212" s="21">
        <f t="shared" si="40"/>
        <v>36605</v>
      </c>
      <c r="D212" s="1">
        <f t="shared" si="49"/>
        <v>0</v>
      </c>
      <c r="E212" s="3">
        <f t="array" ref="E212">INDEX($A$9:A211, MAX(IF($D$9:D211=1, ROW(D$9:$D211)-ROW($D$9)+1, 0)))</f>
        <v>46377</v>
      </c>
      <c r="F212" s="23">
        <f t="shared" si="41"/>
        <v>0.77481177275838464</v>
      </c>
      <c r="G212" s="5">
        <f>INDEX('Default Prob'!$P$5:$P$14,MIN(1+_xlfn.IFNA(MATCH(F212,'Default Prob'!$F$5:$F$14,1),0),COUNT('Default Prob'!$P$5:$P$14)))</f>
        <v>2.626278464496291E-2</v>
      </c>
      <c r="H212" s="5">
        <f t="shared" si="50"/>
        <v>0.97985692318279671</v>
      </c>
      <c r="I212" s="24">
        <f t="shared" si="51"/>
        <v>7.0457759216435711E-5</v>
      </c>
      <c r="J212" s="25">
        <f>INDEX('Default Prob'!$C$3:$C$13, _xlfn.IFNA(MATCH(F212, 'Default Prob'!$B$3:$B$13, 1), 1))</f>
        <v>1.9099999999999999E-2</v>
      </c>
      <c r="K212" s="26">
        <f t="shared" si="42"/>
        <v>0.98544757561926666</v>
      </c>
      <c r="L212" s="27">
        <f t="shared" ca="1" si="43"/>
        <v>0</v>
      </c>
      <c r="M212" s="27">
        <f t="shared" ca="1" si="44"/>
        <v>1119.6467350020009</v>
      </c>
      <c r="N212" s="28">
        <f t="shared" ca="1" si="45"/>
        <v>7.773979131727124E-2</v>
      </c>
      <c r="O212" s="29">
        <f t="shared" ca="1" si="46"/>
        <v>600000</v>
      </c>
      <c r="P212" s="30">
        <f t="shared" ca="1" si="47"/>
        <v>41.659456802041568</v>
      </c>
    </row>
    <row r="213" spans="1:16" x14ac:dyDescent="0.25">
      <c r="A213" s="3">
        <f t="shared" si="48"/>
        <v>46409</v>
      </c>
      <c r="B213" s="21">
        <f t="shared" si="39"/>
        <v>36547</v>
      </c>
      <c r="C213" s="21">
        <f t="shared" si="40"/>
        <v>36605</v>
      </c>
      <c r="D213" s="1">
        <f t="shared" si="49"/>
        <v>0</v>
      </c>
      <c r="E213" s="3">
        <f t="array" ref="E213">INDEX($A$9:A212, MAX(IF($D$9:D212=1, ROW(D$9:$D212)-ROW($D$9)+1, 0)))</f>
        <v>46377</v>
      </c>
      <c r="F213" s="23">
        <f t="shared" si="41"/>
        <v>0.77754962354551682</v>
      </c>
      <c r="G213" s="5">
        <f>INDEX('Default Prob'!$P$5:$P$14,MIN(1+_xlfn.IFNA(MATCH(F213,'Default Prob'!$F$5:$F$14,1),0),COUNT('Default Prob'!$P$5:$P$14)))</f>
        <v>2.626278464496291E-2</v>
      </c>
      <c r="H213" s="5">
        <f t="shared" si="50"/>
        <v>0.97978647048956369</v>
      </c>
      <c r="I213" s="24">
        <f t="shared" si="51"/>
        <v>7.0452693233025165E-5</v>
      </c>
      <c r="J213" s="25">
        <f>INDEX('Default Prob'!$C$3:$C$13, _xlfn.IFNA(MATCH(F213, 'Default Prob'!$B$3:$B$13, 1), 1))</f>
        <v>1.9099999999999999E-2</v>
      </c>
      <c r="K213" s="26">
        <f t="shared" si="42"/>
        <v>0.98539653093268242</v>
      </c>
      <c r="L213" s="27">
        <f t="shared" ca="1" si="43"/>
        <v>0</v>
      </c>
      <c r="M213" s="27">
        <f t="shared" ca="1" si="44"/>
        <v>1155.7643716149685</v>
      </c>
      <c r="N213" s="28">
        <f t="shared" ca="1" si="45"/>
        <v>8.023760024254506E-2</v>
      </c>
      <c r="O213" s="29">
        <f t="shared" ca="1" si="46"/>
        <v>600000</v>
      </c>
      <c r="P213" s="30">
        <f t="shared" ca="1" si="47"/>
        <v>41.654303704012484</v>
      </c>
    </row>
    <row r="214" spans="1:16" x14ac:dyDescent="0.25">
      <c r="A214" s="3">
        <f t="shared" si="48"/>
        <v>46412</v>
      </c>
      <c r="B214" s="21">
        <f t="shared" si="39"/>
        <v>36550</v>
      </c>
      <c r="C214" s="21">
        <f t="shared" si="40"/>
        <v>36605</v>
      </c>
      <c r="D214" s="1">
        <f t="shared" si="49"/>
        <v>0</v>
      </c>
      <c r="E214" s="3">
        <f t="array" ref="E214">INDEX($A$9:A213, MAX(IF($D$9:D213=1, ROW(D$9:$D213)-ROW($D$9)+1, 0)))</f>
        <v>46377</v>
      </c>
      <c r="F214" s="23">
        <f t="shared" si="41"/>
        <v>0.78576317590691303</v>
      </c>
      <c r="G214" s="5">
        <f>INDEX('Default Prob'!$P$5:$P$14,MIN(1+_xlfn.IFNA(MATCH(F214,'Default Prob'!$F$5:$F$14,1),0),COUNT('Default Prob'!$P$5:$P$14)))</f>
        <v>2.626278464496291E-2</v>
      </c>
      <c r="H214" s="5">
        <f t="shared" si="50"/>
        <v>0.97957514280212243</v>
      </c>
      <c r="I214" s="24">
        <f t="shared" si="51"/>
        <v>2.1132768744125396E-4</v>
      </c>
      <c r="J214" s="25">
        <f>INDEX('Default Prob'!$C$3:$C$13, _xlfn.IFNA(MATCH(F214, 'Default Prob'!$B$3:$B$13, 1), 1))</f>
        <v>1.9099999999999999E-2</v>
      </c>
      <c r="K214" s="26">
        <f t="shared" si="42"/>
        <v>0.98524341273660443</v>
      </c>
      <c r="L214" s="27">
        <f t="shared" ca="1" si="43"/>
        <v>0</v>
      </c>
      <c r="M214" s="27">
        <f t="shared" ca="1" si="44"/>
        <v>1264.1172814538718</v>
      </c>
      <c r="N214" s="28">
        <f t="shared" ca="1" si="45"/>
        <v>0.26320086302225992</v>
      </c>
      <c r="O214" s="29">
        <f t="shared" ca="1" si="46"/>
        <v>600000</v>
      </c>
      <c r="P214" s="30">
        <f t="shared" ca="1" si="47"/>
        <v>124.92552718821331</v>
      </c>
    </row>
    <row r="215" spans="1:16" x14ac:dyDescent="0.25">
      <c r="A215" s="3">
        <f t="shared" si="48"/>
        <v>46413</v>
      </c>
      <c r="B215" s="21">
        <f t="shared" si="39"/>
        <v>36551</v>
      </c>
      <c r="C215" s="21">
        <f t="shared" si="40"/>
        <v>36605</v>
      </c>
      <c r="D215" s="1">
        <f t="shared" si="49"/>
        <v>0</v>
      </c>
      <c r="E215" s="3">
        <f t="array" ref="E215">INDEX($A$9:A214, MAX(IF($D$9:D214=1, ROW(D$9:$D214)-ROW($D$9)+1, 0)))</f>
        <v>46377</v>
      </c>
      <c r="F215" s="23">
        <f t="shared" si="41"/>
        <v>0.7885010266940452</v>
      </c>
      <c r="G215" s="5">
        <f>INDEX('Default Prob'!$P$5:$P$14,MIN(1+_xlfn.IFNA(MATCH(F215,'Default Prob'!$F$5:$F$14,1),0),COUNT('Default Prob'!$P$5:$P$14)))</f>
        <v>2.626278464496291E-2</v>
      </c>
      <c r="H215" s="5">
        <f t="shared" si="50"/>
        <v>0.97950471036918074</v>
      </c>
      <c r="I215" s="24">
        <f t="shared" si="51"/>
        <v>7.0432432941691658E-5</v>
      </c>
      <c r="J215" s="25">
        <f>INDEX('Default Prob'!$C$3:$C$13, _xlfn.IFNA(MATCH(F215, 'Default Prob'!$B$3:$B$13, 1), 1))</f>
        <v>1.9099999999999999E-2</v>
      </c>
      <c r="K215" s="26">
        <f t="shared" si="42"/>
        <v>0.98519237862534725</v>
      </c>
      <c r="L215" s="27">
        <f t="shared" ca="1" si="43"/>
        <v>0</v>
      </c>
      <c r="M215" s="27">
        <f t="shared" ca="1" si="44"/>
        <v>1300.2349180668396</v>
      </c>
      <c r="N215" s="28">
        <f t="shared" ca="1" si="45"/>
        <v>9.0222645831146808E-2</v>
      </c>
      <c r="O215" s="29">
        <f t="shared" ca="1" si="46"/>
        <v>600000</v>
      </c>
      <c r="P215" s="30">
        <f t="shared" ca="1" si="47"/>
        <v>41.63369768531728</v>
      </c>
    </row>
    <row r="216" spans="1:16" x14ac:dyDescent="0.25">
      <c r="A216" s="3">
        <f t="shared" si="48"/>
        <v>46414</v>
      </c>
      <c r="B216" s="21">
        <f t="shared" si="39"/>
        <v>36552</v>
      </c>
      <c r="C216" s="21">
        <f t="shared" si="40"/>
        <v>36605</v>
      </c>
      <c r="D216" s="1">
        <f t="shared" si="49"/>
        <v>0</v>
      </c>
      <c r="E216" s="3">
        <f t="array" ref="E216">INDEX($A$9:A215, MAX(IF($D$9:D215=1, ROW(D$9:$D215)-ROW($D$9)+1, 0)))</f>
        <v>46377</v>
      </c>
      <c r="F216" s="23">
        <f t="shared" si="41"/>
        <v>0.79123887748117727</v>
      </c>
      <c r="G216" s="5">
        <f>INDEX('Default Prob'!$P$5:$P$14,MIN(1+_xlfn.IFNA(MATCH(F216,'Default Prob'!$F$5:$F$14,1),0),COUNT('Default Prob'!$P$5:$P$14)))</f>
        <v>2.626278464496291E-2</v>
      </c>
      <c r="H216" s="5">
        <f t="shared" si="50"/>
        <v>0.97943428300040136</v>
      </c>
      <c r="I216" s="24">
        <f t="shared" si="51"/>
        <v>7.042736877937994E-5</v>
      </c>
      <c r="J216" s="25">
        <f>INDEX('Default Prob'!$C$3:$C$13, _xlfn.IFNA(MATCH(F216, 'Default Prob'!$B$3:$B$13, 1), 1))</f>
        <v>1.9099999999999999E-2</v>
      </c>
      <c r="K216" s="26">
        <f t="shared" si="42"/>
        <v>0.98514134715757928</v>
      </c>
      <c r="L216" s="27">
        <f t="shared" ca="1" si="43"/>
        <v>0</v>
      </c>
      <c r="M216" s="27">
        <f t="shared" ca="1" si="44"/>
        <v>1336.3525546798076</v>
      </c>
      <c r="N216" s="28">
        <f t="shared" ca="1" si="45"/>
        <v>9.2717360274877536E-2</v>
      </c>
      <c r="O216" s="29">
        <f t="shared" ca="1" si="46"/>
        <v>600000</v>
      </c>
      <c r="P216" s="30">
        <f t="shared" ca="1" si="47"/>
        <v>41.628547773649196</v>
      </c>
    </row>
    <row r="217" spans="1:16" x14ac:dyDescent="0.25">
      <c r="A217" s="3">
        <f t="shared" si="48"/>
        <v>46415</v>
      </c>
      <c r="B217" s="21">
        <f t="shared" si="39"/>
        <v>36553</v>
      </c>
      <c r="C217" s="21">
        <f t="shared" si="40"/>
        <v>36605</v>
      </c>
      <c r="D217" s="1">
        <f t="shared" si="49"/>
        <v>0</v>
      </c>
      <c r="E217" s="3">
        <f t="array" ref="E217">INDEX($A$9:A216, MAX(IF($D$9:D216=1, ROW(D$9:$D216)-ROW($D$9)+1, 0)))</f>
        <v>46377</v>
      </c>
      <c r="F217" s="23">
        <f t="shared" si="41"/>
        <v>0.79397672826830934</v>
      </c>
      <c r="G217" s="5">
        <f>INDEX('Default Prob'!$P$5:$P$14,MIN(1+_xlfn.IFNA(MATCH(F217,'Default Prob'!$F$5:$F$14,1),0),COUNT('Default Prob'!$P$5:$P$14)))</f>
        <v>2.626278464496291E-2</v>
      </c>
      <c r="H217" s="5">
        <f t="shared" si="50"/>
        <v>0.97936386069542036</v>
      </c>
      <c r="I217" s="24">
        <f t="shared" si="51"/>
        <v>7.0422304980999328E-5</v>
      </c>
      <c r="J217" s="25">
        <f>INDEX('Default Prob'!$C$3:$C$13, _xlfn.IFNA(MATCH(F217, 'Default Prob'!$B$3:$B$13, 1), 1))</f>
        <v>1.9099999999999999E-2</v>
      </c>
      <c r="K217" s="26">
        <f t="shared" si="42"/>
        <v>0.98509031833316374</v>
      </c>
      <c r="L217" s="27">
        <f t="shared" ca="1" si="43"/>
        <v>0</v>
      </c>
      <c r="M217" s="27">
        <f t="shared" ca="1" si="44"/>
        <v>1372.4701912927751</v>
      </c>
      <c r="N217" s="28">
        <f t="shared" ca="1" si="45"/>
        <v>9.5211456166717695E-2</v>
      </c>
      <c r="O217" s="29">
        <f t="shared" ca="1" si="46"/>
        <v>600000</v>
      </c>
      <c r="P217" s="30">
        <f t="shared" ca="1" si="47"/>
        <v>41.623398498892662</v>
      </c>
    </row>
    <row r="218" spans="1:16" x14ac:dyDescent="0.25">
      <c r="A218" s="3">
        <f t="shared" si="48"/>
        <v>46416</v>
      </c>
      <c r="B218" s="21">
        <f t="shared" si="39"/>
        <v>36554</v>
      </c>
      <c r="C218" s="21">
        <f t="shared" si="40"/>
        <v>36605</v>
      </c>
      <c r="D218" s="1">
        <f t="shared" si="49"/>
        <v>0</v>
      </c>
      <c r="E218" s="3">
        <f t="array" ref="E218">INDEX($A$9:A217, MAX(IF($D$9:D217=1, ROW(D$9:$D217)-ROW($D$9)+1, 0)))</f>
        <v>46377</v>
      </c>
      <c r="F218" s="23">
        <f t="shared" si="41"/>
        <v>0.79671457905544152</v>
      </c>
      <c r="G218" s="5">
        <f>INDEX('Default Prob'!$P$5:$P$14,MIN(1+_xlfn.IFNA(MATCH(F218,'Default Prob'!$F$5:$F$14,1),0),COUNT('Default Prob'!$P$5:$P$14)))</f>
        <v>2.626278464496291E-2</v>
      </c>
      <c r="H218" s="5">
        <f t="shared" si="50"/>
        <v>0.97929344345387348</v>
      </c>
      <c r="I218" s="24">
        <f t="shared" si="51"/>
        <v>7.0417241546882892E-5</v>
      </c>
      <c r="J218" s="25">
        <f>INDEX('Default Prob'!$C$3:$C$13, _xlfn.IFNA(MATCH(F218, 'Default Prob'!$B$3:$B$13, 1), 1))</f>
        <v>1.9099999999999999E-2</v>
      </c>
      <c r="K218" s="26">
        <f t="shared" si="42"/>
        <v>0.98503929215196384</v>
      </c>
      <c r="L218" s="27">
        <f t="shared" ca="1" si="43"/>
        <v>0</v>
      </c>
      <c r="M218" s="27">
        <f t="shared" ca="1" si="44"/>
        <v>1408.5878279057429</v>
      </c>
      <c r="N218" s="28">
        <f t="shared" ca="1" si="45"/>
        <v>9.7704933621999585E-2</v>
      </c>
      <c r="O218" s="29">
        <f t="shared" ca="1" si="46"/>
        <v>600000</v>
      </c>
      <c r="P218" s="30">
        <f t="shared" ca="1" si="47"/>
        <v>41.618249861181226</v>
      </c>
    </row>
    <row r="219" spans="1:16" x14ac:dyDescent="0.25">
      <c r="A219" s="3">
        <f t="shared" si="48"/>
        <v>46419</v>
      </c>
      <c r="B219" s="21">
        <f t="shared" si="39"/>
        <v>36557</v>
      </c>
      <c r="C219" s="21">
        <f t="shared" si="40"/>
        <v>36605</v>
      </c>
      <c r="D219" s="1">
        <f t="shared" si="49"/>
        <v>0</v>
      </c>
      <c r="E219" s="3">
        <f t="array" ref="E219">INDEX($A$9:A218, MAX(IF($D$9:D218=1, ROW(D$9:$D218)-ROW($D$9)+1, 0)))</f>
        <v>46377</v>
      </c>
      <c r="F219" s="23">
        <f t="shared" si="41"/>
        <v>0.80492813141683783</v>
      </c>
      <c r="G219" s="5">
        <f>INDEX('Default Prob'!$P$5:$P$14,MIN(1+_xlfn.IFNA(MATCH(F219,'Default Prob'!$F$5:$F$14,1),0),COUNT('Default Prob'!$P$5:$P$14)))</f>
        <v>2.626278464496291E-2</v>
      </c>
      <c r="H219" s="5">
        <f t="shared" si="50"/>
        <v>0.97908222210619744</v>
      </c>
      <c r="I219" s="24">
        <f t="shared" si="51"/>
        <v>2.1122134767603828E-4</v>
      </c>
      <c r="J219" s="25">
        <f>INDEX('Default Prob'!$C$3:$C$13, _xlfn.IFNA(MATCH(F219, 'Default Prob'!$B$3:$B$13, 1), 1))</f>
        <v>1.9099999999999999E-2</v>
      </c>
      <c r="K219" s="26">
        <f t="shared" si="42"/>
        <v>0.98488622946628801</v>
      </c>
      <c r="L219" s="27">
        <f t="shared" ca="1" si="43"/>
        <v>0</v>
      </c>
      <c r="M219" s="27">
        <f t="shared" ca="1" si="44"/>
        <v>1516.9407377446464</v>
      </c>
      <c r="N219" s="28">
        <f t="shared" ca="1" si="45"/>
        <v>0.31556765971946127</v>
      </c>
      <c r="O219" s="29">
        <f t="shared" ca="1" si="46"/>
        <v>600000</v>
      </c>
      <c r="P219" s="30">
        <f t="shared" ca="1" si="47"/>
        <v>124.81739801726475</v>
      </c>
    </row>
    <row r="220" spans="1:16" x14ac:dyDescent="0.25">
      <c r="A220" s="3">
        <f t="shared" si="48"/>
        <v>46420</v>
      </c>
      <c r="B220" s="21">
        <f t="shared" si="39"/>
        <v>36558</v>
      </c>
      <c r="C220" s="21">
        <f t="shared" si="40"/>
        <v>36605</v>
      </c>
      <c r="D220" s="1">
        <f t="shared" si="49"/>
        <v>0</v>
      </c>
      <c r="E220" s="3">
        <f t="array" ref="E220">INDEX($A$9:A219, MAX(IF($D$9:D219=1, ROW(D$9:$D219)-ROW($D$9)+1, 0)))</f>
        <v>46377</v>
      </c>
      <c r="F220" s="23">
        <f t="shared" si="41"/>
        <v>0.8076659822039699</v>
      </c>
      <c r="G220" s="5">
        <f>INDEX('Default Prob'!$P$5:$P$14,MIN(1+_xlfn.IFNA(MATCH(F220,'Default Prob'!$F$5:$F$14,1),0),COUNT('Default Prob'!$P$5:$P$14)))</f>
        <v>2.626278464496291E-2</v>
      </c>
      <c r="H220" s="5">
        <f t="shared" si="50"/>
        <v>0.97901182511474694</v>
      </c>
      <c r="I220" s="24">
        <f t="shared" si="51"/>
        <v>7.0396991450505375E-5</v>
      </c>
      <c r="J220" s="25">
        <f>INDEX('Default Prob'!$C$3:$C$13, _xlfn.IFNA(MATCH(F220, 'Default Prob'!$B$3:$B$13, 1), 1))</f>
        <v>1.9099999999999999E-2</v>
      </c>
      <c r="K220" s="26">
        <f t="shared" si="42"/>
        <v>0.98483521385658124</v>
      </c>
      <c r="L220" s="27">
        <f t="shared" ca="1" si="43"/>
        <v>0</v>
      </c>
      <c r="M220" s="27">
        <f t="shared" ca="1" si="44"/>
        <v>1553.0583743576142</v>
      </c>
      <c r="N220" s="28">
        <f t="shared" ca="1" si="45"/>
        <v>0.10767266137121639</v>
      </c>
      <c r="O220" s="29">
        <f t="shared" ca="1" si="46"/>
        <v>600000</v>
      </c>
      <c r="P220" s="30">
        <f t="shared" ca="1" si="47"/>
        <v>41.597661678011029</v>
      </c>
    </row>
    <row r="221" spans="1:16" x14ac:dyDescent="0.25">
      <c r="A221" s="3">
        <f t="shared" si="48"/>
        <v>46421</v>
      </c>
      <c r="B221" s="21">
        <f t="shared" si="39"/>
        <v>36559</v>
      </c>
      <c r="C221" s="21">
        <f t="shared" si="40"/>
        <v>36605</v>
      </c>
      <c r="D221" s="1">
        <f t="shared" si="49"/>
        <v>0</v>
      </c>
      <c r="E221" s="3">
        <f t="array" ref="E221">INDEX($A$9:A220, MAX(IF($D$9:D220=1, ROW(D$9:$D220)-ROW($D$9)+1, 0)))</f>
        <v>46377</v>
      </c>
      <c r="F221" s="23">
        <f t="shared" si="41"/>
        <v>0.81040383299110197</v>
      </c>
      <c r="G221" s="5">
        <f>INDEX('Default Prob'!$P$5:$P$14,MIN(1+_xlfn.IFNA(MATCH(F221,'Default Prob'!$F$5:$F$14,1),0),COUNT('Default Prob'!$P$5:$P$14)))</f>
        <v>2.626278464496291E-2</v>
      </c>
      <c r="H221" s="5">
        <f t="shared" si="50"/>
        <v>0.97894143318491056</v>
      </c>
      <c r="I221" s="24">
        <f t="shared" si="51"/>
        <v>7.0391929836377543E-5</v>
      </c>
      <c r="J221" s="25">
        <f>INDEX('Default Prob'!$C$3:$C$13, _xlfn.IFNA(MATCH(F221, 'Default Prob'!$B$3:$B$13, 1), 1))</f>
        <v>1.9099999999999999E-2</v>
      </c>
      <c r="K221" s="26">
        <f t="shared" si="42"/>
        <v>0.98478420088940544</v>
      </c>
      <c r="L221" s="27">
        <f t="shared" ca="1" si="43"/>
        <v>0</v>
      </c>
      <c r="M221" s="27">
        <f t="shared" ca="1" si="44"/>
        <v>1589.1760109705817</v>
      </c>
      <c r="N221" s="28">
        <f t="shared" ca="1" si="45"/>
        <v>0.11016304836458127</v>
      </c>
      <c r="O221" s="29">
        <f t="shared" ca="1" si="46"/>
        <v>600000</v>
      </c>
      <c r="P221" s="30">
        <f t="shared" ca="1" si="47"/>
        <v>41.592516223788095</v>
      </c>
    </row>
    <row r="222" spans="1:16" x14ac:dyDescent="0.25">
      <c r="A222" s="3">
        <f t="shared" si="48"/>
        <v>46422</v>
      </c>
      <c r="B222" s="21">
        <f t="shared" si="39"/>
        <v>36560</v>
      </c>
      <c r="C222" s="21">
        <f t="shared" si="40"/>
        <v>36605</v>
      </c>
      <c r="D222" s="1">
        <f t="shared" si="49"/>
        <v>0</v>
      </c>
      <c r="E222" s="3">
        <f t="array" ref="E222">INDEX($A$9:A221, MAX(IF($D$9:D221=1, ROW(D$9:$D221)-ROW($D$9)+1, 0)))</f>
        <v>46377</v>
      </c>
      <c r="F222" s="23">
        <f t="shared" si="41"/>
        <v>0.81314168377823404</v>
      </c>
      <c r="G222" s="5">
        <f>INDEX('Default Prob'!$P$5:$P$14,MIN(1+_xlfn.IFNA(MATCH(F222,'Default Prob'!$F$5:$F$14,1),0),COUNT('Default Prob'!$P$5:$P$14)))</f>
        <v>2.626278464496291E-2</v>
      </c>
      <c r="H222" s="5">
        <f t="shared" si="50"/>
        <v>0.97887104631632438</v>
      </c>
      <c r="I222" s="24">
        <f t="shared" si="51"/>
        <v>7.0386868586180817E-5</v>
      </c>
      <c r="J222" s="25">
        <f>INDEX('Default Prob'!$C$3:$C$13, _xlfn.IFNA(MATCH(F222, 'Default Prob'!$B$3:$B$13, 1), 1))</f>
        <v>1.9099999999999999E-2</v>
      </c>
      <c r="K222" s="26">
        <f t="shared" si="42"/>
        <v>0.98473319056462372</v>
      </c>
      <c r="L222" s="27">
        <f t="shared" ca="1" si="43"/>
        <v>0</v>
      </c>
      <c r="M222" s="27">
        <f t="shared" ca="1" si="44"/>
        <v>1625.2936475835495</v>
      </c>
      <c r="N222" s="28">
        <f t="shared" ca="1" si="45"/>
        <v>0.11265281760987368</v>
      </c>
      <c r="O222" s="29">
        <f t="shared" ca="1" si="46"/>
        <v>600000</v>
      </c>
      <c r="P222" s="30">
        <f t="shared" ca="1" si="47"/>
        <v>41.587371406033633</v>
      </c>
    </row>
    <row r="223" spans="1:16" x14ac:dyDescent="0.25">
      <c r="A223" s="3">
        <f t="shared" si="48"/>
        <v>46423</v>
      </c>
      <c r="B223" s="21">
        <f t="shared" si="39"/>
        <v>36561</v>
      </c>
      <c r="C223" s="21">
        <f t="shared" si="40"/>
        <v>36605</v>
      </c>
      <c r="D223" s="1">
        <f t="shared" si="49"/>
        <v>0</v>
      </c>
      <c r="E223" s="3">
        <f t="array" ref="E223">INDEX($A$9:A222, MAX(IF($D$9:D222=1, ROW(D$9:$D222)-ROW($D$9)+1, 0)))</f>
        <v>46377</v>
      </c>
      <c r="F223" s="23">
        <f t="shared" si="41"/>
        <v>0.81587953456536622</v>
      </c>
      <c r="G223" s="5">
        <f>INDEX('Default Prob'!$P$5:$P$14,MIN(1+_xlfn.IFNA(MATCH(F223,'Default Prob'!$F$5:$F$14,1),0),COUNT('Default Prob'!$P$5:$P$14)))</f>
        <v>2.626278464496291E-2</v>
      </c>
      <c r="H223" s="5">
        <f t="shared" si="50"/>
        <v>0.97880066450862446</v>
      </c>
      <c r="I223" s="24">
        <f t="shared" si="51"/>
        <v>7.03818076999152E-5</v>
      </c>
      <c r="J223" s="25">
        <f>INDEX('Default Prob'!$C$3:$C$13, _xlfn.IFNA(MATCH(F223, 'Default Prob'!$B$3:$B$13, 1), 1))</f>
        <v>1.9099999999999999E-2</v>
      </c>
      <c r="K223" s="26">
        <f t="shared" si="42"/>
        <v>0.9846821828820993</v>
      </c>
      <c r="L223" s="27">
        <f t="shared" ca="1" si="43"/>
        <v>0</v>
      </c>
      <c r="M223" s="27">
        <f t="shared" ca="1" si="44"/>
        <v>1661.4112841965173</v>
      </c>
      <c r="N223" s="28">
        <f t="shared" ca="1" si="45"/>
        <v>0.11514196922185711</v>
      </c>
      <c r="O223" s="29">
        <f t="shared" ca="1" si="46"/>
        <v>600000</v>
      </c>
      <c r="P223" s="30">
        <f t="shared" ca="1" si="47"/>
        <v>41.582227224684388</v>
      </c>
    </row>
    <row r="224" spans="1:16" x14ac:dyDescent="0.25">
      <c r="A224" s="3">
        <f t="shared" si="48"/>
        <v>46426</v>
      </c>
      <c r="B224" s="21">
        <f t="shared" si="39"/>
        <v>36564</v>
      </c>
      <c r="C224" s="21">
        <f t="shared" si="40"/>
        <v>36605</v>
      </c>
      <c r="D224" s="1">
        <f t="shared" si="49"/>
        <v>0</v>
      </c>
      <c r="E224" s="3">
        <f t="array" ref="E224">INDEX($A$9:A223, MAX(IF($D$9:D223=1, ROW(D$9:$D223)-ROW($D$9)+1, 0)))</f>
        <v>46377</v>
      </c>
      <c r="F224" s="23">
        <f t="shared" si="41"/>
        <v>0.82409308692676253</v>
      </c>
      <c r="G224" s="5">
        <f>INDEX('Default Prob'!$P$5:$P$14,MIN(1+_xlfn.IFNA(MATCH(F224,'Default Prob'!$F$5:$F$14,1),0),COUNT('Default Prob'!$P$5:$P$14)))</f>
        <v>2.626278464496291E-2</v>
      </c>
      <c r="H224" s="5">
        <f t="shared" si="50"/>
        <v>0.97858954944720367</v>
      </c>
      <c r="I224" s="24">
        <f t="shared" si="51"/>
        <v>2.1111506142079683E-4</v>
      </c>
      <c r="J224" s="25">
        <f>INDEX('Default Prob'!$C$3:$C$13, _xlfn.IFNA(MATCH(F224, 'Default Prob'!$B$3:$B$13, 1), 1))</f>
        <v>1.9099999999999999E-2</v>
      </c>
      <c r="K224" s="26">
        <f t="shared" si="42"/>
        <v>0.98452917568670151</v>
      </c>
      <c r="L224" s="27">
        <f t="shared" ca="1" si="43"/>
        <v>0</v>
      </c>
      <c r="M224" s="27">
        <f t="shared" ca="1" si="44"/>
        <v>1769.7641940354208</v>
      </c>
      <c r="N224" s="28">
        <f t="shared" ca="1" si="45"/>
        <v>0.36784360717115677</v>
      </c>
      <c r="O224" s="29">
        <f t="shared" ca="1" si="46"/>
        <v>600000</v>
      </c>
      <c r="P224" s="30">
        <f t="shared" ca="1" si="47"/>
        <v>124.70936243739868</v>
      </c>
    </row>
    <row r="225" spans="1:16" x14ac:dyDescent="0.25">
      <c r="A225" s="3">
        <f t="shared" si="48"/>
        <v>46427</v>
      </c>
      <c r="B225" s="21">
        <f t="shared" si="39"/>
        <v>36565</v>
      </c>
      <c r="C225" s="21">
        <f t="shared" si="40"/>
        <v>36605</v>
      </c>
      <c r="D225" s="1">
        <f t="shared" si="49"/>
        <v>0</v>
      </c>
      <c r="E225" s="3">
        <f t="array" ref="E225">INDEX($A$9:A224, MAX(IF($D$9:D224=1, ROW(D$9:$D224)-ROW($D$9)+1, 0)))</f>
        <v>46377</v>
      </c>
      <c r="F225" s="23">
        <f t="shared" si="41"/>
        <v>0.8268309377138946</v>
      </c>
      <c r="G225" s="5">
        <f>INDEX('Default Prob'!$P$5:$P$14,MIN(1+_xlfn.IFNA(MATCH(F225,'Default Prob'!$F$5:$F$14,1),0),COUNT('Default Prob'!$P$5:$P$14)))</f>
        <v>2.626278464496291E-2</v>
      </c>
      <c r="H225" s="5">
        <f t="shared" si="50"/>
        <v>0.97851918787941039</v>
      </c>
      <c r="I225" s="24">
        <f t="shared" si="51"/>
        <v>7.0361567793275626E-5</v>
      </c>
      <c r="J225" s="25">
        <f>INDEX('Default Prob'!$C$3:$C$13, _xlfn.IFNA(MATCH(F225, 'Default Prob'!$B$3:$B$13, 1), 1))</f>
        <v>1.9099999999999999E-2</v>
      </c>
      <c r="K225" s="26">
        <f t="shared" si="42"/>
        <v>0.9844781785718375</v>
      </c>
      <c r="L225" s="27">
        <f t="shared" ca="1" si="43"/>
        <v>0</v>
      </c>
      <c r="M225" s="27">
        <f t="shared" ca="1" si="44"/>
        <v>1805.8818306483884</v>
      </c>
      <c r="N225" s="28">
        <f t="shared" ca="1" si="45"/>
        <v>0.12509240162985924</v>
      </c>
      <c r="O225" s="29">
        <f t="shared" ca="1" si="46"/>
        <v>600000</v>
      </c>
      <c r="P225" s="30">
        <f t="shared" ca="1" si="47"/>
        <v>41.561656861549714</v>
      </c>
    </row>
    <row r="226" spans="1:16" x14ac:dyDescent="0.25">
      <c r="A226" s="3">
        <f t="shared" si="48"/>
        <v>46428</v>
      </c>
      <c r="B226" s="21">
        <f t="shared" si="39"/>
        <v>36566</v>
      </c>
      <c r="C226" s="21">
        <f t="shared" si="40"/>
        <v>36605</v>
      </c>
      <c r="D226" s="1">
        <f t="shared" si="49"/>
        <v>0</v>
      </c>
      <c r="E226" s="3">
        <f t="array" ref="E226">INDEX($A$9:A225, MAX(IF($D$9:D225=1, ROW(D$9:$D225)-ROW($D$9)+1, 0)))</f>
        <v>46377</v>
      </c>
      <c r="F226" s="23">
        <f t="shared" si="41"/>
        <v>0.82956878850102667</v>
      </c>
      <c r="G226" s="5">
        <f>INDEX('Default Prob'!$P$5:$P$14,MIN(1+_xlfn.IFNA(MATCH(F226,'Default Prob'!$F$5:$F$14,1),0),COUNT('Default Prob'!$P$5:$P$14)))</f>
        <v>2.626278464496291E-2</v>
      </c>
      <c r="H226" s="5">
        <f t="shared" si="50"/>
        <v>0.97844883137068417</v>
      </c>
      <c r="I226" s="24">
        <f t="shared" si="51"/>
        <v>7.0356508726221456E-5</v>
      </c>
      <c r="J226" s="25">
        <f>INDEX('Default Prob'!$C$3:$C$13, _xlfn.IFNA(MATCH(F226, 'Default Prob'!$B$3:$B$13, 1), 1))</f>
        <v>1.9099999999999999E-2</v>
      </c>
      <c r="K226" s="26">
        <f t="shared" si="42"/>
        <v>0.98442718409854679</v>
      </c>
      <c r="L226" s="27">
        <f t="shared" ca="1" si="43"/>
        <v>0</v>
      </c>
      <c r="M226" s="27">
        <f t="shared" ca="1" si="44"/>
        <v>1841.9994672613561</v>
      </c>
      <c r="N226" s="28">
        <f t="shared" ca="1" si="45"/>
        <v>0.12757846679538082</v>
      </c>
      <c r="O226" s="29">
        <f t="shared" ca="1" si="46"/>
        <v>600000</v>
      </c>
      <c r="P226" s="30">
        <f t="shared" ca="1" si="47"/>
        <v>41.556515861015413</v>
      </c>
    </row>
    <row r="227" spans="1:16" x14ac:dyDescent="0.25">
      <c r="A227" s="3">
        <f t="shared" si="48"/>
        <v>46429</v>
      </c>
      <c r="B227" s="21">
        <f t="shared" si="39"/>
        <v>36567</v>
      </c>
      <c r="C227" s="21">
        <f t="shared" si="40"/>
        <v>36605</v>
      </c>
      <c r="D227" s="1">
        <f t="shared" si="49"/>
        <v>0</v>
      </c>
      <c r="E227" s="3">
        <f t="array" ref="E227">INDEX($A$9:A226, MAX(IF($D$9:D226=1, ROW(D$9:$D226)-ROW($D$9)+1, 0)))</f>
        <v>46377</v>
      </c>
      <c r="F227" s="23">
        <f t="shared" si="41"/>
        <v>0.83230663928815884</v>
      </c>
      <c r="G227" s="5">
        <f>INDEX('Default Prob'!$P$5:$P$14,MIN(1+_xlfn.IFNA(MATCH(F227,'Default Prob'!$F$5:$F$14,1),0),COUNT('Default Prob'!$P$5:$P$14)))</f>
        <v>2.626278464496291E-2</v>
      </c>
      <c r="H227" s="5">
        <f t="shared" si="50"/>
        <v>0.9783784799206614</v>
      </c>
      <c r="I227" s="24">
        <f t="shared" si="51"/>
        <v>7.0351450022765327E-5</v>
      </c>
      <c r="J227" s="25">
        <f>INDEX('Default Prob'!$C$3:$C$13, _xlfn.IFNA(MATCH(F227, 'Default Prob'!$B$3:$B$13, 1), 1))</f>
        <v>1.9099999999999999E-2</v>
      </c>
      <c r="K227" s="26">
        <f t="shared" si="42"/>
        <v>0.98437619226669226</v>
      </c>
      <c r="L227" s="27">
        <f t="shared" ca="1" si="43"/>
        <v>0</v>
      </c>
      <c r="M227" s="27">
        <f t="shared" ca="1" si="44"/>
        <v>1878.1171038743239</v>
      </c>
      <c r="N227" s="28">
        <f t="shared" ca="1" si="45"/>
        <v>0.13006391501520759</v>
      </c>
      <c r="O227" s="29">
        <f t="shared" ca="1" si="46"/>
        <v>600000</v>
      </c>
      <c r="P227" s="30">
        <f t="shared" ca="1" si="47"/>
        <v>41.551375496310143</v>
      </c>
    </row>
    <row r="228" spans="1:16" x14ac:dyDescent="0.25">
      <c r="A228" s="3">
        <f t="shared" si="48"/>
        <v>46430</v>
      </c>
      <c r="B228" s="21">
        <f t="shared" si="39"/>
        <v>36568</v>
      </c>
      <c r="C228" s="21">
        <f t="shared" si="40"/>
        <v>36605</v>
      </c>
      <c r="D228" s="1">
        <f t="shared" si="49"/>
        <v>0</v>
      </c>
      <c r="E228" s="3">
        <f t="array" ref="E228">INDEX($A$9:A227, MAX(IF($D$9:D227=1, ROW(D$9:$D227)-ROW($D$9)+1, 0)))</f>
        <v>46377</v>
      </c>
      <c r="F228" s="23">
        <f t="shared" si="41"/>
        <v>0.83504449007529091</v>
      </c>
      <c r="G228" s="5">
        <f>INDEX('Default Prob'!$P$5:$P$14,MIN(1+_xlfn.IFNA(MATCH(F228,'Default Prob'!$F$5:$F$14,1),0),COUNT('Default Prob'!$P$5:$P$14)))</f>
        <v>2.626278464496291E-2</v>
      </c>
      <c r="H228" s="5">
        <f t="shared" si="50"/>
        <v>0.97830813352897827</v>
      </c>
      <c r="I228" s="24">
        <f t="shared" si="51"/>
        <v>7.0346391683129283E-5</v>
      </c>
      <c r="J228" s="25">
        <f>INDEX('Default Prob'!$C$3:$C$13, _xlfn.IFNA(MATCH(F228, 'Default Prob'!$B$3:$B$13, 1), 1))</f>
        <v>1.9099999999999999E-2</v>
      </c>
      <c r="K228" s="26">
        <f t="shared" si="42"/>
        <v>0.98432520307613725</v>
      </c>
      <c r="L228" s="27">
        <f t="shared" ca="1" si="43"/>
        <v>0</v>
      </c>
      <c r="M228" s="27">
        <f t="shared" ca="1" si="44"/>
        <v>1914.2347404872917</v>
      </c>
      <c r="N228" s="28">
        <f t="shared" ca="1" si="45"/>
        <v>0.13254874640437952</v>
      </c>
      <c r="O228" s="29">
        <f t="shared" ca="1" si="46"/>
        <v>600000</v>
      </c>
      <c r="P228" s="30">
        <f t="shared" ca="1" si="47"/>
        <v>41.546235767501834</v>
      </c>
    </row>
    <row r="229" spans="1:16" x14ac:dyDescent="0.25">
      <c r="A229" s="3">
        <f t="shared" si="48"/>
        <v>46433</v>
      </c>
      <c r="B229" s="21">
        <f t="shared" si="39"/>
        <v>36571</v>
      </c>
      <c r="C229" s="21">
        <f t="shared" si="40"/>
        <v>36605</v>
      </c>
      <c r="D229" s="1">
        <f t="shared" si="49"/>
        <v>0</v>
      </c>
      <c r="E229" s="3">
        <f t="array" ref="E229">INDEX($A$9:A228, MAX(IF($D$9:D228=1, ROW(D$9:$D228)-ROW($D$9)+1, 0)))</f>
        <v>46377</v>
      </c>
      <c r="F229" s="23">
        <f t="shared" si="41"/>
        <v>0.84325804243668723</v>
      </c>
      <c r="G229" s="5">
        <f>INDEX('Default Prob'!$P$5:$P$14,MIN(1+_xlfn.IFNA(MATCH(F229,'Default Prob'!$F$5:$F$14,1),0),COUNT('Default Prob'!$P$5:$P$14)))</f>
        <v>2.626278464496291E-2</v>
      </c>
      <c r="H229" s="5">
        <f t="shared" si="50"/>
        <v>0.97809712470032972</v>
      </c>
      <c r="I229" s="24">
        <f t="shared" si="51"/>
        <v>2.1100882864855119E-4</v>
      </c>
      <c r="J229" s="25">
        <f>INDEX('Default Prob'!$C$3:$C$13, _xlfn.IFNA(MATCH(F229, 'Default Prob'!$B$3:$B$13, 1), 1))</f>
        <v>1.9099999999999999E-2</v>
      </c>
      <c r="K229" s="26">
        <f t="shared" si="42"/>
        <v>0.98417225135089992</v>
      </c>
      <c r="L229" s="27">
        <f t="shared" ca="1" si="43"/>
        <v>0</v>
      </c>
      <c r="M229" s="27">
        <f t="shared" ca="1" si="44"/>
        <v>2022.587650326195</v>
      </c>
      <c r="N229" s="28">
        <f t="shared" ca="1" si="45"/>
        <v>0.42002882341427183</v>
      </c>
      <c r="O229" s="29">
        <f t="shared" ca="1" si="46"/>
        <v>600000</v>
      </c>
      <c r="P229" s="30">
        <f t="shared" ca="1" si="47"/>
        <v>124.60142036757654</v>
      </c>
    </row>
    <row r="230" spans="1:16" x14ac:dyDescent="0.25">
      <c r="A230" s="3">
        <f t="shared" si="48"/>
        <v>46434</v>
      </c>
      <c r="B230" s="21">
        <f t="shared" si="39"/>
        <v>36572</v>
      </c>
      <c r="C230" s="21">
        <f t="shared" si="40"/>
        <v>36605</v>
      </c>
      <c r="D230" s="1">
        <f t="shared" si="49"/>
        <v>0</v>
      </c>
      <c r="E230" s="3">
        <f t="array" ref="E230">INDEX($A$9:A229, MAX(IF($D$9:D229=1, ROW(D$9:$D229)-ROW($D$9)+1, 0)))</f>
        <v>46377</v>
      </c>
      <c r="F230" s="23">
        <f t="shared" si="41"/>
        <v>0.8459958932238193</v>
      </c>
      <c r="G230" s="5">
        <f>INDEX('Default Prob'!$P$5:$P$14,MIN(1+_xlfn.IFNA(MATCH(F230,'Default Prob'!$F$5:$F$14,1),0),COUNT('Default Prob'!$P$5:$P$14)))</f>
        <v>2.626278464496291E-2</v>
      </c>
      <c r="H230" s="5">
        <f t="shared" si="50"/>
        <v>0.97802679853836838</v>
      </c>
      <c r="I230" s="24">
        <f t="shared" si="51"/>
        <v>7.032616196134267E-5</v>
      </c>
      <c r="J230" s="25">
        <f>INDEX('Default Prob'!$C$3:$C$13, _xlfn.IFNA(MATCH(F230, 'Default Prob'!$B$3:$B$13, 1), 1))</f>
        <v>1.9099999999999999E-2</v>
      </c>
      <c r="K230" s="26">
        <f t="shared" si="42"/>
        <v>0.98412127272417427</v>
      </c>
      <c r="L230" s="27">
        <f t="shared" ca="1" si="43"/>
        <v>0</v>
      </c>
      <c r="M230" s="27">
        <f t="shared" ca="1" si="44"/>
        <v>2058.7052869391628</v>
      </c>
      <c r="N230" s="28">
        <f t="shared" ca="1" si="45"/>
        <v>0.14248190594396634</v>
      </c>
      <c r="O230" s="29">
        <f t="shared" ca="1" si="46"/>
        <v>600000</v>
      </c>
      <c r="P230" s="30">
        <f t="shared" ca="1" si="47"/>
        <v>41.525683209121773</v>
      </c>
    </row>
    <row r="231" spans="1:16" x14ac:dyDescent="0.25">
      <c r="A231" s="3">
        <f t="shared" si="48"/>
        <v>46435</v>
      </c>
      <c r="B231" s="21">
        <f t="shared" si="39"/>
        <v>36573</v>
      </c>
      <c r="C231" s="21">
        <f t="shared" si="40"/>
        <v>36605</v>
      </c>
      <c r="D231" s="1">
        <f t="shared" si="49"/>
        <v>0</v>
      </c>
      <c r="E231" s="3">
        <f t="array" ref="E231">INDEX($A$9:A230, MAX(IF($D$9:D230=1, ROW(D$9:$D230)-ROW($D$9)+1, 0)))</f>
        <v>46377</v>
      </c>
      <c r="F231" s="23">
        <f t="shared" si="41"/>
        <v>0.84873374401095136</v>
      </c>
      <c r="G231" s="5">
        <f>INDEX('Default Prob'!$P$5:$P$14,MIN(1+_xlfn.IFNA(MATCH(F231,'Default Prob'!$F$5:$F$14,1),0),COUNT('Default Prob'!$P$5:$P$14)))</f>
        <v>2.626278464496291E-2</v>
      </c>
      <c r="H231" s="5">
        <f t="shared" si="50"/>
        <v>0.97795647743292846</v>
      </c>
      <c r="I231" s="24">
        <f t="shared" si="51"/>
        <v>7.0321105439918874E-5</v>
      </c>
      <c r="J231" s="25">
        <f>INDEX('Default Prob'!$C$3:$C$13, _xlfn.IFNA(MATCH(F231, 'Default Prob'!$B$3:$B$13, 1), 1))</f>
        <v>1.9099999999999999E-2</v>
      </c>
      <c r="K231" s="26">
        <f t="shared" si="42"/>
        <v>0.9840702967380639</v>
      </c>
      <c r="L231" s="27">
        <f t="shared" ca="1" si="43"/>
        <v>0</v>
      </c>
      <c r="M231" s="27">
        <f t="shared" ca="1" si="44"/>
        <v>2094.8229235521303</v>
      </c>
      <c r="N231" s="28">
        <f t="shared" ca="1" si="45"/>
        <v>0.14496365489712776</v>
      </c>
      <c r="O231" s="29">
        <f t="shared" ca="1" si="46"/>
        <v>600000</v>
      </c>
      <c r="P231" s="30">
        <f t="shared" ca="1" si="47"/>
        <v>41.520546658325785</v>
      </c>
    </row>
    <row r="232" spans="1:16" x14ac:dyDescent="0.25">
      <c r="A232" s="3">
        <f t="shared" si="48"/>
        <v>46436</v>
      </c>
      <c r="B232" s="21">
        <f t="shared" si="39"/>
        <v>36574</v>
      </c>
      <c r="C232" s="21">
        <f t="shared" si="40"/>
        <v>36605</v>
      </c>
      <c r="D232" s="1">
        <f t="shared" si="49"/>
        <v>0</v>
      </c>
      <c r="E232" s="3">
        <f t="array" ref="E232">INDEX($A$9:A231, MAX(IF($D$9:D231=1, ROW(D$9:$D231)-ROW($D$9)+1, 0)))</f>
        <v>46377</v>
      </c>
      <c r="F232" s="23">
        <f t="shared" si="41"/>
        <v>0.85147159479808354</v>
      </c>
      <c r="G232" s="5">
        <f>INDEX('Default Prob'!$P$5:$P$14,MIN(1+_xlfn.IFNA(MATCH(F232,'Default Prob'!$F$5:$F$14,1),0),COUNT('Default Prob'!$P$5:$P$14)))</f>
        <v>2.626278464496291E-2</v>
      </c>
      <c r="H232" s="5">
        <f t="shared" si="50"/>
        <v>0.97788616138364648</v>
      </c>
      <c r="I232" s="24">
        <f t="shared" si="51"/>
        <v>7.0316049281982096E-5</v>
      </c>
      <c r="J232" s="25">
        <f>INDEX('Default Prob'!$C$3:$C$13, _xlfn.IFNA(MATCH(F232, 'Default Prob'!$B$3:$B$13, 1), 1))</f>
        <v>1.9099999999999999E-2</v>
      </c>
      <c r="K232" s="26">
        <f t="shared" si="42"/>
        <v>0.98401932339243225</v>
      </c>
      <c r="L232" s="27">
        <f t="shared" ca="1" si="43"/>
        <v>0</v>
      </c>
      <c r="M232" s="27">
        <f t="shared" ca="1" si="44"/>
        <v>2130.9405601650983</v>
      </c>
      <c r="N232" s="28">
        <f t="shared" ca="1" si="45"/>
        <v>0.14744478770642497</v>
      </c>
      <c r="O232" s="29">
        <f t="shared" ca="1" si="46"/>
        <v>600000</v>
      </c>
      <c r="P232" s="30">
        <f t="shared" ca="1" si="47"/>
        <v>41.515410742850968</v>
      </c>
    </row>
    <row r="233" spans="1:16" x14ac:dyDescent="0.25">
      <c r="A233" s="3">
        <f t="shared" si="48"/>
        <v>46437</v>
      </c>
      <c r="B233" s="21">
        <f t="shared" si="39"/>
        <v>36575</v>
      </c>
      <c r="C233" s="21">
        <f t="shared" si="40"/>
        <v>36605</v>
      </c>
      <c r="D233" s="1">
        <f t="shared" si="49"/>
        <v>0</v>
      </c>
      <c r="E233" s="3">
        <f t="array" ref="E233">INDEX($A$9:A232, MAX(IF($D$9:D232=1, ROW(D$9:$D232)-ROW($D$9)+1, 0)))</f>
        <v>46377</v>
      </c>
      <c r="F233" s="23">
        <f t="shared" si="41"/>
        <v>0.85420944558521561</v>
      </c>
      <c r="G233" s="5">
        <f>INDEX('Default Prob'!$P$5:$P$14,MIN(1+_xlfn.IFNA(MATCH(F233,'Default Prob'!$F$5:$F$14,1),0),COUNT('Default Prob'!$P$5:$P$14)))</f>
        <v>2.626278464496291E-2</v>
      </c>
      <c r="H233" s="5">
        <f t="shared" si="50"/>
        <v>0.97781585039015873</v>
      </c>
      <c r="I233" s="24">
        <f t="shared" si="51"/>
        <v>7.0310993487754381E-5</v>
      </c>
      <c r="J233" s="25">
        <f>INDEX('Default Prob'!$C$3:$C$13, _xlfn.IFNA(MATCH(F233, 'Default Prob'!$B$3:$B$13, 1), 1))</f>
        <v>1.9099999999999999E-2</v>
      </c>
      <c r="K233" s="26">
        <f t="shared" si="42"/>
        <v>0.98396835268714222</v>
      </c>
      <c r="L233" s="27">
        <f t="shared" ca="1" si="43"/>
        <v>0</v>
      </c>
      <c r="M233" s="27">
        <f t="shared" ca="1" si="44"/>
        <v>2167.0581967780658</v>
      </c>
      <c r="N233" s="28">
        <f t="shared" ca="1" si="45"/>
        <v>0.14992530448683472</v>
      </c>
      <c r="O233" s="29">
        <f t="shared" ca="1" si="46"/>
        <v>600000</v>
      </c>
      <c r="P233" s="30">
        <f t="shared" ca="1" si="47"/>
        <v>41.510275462765236</v>
      </c>
    </row>
    <row r="234" spans="1:16" x14ac:dyDescent="0.25">
      <c r="A234" s="3">
        <f t="shared" si="48"/>
        <v>46440</v>
      </c>
      <c r="B234" s="21">
        <f t="shared" si="39"/>
        <v>36578</v>
      </c>
      <c r="C234" s="21">
        <f t="shared" si="40"/>
        <v>36605</v>
      </c>
      <c r="D234" s="1">
        <f t="shared" si="49"/>
        <v>0</v>
      </c>
      <c r="E234" s="3">
        <f t="array" ref="E234">INDEX($A$9:A233, MAX(IF($D$9:D233=1, ROW(D$9:$D233)-ROW($D$9)+1, 0)))</f>
        <v>46377</v>
      </c>
      <c r="F234" s="23">
        <f t="shared" si="41"/>
        <v>0.86242299794661192</v>
      </c>
      <c r="G234" s="5">
        <f>INDEX('Default Prob'!$P$5:$P$14,MIN(1+_xlfn.IFNA(MATCH(F234,'Default Prob'!$F$5:$F$14,1),0),COUNT('Default Prob'!$P$5:$P$14)))</f>
        <v>2.626278464496291E-2</v>
      </c>
      <c r="H234" s="5">
        <f t="shared" si="50"/>
        <v>0.97760494774082618</v>
      </c>
      <c r="I234" s="24">
        <f t="shared" si="51"/>
        <v>2.1090264933254499E-4</v>
      </c>
      <c r="J234" s="25">
        <f>INDEX('Default Prob'!$C$3:$C$13, _xlfn.IFNA(MATCH(F234, 'Default Prob'!$B$3:$B$13, 1), 1))</f>
        <v>1.9099999999999999E-2</v>
      </c>
      <c r="K234" s="26">
        <f t="shared" si="42"/>
        <v>0.983815456411956</v>
      </c>
      <c r="L234" s="27">
        <f t="shared" ca="1" si="43"/>
        <v>0</v>
      </c>
      <c r="M234" s="27">
        <f t="shared" ca="1" si="44"/>
        <v>2275.4111066169694</v>
      </c>
      <c r="N234" s="28">
        <f t="shared" ca="1" si="45"/>
        <v>0.47212342634987559</v>
      </c>
      <c r="O234" s="29">
        <f t="shared" ca="1" si="46"/>
        <v>600000</v>
      </c>
      <c r="P234" s="30">
        <f t="shared" ca="1" si="47"/>
        <v>124.49357172695306</v>
      </c>
    </row>
    <row r="235" spans="1:16" x14ac:dyDescent="0.25">
      <c r="A235" s="3">
        <f t="shared" si="48"/>
        <v>46441</v>
      </c>
      <c r="B235" s="21">
        <f t="shared" si="39"/>
        <v>36579</v>
      </c>
      <c r="C235" s="21">
        <f t="shared" si="40"/>
        <v>36605</v>
      </c>
      <c r="D235" s="1">
        <f t="shared" si="49"/>
        <v>0</v>
      </c>
      <c r="E235" s="3">
        <f t="array" ref="E235">INDEX($A$9:A234, MAX(IF($D$9:D234=1, ROW(D$9:$D234)-ROW($D$9)+1, 0)))</f>
        <v>46377</v>
      </c>
      <c r="F235" s="23">
        <f t="shared" si="41"/>
        <v>0.86516084873374399</v>
      </c>
      <c r="G235" s="5">
        <f>INDEX('Default Prob'!$P$5:$P$14,MIN(1+_xlfn.IFNA(MATCH(F235,'Default Prob'!$F$5:$F$14,1),0),COUNT('Default Prob'!$P$5:$P$14)))</f>
        <v>2.626278464496291E-2</v>
      </c>
      <c r="H235" s="5">
        <f t="shared" si="50"/>
        <v>0.9775346569668808</v>
      </c>
      <c r="I235" s="24">
        <f t="shared" si="51"/>
        <v>7.0290773945380636E-5</v>
      </c>
      <c r="J235" s="25">
        <f>INDEX('Default Prob'!$C$3:$C$13, _xlfn.IFNA(MATCH(F235, 'Default Prob'!$B$3:$B$13, 1), 1))</f>
        <v>1.9099999999999999E-2</v>
      </c>
      <c r="K235" s="26">
        <f t="shared" si="42"/>
        <v>0.98376449626666584</v>
      </c>
      <c r="L235" s="27">
        <f t="shared" ca="1" si="43"/>
        <v>0</v>
      </c>
      <c r="M235" s="27">
        <f t="shared" ca="1" si="44"/>
        <v>2311.5287432299369</v>
      </c>
      <c r="N235" s="28">
        <f t="shared" ca="1" si="45"/>
        <v>0.15984121360380188</v>
      </c>
      <c r="O235" s="29">
        <f t="shared" ca="1" si="46"/>
        <v>600000</v>
      </c>
      <c r="P235" s="30">
        <f t="shared" ca="1" si="47"/>
        <v>41.489740693542878</v>
      </c>
    </row>
    <row r="236" spans="1:16" x14ac:dyDescent="0.25">
      <c r="A236" s="3">
        <f t="shared" si="48"/>
        <v>46442</v>
      </c>
      <c r="B236" s="21">
        <f t="shared" si="39"/>
        <v>36580</v>
      </c>
      <c r="C236" s="21">
        <f t="shared" si="40"/>
        <v>36605</v>
      </c>
      <c r="D236" s="1">
        <f t="shared" si="49"/>
        <v>0</v>
      </c>
      <c r="E236" s="3">
        <f t="array" ref="E236">INDEX($A$9:A235, MAX(IF($D$9:D235=1, ROW(D$9:$D235)-ROW($D$9)+1, 0)))</f>
        <v>46377</v>
      </c>
      <c r="F236" s="23">
        <f t="shared" si="41"/>
        <v>0.86789869952087606</v>
      </c>
      <c r="G236" s="5">
        <f>INDEX('Default Prob'!$P$5:$P$14,MIN(1+_xlfn.IFNA(MATCH(F236,'Default Prob'!$F$5:$F$14,1),0),COUNT('Default Prob'!$P$5:$P$14)))</f>
        <v>2.626278464496291E-2</v>
      </c>
      <c r="H236" s="5">
        <f t="shared" si="50"/>
        <v>0.97746437124691232</v>
      </c>
      <c r="I236" s="24">
        <f t="shared" si="51"/>
        <v>7.028571996847699E-5</v>
      </c>
      <c r="J236" s="25">
        <f>INDEX('Default Prob'!$C$3:$C$13, _xlfn.IFNA(MATCH(F236, 'Default Prob'!$B$3:$B$13, 1), 1))</f>
        <v>1.9099999999999999E-2</v>
      </c>
      <c r="K236" s="26">
        <f t="shared" si="42"/>
        <v>0.98371353876103385</v>
      </c>
      <c r="L236" s="27">
        <f t="shared" ca="1" si="43"/>
        <v>0</v>
      </c>
      <c r="M236" s="27">
        <f t="shared" ca="1" si="44"/>
        <v>2347.6463798429049</v>
      </c>
      <c r="N236" s="28">
        <f t="shared" ca="1" si="45"/>
        <v>0.16231865195423753</v>
      </c>
      <c r="O236" s="29">
        <f t="shared" ca="1" si="46"/>
        <v>600000</v>
      </c>
      <c r="P236" s="30">
        <f t="shared" ca="1" si="47"/>
        <v>41.484608588734538</v>
      </c>
    </row>
    <row r="237" spans="1:16" x14ac:dyDescent="0.25">
      <c r="A237" s="3">
        <f t="shared" si="48"/>
        <v>46443</v>
      </c>
      <c r="B237" s="21">
        <f t="shared" si="39"/>
        <v>36581</v>
      </c>
      <c r="C237" s="21">
        <f t="shared" si="40"/>
        <v>36605</v>
      </c>
      <c r="D237" s="1">
        <f t="shared" si="49"/>
        <v>0</v>
      </c>
      <c r="E237" s="3">
        <f t="array" ref="E237">INDEX($A$9:A236, MAX(IF($D$9:D236=1, ROW(D$9:$D236)-ROW($D$9)+1, 0)))</f>
        <v>46377</v>
      </c>
      <c r="F237" s="23">
        <f t="shared" si="41"/>
        <v>0.87063655030800824</v>
      </c>
      <c r="G237" s="5">
        <f>INDEX('Default Prob'!$P$5:$P$14,MIN(1+_xlfn.IFNA(MATCH(F237,'Default Prob'!$F$5:$F$14,1),0),COUNT('Default Prob'!$P$5:$P$14)))</f>
        <v>2.626278464496291E-2</v>
      </c>
      <c r="H237" s="5">
        <f t="shared" si="50"/>
        <v>0.97739409058055748</v>
      </c>
      <c r="I237" s="24">
        <f t="shared" si="51"/>
        <v>7.0280666354838317E-5</v>
      </c>
      <c r="J237" s="25">
        <f>INDEX('Default Prob'!$C$3:$C$13, _xlfn.IFNA(MATCH(F237, 'Default Prob'!$B$3:$B$13, 1), 1))</f>
        <v>1.9099999999999999E-2</v>
      </c>
      <c r="K237" s="26">
        <f t="shared" si="42"/>
        <v>0.983662583894923</v>
      </c>
      <c r="L237" s="27">
        <f t="shared" ca="1" si="43"/>
        <v>0</v>
      </c>
      <c r="M237" s="27">
        <f t="shared" ca="1" si="44"/>
        <v>2383.7640164558725</v>
      </c>
      <c r="N237" s="28">
        <f t="shared" ca="1" si="45"/>
        <v>0.16479547496150104</v>
      </c>
      <c r="O237" s="29">
        <f t="shared" ca="1" si="46"/>
        <v>600000</v>
      </c>
      <c r="P237" s="30">
        <f t="shared" ca="1" si="47"/>
        <v>41.479477118674346</v>
      </c>
    </row>
    <row r="238" spans="1:16" x14ac:dyDescent="0.25">
      <c r="A238" s="3">
        <f t="shared" si="48"/>
        <v>46444</v>
      </c>
      <c r="B238" s="21">
        <f t="shared" si="39"/>
        <v>36582</v>
      </c>
      <c r="C238" s="21">
        <f t="shared" si="40"/>
        <v>36605</v>
      </c>
      <c r="D238" s="1">
        <f t="shared" si="49"/>
        <v>0</v>
      </c>
      <c r="E238" s="3">
        <f t="array" ref="E238">INDEX($A$9:A237, MAX(IF($D$9:D237=1, ROW(D$9:$D237)-ROW($D$9)+1, 0)))</f>
        <v>46377</v>
      </c>
      <c r="F238" s="23">
        <f t="shared" si="41"/>
        <v>0.87337440109514031</v>
      </c>
      <c r="G238" s="5">
        <f>INDEX('Default Prob'!$P$5:$P$14,MIN(1+_xlfn.IFNA(MATCH(F238,'Default Prob'!$F$5:$F$14,1),0),COUNT('Default Prob'!$P$5:$P$14)))</f>
        <v>2.626278464496291E-2</v>
      </c>
      <c r="H238" s="5">
        <f t="shared" si="50"/>
        <v>0.97732381496745291</v>
      </c>
      <c r="I238" s="24">
        <f t="shared" si="51"/>
        <v>7.027561310457564E-5</v>
      </c>
      <c r="J238" s="25">
        <f>INDEX('Default Prob'!$C$3:$C$13, _xlfn.IFNA(MATCH(F238, 'Default Prob'!$B$3:$B$13, 1), 1))</f>
        <v>1.9099999999999999E-2</v>
      </c>
      <c r="K238" s="26">
        <f t="shared" si="42"/>
        <v>0.98361163166819687</v>
      </c>
      <c r="L238" s="27">
        <f t="shared" ca="1" si="43"/>
        <v>0</v>
      </c>
      <c r="M238" s="27">
        <f t="shared" ca="1" si="44"/>
        <v>2419.8816530688405</v>
      </c>
      <c r="N238" s="28">
        <f t="shared" ca="1" si="45"/>
        <v>0.1672716827402303</v>
      </c>
      <c r="O238" s="29">
        <f t="shared" ca="1" si="46"/>
        <v>600000</v>
      </c>
      <c r="P238" s="30">
        <f t="shared" ca="1" si="47"/>
        <v>41.474346283364738</v>
      </c>
    </row>
    <row r="239" spans="1:16" x14ac:dyDescent="0.25">
      <c r="A239" s="3">
        <f t="shared" si="48"/>
        <v>46447</v>
      </c>
      <c r="B239" s="21">
        <f t="shared" si="39"/>
        <v>36586</v>
      </c>
      <c r="C239" s="21">
        <f t="shared" si="40"/>
        <v>36605</v>
      </c>
      <c r="D239" s="1">
        <f t="shared" si="49"/>
        <v>0</v>
      </c>
      <c r="E239" s="3">
        <f t="array" ref="E239">INDEX($A$9:A238, MAX(IF($D$9:D238=1, ROW(D$9:$D238)-ROW($D$9)+1, 0)))</f>
        <v>46377</v>
      </c>
      <c r="F239" s="23">
        <f t="shared" si="41"/>
        <v>0.88158795345653662</v>
      </c>
      <c r="G239" s="5">
        <f>INDEX('Default Prob'!$P$5:$P$14,MIN(1+_xlfn.IFNA(MATCH(F239,'Default Prob'!$F$5:$F$14,1),0),COUNT('Default Prob'!$P$5:$P$14)))</f>
        <v>2.626278464496291E-2</v>
      </c>
      <c r="H239" s="5">
        <f t="shared" si="50"/>
        <v>0.97711301844400711</v>
      </c>
      <c r="I239" s="24">
        <f t="shared" si="51"/>
        <v>2.107965234457998E-4</v>
      </c>
      <c r="J239" s="25">
        <f>INDEX('Default Prob'!$C$3:$C$13, _xlfn.IFNA(MATCH(F239, 'Default Prob'!$B$3:$B$13, 1), 1))</f>
        <v>1.9099999999999999E-2</v>
      </c>
      <c r="K239" s="26">
        <f t="shared" si="42"/>
        <v>0.98345879082295895</v>
      </c>
      <c r="L239" s="27">
        <f t="shared" ca="1" si="43"/>
        <v>0</v>
      </c>
      <c r="M239" s="27">
        <f t="shared" ca="1" si="44"/>
        <v>2528.2345629077436</v>
      </c>
      <c r="N239" s="28">
        <f t="shared" ca="1" si="45"/>
        <v>0.52412753374248133</v>
      </c>
      <c r="O239" s="29">
        <f t="shared" ca="1" si="46"/>
        <v>600000</v>
      </c>
      <c r="P239" s="30">
        <f t="shared" ca="1" si="47"/>
        <v>124.38581643461387</v>
      </c>
    </row>
    <row r="240" spans="1:16" x14ac:dyDescent="0.25">
      <c r="A240" s="3">
        <f t="shared" si="48"/>
        <v>46448</v>
      </c>
      <c r="B240" s="21">
        <f t="shared" si="39"/>
        <v>36587</v>
      </c>
      <c r="C240" s="21">
        <f t="shared" si="40"/>
        <v>36605</v>
      </c>
      <c r="D240" s="1">
        <f t="shared" si="49"/>
        <v>0</v>
      </c>
      <c r="E240" s="3">
        <f t="array" ref="E240">INDEX($A$9:A239, MAX(IF($D$9:D239=1, ROW(D$9:$D239)-ROW($D$9)+1, 0)))</f>
        <v>46377</v>
      </c>
      <c r="F240" s="23">
        <f t="shared" si="41"/>
        <v>0.88432580424366869</v>
      </c>
      <c r="G240" s="5">
        <f>INDEX('Default Prob'!$P$5:$P$14,MIN(1+_xlfn.IFNA(MATCH(F240,'Default Prob'!$F$5:$F$14,1),0),COUNT('Default Prob'!$P$5:$P$14)))</f>
        <v>2.626278464496291E-2</v>
      </c>
      <c r="H240" s="5">
        <f t="shared" si="50"/>
        <v>0.97704276304027038</v>
      </c>
      <c r="I240" s="24">
        <f t="shared" si="51"/>
        <v>7.0255403736729782E-5</v>
      </c>
      <c r="J240" s="25">
        <f>INDEX('Default Prob'!$C$3:$C$13, _xlfn.IFNA(MATCH(F240, 'Default Prob'!$B$3:$B$13, 1), 1))</f>
        <v>1.9099999999999999E-2</v>
      </c>
      <c r="K240" s="26">
        <f t="shared" si="42"/>
        <v>0.9834078491524042</v>
      </c>
      <c r="L240" s="27">
        <f t="shared" ca="1" si="43"/>
        <v>0</v>
      </c>
      <c r="M240" s="27">
        <f t="shared" ca="1" si="44"/>
        <v>2564.3521995207116</v>
      </c>
      <c r="N240" s="28">
        <f t="shared" ca="1" si="45"/>
        <v>0.17717036385558077</v>
      </c>
      <c r="O240" s="29">
        <f t="shared" ca="1" si="46"/>
        <v>600000</v>
      </c>
      <c r="P240" s="30">
        <f t="shared" ca="1" si="47"/>
        <v>41.453829288042726</v>
      </c>
    </row>
    <row r="241" spans="1:16" x14ac:dyDescent="0.25">
      <c r="A241" s="3">
        <f t="shared" si="48"/>
        <v>46449</v>
      </c>
      <c r="B241" s="21">
        <f t="shared" si="39"/>
        <v>36588</v>
      </c>
      <c r="C241" s="21">
        <f t="shared" si="40"/>
        <v>36605</v>
      </c>
      <c r="D241" s="1">
        <f t="shared" si="49"/>
        <v>0</v>
      </c>
      <c r="E241" s="3">
        <f t="array" ref="E241">INDEX($A$9:A240, MAX(IF($D$9:D240=1, ROW(D$9:$D240)-ROW($D$9)+1, 0)))</f>
        <v>46377</v>
      </c>
      <c r="F241" s="23">
        <f t="shared" si="41"/>
        <v>0.88706365503080087</v>
      </c>
      <c r="G241" s="5">
        <f>INDEX('Default Prob'!$P$5:$P$14,MIN(1+_xlfn.IFNA(MATCH(F241,'Default Prob'!$F$5:$F$14,1),0),COUNT('Default Prob'!$P$5:$P$14)))</f>
        <v>2.626278464496291E-2</v>
      </c>
      <c r="H241" s="5">
        <f t="shared" si="50"/>
        <v>0.97697251268796748</v>
      </c>
      <c r="I241" s="24">
        <f t="shared" si="51"/>
        <v>7.0250352302902996E-5</v>
      </c>
      <c r="J241" s="25">
        <f>INDEX('Default Prob'!$C$3:$C$13, _xlfn.IFNA(MATCH(F241, 'Default Prob'!$B$3:$B$13, 1), 1))</f>
        <v>1.9099999999999999E-2</v>
      </c>
      <c r="K241" s="26">
        <f t="shared" si="42"/>
        <v>0.9833569101205506</v>
      </c>
      <c r="L241" s="27">
        <f t="shared" ca="1" si="43"/>
        <v>0</v>
      </c>
      <c r="M241" s="27">
        <f t="shared" ca="1" si="44"/>
        <v>2600.4698361336791</v>
      </c>
      <c r="N241" s="28">
        <f t="shared" ca="1" si="45"/>
        <v>0.17964349720573269</v>
      </c>
      <c r="O241" s="29">
        <f t="shared" ca="1" si="46"/>
        <v>600000</v>
      </c>
      <c r="P241" s="30">
        <f t="shared" ca="1" si="47"/>
        <v>41.448701625277678</v>
      </c>
    </row>
    <row r="242" spans="1:16" x14ac:dyDescent="0.25">
      <c r="A242" s="3">
        <f t="shared" si="48"/>
        <v>46450</v>
      </c>
      <c r="B242" s="21">
        <f t="shared" si="39"/>
        <v>36589</v>
      </c>
      <c r="C242" s="21">
        <f t="shared" si="40"/>
        <v>36605</v>
      </c>
      <c r="D242" s="1">
        <f t="shared" si="49"/>
        <v>0</v>
      </c>
      <c r="E242" s="3">
        <f t="array" ref="E242">INDEX($A$9:A241, MAX(IF($D$9:D241=1, ROW(D$9:$D241)-ROW($D$9)+1, 0)))</f>
        <v>46377</v>
      </c>
      <c r="F242" s="23">
        <f t="shared" si="41"/>
        <v>0.88980150581793294</v>
      </c>
      <c r="G242" s="5">
        <f>INDEX('Default Prob'!$P$5:$P$14,MIN(1+_xlfn.IFNA(MATCH(F242,'Default Prob'!$F$5:$F$14,1),0),COUNT('Default Prob'!$P$5:$P$14)))</f>
        <v>2.626278464496291E-2</v>
      </c>
      <c r="H242" s="5">
        <f t="shared" si="50"/>
        <v>0.97690226738673513</v>
      </c>
      <c r="I242" s="24">
        <f t="shared" si="51"/>
        <v>7.0245301232341184E-5</v>
      </c>
      <c r="J242" s="25">
        <f>INDEX('Default Prob'!$C$3:$C$13, _xlfn.IFNA(MATCH(F242, 'Default Prob'!$B$3:$B$13, 1), 1))</f>
        <v>1.9099999999999999E-2</v>
      </c>
      <c r="K242" s="26">
        <f t="shared" si="42"/>
        <v>0.98330597372726125</v>
      </c>
      <c r="L242" s="27">
        <f t="shared" ca="1" si="43"/>
        <v>0</v>
      </c>
      <c r="M242" s="27">
        <f t="shared" ca="1" si="44"/>
        <v>2636.5874727466467</v>
      </c>
      <c r="N242" s="28">
        <f t="shared" ca="1" si="45"/>
        <v>0.18211601601302452</v>
      </c>
      <c r="O242" s="29">
        <f t="shared" ca="1" si="46"/>
        <v>600000</v>
      </c>
      <c r="P242" s="30">
        <f t="shared" ca="1" si="47"/>
        <v>41.443574596819218</v>
      </c>
    </row>
    <row r="243" spans="1:16" x14ac:dyDescent="0.25">
      <c r="A243" s="3">
        <f t="shared" si="48"/>
        <v>46451</v>
      </c>
      <c r="B243" s="21">
        <f t="shared" si="39"/>
        <v>36590</v>
      </c>
      <c r="C243" s="21">
        <f t="shared" si="40"/>
        <v>36605</v>
      </c>
      <c r="D243" s="1">
        <f t="shared" si="49"/>
        <v>0</v>
      </c>
      <c r="E243" s="3">
        <f t="array" ref="E243">INDEX($A$9:A242, MAX(IF($D$9:D242=1, ROW(D$9:$D242)-ROW($D$9)+1, 0)))</f>
        <v>46377</v>
      </c>
      <c r="F243" s="23">
        <f t="shared" si="41"/>
        <v>0.892539356605065</v>
      </c>
      <c r="G243" s="5">
        <f>INDEX('Default Prob'!$P$5:$P$14,MIN(1+_xlfn.IFNA(MATCH(F243,'Default Prob'!$F$5:$F$14,1),0),COUNT('Default Prob'!$P$5:$P$14)))</f>
        <v>2.626278464496291E-2</v>
      </c>
      <c r="H243" s="5">
        <f t="shared" si="50"/>
        <v>0.97683202713621031</v>
      </c>
      <c r="I243" s="24">
        <f t="shared" si="51"/>
        <v>7.0240250524822301E-5</v>
      </c>
      <c r="J243" s="25">
        <f>INDEX('Default Prob'!$C$3:$C$13, _xlfn.IFNA(MATCH(F243, 'Default Prob'!$B$3:$B$13, 1), 1))</f>
        <v>1.9099999999999999E-2</v>
      </c>
      <c r="K243" s="26">
        <f t="shared" si="42"/>
        <v>0.98325503997239982</v>
      </c>
      <c r="L243" s="27">
        <f t="shared" ca="1" si="43"/>
        <v>0</v>
      </c>
      <c r="M243" s="27">
        <f t="shared" ca="1" si="44"/>
        <v>2672.7051093596151</v>
      </c>
      <c r="N243" s="28">
        <f t="shared" ca="1" si="45"/>
        <v>0.18458792039114033</v>
      </c>
      <c r="O243" s="29">
        <f t="shared" ca="1" si="46"/>
        <v>600000</v>
      </c>
      <c r="P243" s="30">
        <f t="shared" ca="1" si="47"/>
        <v>41.438448202473317</v>
      </c>
    </row>
    <row r="244" spans="1:16" x14ac:dyDescent="0.25">
      <c r="A244" s="3">
        <f t="shared" si="48"/>
        <v>46454</v>
      </c>
      <c r="B244" s="21">
        <f t="shared" si="39"/>
        <v>36593</v>
      </c>
      <c r="C244" s="21">
        <f t="shared" si="40"/>
        <v>36605</v>
      </c>
      <c r="D244" s="1">
        <f t="shared" si="49"/>
        <v>0</v>
      </c>
      <c r="E244" s="3">
        <f t="array" ref="E244">INDEX($A$9:A243, MAX(IF($D$9:D243=1, ROW(D$9:$D243)-ROW($D$9)+1, 0)))</f>
        <v>46377</v>
      </c>
      <c r="F244" s="23">
        <f t="shared" si="41"/>
        <v>0.90075290896646132</v>
      </c>
      <c r="G244" s="5">
        <f>INDEX('Default Prob'!$P$5:$P$14,MIN(1+_xlfn.IFNA(MATCH(F244,'Default Prob'!$F$5:$F$14,1),0),COUNT('Default Prob'!$P$5:$P$14)))</f>
        <v>2.626278464496291E-2</v>
      </c>
      <c r="H244" s="5">
        <f t="shared" si="50"/>
        <v>0.97662133668524898</v>
      </c>
      <c r="I244" s="24">
        <f t="shared" si="51"/>
        <v>2.1069045096133721E-4</v>
      </c>
      <c r="J244" s="25">
        <f>INDEX('Default Prob'!$C$3:$C$13, _xlfn.IFNA(MATCH(F244, 'Default Prob'!$B$3:$B$13, 1), 1))</f>
        <v>1.9099999999999999E-2</v>
      </c>
      <c r="K244" s="26">
        <f t="shared" si="42"/>
        <v>0.98310225453701539</v>
      </c>
      <c r="L244" s="27">
        <f t="shared" ca="1" si="43"/>
        <v>0</v>
      </c>
      <c r="M244" s="27">
        <f t="shared" ca="1" si="44"/>
        <v>2781.0580191985182</v>
      </c>
      <c r="N244" s="28">
        <f t="shared" ca="1" si="45"/>
        <v>0.57604126322051064</v>
      </c>
      <c r="O244" s="29">
        <f t="shared" ca="1" si="46"/>
        <v>600000</v>
      </c>
      <c r="P244" s="30">
        <f t="shared" ca="1" si="47"/>
        <v>124.27815440970666</v>
      </c>
    </row>
    <row r="245" spans="1:16" x14ac:dyDescent="0.25">
      <c r="A245" s="3">
        <f t="shared" si="48"/>
        <v>46455</v>
      </c>
      <c r="B245" s="21">
        <f t="shared" si="39"/>
        <v>36594</v>
      </c>
      <c r="C245" s="21">
        <f t="shared" si="40"/>
        <v>36605</v>
      </c>
      <c r="D245" s="1">
        <f t="shared" si="49"/>
        <v>0</v>
      </c>
      <c r="E245" s="3">
        <f t="array" ref="E245">INDEX($A$9:A244, MAX(IF($D$9:D244=1, ROW(D$9:$D244)-ROW($D$9)+1, 0)))</f>
        <v>46377</v>
      </c>
      <c r="F245" s="23">
        <f t="shared" si="41"/>
        <v>0.90349075975359339</v>
      </c>
      <c r="G245" s="5">
        <f>INDEX('Default Prob'!$P$5:$P$14,MIN(1+_xlfn.IFNA(MATCH(F245,'Default Prob'!$F$5:$F$14,1),0),COUNT('Default Prob'!$P$5:$P$14)))</f>
        <v>2.626278464496291E-2</v>
      </c>
      <c r="H245" s="5">
        <f t="shared" si="50"/>
        <v>0.97655111663392269</v>
      </c>
      <c r="I245" s="24">
        <f t="shared" si="51"/>
        <v>7.0220051326286281E-5</v>
      </c>
      <c r="J245" s="25">
        <f>INDEX('Default Prob'!$C$3:$C$13, _xlfn.IFNA(MATCH(F245, 'Default Prob'!$B$3:$B$13, 1), 1))</f>
        <v>1.9099999999999999E-2</v>
      </c>
      <c r="K245" s="26">
        <f t="shared" si="42"/>
        <v>0.98305133133449818</v>
      </c>
      <c r="L245" s="27">
        <f t="shared" ca="1" si="43"/>
        <v>0</v>
      </c>
      <c r="M245" s="27">
        <f t="shared" ca="1" si="44"/>
        <v>2817.1756558114857</v>
      </c>
      <c r="N245" s="28">
        <f t="shared" ca="1" si="45"/>
        <v>0.19446939589926271</v>
      </c>
      <c r="O245" s="29">
        <f t="shared" ca="1" si="46"/>
        <v>600000</v>
      </c>
      <c r="P245" s="30">
        <f t="shared" ca="1" si="47"/>
        <v>41.417948965609511</v>
      </c>
    </row>
    <row r="246" spans="1:16" x14ac:dyDescent="0.25">
      <c r="A246" s="3">
        <f t="shared" si="48"/>
        <v>46456</v>
      </c>
      <c r="B246" s="21">
        <f t="shared" si="39"/>
        <v>36595</v>
      </c>
      <c r="C246" s="21">
        <f t="shared" si="40"/>
        <v>36605</v>
      </c>
      <c r="D246" s="1">
        <f t="shared" si="49"/>
        <v>0</v>
      </c>
      <c r="E246" s="3">
        <f t="array" ref="E246">INDEX($A$9:A245, MAX(IF($D$9:D245=1, ROW(D$9:$D245)-ROW($D$9)+1, 0)))</f>
        <v>46377</v>
      </c>
      <c r="F246" s="23">
        <f t="shared" si="41"/>
        <v>0.90622861054072557</v>
      </c>
      <c r="G246" s="5">
        <f>INDEX('Default Prob'!$P$5:$P$14,MIN(1+_xlfn.IFNA(MATCH(F246,'Default Prob'!$F$5:$F$14,1),0),COUNT('Default Prob'!$P$5:$P$14)))</f>
        <v>2.626278464496291E-2</v>
      </c>
      <c r="H246" s="5">
        <f t="shared" si="50"/>
        <v>0.97648090163148837</v>
      </c>
      <c r="I246" s="24">
        <f t="shared" si="51"/>
        <v>7.021500243431511E-5</v>
      </c>
      <c r="J246" s="25">
        <f>INDEX('Default Prob'!$C$3:$C$13, _xlfn.IFNA(MATCH(F246, 'Default Prob'!$B$3:$B$13, 1), 1))</f>
        <v>1.9099999999999999E-2</v>
      </c>
      <c r="K246" s="26">
        <f t="shared" si="42"/>
        <v>0.98300041076972577</v>
      </c>
      <c r="L246" s="27">
        <f t="shared" ca="1" si="43"/>
        <v>0</v>
      </c>
      <c r="M246" s="27">
        <f t="shared" ca="1" si="44"/>
        <v>2853.2932924244533</v>
      </c>
      <c r="N246" s="28">
        <f t="shared" ca="1" si="45"/>
        <v>0.19693822984559828</v>
      </c>
      <c r="O246" s="29">
        <f t="shared" ca="1" si="46"/>
        <v>600000</v>
      </c>
      <c r="P246" s="30">
        <f t="shared" ca="1" si="47"/>
        <v>41.412825741077427</v>
      </c>
    </row>
    <row r="247" spans="1:16" x14ac:dyDescent="0.25">
      <c r="A247" s="3">
        <f t="shared" si="48"/>
        <v>46457</v>
      </c>
      <c r="B247" s="21">
        <f t="shared" si="39"/>
        <v>36596</v>
      </c>
      <c r="C247" s="21">
        <f t="shared" si="40"/>
        <v>36605</v>
      </c>
      <c r="D247" s="1">
        <f t="shared" si="49"/>
        <v>0</v>
      </c>
      <c r="E247" s="3">
        <f t="array" ref="E247">INDEX($A$9:A246, MAX(IF($D$9:D246=1, ROW(D$9:$D246)-ROW($D$9)+1, 0)))</f>
        <v>46377</v>
      </c>
      <c r="F247" s="23">
        <f t="shared" si="41"/>
        <v>0.90896646132785763</v>
      </c>
      <c r="G247" s="5">
        <f>INDEX('Default Prob'!$P$5:$P$14,MIN(1+_xlfn.IFNA(MATCH(F247,'Default Prob'!$F$5:$F$14,1),0),COUNT('Default Prob'!$P$5:$P$14)))</f>
        <v>2.626278464496291E-2</v>
      </c>
      <c r="H247" s="5">
        <f t="shared" si="50"/>
        <v>0.97641069167758299</v>
      </c>
      <c r="I247" s="24">
        <f t="shared" si="51"/>
        <v>7.0209953905386868E-5</v>
      </c>
      <c r="J247" s="25">
        <f>INDEX('Default Prob'!$C$3:$C$13, _xlfn.IFNA(MATCH(F247, 'Default Prob'!$B$3:$B$13, 1), 1))</f>
        <v>1.9099999999999999E-2</v>
      </c>
      <c r="K247" s="26">
        <f t="shared" si="42"/>
        <v>0.98294949284256083</v>
      </c>
      <c r="L247" s="27">
        <f t="shared" ca="1" si="43"/>
        <v>0</v>
      </c>
      <c r="M247" s="27">
        <f t="shared" ca="1" si="44"/>
        <v>2889.4109290374213</v>
      </c>
      <c r="N247" s="28">
        <f t="shared" ca="1" si="45"/>
        <v>0.19940645004792598</v>
      </c>
      <c r="O247" s="29">
        <f t="shared" ca="1" si="46"/>
        <v>600000</v>
      </c>
      <c r="P247" s="30">
        <f t="shared" ca="1" si="47"/>
        <v>41.407703150279758</v>
      </c>
    </row>
    <row r="248" spans="1:16" x14ac:dyDescent="0.25">
      <c r="A248" s="3">
        <f t="shared" si="48"/>
        <v>46458</v>
      </c>
      <c r="B248" s="21">
        <f t="shared" si="39"/>
        <v>36597</v>
      </c>
      <c r="C248" s="21">
        <f t="shared" si="40"/>
        <v>36605</v>
      </c>
      <c r="D248" s="1">
        <f t="shared" si="49"/>
        <v>0</v>
      </c>
      <c r="E248" s="3">
        <f t="array" ref="E248">INDEX($A$9:A247, MAX(IF($D$9:D247=1, ROW(D$9:$D247)-ROW($D$9)+1, 0)))</f>
        <v>46377</v>
      </c>
      <c r="F248" s="23">
        <f t="shared" si="41"/>
        <v>0.9117043121149897</v>
      </c>
      <c r="G248" s="5">
        <f>INDEX('Default Prob'!$P$5:$P$14,MIN(1+_xlfn.IFNA(MATCH(F248,'Default Prob'!$F$5:$F$14,1),0),COUNT('Default Prob'!$P$5:$P$14)))</f>
        <v>2.626278464496291E-2</v>
      </c>
      <c r="H248" s="5">
        <f t="shared" si="50"/>
        <v>0.97634048677184349</v>
      </c>
      <c r="I248" s="24">
        <f t="shared" si="51"/>
        <v>7.0204905739501555E-5</v>
      </c>
      <c r="J248" s="25">
        <f>INDEX('Default Prob'!$C$3:$C$13, _xlfn.IFNA(MATCH(F248, 'Default Prob'!$B$3:$B$13, 1), 1))</f>
        <v>1.9099999999999999E-2</v>
      </c>
      <c r="K248" s="26">
        <f t="shared" si="42"/>
        <v>0.98289857755286747</v>
      </c>
      <c r="L248" s="27">
        <f t="shared" ca="1" si="43"/>
        <v>0</v>
      </c>
      <c r="M248" s="27">
        <f t="shared" ca="1" si="44"/>
        <v>2925.5285656503888</v>
      </c>
      <c r="N248" s="28">
        <f t="shared" ca="1" si="45"/>
        <v>0.20187405662038371</v>
      </c>
      <c r="O248" s="29">
        <f t="shared" ca="1" si="46"/>
        <v>600000</v>
      </c>
      <c r="P248" s="30">
        <f t="shared" ca="1" si="47"/>
        <v>41.40258119315353</v>
      </c>
    </row>
    <row r="249" spans="1:16" x14ac:dyDescent="0.25">
      <c r="A249" s="3">
        <f t="shared" si="48"/>
        <v>46461</v>
      </c>
      <c r="B249" s="21">
        <f t="shared" si="39"/>
        <v>36600</v>
      </c>
      <c r="C249" s="21">
        <f t="shared" si="40"/>
        <v>36605</v>
      </c>
      <c r="D249" s="1">
        <f t="shared" si="49"/>
        <v>0</v>
      </c>
      <c r="E249" s="3">
        <f t="array" ref="E249">INDEX($A$9:A248, MAX(IF($D$9:D248=1, ROW(D$9:$D248)-ROW($D$9)+1, 0)))</f>
        <v>46377</v>
      </c>
      <c r="F249" s="23">
        <f t="shared" si="41"/>
        <v>0.91991786447638602</v>
      </c>
      <c r="G249" s="5">
        <f>INDEX('Default Prob'!$P$5:$P$14,MIN(1+_xlfn.IFNA(MATCH(F249,'Default Prob'!$F$5:$F$14,1),0),COUNT('Default Prob'!$P$5:$P$14)))</f>
        <v>2.626278464496291E-2</v>
      </c>
      <c r="H249" s="5">
        <f t="shared" si="50"/>
        <v>0.97612990233999097</v>
      </c>
      <c r="I249" s="24">
        <f t="shared" si="51"/>
        <v>2.1058443185251186E-4</v>
      </c>
      <c r="J249" s="25">
        <f>INDEX('Default Prob'!$C$3:$C$13, _xlfn.IFNA(MATCH(F249, 'Default Prob'!$B$3:$B$13, 1), 1))</f>
        <v>1.9099999999999999E-2</v>
      </c>
      <c r="K249" s="26">
        <f t="shared" si="42"/>
        <v>0.98274584750724814</v>
      </c>
      <c r="L249" s="27">
        <f t="shared" ca="1" si="43"/>
        <v>0</v>
      </c>
      <c r="M249" s="27">
        <f t="shared" ca="1" si="44"/>
        <v>3033.8814754892928</v>
      </c>
      <c r="N249" s="28">
        <f t="shared" ca="1" si="45"/>
        <v>0.62786473227741491</v>
      </c>
      <c r="O249" s="29">
        <f t="shared" ca="1" si="46"/>
        <v>600000</v>
      </c>
      <c r="P249" s="30">
        <f t="shared" ca="1" si="47"/>
        <v>124.17058557163746</v>
      </c>
    </row>
    <row r="250" spans="1:16" x14ac:dyDescent="0.25">
      <c r="A250" s="3">
        <f t="shared" si="48"/>
        <v>46462</v>
      </c>
      <c r="B250" s="21">
        <f t="shared" si="39"/>
        <v>36601</v>
      </c>
      <c r="C250" s="21">
        <f t="shared" si="40"/>
        <v>36605</v>
      </c>
      <c r="D250" s="1">
        <f t="shared" si="49"/>
        <v>0</v>
      </c>
      <c r="E250" s="3">
        <f t="array" ref="E250">INDEX($A$9:A249, MAX(IF($D$9:D249=1, ROW(D$9:$D249)-ROW($D$9)+1, 0)))</f>
        <v>46377</v>
      </c>
      <c r="F250" s="23">
        <f t="shared" si="41"/>
        <v>0.92265571526351808</v>
      </c>
      <c r="G250" s="5">
        <f>INDEX('Default Prob'!$P$5:$P$14,MIN(1+_xlfn.IFNA(MATCH(F250,'Default Prob'!$F$5:$F$14,1),0),COUNT('Default Prob'!$P$5:$P$14)))</f>
        <v>2.626278464496291E-2</v>
      </c>
      <c r="H250" s="5">
        <f t="shared" si="50"/>
        <v>0.97605971762328581</v>
      </c>
      <c r="I250" s="24">
        <f t="shared" si="51"/>
        <v>7.0184716705168348E-5</v>
      </c>
      <c r="J250" s="25">
        <f>INDEX('Default Prob'!$C$3:$C$13, _xlfn.IFNA(MATCH(F250, 'Default Prob'!$B$3:$B$13, 1), 1))</f>
        <v>1.9099999999999999E-2</v>
      </c>
      <c r="K250" s="26">
        <f t="shared" si="42"/>
        <v>0.98269494276607361</v>
      </c>
      <c r="L250" s="27">
        <f t="shared" ca="1" si="43"/>
        <v>0</v>
      </c>
      <c r="M250" s="27">
        <f t="shared" ca="1" si="44"/>
        <v>3069.9991121022604</v>
      </c>
      <c r="N250" s="28">
        <f t="shared" ca="1" si="45"/>
        <v>0.21173834889005555</v>
      </c>
      <c r="O250" s="29">
        <f t="shared" ca="1" si="46"/>
        <v>600000</v>
      </c>
      <c r="P250" s="30">
        <f t="shared" ca="1" si="47"/>
        <v>41.382099699383097</v>
      </c>
    </row>
    <row r="251" spans="1:16" x14ac:dyDescent="0.25">
      <c r="A251" s="3">
        <f t="shared" si="48"/>
        <v>46463</v>
      </c>
      <c r="B251" s="21">
        <f t="shared" si="39"/>
        <v>36602</v>
      </c>
      <c r="C251" s="21">
        <f t="shared" si="40"/>
        <v>36605</v>
      </c>
      <c r="D251" s="1">
        <f t="shared" si="49"/>
        <v>0</v>
      </c>
      <c r="E251" s="3">
        <f t="array" ref="E251">INDEX($A$9:A250, MAX(IF($D$9:D250=1, ROW(D$9:$D250)-ROW($D$9)+1, 0)))</f>
        <v>46377</v>
      </c>
      <c r="F251" s="23">
        <f t="shared" si="41"/>
        <v>0.92539356605065026</v>
      </c>
      <c r="G251" s="5">
        <f>INDEX('Default Prob'!$P$5:$P$14,MIN(1+_xlfn.IFNA(MATCH(F251,'Default Prob'!$F$5:$F$14,1),0),COUNT('Default Prob'!$P$5:$P$14)))</f>
        <v>2.626278464496291E-2</v>
      </c>
      <c r="H251" s="5">
        <f t="shared" si="50"/>
        <v>0.97598953795293197</v>
      </c>
      <c r="I251" s="24">
        <f t="shared" si="51"/>
        <v>7.0179670353831547E-5</v>
      </c>
      <c r="J251" s="25">
        <f>INDEX('Default Prob'!$C$3:$C$13, _xlfn.IFNA(MATCH(F251, 'Default Prob'!$B$3:$B$13, 1), 1))</f>
        <v>1.9099999999999999E-2</v>
      </c>
      <c r="K251" s="26">
        <f t="shared" si="42"/>
        <v>0.9826440406616872</v>
      </c>
      <c r="L251" s="27">
        <f t="shared" ca="1" si="43"/>
        <v>0</v>
      </c>
      <c r="M251" s="27">
        <f t="shared" ca="1" si="44"/>
        <v>3106.1167487152284</v>
      </c>
      <c r="N251" s="28">
        <f t="shared" ca="1" si="45"/>
        <v>0.2142028890226236</v>
      </c>
      <c r="O251" s="29">
        <f t="shared" ca="1" si="46"/>
        <v>600000</v>
      </c>
      <c r="P251" s="30">
        <f t="shared" ca="1" si="47"/>
        <v>41.376980909276547</v>
      </c>
    </row>
    <row r="252" spans="1:16" x14ac:dyDescent="0.25">
      <c r="A252" s="3">
        <f t="shared" si="48"/>
        <v>46464</v>
      </c>
      <c r="B252" s="21">
        <f t="shared" si="39"/>
        <v>36603</v>
      </c>
      <c r="C252" s="21">
        <f t="shared" si="40"/>
        <v>36605</v>
      </c>
      <c r="D252" s="1">
        <f t="shared" si="49"/>
        <v>0</v>
      </c>
      <c r="E252" s="3">
        <f t="array" ref="E252">INDEX($A$9:A251, MAX(IF($D$9:D251=1, ROW(D$9:$D251)-ROW($D$9)+1, 0)))</f>
        <v>46377</v>
      </c>
      <c r="F252" s="23">
        <f t="shared" si="41"/>
        <v>0.92813141683778233</v>
      </c>
      <c r="G252" s="5">
        <f>INDEX('Default Prob'!$P$5:$P$14,MIN(1+_xlfn.IFNA(MATCH(F252,'Default Prob'!$F$5:$F$14,1),0),COUNT('Default Prob'!$P$5:$P$14)))</f>
        <v>2.626278464496291E-2</v>
      </c>
      <c r="H252" s="5">
        <f t="shared" si="50"/>
        <v>0.97591936332856666</v>
      </c>
      <c r="I252" s="24">
        <f t="shared" si="51"/>
        <v>7.017462436531563E-5</v>
      </c>
      <c r="J252" s="25">
        <f>INDEX('Default Prob'!$C$3:$C$13, _xlfn.IFNA(MATCH(F252, 'Default Prob'!$B$3:$B$13, 1), 1))</f>
        <v>1.9099999999999999E-2</v>
      </c>
      <c r="K252" s="26">
        <f t="shared" si="42"/>
        <v>0.98259314119395236</v>
      </c>
      <c r="L252" s="27">
        <f t="shared" ca="1" si="43"/>
        <v>0</v>
      </c>
      <c r="M252" s="27">
        <f t="shared" ca="1" si="44"/>
        <v>3142.2343853281959</v>
      </c>
      <c r="N252" s="28">
        <f t="shared" ca="1" si="45"/>
        <v>0.21666681620909764</v>
      </c>
      <c r="O252" s="29">
        <f t="shared" ca="1" si="46"/>
        <v>600000</v>
      </c>
      <c r="P252" s="30">
        <f t="shared" ca="1" si="47"/>
        <v>41.371862752332689</v>
      </c>
    </row>
    <row r="253" spans="1:16" x14ac:dyDescent="0.25">
      <c r="A253" s="3">
        <f t="shared" si="48"/>
        <v>46465</v>
      </c>
      <c r="B253" s="21">
        <f t="shared" si="39"/>
        <v>36604</v>
      </c>
      <c r="C253" s="21">
        <f t="shared" si="40"/>
        <v>36605</v>
      </c>
      <c r="D253" s="1">
        <f t="shared" si="49"/>
        <v>0</v>
      </c>
      <c r="E253" s="3">
        <f t="array" ref="E253">INDEX($A$9:A252, MAX(IF($D$9:D252=1, ROW(D$9:$D252)-ROW($D$9)+1, 0)))</f>
        <v>46377</v>
      </c>
      <c r="F253" s="23">
        <f t="shared" si="41"/>
        <v>0.9308692676249144</v>
      </c>
      <c r="G253" s="5">
        <f>INDEX('Default Prob'!$P$5:$P$14,MIN(1+_xlfn.IFNA(MATCH(F253,'Default Prob'!$F$5:$F$14,1),0),COUNT('Default Prob'!$P$5:$P$14)))</f>
        <v>2.626278464496291E-2</v>
      </c>
      <c r="H253" s="5">
        <f t="shared" si="50"/>
        <v>0.97584919374982704</v>
      </c>
      <c r="I253" s="24">
        <f t="shared" si="51"/>
        <v>7.0169578739620597E-5</v>
      </c>
      <c r="J253" s="25">
        <f>INDEX('Default Prob'!$C$3:$C$13, _xlfn.IFNA(MATCH(F253, 'Default Prob'!$B$3:$B$13, 1), 1))</f>
        <v>1.9099999999999999E-2</v>
      </c>
      <c r="K253" s="26">
        <f t="shared" si="42"/>
        <v>0.98254224436273274</v>
      </c>
      <c r="L253" s="27">
        <f t="shared" ca="1" si="43"/>
        <v>0</v>
      </c>
      <c r="M253" s="27">
        <f t="shared" ca="1" si="44"/>
        <v>3178.3520219411635</v>
      </c>
      <c r="N253" s="28">
        <f t="shared" ca="1" si="45"/>
        <v>0.21913013056348613</v>
      </c>
      <c r="O253" s="29">
        <f t="shared" ca="1" si="46"/>
        <v>600000</v>
      </c>
      <c r="P253" s="30">
        <f t="shared" ca="1" si="47"/>
        <v>41.36674522848859</v>
      </c>
    </row>
    <row r="254" spans="1:16" x14ac:dyDescent="0.25">
      <c r="A254" s="3">
        <f t="shared" si="48"/>
        <v>46468</v>
      </c>
      <c r="B254" s="21">
        <f t="shared" si="39"/>
        <v>36607</v>
      </c>
      <c r="C254" s="21">
        <f t="shared" si="40"/>
        <v>36697</v>
      </c>
      <c r="D254" s="1">
        <f t="shared" si="49"/>
        <v>1</v>
      </c>
      <c r="E254" s="3">
        <f t="array" ref="E254">INDEX($A$9:A253, MAX(IF($D$9:D253=1, ROW(D$9:$D253)-ROW($D$9)+1, 0)))</f>
        <v>46377</v>
      </c>
      <c r="F254" s="23">
        <f t="shared" si="41"/>
        <v>0.93908281998631071</v>
      </c>
      <c r="G254" s="5">
        <f>INDEX('Default Prob'!$P$5:$P$14,MIN(1+_xlfn.IFNA(MATCH(F254,'Default Prob'!$F$5:$F$14,1),0),COUNT('Default Prob'!$P$5:$P$14)))</f>
        <v>2.626278464496291E-2</v>
      </c>
      <c r="H254" s="5">
        <f t="shared" si="50"/>
        <v>0.9756387152837348</v>
      </c>
      <c r="I254" s="24">
        <f t="shared" si="51"/>
        <v>2.1047846609223431E-4</v>
      </c>
      <c r="J254" s="25">
        <f>INDEX('Default Prob'!$C$3:$C$13, _xlfn.IFNA(MATCH(F254, 'Default Prob'!$B$3:$B$13, 1), 1))</f>
        <v>1.9099999999999999E-2</v>
      </c>
      <c r="K254" s="26">
        <f t="shared" si="42"/>
        <v>0.98238956968679825</v>
      </c>
      <c r="L254" s="27">
        <f t="shared" ca="1" si="43"/>
        <v>3286.7049317800665</v>
      </c>
      <c r="M254" s="27">
        <f t="shared" ca="1" si="44"/>
        <v>3286.7049317800665</v>
      </c>
      <c r="N254" s="28">
        <f t="shared" ca="1" si="45"/>
        <v>3150.8459252350735</v>
      </c>
      <c r="O254" s="29">
        <f t="shared" ca="1" si="46"/>
        <v>600000</v>
      </c>
      <c r="P254" s="30">
        <f t="shared" ca="1" si="47"/>
        <v>124.06310983961245</v>
      </c>
    </row>
    <row r="255" spans="1:16" x14ac:dyDescent="0.25">
      <c r="A255" s="3">
        <f t="shared" si="48"/>
        <v>46469</v>
      </c>
      <c r="B255" s="21">
        <f t="shared" si="39"/>
        <v>36608</v>
      </c>
      <c r="C255" s="21">
        <f t="shared" si="40"/>
        <v>36697</v>
      </c>
      <c r="D255" s="1">
        <f t="shared" si="49"/>
        <v>0</v>
      </c>
      <c r="E255" s="3">
        <f t="array" ref="E255">INDEX($A$9:A254, MAX(IF($D$9:D254=1, ROW(D$9:$D254)-ROW($D$9)+1, 0)))</f>
        <v>46468</v>
      </c>
      <c r="F255" s="23">
        <f t="shared" si="41"/>
        <v>0.94182067077344289</v>
      </c>
      <c r="G255" s="5">
        <f>INDEX('Default Prob'!$P$5:$P$14,MIN(1+_xlfn.IFNA(MATCH(F255,'Default Prob'!$F$5:$F$14,1),0),COUNT('Default Prob'!$P$5:$P$14)))</f>
        <v>2.626278464496291E-2</v>
      </c>
      <c r="H255" s="5">
        <f t="shared" si="50"/>
        <v>0.97556856588387053</v>
      </c>
      <c r="I255" s="24">
        <f t="shared" si="51"/>
        <v>7.0149399864272155E-5</v>
      </c>
      <c r="J255" s="25">
        <f>INDEX('Default Prob'!$C$3:$C$13, _xlfn.IFNA(MATCH(F255, 'Default Prob'!$B$3:$B$13, 1), 1))</f>
        <v>1.9099999999999999E-2</v>
      </c>
      <c r="K255" s="26">
        <f t="shared" si="42"/>
        <v>0.98233868340027319</v>
      </c>
      <c r="L255" s="27">
        <f t="shared" ca="1" si="43"/>
        <v>0</v>
      </c>
      <c r="M255" s="27">
        <f t="shared" ca="1" si="44"/>
        <v>36.117636612967765</v>
      </c>
      <c r="N255" s="28">
        <f t="shared" ca="1" si="45"/>
        <v>2.4888832819269955E-3</v>
      </c>
      <c r="O255" s="29">
        <f t="shared" ca="1" si="46"/>
        <v>600000</v>
      </c>
      <c r="P255" s="30">
        <f t="shared" ca="1" si="47"/>
        <v>41.346281462393044</v>
      </c>
    </row>
    <row r="256" spans="1:16" x14ac:dyDescent="0.25">
      <c r="A256" s="3">
        <f t="shared" si="48"/>
        <v>46470</v>
      </c>
      <c r="B256" s="21">
        <f t="shared" si="39"/>
        <v>36609</v>
      </c>
      <c r="C256" s="21">
        <f t="shared" si="40"/>
        <v>36697</v>
      </c>
      <c r="D256" s="1">
        <f t="shared" si="49"/>
        <v>0</v>
      </c>
      <c r="E256" s="3">
        <f t="array" ref="E256">INDEX($A$9:A255, MAX(IF($D$9:D255=1, ROW(D$9:$D255)-ROW($D$9)+1, 0)))</f>
        <v>46468</v>
      </c>
      <c r="F256" s="23">
        <f t="shared" si="41"/>
        <v>0.94455852156057496</v>
      </c>
      <c r="G256" s="5">
        <f>INDEX('Default Prob'!$P$5:$P$14,MIN(1+_xlfn.IFNA(MATCH(F256,'Default Prob'!$F$5:$F$14,1),0),COUNT('Default Prob'!$P$5:$P$14)))</f>
        <v>2.626278464496291E-2</v>
      </c>
      <c r="H256" s="5">
        <f t="shared" si="50"/>
        <v>0.97549842152781829</v>
      </c>
      <c r="I256" s="24">
        <f t="shared" si="51"/>
        <v>7.0144356052237455E-5</v>
      </c>
      <c r="J256" s="25">
        <f>INDEX('Default Prob'!$C$3:$C$13, _xlfn.IFNA(MATCH(F256, 'Default Prob'!$B$3:$B$13, 1), 1))</f>
        <v>1.9099999999999999E-2</v>
      </c>
      <c r="K256" s="26">
        <f t="shared" si="42"/>
        <v>0.98228779974958025</v>
      </c>
      <c r="L256" s="27">
        <f t="shared" ca="1" si="43"/>
        <v>0</v>
      </c>
      <c r="M256" s="27">
        <f t="shared" ca="1" si="44"/>
        <v>72.235273225935529</v>
      </c>
      <c r="N256" s="28">
        <f t="shared" ca="1" si="45"/>
        <v>4.97715083525476E-3</v>
      </c>
      <c r="O256" s="29">
        <f t="shared" ca="1" si="46"/>
        <v>600000</v>
      </c>
      <c r="P256" s="30">
        <f t="shared" ca="1" si="47"/>
        <v>41.341167102842093</v>
      </c>
    </row>
    <row r="257" spans="1:16" x14ac:dyDescent="0.25">
      <c r="A257" s="3">
        <f t="shared" si="48"/>
        <v>46471</v>
      </c>
      <c r="B257" s="21">
        <f t="shared" si="39"/>
        <v>36610</v>
      </c>
      <c r="C257" s="21">
        <f t="shared" si="40"/>
        <v>36697</v>
      </c>
      <c r="D257" s="1">
        <f t="shared" si="49"/>
        <v>0</v>
      </c>
      <c r="E257" s="3">
        <f t="array" ref="E257">INDEX($A$9:A256, MAX(IF($D$9:D256=1, ROW(D$9:$D256)-ROW($D$9)+1, 0)))</f>
        <v>46468</v>
      </c>
      <c r="F257" s="23">
        <f t="shared" si="41"/>
        <v>0.94729637234770703</v>
      </c>
      <c r="G257" s="5">
        <f>INDEX('Default Prob'!$P$5:$P$14,MIN(1+_xlfn.IFNA(MATCH(F257,'Default Prob'!$F$5:$F$14,1),0),COUNT('Default Prob'!$P$5:$P$14)))</f>
        <v>2.626278464496291E-2</v>
      </c>
      <c r="H257" s="5">
        <f t="shared" si="50"/>
        <v>0.97542828221521538</v>
      </c>
      <c r="I257" s="24">
        <f t="shared" si="51"/>
        <v>7.0139312602912618E-5</v>
      </c>
      <c r="J257" s="25">
        <f>INDEX('Default Prob'!$C$3:$C$13, _xlfn.IFNA(MATCH(F257, 'Default Prob'!$B$3:$B$13, 1), 1))</f>
        <v>1.9099999999999999E-2</v>
      </c>
      <c r="K257" s="26">
        <f t="shared" si="42"/>
        <v>0.98223691873458341</v>
      </c>
      <c r="L257" s="27">
        <f t="shared" ca="1" si="43"/>
        <v>0</v>
      </c>
      <c r="M257" s="27">
        <f t="shared" ca="1" si="44"/>
        <v>108.35290983890332</v>
      </c>
      <c r="N257" s="28">
        <f t="shared" ca="1" si="45"/>
        <v>7.4648027742336429E-3</v>
      </c>
      <c r="O257" s="29">
        <f t="shared" ca="1" si="46"/>
        <v>600000</v>
      </c>
      <c r="P257" s="30">
        <f t="shared" ca="1" si="47"/>
        <v>41.336053375947976</v>
      </c>
    </row>
    <row r="258" spans="1:16" x14ac:dyDescent="0.25">
      <c r="A258" s="3">
        <f t="shared" si="48"/>
        <v>46472</v>
      </c>
      <c r="B258" s="21">
        <f t="shared" si="39"/>
        <v>36611</v>
      </c>
      <c r="C258" s="21">
        <f t="shared" si="40"/>
        <v>36697</v>
      </c>
      <c r="D258" s="1">
        <f t="shared" si="49"/>
        <v>0</v>
      </c>
      <c r="E258" s="3">
        <f t="array" ref="E258">INDEX($A$9:A257, MAX(IF($D$9:D257=1, ROW(D$9:$D257)-ROW($D$9)+1, 0)))</f>
        <v>46468</v>
      </c>
      <c r="F258" s="23">
        <f t="shared" si="41"/>
        <v>0.95003422313483921</v>
      </c>
      <c r="G258" s="5">
        <f>INDEX('Default Prob'!$P$5:$P$14,MIN(1+_xlfn.IFNA(MATCH(F258,'Default Prob'!$F$5:$F$14,1),0),COUNT('Default Prob'!$P$5:$P$14)))</f>
        <v>2.626278464496291E-2</v>
      </c>
      <c r="H258" s="5">
        <f t="shared" si="50"/>
        <v>0.97535814794569919</v>
      </c>
      <c r="I258" s="24">
        <f t="shared" si="51"/>
        <v>7.013426951618662E-5</v>
      </c>
      <c r="J258" s="25">
        <f>INDEX('Default Prob'!$C$3:$C$13, _xlfn.IFNA(MATCH(F258, 'Default Prob'!$B$3:$B$13, 1), 1))</f>
        <v>1.9099999999999999E-2</v>
      </c>
      <c r="K258" s="26">
        <f t="shared" si="42"/>
        <v>0.98218604035514556</v>
      </c>
      <c r="L258" s="27">
        <f t="shared" ca="1" si="43"/>
        <v>0</v>
      </c>
      <c r="M258" s="27">
        <f t="shared" ca="1" si="44"/>
        <v>144.47054645187106</v>
      </c>
      <c r="N258" s="28">
        <f t="shared" ca="1" si="45"/>
        <v>9.9518392130830882E-3</v>
      </c>
      <c r="O258" s="29">
        <f t="shared" ca="1" si="46"/>
        <v>600000</v>
      </c>
      <c r="P258" s="30">
        <f t="shared" ca="1" si="47"/>
        <v>41.330940281582357</v>
      </c>
    </row>
    <row r="259" spans="1:16" x14ac:dyDescent="0.25">
      <c r="A259" s="3">
        <f t="shared" si="48"/>
        <v>46475</v>
      </c>
      <c r="B259" s="21">
        <f t="shared" si="39"/>
        <v>36614</v>
      </c>
      <c r="C259" s="21">
        <f t="shared" si="40"/>
        <v>36697</v>
      </c>
      <c r="D259" s="1">
        <f t="shared" si="49"/>
        <v>0</v>
      </c>
      <c r="E259" s="3">
        <f t="array" ref="E259">INDEX($A$9:A258, MAX(IF($D$9:D258=1, ROW(D$9:$D258)-ROW($D$9)+1, 0)))</f>
        <v>46468</v>
      </c>
      <c r="F259" s="23">
        <f t="shared" si="41"/>
        <v>0.95824777549623541</v>
      </c>
      <c r="G259" s="5">
        <f>INDEX('Default Prob'!$P$5:$P$14,MIN(1+_xlfn.IFNA(MATCH(F259,'Default Prob'!$F$5:$F$14,1),0),COUNT('Default Prob'!$P$5:$P$14)))</f>
        <v>2.626278464496291E-2</v>
      </c>
      <c r="H259" s="5">
        <f t="shared" si="50"/>
        <v>0.97514777539204534</v>
      </c>
      <c r="I259" s="24">
        <f t="shared" si="51"/>
        <v>2.1037255365385921E-4</v>
      </c>
      <c r="J259" s="25">
        <f>INDEX('Default Prob'!$C$3:$C$13, _xlfn.IFNA(MATCH(F259, 'Default Prob'!$B$3:$B$13, 1), 1))</f>
        <v>1.9099999999999999E-2</v>
      </c>
      <c r="K259" s="26">
        <f t="shared" si="42"/>
        <v>0.98203342102882263</v>
      </c>
      <c r="L259" s="27">
        <f t="shared" ca="1" si="43"/>
        <v>0</v>
      </c>
      <c r="M259" s="27">
        <f t="shared" ca="1" si="44"/>
        <v>252.82345629077437</v>
      </c>
      <c r="N259" s="28">
        <f t="shared" ca="1" si="45"/>
        <v>5.2231525601403289E-2</v>
      </c>
      <c r="O259" s="29">
        <f t="shared" ca="1" si="46"/>
        <v>600000</v>
      </c>
      <c r="P259" s="30">
        <f t="shared" ca="1" si="47"/>
        <v>123.95572713316135</v>
      </c>
    </row>
    <row r="260" spans="1:16" x14ac:dyDescent="0.25">
      <c r="A260" s="3">
        <f t="shared" si="48"/>
        <v>46476</v>
      </c>
      <c r="B260" s="21">
        <f t="shared" si="39"/>
        <v>36615</v>
      </c>
      <c r="C260" s="21">
        <f t="shared" si="40"/>
        <v>36697</v>
      </c>
      <c r="D260" s="1">
        <f t="shared" si="49"/>
        <v>0</v>
      </c>
      <c r="E260" s="3">
        <f t="array" ref="E260">INDEX($A$9:A259, MAX(IF($D$9:D259=1, ROW(D$9:$D259)-ROW($D$9)+1, 0)))</f>
        <v>46468</v>
      </c>
      <c r="F260" s="23">
        <f t="shared" si="41"/>
        <v>0.96098562628336759</v>
      </c>
      <c r="G260" s="5">
        <f>INDEX('Default Prob'!$P$5:$P$14,MIN(1+_xlfn.IFNA(MATCH(F260,'Default Prob'!$F$5:$F$14,1),0),COUNT('Default Prob'!$P$5:$P$14)))</f>
        <v>2.626278464496291E-2</v>
      </c>
      <c r="H260" s="5">
        <f t="shared" si="50"/>
        <v>0.97507766129125051</v>
      </c>
      <c r="I260" s="24">
        <f t="shared" si="51"/>
        <v>7.0114100794826939E-5</v>
      </c>
      <c r="J260" s="25">
        <f>INDEX('Default Prob'!$C$3:$C$13, _xlfn.IFNA(MATCH(F260, 'Default Prob'!$B$3:$B$13, 1), 1))</f>
        <v>1.9099999999999999E-2</v>
      </c>
      <c r="K260" s="26">
        <f t="shared" si="42"/>
        <v>0.98198255319025651</v>
      </c>
      <c r="L260" s="27">
        <f t="shared" ca="1" si="43"/>
        <v>0</v>
      </c>
      <c r="M260" s="27">
        <f t="shared" ca="1" si="44"/>
        <v>288.94109290374212</v>
      </c>
      <c r="N260" s="28">
        <f t="shared" ca="1" si="45"/>
        <v>1.9893832250998465E-2</v>
      </c>
      <c r="O260" s="29">
        <f t="shared" ca="1" si="46"/>
        <v>600000</v>
      </c>
      <c r="P260" s="30">
        <f t="shared" ca="1" si="47"/>
        <v>41.31049422788589</v>
      </c>
    </row>
    <row r="261" spans="1:16" x14ac:dyDescent="0.25">
      <c r="A261" s="3">
        <f t="shared" si="48"/>
        <v>46477</v>
      </c>
      <c r="B261" s="21">
        <f t="shared" si="39"/>
        <v>36616</v>
      </c>
      <c r="C261" s="21">
        <f t="shared" si="40"/>
        <v>36697</v>
      </c>
      <c r="D261" s="1">
        <f t="shared" si="49"/>
        <v>0</v>
      </c>
      <c r="E261" s="3">
        <f t="array" ref="E261">INDEX($A$9:A260, MAX(IF($D$9:D260=1, ROW(D$9:$D260)-ROW($D$9)+1, 0)))</f>
        <v>46468</v>
      </c>
      <c r="F261" s="23">
        <f t="shared" si="41"/>
        <v>0.96372347707049966</v>
      </c>
      <c r="G261" s="5">
        <f>INDEX('Default Prob'!$P$5:$P$14,MIN(1+_xlfn.IFNA(MATCH(F261,'Default Prob'!$F$5:$F$14,1),0),COUNT('Default Prob'!$P$5:$P$14)))</f>
        <v>2.626278464496291E-2</v>
      </c>
      <c r="H261" s="5">
        <f t="shared" si="50"/>
        <v>0.97500755223172964</v>
      </c>
      <c r="I261" s="24">
        <f t="shared" si="51"/>
        <v>7.0109059520873096E-5</v>
      </c>
      <c r="J261" s="25">
        <f>INDEX('Default Prob'!$C$3:$C$13, _xlfn.IFNA(MATCH(F261, 'Default Prob'!$B$3:$B$13, 1), 1))</f>
        <v>1.9099999999999999E-2</v>
      </c>
      <c r="K261" s="26">
        <f t="shared" si="42"/>
        <v>0.98193168798656738</v>
      </c>
      <c r="L261" s="27">
        <f t="shared" ca="1" si="43"/>
        <v>0</v>
      </c>
      <c r="M261" s="27">
        <f t="shared" ca="1" si="44"/>
        <v>325.05872951670989</v>
      </c>
      <c r="N261" s="28">
        <f t="shared" ca="1" si="45"/>
        <v>2.2377792901935145E-2</v>
      </c>
      <c r="O261" s="29">
        <f t="shared" ca="1" si="46"/>
        <v>600000</v>
      </c>
      <c r="P261" s="30">
        <f t="shared" ca="1" si="47"/>
        <v>41.305384295088984</v>
      </c>
    </row>
    <row r="262" spans="1:16" x14ac:dyDescent="0.25">
      <c r="A262" s="3">
        <f t="shared" si="48"/>
        <v>46478</v>
      </c>
      <c r="B262" s="21">
        <f t="shared" si="39"/>
        <v>36617</v>
      </c>
      <c r="C262" s="21">
        <f t="shared" si="40"/>
        <v>36697</v>
      </c>
      <c r="D262" s="1">
        <f t="shared" si="49"/>
        <v>0</v>
      </c>
      <c r="E262" s="3">
        <f t="array" ref="E262">INDEX($A$9:A261, MAX(IF($D$9:D261=1, ROW(D$9:$D261)-ROW($D$9)+1, 0)))</f>
        <v>46468</v>
      </c>
      <c r="F262" s="23">
        <f t="shared" si="41"/>
        <v>0.96646132785763172</v>
      </c>
      <c r="G262" s="5">
        <f>INDEX('Default Prob'!$P$5:$P$14,MIN(1+_xlfn.IFNA(MATCH(F262,'Default Prob'!$F$5:$F$14,1),0),COUNT('Default Prob'!$P$5:$P$14)))</f>
        <v>2.626278464496291E-2</v>
      </c>
      <c r="H262" s="5">
        <f t="shared" si="50"/>
        <v>0.97493744821312034</v>
      </c>
      <c r="I262" s="24">
        <f t="shared" si="51"/>
        <v>7.0104018609296048E-5</v>
      </c>
      <c r="J262" s="25">
        <f>INDEX('Default Prob'!$C$3:$C$13, _xlfn.IFNA(MATCH(F262, 'Default Prob'!$B$3:$B$13, 1), 1))</f>
        <v>1.9099999999999999E-2</v>
      </c>
      <c r="K262" s="26">
        <f t="shared" si="42"/>
        <v>0.98188082541761834</v>
      </c>
      <c r="L262" s="27">
        <f t="shared" ca="1" si="43"/>
        <v>0</v>
      </c>
      <c r="M262" s="27">
        <f t="shared" ca="1" si="44"/>
        <v>361.17636612967766</v>
      </c>
      <c r="N262" s="28">
        <f t="shared" ca="1" si="45"/>
        <v>2.4861138737670371E-2</v>
      </c>
      <c r="O262" s="29">
        <f t="shared" ca="1" si="46"/>
        <v>600000</v>
      </c>
      <c r="P262" s="30">
        <f t="shared" ca="1" si="47"/>
        <v>41.300274994312609</v>
      </c>
    </row>
    <row r="263" spans="1:16" x14ac:dyDescent="0.25">
      <c r="A263" s="3">
        <f t="shared" si="48"/>
        <v>46479</v>
      </c>
      <c r="B263" s="21">
        <f t="shared" si="39"/>
        <v>36618</v>
      </c>
      <c r="C263" s="21">
        <f t="shared" si="40"/>
        <v>36697</v>
      </c>
      <c r="D263" s="1">
        <f t="shared" si="49"/>
        <v>0</v>
      </c>
      <c r="E263" s="3">
        <f t="array" ref="E263">INDEX($A$9:A262, MAX(IF($D$9:D262=1, ROW(D$9:$D262)-ROW($D$9)+1, 0)))</f>
        <v>46468</v>
      </c>
      <c r="F263" s="23">
        <f t="shared" si="41"/>
        <v>0.9691991786447639</v>
      </c>
      <c r="G263" s="5">
        <f>INDEX('Default Prob'!$P$5:$P$14,MIN(1+_xlfn.IFNA(MATCH(F263,'Default Prob'!$F$5:$F$14,1),0),COUNT('Default Prob'!$P$5:$P$14)))</f>
        <v>2.626278464496291E-2</v>
      </c>
      <c r="H263" s="5">
        <f t="shared" si="50"/>
        <v>0.97486734923506013</v>
      </c>
      <c r="I263" s="24">
        <f t="shared" si="51"/>
        <v>7.0098978060206818E-5</v>
      </c>
      <c r="J263" s="25">
        <f>INDEX('Default Prob'!$C$3:$C$13, _xlfn.IFNA(MATCH(F263, 'Default Prob'!$B$3:$B$13, 1), 1))</f>
        <v>1.9099999999999999E-2</v>
      </c>
      <c r="K263" s="26">
        <f t="shared" si="42"/>
        <v>0.98182996548327317</v>
      </c>
      <c r="L263" s="27">
        <f t="shared" ca="1" si="43"/>
        <v>0</v>
      </c>
      <c r="M263" s="27">
        <f t="shared" ca="1" si="44"/>
        <v>397.29400274264543</v>
      </c>
      <c r="N263" s="28">
        <f t="shared" ca="1" si="45"/>
        <v>2.7343869872341293E-2</v>
      </c>
      <c r="O263" s="29">
        <f t="shared" ca="1" si="46"/>
        <v>600000</v>
      </c>
      <c r="P263" s="30">
        <f t="shared" ca="1" si="47"/>
        <v>41.29516632555935</v>
      </c>
    </row>
    <row r="264" spans="1:16" x14ac:dyDescent="0.25">
      <c r="A264" s="3">
        <f t="shared" si="48"/>
        <v>46482</v>
      </c>
      <c r="B264" s="21">
        <f t="shared" si="39"/>
        <v>36621</v>
      </c>
      <c r="C264" s="21">
        <f t="shared" si="40"/>
        <v>36697</v>
      </c>
      <c r="D264" s="1">
        <f t="shared" si="49"/>
        <v>0</v>
      </c>
      <c r="E264" s="3">
        <f t="array" ref="E264">INDEX($A$9:A263, MAX(IF($D$9:D263=1, ROW(D$9:$D263)-ROW($D$9)+1, 0)))</f>
        <v>46468</v>
      </c>
      <c r="F264" s="23">
        <f t="shared" si="41"/>
        <v>0.97741273100616022</v>
      </c>
      <c r="G264" s="5">
        <f>INDEX('Default Prob'!$P$5:$P$14,MIN(1+_xlfn.IFNA(MATCH(F264,'Default Prob'!$F$5:$F$14,1),0),COUNT('Default Prob'!$P$5:$P$14)))</f>
        <v>2.626278464496291E-2</v>
      </c>
      <c r="H264" s="5">
        <f t="shared" si="50"/>
        <v>0.97465708254054972</v>
      </c>
      <c r="I264" s="24">
        <f t="shared" si="51"/>
        <v>2.1026669451040814E-4</v>
      </c>
      <c r="J264" s="25">
        <f>INDEX('Default Prob'!$C$3:$C$13, _xlfn.IFNA(MATCH(F264, 'Default Prob'!$B$3:$B$13, 1), 1))</f>
        <v>1.9099999999999999E-2</v>
      </c>
      <c r="K264" s="26">
        <f t="shared" si="42"/>
        <v>0.98167740148649552</v>
      </c>
      <c r="L264" s="27">
        <f t="shared" ca="1" si="43"/>
        <v>0</v>
      </c>
      <c r="M264" s="27">
        <f t="shared" ca="1" si="44"/>
        <v>505.64691258154875</v>
      </c>
      <c r="N264" s="28">
        <f t="shared" ca="1" si="45"/>
        <v>0.10437263330839827</v>
      </c>
      <c r="O264" s="29">
        <f t="shared" ca="1" si="46"/>
        <v>600000</v>
      </c>
      <c r="P264" s="30">
        <f t="shared" ca="1" si="47"/>
        <v>123.84843737167934</v>
      </c>
    </row>
    <row r="265" spans="1:16" x14ac:dyDescent="0.25">
      <c r="A265" s="3">
        <f t="shared" si="48"/>
        <v>46483</v>
      </c>
      <c r="B265" s="21">
        <f t="shared" ref="B265:B328" si="52">DATE(2000, MONTH(A265), DAY(A265))</f>
        <v>36622</v>
      </c>
      <c r="C265" s="21">
        <f t="shared" ref="C265:C328" si="53">VLOOKUP(B265, $R$9:$S$13, 2)</f>
        <v>36697</v>
      </c>
      <c r="D265" s="1">
        <f t="shared" si="49"/>
        <v>0</v>
      </c>
      <c r="E265" s="3">
        <f t="array" ref="E265">INDEX($A$9:A264, MAX(IF($D$9:D264=1, ROW(D$9:$D264)-ROW($D$9)+1, 0)))</f>
        <v>46468</v>
      </c>
      <c r="F265" s="23">
        <f t="shared" ref="F265:F328" si="54">(A265-$A$2)/365.25</f>
        <v>0.98015058179329229</v>
      </c>
      <c r="G265" s="5">
        <f>INDEX('Default Prob'!$P$5:$P$14,MIN(1+_xlfn.IFNA(MATCH(F265,'Default Prob'!$F$5:$F$14,1),0),COUNT('Default Prob'!$P$5:$P$14)))</f>
        <v>2.626278464496291E-2</v>
      </c>
      <c r="H265" s="5">
        <f t="shared" si="50"/>
        <v>0.97458700372106188</v>
      </c>
      <c r="I265" s="24">
        <f t="shared" si="51"/>
        <v>7.0078819487839894E-5</v>
      </c>
      <c r="J265" s="25">
        <f>INDEX('Default Prob'!$C$3:$C$13, _xlfn.IFNA(MATCH(F265, 'Default Prob'!$B$3:$B$13, 1), 1))</f>
        <v>1.9099999999999999E-2</v>
      </c>
      <c r="K265" s="26">
        <f t="shared" ref="K265:K328" si="55">1/((1+J265)^F265)</f>
        <v>0.9816265520892008</v>
      </c>
      <c r="L265" s="27">
        <f t="shared" ref="L265:L328" ca="1" si="56">IF(AND(D265, A265 &lt;= $G$2), $D$5*$D$2*(A265-E265)/365.25, 0)</f>
        <v>0</v>
      </c>
      <c r="M265" s="27">
        <f t="shared" ref="M265:M328" ca="1" si="57">IF(A265&lt;=$G$2, $D$5*$D$2*(A265-E265)/365.25, 0)</f>
        <v>541.76454919451646</v>
      </c>
      <c r="N265" s="28">
        <f t="shared" ref="N265:N328" ca="1" si="58">(L265*H265 + M265*I265) * K265</f>
        <v>3.7268649681493196E-2</v>
      </c>
      <c r="O265" s="29">
        <f t="shared" ref="O265:O328" ca="1" si="59">IF(A265&lt;=$G$2, $D$2*(1-$D$3), 0)</f>
        <v>600000</v>
      </c>
      <c r="P265" s="30">
        <f t="shared" ref="P265:P328" ca="1" si="60">O265*I265*K265</f>
        <v>41.274737968997862</v>
      </c>
    </row>
    <row r="266" spans="1:16" x14ac:dyDescent="0.25">
      <c r="A266" s="3">
        <f t="shared" ref="A266:A329" si="61">WORKDAY(A265, 1)</f>
        <v>46484</v>
      </c>
      <c r="B266" s="21">
        <f t="shared" si="52"/>
        <v>36623</v>
      </c>
      <c r="C266" s="21">
        <f t="shared" si="53"/>
        <v>36697</v>
      </c>
      <c r="D266" s="1">
        <f t="shared" ref="D266:D329" si="62">IF(OR(C266=B266, AND(C266&lt;&gt;C265, C265&gt;B265)), 1, 0)</f>
        <v>0</v>
      </c>
      <c r="E266" s="3">
        <f t="array" ref="E266">INDEX($A$9:A265, MAX(IF($D$9:D265=1, ROW(D$9:$D265)-ROW($D$9)+1, 0)))</f>
        <v>46468</v>
      </c>
      <c r="F266" s="23">
        <f t="shared" si="54"/>
        <v>0.98288843258042435</v>
      </c>
      <c r="G266" s="5">
        <f>INDEX('Default Prob'!$P$5:$P$14,MIN(1+_xlfn.IFNA(MATCH(F266,'Default Prob'!$F$5:$F$14,1),0),COUNT('Default Prob'!$P$5:$P$14)))</f>
        <v>2.626278464496291E-2</v>
      </c>
      <c r="H266" s="5">
        <f t="shared" ref="H266:H329" si="63">H265*EXP(-G265*(F266-F265))</f>
        <v>0.97451692994031125</v>
      </c>
      <c r="I266" s="24">
        <f t="shared" ref="I266:I329" si="64">H265-H266</f>
        <v>7.007378075063464E-5</v>
      </c>
      <c r="J266" s="25">
        <f>INDEX('Default Prob'!$C$3:$C$13, _xlfn.IFNA(MATCH(F266, 'Default Prob'!$B$3:$B$13, 1), 1))</f>
        <v>1.9099999999999999E-2</v>
      </c>
      <c r="K266" s="26">
        <f t="shared" si="55"/>
        <v>0.98157570532582739</v>
      </c>
      <c r="L266" s="27">
        <f t="shared" ca="1" si="56"/>
        <v>0</v>
      </c>
      <c r="M266" s="27">
        <f t="shared" ca="1" si="57"/>
        <v>577.88218580748423</v>
      </c>
      <c r="N266" s="28">
        <f t="shared" ca="1" si="58"/>
        <v>3.9748309021551631E-2</v>
      </c>
      <c r="O266" s="29">
        <f t="shared" ca="1" si="59"/>
        <v>600000</v>
      </c>
      <c r="P266" s="30">
        <f t="shared" ca="1" si="60"/>
        <v>41.26963245909095</v>
      </c>
    </row>
    <row r="267" spans="1:16" x14ac:dyDescent="0.25">
      <c r="A267" s="3">
        <f t="shared" si="61"/>
        <v>46485</v>
      </c>
      <c r="B267" s="21">
        <f t="shared" si="52"/>
        <v>36624</v>
      </c>
      <c r="C267" s="21">
        <f t="shared" si="53"/>
        <v>36697</v>
      </c>
      <c r="D267" s="1">
        <f t="shared" si="62"/>
        <v>0</v>
      </c>
      <c r="E267" s="3">
        <f t="array" ref="E267">INDEX($A$9:A266, MAX(IF($D$9:D266=1, ROW(D$9:$D266)-ROW($D$9)+1, 0)))</f>
        <v>46468</v>
      </c>
      <c r="F267" s="23">
        <f t="shared" si="54"/>
        <v>0.98562628336755642</v>
      </c>
      <c r="G267" s="5">
        <f>INDEX('Default Prob'!$P$5:$P$14,MIN(1+_xlfn.IFNA(MATCH(F267,'Default Prob'!$F$5:$F$14,1),0),COUNT('Default Prob'!$P$5:$P$14)))</f>
        <v>2.626278464496291E-2</v>
      </c>
      <c r="H267" s="5">
        <f t="shared" si="63"/>
        <v>0.97444686119793555</v>
      </c>
      <c r="I267" s="24">
        <f t="shared" si="64"/>
        <v>7.0068742375695159E-5</v>
      </c>
      <c r="J267" s="25">
        <f>INDEX('Default Prob'!$C$3:$C$13, _xlfn.IFNA(MATCH(F267, 'Default Prob'!$B$3:$B$13, 1), 1))</f>
        <v>1.9099999999999999E-2</v>
      </c>
      <c r="K267" s="26">
        <f t="shared" si="55"/>
        <v>0.98152486119623938</v>
      </c>
      <c r="L267" s="27">
        <f t="shared" ca="1" si="56"/>
        <v>0</v>
      </c>
      <c r="M267" s="27">
        <f t="shared" ca="1" si="57"/>
        <v>613.99982242045212</v>
      </c>
      <c r="N267" s="28">
        <f t="shared" ca="1" si="58"/>
        <v>4.2227354344688953E-2</v>
      </c>
      <c r="O267" s="29">
        <f t="shared" ca="1" si="59"/>
        <v>600000</v>
      </c>
      <c r="P267" s="30">
        <f t="shared" ca="1" si="60"/>
        <v>41.26452758069955</v>
      </c>
    </row>
    <row r="268" spans="1:16" x14ac:dyDescent="0.25">
      <c r="A268" s="3">
        <f t="shared" si="61"/>
        <v>46486</v>
      </c>
      <c r="B268" s="21">
        <f t="shared" si="52"/>
        <v>36625</v>
      </c>
      <c r="C268" s="21">
        <f t="shared" si="53"/>
        <v>36697</v>
      </c>
      <c r="D268" s="1">
        <f t="shared" si="62"/>
        <v>0</v>
      </c>
      <c r="E268" s="3">
        <f t="array" ref="E268">INDEX($A$9:A267, MAX(IF($D$9:D267=1, ROW(D$9:$D267)-ROW($D$9)+1, 0)))</f>
        <v>46468</v>
      </c>
      <c r="F268" s="23">
        <f t="shared" si="54"/>
        <v>0.9883641341546886</v>
      </c>
      <c r="G268" s="5">
        <f>INDEX('Default Prob'!$P$5:$P$14,MIN(1+_xlfn.IFNA(MATCH(F268,'Default Prob'!$F$5:$F$14,1),0),COUNT('Default Prob'!$P$5:$P$14)))</f>
        <v>2.626278464496291E-2</v>
      </c>
      <c r="H268" s="5">
        <f t="shared" si="63"/>
        <v>0.97437679749357253</v>
      </c>
      <c r="I268" s="24">
        <f t="shared" si="64"/>
        <v>7.0063704363021451E-5</v>
      </c>
      <c r="J268" s="25">
        <f>INDEX('Default Prob'!$C$3:$C$13, _xlfn.IFNA(MATCH(F268, 'Default Prob'!$B$3:$B$13, 1), 1))</f>
        <v>1.9099999999999999E-2</v>
      </c>
      <c r="K268" s="26">
        <f t="shared" si="55"/>
        <v>0.98147401970029979</v>
      </c>
      <c r="L268" s="27">
        <f t="shared" ca="1" si="56"/>
        <v>0</v>
      </c>
      <c r="M268" s="27">
        <f t="shared" ca="1" si="57"/>
        <v>650.11745903341978</v>
      </c>
      <c r="N268" s="28">
        <f t="shared" ca="1" si="58"/>
        <v>4.470578576488133E-2</v>
      </c>
      <c r="O268" s="29">
        <f t="shared" ca="1" si="59"/>
        <v>600000</v>
      </c>
      <c r="P268" s="30">
        <f t="shared" ca="1" si="60"/>
        <v>41.259423333760857</v>
      </c>
    </row>
    <row r="269" spans="1:16" x14ac:dyDescent="0.25">
      <c r="A269" s="3">
        <f t="shared" si="61"/>
        <v>46489</v>
      </c>
      <c r="B269" s="21">
        <f t="shared" si="52"/>
        <v>36628</v>
      </c>
      <c r="C269" s="21">
        <f t="shared" si="53"/>
        <v>36697</v>
      </c>
      <c r="D269" s="1">
        <f t="shared" si="62"/>
        <v>0</v>
      </c>
      <c r="E269" s="3">
        <f t="array" ref="E269">INDEX($A$9:A268, MAX(IF($D$9:D268=1, ROW(D$9:$D268)-ROW($D$9)+1, 0)))</f>
        <v>46468</v>
      </c>
      <c r="F269" s="23">
        <f t="shared" si="54"/>
        <v>0.99657768651608492</v>
      </c>
      <c r="G269" s="5">
        <f>INDEX('Default Prob'!$P$5:$P$14,MIN(1+_xlfn.IFNA(MATCH(F269,'Default Prob'!$F$5:$F$14,1),0),COUNT('Default Prob'!$P$5:$P$14)))</f>
        <v>2.626278464496291E-2</v>
      </c>
      <c r="H269" s="5">
        <f t="shared" si="63"/>
        <v>0.97416663660493741</v>
      </c>
      <c r="I269" s="24">
        <f t="shared" si="64"/>
        <v>2.1016088863512472E-4</v>
      </c>
      <c r="J269" s="25">
        <f>INDEX('Default Prob'!$C$3:$C$13, _xlfn.IFNA(MATCH(F269, 'Default Prob'!$B$3:$B$13, 1), 1))</f>
        <v>1.9099999999999999E-2</v>
      </c>
      <c r="K269" s="26">
        <f t="shared" si="55"/>
        <v>0.98132151101300846</v>
      </c>
      <c r="L269" s="27">
        <f t="shared" ca="1" si="56"/>
        <v>0</v>
      </c>
      <c r="M269" s="27">
        <f t="shared" ca="1" si="57"/>
        <v>758.47036887232321</v>
      </c>
      <c r="N269" s="28">
        <f t="shared" ca="1" si="58"/>
        <v>0.15642344051267626</v>
      </c>
      <c r="O269" s="29">
        <f t="shared" ca="1" si="59"/>
        <v>600000</v>
      </c>
      <c r="P269" s="30">
        <f t="shared" ca="1" si="60"/>
        <v>123.74124047475431</v>
      </c>
    </row>
    <row r="270" spans="1:16" x14ac:dyDescent="0.25">
      <c r="A270" s="3">
        <f t="shared" si="61"/>
        <v>46490</v>
      </c>
      <c r="B270" s="21">
        <f t="shared" si="52"/>
        <v>36629</v>
      </c>
      <c r="C270" s="21">
        <f t="shared" si="53"/>
        <v>36697</v>
      </c>
      <c r="D270" s="1">
        <f t="shared" si="62"/>
        <v>0</v>
      </c>
      <c r="E270" s="3">
        <f t="array" ref="E270">INDEX($A$9:A269, MAX(IF($D$9:D269=1, ROW(D$9:$D269)-ROW($D$9)+1, 0)))</f>
        <v>46468</v>
      </c>
      <c r="F270" s="23">
        <f t="shared" si="54"/>
        <v>0.99931553730321698</v>
      </c>
      <c r="G270" s="5">
        <f>INDEX('Default Prob'!$P$5:$P$14,MIN(1+_xlfn.IFNA(MATCH(F270,'Default Prob'!$F$5:$F$14,1),0),COUNT('Default Prob'!$P$5:$P$14)))</f>
        <v>2.626278464496291E-2</v>
      </c>
      <c r="H270" s="5">
        <f t="shared" si="63"/>
        <v>0.97409659304900309</v>
      </c>
      <c r="I270" s="24">
        <f t="shared" si="64"/>
        <v>7.0043555934318213E-5</v>
      </c>
      <c r="J270" s="25">
        <f>INDEX('Default Prob'!$C$3:$C$13, _xlfn.IFNA(MATCH(F270, 'Default Prob'!$B$3:$B$13, 1), 1))</f>
        <v>1.9099999999999999E-2</v>
      </c>
      <c r="K270" s="26">
        <f t="shared" si="55"/>
        <v>0.98127068005029949</v>
      </c>
      <c r="L270" s="27">
        <f t="shared" ca="1" si="56"/>
        <v>0</v>
      </c>
      <c r="M270" s="27">
        <f t="shared" ca="1" si="57"/>
        <v>794.58800548529086</v>
      </c>
      <c r="N270" s="28">
        <f t="shared" ca="1" si="58"/>
        <v>5.4613374694677849E-2</v>
      </c>
      <c r="O270" s="29">
        <f t="shared" ca="1" si="59"/>
        <v>600000</v>
      </c>
      <c r="P270" s="30">
        <f t="shared" ca="1" si="60"/>
        <v>41.239012658885777</v>
      </c>
    </row>
    <row r="271" spans="1:16" x14ac:dyDescent="0.25">
      <c r="A271" s="3">
        <f t="shared" si="61"/>
        <v>46491</v>
      </c>
      <c r="B271" s="21">
        <f t="shared" si="52"/>
        <v>36630</v>
      </c>
      <c r="C271" s="21">
        <f t="shared" si="53"/>
        <v>36697</v>
      </c>
      <c r="D271" s="1">
        <f t="shared" si="62"/>
        <v>0</v>
      </c>
      <c r="E271" s="3">
        <f t="array" ref="E271">INDEX($A$9:A270, MAX(IF($D$9:D270=1, ROW(D$9:$D270)-ROW($D$9)+1, 0)))</f>
        <v>46468</v>
      </c>
      <c r="F271" s="23">
        <f t="shared" si="54"/>
        <v>1.0020533880903491</v>
      </c>
      <c r="G271" s="5">
        <f>INDEX('Default Prob'!$P$5:$P$14,MIN(1+_xlfn.IFNA(MATCH(F271,'Default Prob'!$F$5:$F$14,1),0),COUNT('Default Prob'!$P$5:$P$14)))</f>
        <v>1.6062593678540758E-2</v>
      </c>
      <c r="H271" s="5">
        <f t="shared" si="63"/>
        <v>0.97402655452927056</v>
      </c>
      <c r="I271" s="24">
        <f t="shared" si="64"/>
        <v>7.0038519732529281E-5</v>
      </c>
      <c r="J271" s="25">
        <f>INDEX('Default Prob'!$C$3:$C$13, _xlfn.IFNA(MATCH(F271, 'Default Prob'!$B$3:$B$13, 1), 1))</f>
        <v>1.9099999999999999E-2</v>
      </c>
      <c r="K271" s="26">
        <f t="shared" si="55"/>
        <v>0.9812198517205567</v>
      </c>
      <c r="L271" s="27">
        <f t="shared" ca="1" si="56"/>
        <v>0</v>
      </c>
      <c r="M271" s="27">
        <f t="shared" ca="1" si="57"/>
        <v>830.70564209825864</v>
      </c>
      <c r="N271" s="28">
        <f t="shared" ca="1" si="58"/>
        <v>5.7088738308874551E-2</v>
      </c>
      <c r="O271" s="29">
        <f t="shared" ca="1" si="59"/>
        <v>600000</v>
      </c>
      <c r="P271" s="30">
        <f t="shared" ca="1" si="60"/>
        <v>41.233911568007798</v>
      </c>
    </row>
    <row r="272" spans="1:16" x14ac:dyDescent="0.25">
      <c r="A272" s="3">
        <f t="shared" si="61"/>
        <v>46492</v>
      </c>
      <c r="B272" s="21">
        <f t="shared" si="52"/>
        <v>36631</v>
      </c>
      <c r="C272" s="21">
        <f t="shared" si="53"/>
        <v>36697</v>
      </c>
      <c r="D272" s="1">
        <f t="shared" si="62"/>
        <v>0</v>
      </c>
      <c r="E272" s="3">
        <f t="array" ref="E272">INDEX($A$9:A271, MAX(IF($D$9:D271=1, ROW(D$9:$D271)-ROW($D$9)+1, 0)))</f>
        <v>46468</v>
      </c>
      <c r="F272" s="23">
        <f t="shared" si="54"/>
        <v>1.0047912388774811</v>
      </c>
      <c r="G272" s="5">
        <f>INDEX('Default Prob'!$P$5:$P$14,MIN(1+_xlfn.IFNA(MATCH(F272,'Default Prob'!$F$5:$F$14,1),0),COUNT('Default Prob'!$P$5:$P$14)))</f>
        <v>1.6062593678540758E-2</v>
      </c>
      <c r="H272" s="5">
        <f t="shared" si="63"/>
        <v>0.97398372072019745</v>
      </c>
      <c r="I272" s="24">
        <f t="shared" si="64"/>
        <v>4.2833809073106188E-5</v>
      </c>
      <c r="J272" s="25">
        <f>INDEX('Default Prob'!$C$3:$C$13, _xlfn.IFNA(MATCH(F272, 'Default Prob'!$B$3:$B$13, 1), 1))</f>
        <v>1.9099999999999999E-2</v>
      </c>
      <c r="K272" s="26">
        <f t="shared" si="55"/>
        <v>0.98116902602364453</v>
      </c>
      <c r="L272" s="27">
        <f t="shared" ca="1" si="56"/>
        <v>0</v>
      </c>
      <c r="M272" s="27">
        <f t="shared" ca="1" si="57"/>
        <v>866.82327871122652</v>
      </c>
      <c r="N272" s="28">
        <f t="shared" ca="1" si="58"/>
        <v>3.6430161132029688E-2</v>
      </c>
      <c r="O272" s="29">
        <f t="shared" ca="1" si="59"/>
        <v>600000</v>
      </c>
      <c r="P272" s="30">
        <f t="shared" ca="1" si="60"/>
        <v>25.216324037485407</v>
      </c>
    </row>
    <row r="273" spans="1:16" x14ac:dyDescent="0.25">
      <c r="A273" s="3">
        <f t="shared" si="61"/>
        <v>46493</v>
      </c>
      <c r="B273" s="21">
        <f t="shared" si="52"/>
        <v>36632</v>
      </c>
      <c r="C273" s="21">
        <f t="shared" si="53"/>
        <v>36697</v>
      </c>
      <c r="D273" s="1">
        <f t="shared" si="62"/>
        <v>0</v>
      </c>
      <c r="E273" s="3">
        <f t="array" ref="E273">INDEX($A$9:A272, MAX(IF($D$9:D272=1, ROW(D$9:$D272)-ROW($D$9)+1, 0)))</f>
        <v>46468</v>
      </c>
      <c r="F273" s="23">
        <f t="shared" si="54"/>
        <v>1.0075290896646132</v>
      </c>
      <c r="G273" s="5">
        <f>INDEX('Default Prob'!$P$5:$P$14,MIN(1+_xlfn.IFNA(MATCH(F273,'Default Prob'!$F$5:$F$14,1),0),COUNT('Default Prob'!$P$5:$P$14)))</f>
        <v>1.6062593678540758E-2</v>
      </c>
      <c r="H273" s="5">
        <f t="shared" si="63"/>
        <v>0.97394088879478469</v>
      </c>
      <c r="I273" s="24">
        <f t="shared" si="64"/>
        <v>4.2831925412767369E-5</v>
      </c>
      <c r="J273" s="25">
        <f>INDEX('Default Prob'!$C$3:$C$13, _xlfn.IFNA(MATCH(F273, 'Default Prob'!$B$3:$B$13, 1), 1))</f>
        <v>1.9099999999999999E-2</v>
      </c>
      <c r="K273" s="26">
        <f t="shared" si="55"/>
        <v>0.98111820295942587</v>
      </c>
      <c r="L273" s="27">
        <f t="shared" ca="1" si="56"/>
        <v>0</v>
      </c>
      <c r="M273" s="27">
        <f t="shared" ca="1" si="57"/>
        <v>902.94091532419418</v>
      </c>
      <c r="N273" s="28">
        <f t="shared" ca="1" si="58"/>
        <v>3.7944450140244133E-2</v>
      </c>
      <c r="O273" s="29">
        <f t="shared" ca="1" si="59"/>
        <v>600000</v>
      </c>
      <c r="P273" s="30">
        <f t="shared" ca="1" si="60"/>
        <v>25.213909014159892</v>
      </c>
    </row>
    <row r="274" spans="1:16" x14ac:dyDescent="0.25">
      <c r="A274" s="3">
        <f t="shared" si="61"/>
        <v>46496</v>
      </c>
      <c r="B274" s="21">
        <f t="shared" si="52"/>
        <v>36635</v>
      </c>
      <c r="C274" s="21">
        <f t="shared" si="53"/>
        <v>36697</v>
      </c>
      <c r="D274" s="1">
        <f t="shared" si="62"/>
        <v>0</v>
      </c>
      <c r="E274" s="3">
        <f t="array" ref="E274">INDEX($A$9:A273, MAX(IF($D$9:D273=1, ROW(D$9:$D273)-ROW($D$9)+1, 0)))</f>
        <v>46468</v>
      </c>
      <c r="F274" s="23">
        <f t="shared" si="54"/>
        <v>1.0157426420260096</v>
      </c>
      <c r="G274" s="5">
        <f>INDEX('Default Prob'!$P$5:$P$14,MIN(1+_xlfn.IFNA(MATCH(F274,'Default Prob'!$F$5:$F$14,1),0),COUNT('Default Prob'!$P$5:$P$14)))</f>
        <v>1.6062593678540758E-2</v>
      </c>
      <c r="H274" s="5">
        <f t="shared" si="63"/>
        <v>0.97381240431968019</v>
      </c>
      <c r="I274" s="24">
        <f t="shared" si="64"/>
        <v>1.2848447510449557E-4</v>
      </c>
      <c r="J274" s="25">
        <f>INDEX('Default Prob'!$C$3:$C$13, _xlfn.IFNA(MATCH(F274, 'Default Prob'!$B$3:$B$13, 1), 1))</f>
        <v>1.9099999999999999E-2</v>
      </c>
      <c r="K274" s="26">
        <f t="shared" si="55"/>
        <v>0.9809657495615699</v>
      </c>
      <c r="L274" s="27">
        <f t="shared" ca="1" si="56"/>
        <v>0</v>
      </c>
      <c r="M274" s="27">
        <f t="shared" ca="1" si="57"/>
        <v>1011.2938251630975</v>
      </c>
      <c r="N274" s="28">
        <f t="shared" ca="1" si="58"/>
        <v>0.12746233038297961</v>
      </c>
      <c r="O274" s="29">
        <f t="shared" ca="1" si="59"/>
        <v>600000</v>
      </c>
      <c r="P274" s="30">
        <f t="shared" ca="1" si="60"/>
        <v>75.623321656743812</v>
      </c>
    </row>
    <row r="275" spans="1:16" x14ac:dyDescent="0.25">
      <c r="A275" s="3">
        <f t="shared" si="61"/>
        <v>46497</v>
      </c>
      <c r="B275" s="21">
        <f t="shared" si="52"/>
        <v>36636</v>
      </c>
      <c r="C275" s="21">
        <f t="shared" si="53"/>
        <v>36697</v>
      </c>
      <c r="D275" s="1">
        <f t="shared" si="62"/>
        <v>0</v>
      </c>
      <c r="E275" s="3">
        <f t="array" ref="E275">INDEX($A$9:A274, MAX(IF($D$9:D274=1, ROW(D$9:$D274)-ROW($D$9)+1, 0)))</f>
        <v>46468</v>
      </c>
      <c r="F275" s="23">
        <f t="shared" si="54"/>
        <v>1.0184804928131417</v>
      </c>
      <c r="G275" s="5">
        <f>INDEX('Default Prob'!$P$5:$P$14,MIN(1+_xlfn.IFNA(MATCH(F275,'Default Prob'!$F$5:$F$14,1),0),COUNT('Default Prob'!$P$5:$P$14)))</f>
        <v>1.6062593678540758E-2</v>
      </c>
      <c r="H275" s="5">
        <f t="shared" si="63"/>
        <v>0.97376957992808055</v>
      </c>
      <c r="I275" s="24">
        <f t="shared" si="64"/>
        <v>4.2824391599638467E-5</v>
      </c>
      <c r="J275" s="25">
        <f>INDEX('Default Prob'!$C$3:$C$13, _xlfn.IFNA(MATCH(F275, 'Default Prob'!$B$3:$B$13, 1), 1))</f>
        <v>1.9099999999999999E-2</v>
      </c>
      <c r="K275" s="26">
        <f t="shared" si="55"/>
        <v>0.98091493702676313</v>
      </c>
      <c r="L275" s="27">
        <f t="shared" ca="1" si="56"/>
        <v>0</v>
      </c>
      <c r="M275" s="27">
        <f t="shared" ca="1" si="57"/>
        <v>1047.4114617760652</v>
      </c>
      <c r="N275" s="28">
        <f t="shared" ca="1" si="58"/>
        <v>4.3998702712421296E-2</v>
      </c>
      <c r="O275" s="29">
        <f t="shared" ca="1" si="59"/>
        <v>600000</v>
      </c>
      <c r="P275" s="30">
        <f t="shared" ca="1" si="60"/>
        <v>25.204251233501285</v>
      </c>
    </row>
    <row r="276" spans="1:16" x14ac:dyDescent="0.25">
      <c r="A276" s="3">
        <f t="shared" si="61"/>
        <v>46498</v>
      </c>
      <c r="B276" s="21">
        <f t="shared" si="52"/>
        <v>36637</v>
      </c>
      <c r="C276" s="21">
        <f t="shared" si="53"/>
        <v>36697</v>
      </c>
      <c r="D276" s="1">
        <f t="shared" si="62"/>
        <v>0</v>
      </c>
      <c r="E276" s="3">
        <f t="array" ref="E276">INDEX($A$9:A275, MAX(IF($D$9:D275=1, ROW(D$9:$D275)-ROW($D$9)+1, 0)))</f>
        <v>46468</v>
      </c>
      <c r="F276" s="23">
        <f t="shared" si="54"/>
        <v>1.0212183436002737</v>
      </c>
      <c r="G276" s="5">
        <f>INDEX('Default Prob'!$P$5:$P$14,MIN(1+_xlfn.IFNA(MATCH(F276,'Default Prob'!$F$5:$F$14,1),0),COUNT('Default Prob'!$P$5:$P$14)))</f>
        <v>1.6062593678540758E-2</v>
      </c>
      <c r="H276" s="5">
        <f t="shared" si="63"/>
        <v>0.97372675741972714</v>
      </c>
      <c r="I276" s="24">
        <f t="shared" si="64"/>
        <v>4.2822508353412836E-5</v>
      </c>
      <c r="J276" s="25">
        <f>INDEX('Default Prob'!$C$3:$C$13, _xlfn.IFNA(MATCH(F276, 'Default Prob'!$B$3:$B$13, 1), 1))</f>
        <v>1.9099999999999999E-2</v>
      </c>
      <c r="K276" s="26">
        <f t="shared" si="55"/>
        <v>0.98086412712396853</v>
      </c>
      <c r="L276" s="27">
        <f t="shared" ca="1" si="56"/>
        <v>0</v>
      </c>
      <c r="M276" s="27">
        <f t="shared" ca="1" si="57"/>
        <v>1083.5290983890329</v>
      </c>
      <c r="N276" s="28">
        <f t="shared" ca="1" si="58"/>
        <v>4.5511540198932832E-2</v>
      </c>
      <c r="O276" s="29">
        <f t="shared" ca="1" si="59"/>
        <v>600000</v>
      </c>
      <c r="P276" s="30">
        <f t="shared" ca="1" si="60"/>
        <v>25.201837366397481</v>
      </c>
    </row>
    <row r="277" spans="1:16" x14ac:dyDescent="0.25">
      <c r="A277" s="3">
        <f t="shared" si="61"/>
        <v>46499</v>
      </c>
      <c r="B277" s="21">
        <f t="shared" si="52"/>
        <v>36638</v>
      </c>
      <c r="C277" s="21">
        <f t="shared" si="53"/>
        <v>36697</v>
      </c>
      <c r="D277" s="1">
        <f t="shared" si="62"/>
        <v>0</v>
      </c>
      <c r="E277" s="3">
        <f t="array" ref="E277">INDEX($A$9:A276, MAX(IF($D$9:D276=1, ROW(D$9:$D276)-ROW($D$9)+1, 0)))</f>
        <v>46468</v>
      </c>
      <c r="F277" s="23">
        <f t="shared" si="54"/>
        <v>1.0239561943874058</v>
      </c>
      <c r="G277" s="5">
        <f>INDEX('Default Prob'!$P$5:$P$14,MIN(1+_xlfn.IFNA(MATCH(F277,'Default Prob'!$F$5:$F$14,1),0),COUNT('Default Prob'!$P$5:$P$14)))</f>
        <v>1.6062593678540758E-2</v>
      </c>
      <c r="H277" s="5">
        <f t="shared" si="63"/>
        <v>0.97368393679453702</v>
      </c>
      <c r="I277" s="24">
        <f t="shared" si="64"/>
        <v>4.2820625190120865E-5</v>
      </c>
      <c r="J277" s="25">
        <f>INDEX('Default Prob'!$C$3:$C$13, _xlfn.IFNA(MATCH(F277, 'Default Prob'!$B$3:$B$13, 1), 1))</f>
        <v>1.9099999999999999E-2</v>
      </c>
      <c r="K277" s="26">
        <f t="shared" si="55"/>
        <v>0.98081331985304954</v>
      </c>
      <c r="L277" s="27">
        <f t="shared" ca="1" si="56"/>
        <v>0</v>
      </c>
      <c r="M277" s="27">
        <f t="shared" ca="1" si="57"/>
        <v>1119.6467350020009</v>
      </c>
      <c r="N277" s="28">
        <f t="shared" ca="1" si="58"/>
        <v>4.7024087506391324E-2</v>
      </c>
      <c r="O277" s="29">
        <f t="shared" ca="1" si="59"/>
        <v>600000</v>
      </c>
      <c r="P277" s="30">
        <f t="shared" ca="1" si="60"/>
        <v>25.199423730543341</v>
      </c>
    </row>
    <row r="278" spans="1:16" x14ac:dyDescent="0.25">
      <c r="A278" s="3">
        <f t="shared" si="61"/>
        <v>46500</v>
      </c>
      <c r="B278" s="21">
        <f t="shared" si="52"/>
        <v>36639</v>
      </c>
      <c r="C278" s="21">
        <f t="shared" si="53"/>
        <v>36697</v>
      </c>
      <c r="D278" s="1">
        <f t="shared" si="62"/>
        <v>0</v>
      </c>
      <c r="E278" s="3">
        <f t="array" ref="E278">INDEX($A$9:A277, MAX(IF($D$9:D277=1, ROW(D$9:$D277)-ROW($D$9)+1, 0)))</f>
        <v>46468</v>
      </c>
      <c r="F278" s="23">
        <f t="shared" si="54"/>
        <v>1.0266940451745379</v>
      </c>
      <c r="G278" s="5">
        <f>INDEX('Default Prob'!$P$5:$P$14,MIN(1+_xlfn.IFNA(MATCH(F278,'Default Prob'!$F$5:$F$14,1),0),COUNT('Default Prob'!$P$5:$P$14)))</f>
        <v>1.6062593678540758E-2</v>
      </c>
      <c r="H278" s="5">
        <f t="shared" si="63"/>
        <v>0.97364111805242748</v>
      </c>
      <c r="I278" s="24">
        <f t="shared" si="64"/>
        <v>4.2818742109540509E-5</v>
      </c>
      <c r="J278" s="25">
        <f>INDEX('Default Prob'!$C$3:$C$13, _xlfn.IFNA(MATCH(F278, 'Default Prob'!$B$3:$B$13, 1), 1))</f>
        <v>1.9099999999999999E-2</v>
      </c>
      <c r="K278" s="26">
        <f t="shared" si="55"/>
        <v>0.98076251521387015</v>
      </c>
      <c r="L278" s="27">
        <f t="shared" ca="1" si="56"/>
        <v>0</v>
      </c>
      <c r="M278" s="27">
        <f t="shared" ca="1" si="57"/>
        <v>1155.7643716149685</v>
      </c>
      <c r="N278" s="28">
        <f t="shared" ca="1" si="58"/>
        <v>4.8536344676267454E-2</v>
      </c>
      <c r="O278" s="29">
        <f t="shared" ca="1" si="59"/>
        <v>600000</v>
      </c>
      <c r="P278" s="30">
        <f t="shared" ca="1" si="60"/>
        <v>25.197010325788202</v>
      </c>
    </row>
    <row r="279" spans="1:16" x14ac:dyDescent="0.25">
      <c r="A279" s="3">
        <f t="shared" si="61"/>
        <v>46503</v>
      </c>
      <c r="B279" s="21">
        <f t="shared" si="52"/>
        <v>36642</v>
      </c>
      <c r="C279" s="21">
        <f t="shared" si="53"/>
        <v>36697</v>
      </c>
      <c r="D279" s="1">
        <f t="shared" si="62"/>
        <v>0</v>
      </c>
      <c r="E279" s="3">
        <f t="array" ref="E279">INDEX($A$9:A278, MAX(IF($D$9:D278=1, ROW(D$9:$D278)-ROW($D$9)+1, 0)))</f>
        <v>46468</v>
      </c>
      <c r="F279" s="23">
        <f t="shared" si="54"/>
        <v>1.0349075975359343</v>
      </c>
      <c r="G279" s="5">
        <f>INDEX('Default Prob'!$P$5:$P$14,MIN(1+_xlfn.IFNA(MATCH(F279,'Default Prob'!$F$5:$F$14,1),0),COUNT('Default Prob'!$P$5:$P$14)))</f>
        <v>1.6062593678540758E-2</v>
      </c>
      <c r="H279" s="5">
        <f t="shared" si="63"/>
        <v>0.97351267312375434</v>
      </c>
      <c r="I279" s="24">
        <f t="shared" si="64"/>
        <v>1.2844492867314372E-4</v>
      </c>
      <c r="J279" s="25">
        <f>INDEX('Default Prob'!$C$3:$C$13, _xlfn.IFNA(MATCH(F279, 'Default Prob'!$B$3:$B$13, 1), 1))</f>
        <v>1.9099999999999999E-2</v>
      </c>
      <c r="K279" s="26">
        <f t="shared" si="55"/>
        <v>0.98061011708540491</v>
      </c>
      <c r="L279" s="27">
        <f t="shared" ca="1" si="56"/>
        <v>0</v>
      </c>
      <c r="M279" s="27">
        <f t="shared" ca="1" si="57"/>
        <v>1264.1172814538718</v>
      </c>
      <c r="N279" s="28">
        <f t="shared" ca="1" si="58"/>
        <v>0.15922112934787858</v>
      </c>
      <c r="O279" s="29">
        <f t="shared" ca="1" si="59"/>
        <v>600000</v>
      </c>
      <c r="P279" s="30">
        <f t="shared" ca="1" si="60"/>
        <v>75.572637927118762</v>
      </c>
    </row>
    <row r="280" spans="1:16" x14ac:dyDescent="0.25">
      <c r="A280" s="3">
        <f t="shared" si="61"/>
        <v>46504</v>
      </c>
      <c r="B280" s="21">
        <f t="shared" si="52"/>
        <v>36643</v>
      </c>
      <c r="C280" s="21">
        <f t="shared" si="53"/>
        <v>36697</v>
      </c>
      <c r="D280" s="1">
        <f t="shared" si="62"/>
        <v>0</v>
      </c>
      <c r="E280" s="3">
        <f t="array" ref="E280">INDEX($A$9:A279, MAX(IF($D$9:D279=1, ROW(D$9:$D279)-ROW($D$9)+1, 0)))</f>
        <v>46468</v>
      </c>
      <c r="F280" s="23">
        <f t="shared" si="54"/>
        <v>1.0376454483230664</v>
      </c>
      <c r="G280" s="5">
        <f>INDEX('Default Prob'!$P$5:$P$14,MIN(1+_xlfn.IFNA(MATCH(F280,'Default Prob'!$F$5:$F$14,1),0),COUNT('Default Prob'!$P$5:$P$14)))</f>
        <v>1.6062593678540758E-2</v>
      </c>
      <c r="H280" s="5">
        <f t="shared" si="63"/>
        <v>0.97346986191313911</v>
      </c>
      <c r="I280" s="24">
        <f t="shared" si="64"/>
        <v>4.2811210615223416E-5</v>
      </c>
      <c r="J280" s="25">
        <f>INDEX('Default Prob'!$C$3:$C$13, _xlfn.IFNA(MATCH(F280, 'Default Prob'!$B$3:$B$13, 1), 1))</f>
        <v>1.9099999999999999E-2</v>
      </c>
      <c r="K280" s="26">
        <f t="shared" si="55"/>
        <v>0.9805593229718198</v>
      </c>
      <c r="L280" s="27">
        <f t="shared" ca="1" si="56"/>
        <v>0</v>
      </c>
      <c r="M280" s="27">
        <f t="shared" ca="1" si="57"/>
        <v>1300.2349180668396</v>
      </c>
      <c r="N280" s="28">
        <f t="shared" ca="1" si="58"/>
        <v>5.4582472814889822E-2</v>
      </c>
      <c r="O280" s="29">
        <f t="shared" ca="1" si="59"/>
        <v>600000</v>
      </c>
      <c r="P280" s="30">
        <f t="shared" ca="1" si="60"/>
        <v>25.187359017880475</v>
      </c>
    </row>
    <row r="281" spans="1:16" x14ac:dyDescent="0.25">
      <c r="A281" s="3">
        <f t="shared" si="61"/>
        <v>46505</v>
      </c>
      <c r="B281" s="21">
        <f t="shared" si="52"/>
        <v>36644</v>
      </c>
      <c r="C281" s="21">
        <f t="shared" si="53"/>
        <v>36697</v>
      </c>
      <c r="D281" s="1">
        <f t="shared" si="62"/>
        <v>0</v>
      </c>
      <c r="E281" s="3">
        <f t="array" ref="E281">INDEX($A$9:A280, MAX(IF($D$9:D280=1, ROW(D$9:$D280)-ROW($D$9)+1, 0)))</f>
        <v>46468</v>
      </c>
      <c r="F281" s="23">
        <f t="shared" si="54"/>
        <v>1.0403832991101984</v>
      </c>
      <c r="G281" s="5">
        <f>INDEX('Default Prob'!$P$5:$P$14,MIN(1+_xlfn.IFNA(MATCH(F281,'Default Prob'!$F$5:$F$14,1),0),COUNT('Default Prob'!$P$5:$P$14)))</f>
        <v>1.6062593678540758E-2</v>
      </c>
      <c r="H281" s="5">
        <f t="shared" si="63"/>
        <v>0.97342705258519036</v>
      </c>
      <c r="I281" s="24">
        <f t="shared" si="64"/>
        <v>4.2809327948756248E-5</v>
      </c>
      <c r="J281" s="25">
        <f>INDEX('Default Prob'!$C$3:$C$13, _xlfn.IFNA(MATCH(F281, 'Default Prob'!$B$3:$B$13, 1), 1))</f>
        <v>1.9099999999999999E-2</v>
      </c>
      <c r="K281" s="26">
        <f t="shared" si="55"/>
        <v>0.98050853148929284</v>
      </c>
      <c r="L281" s="27">
        <f t="shared" ca="1" si="56"/>
        <v>0</v>
      </c>
      <c r="M281" s="27">
        <f t="shared" ca="1" si="57"/>
        <v>1336.3525546798076</v>
      </c>
      <c r="N281" s="28">
        <f t="shared" ca="1" si="58"/>
        <v>5.6093279922927571E-2</v>
      </c>
      <c r="O281" s="29">
        <f t="shared" ca="1" si="59"/>
        <v>600000</v>
      </c>
      <c r="P281" s="30">
        <f t="shared" ca="1" si="60"/>
        <v>25.184946768647119</v>
      </c>
    </row>
    <row r="282" spans="1:16" x14ac:dyDescent="0.25">
      <c r="A282" s="3">
        <f t="shared" si="61"/>
        <v>46506</v>
      </c>
      <c r="B282" s="21">
        <f t="shared" si="52"/>
        <v>36645</v>
      </c>
      <c r="C282" s="21">
        <f t="shared" si="53"/>
        <v>36697</v>
      </c>
      <c r="D282" s="1">
        <f t="shared" si="62"/>
        <v>0</v>
      </c>
      <c r="E282" s="3">
        <f t="array" ref="E282">INDEX($A$9:A281, MAX(IF($D$9:D281=1, ROW(D$9:$D281)-ROW($D$9)+1, 0)))</f>
        <v>46468</v>
      </c>
      <c r="F282" s="23">
        <f t="shared" si="54"/>
        <v>1.0431211498973305</v>
      </c>
      <c r="G282" s="5">
        <f>INDEX('Default Prob'!$P$5:$P$14,MIN(1+_xlfn.IFNA(MATCH(F282,'Default Prob'!$F$5:$F$14,1),0),COUNT('Default Prob'!$P$5:$P$14)))</f>
        <v>1.6062593678540758E-2</v>
      </c>
      <c r="H282" s="5">
        <f t="shared" si="63"/>
        <v>0.97338424513982547</v>
      </c>
      <c r="I282" s="24">
        <f t="shared" si="64"/>
        <v>4.2807445364889674E-5</v>
      </c>
      <c r="J282" s="25">
        <f>INDEX('Default Prob'!$C$3:$C$13, _xlfn.IFNA(MATCH(F282, 'Default Prob'!$B$3:$B$13, 1), 1))</f>
        <v>1.9099999999999999E-2</v>
      </c>
      <c r="K282" s="26">
        <f t="shared" si="55"/>
        <v>0.98045774263768715</v>
      </c>
      <c r="L282" s="27">
        <f t="shared" ca="1" si="56"/>
        <v>0</v>
      </c>
      <c r="M282" s="27">
        <f t="shared" ca="1" si="57"/>
        <v>1372.4701912927751</v>
      </c>
      <c r="N282" s="28">
        <f t="shared" ca="1" si="58"/>
        <v>5.7603797143364922E-2</v>
      </c>
      <c r="O282" s="29">
        <f t="shared" ca="1" si="59"/>
        <v>600000</v>
      </c>
      <c r="P282" s="30">
        <f t="shared" ca="1" si="60"/>
        <v>25.182534750327513</v>
      </c>
    </row>
    <row r="283" spans="1:16" x14ac:dyDescent="0.25">
      <c r="A283" s="3">
        <f t="shared" si="61"/>
        <v>46507</v>
      </c>
      <c r="B283" s="21">
        <f t="shared" si="52"/>
        <v>36646</v>
      </c>
      <c r="C283" s="21">
        <f t="shared" si="53"/>
        <v>36697</v>
      </c>
      <c r="D283" s="1">
        <f t="shared" si="62"/>
        <v>0</v>
      </c>
      <c r="E283" s="3">
        <f t="array" ref="E283">INDEX($A$9:A282, MAX(IF($D$9:D282=1, ROW(D$9:$D282)-ROW($D$9)+1, 0)))</f>
        <v>46468</v>
      </c>
      <c r="F283" s="23">
        <f t="shared" si="54"/>
        <v>1.0458590006844628</v>
      </c>
      <c r="G283" s="5">
        <f>INDEX('Default Prob'!$P$5:$P$14,MIN(1+_xlfn.IFNA(MATCH(F283,'Default Prob'!$F$5:$F$14,1),0),COUNT('Default Prob'!$P$5:$P$14)))</f>
        <v>1.6062593678540758E-2</v>
      </c>
      <c r="H283" s="5">
        <f t="shared" si="63"/>
        <v>0.97334143957696151</v>
      </c>
      <c r="I283" s="24">
        <f t="shared" si="64"/>
        <v>4.2805562863956759E-5</v>
      </c>
      <c r="J283" s="25">
        <f>INDEX('Default Prob'!$C$3:$C$13, _xlfn.IFNA(MATCH(F283, 'Default Prob'!$B$3:$B$13, 1), 1))</f>
        <v>1.9099999999999999E-2</v>
      </c>
      <c r="K283" s="26">
        <f t="shared" si="55"/>
        <v>0.98040695641686693</v>
      </c>
      <c r="L283" s="27">
        <f t="shared" ca="1" si="56"/>
        <v>0</v>
      </c>
      <c r="M283" s="27">
        <f t="shared" ca="1" si="57"/>
        <v>1408.5878279057429</v>
      </c>
      <c r="N283" s="28">
        <f t="shared" ca="1" si="58"/>
        <v>5.9114024518315343E-2</v>
      </c>
      <c r="O283" s="29">
        <f t="shared" ca="1" si="59"/>
        <v>600000</v>
      </c>
      <c r="P283" s="30">
        <f t="shared" ca="1" si="60"/>
        <v>25.180122963097627</v>
      </c>
    </row>
    <row r="284" spans="1:16" x14ac:dyDescent="0.25">
      <c r="A284" s="3">
        <f t="shared" si="61"/>
        <v>46510</v>
      </c>
      <c r="B284" s="21">
        <f t="shared" si="52"/>
        <v>36649</v>
      </c>
      <c r="C284" s="21">
        <f t="shared" si="53"/>
        <v>36697</v>
      </c>
      <c r="D284" s="1">
        <f t="shared" si="62"/>
        <v>0</v>
      </c>
      <c r="E284" s="3">
        <f t="array" ref="E284">INDEX($A$9:A283, MAX(IF($D$9:D283=1, ROW(D$9:$D283)-ROW($D$9)+1, 0)))</f>
        <v>46468</v>
      </c>
      <c r="F284" s="23">
        <f t="shared" si="54"/>
        <v>1.054072553045859</v>
      </c>
      <c r="G284" s="5">
        <f>INDEX('Default Prob'!$P$5:$P$14,MIN(1+_xlfn.IFNA(MATCH(F284,'Default Prob'!$F$5:$F$14,1),0),COUNT('Default Prob'!$P$5:$P$14)))</f>
        <v>1.6062593678540758E-2</v>
      </c>
      <c r="H284" s="5">
        <f t="shared" si="63"/>
        <v>0.97321303418254757</v>
      </c>
      <c r="I284" s="24">
        <f t="shared" si="64"/>
        <v>1.2840539441394405E-4</v>
      </c>
      <c r="J284" s="25">
        <f>INDEX('Default Prob'!$C$3:$C$13, _xlfn.IFNA(MATCH(F284, 'Default Prob'!$B$3:$B$13, 1), 1))</f>
        <v>1.9099999999999999E-2</v>
      </c>
      <c r="K284" s="26">
        <f t="shared" si="55"/>
        <v>0.98025461353775556</v>
      </c>
      <c r="L284" s="27">
        <f t="shared" ca="1" si="56"/>
        <v>0</v>
      </c>
      <c r="M284" s="27">
        <f t="shared" ca="1" si="57"/>
        <v>1516.9407377446464</v>
      </c>
      <c r="N284" s="28">
        <f t="shared" ca="1" si="58"/>
        <v>0.19093730074190901</v>
      </c>
      <c r="O284" s="29">
        <f t="shared" ca="1" si="59"/>
        <v>600000</v>
      </c>
      <c r="P284" s="30">
        <f t="shared" ca="1" si="60"/>
        <v>75.521988166442284</v>
      </c>
    </row>
    <row r="285" spans="1:16" x14ac:dyDescent="0.25">
      <c r="A285" s="3">
        <f t="shared" si="61"/>
        <v>46511</v>
      </c>
      <c r="B285" s="21">
        <f t="shared" si="52"/>
        <v>36650</v>
      </c>
      <c r="C285" s="21">
        <f t="shared" si="53"/>
        <v>36697</v>
      </c>
      <c r="D285" s="1">
        <f t="shared" si="62"/>
        <v>0</v>
      </c>
      <c r="E285" s="3">
        <f t="array" ref="E285">INDEX($A$9:A284, MAX(IF($D$9:D284=1, ROW(D$9:$D284)-ROW($D$9)+1, 0)))</f>
        <v>46468</v>
      </c>
      <c r="F285" s="23">
        <f t="shared" si="54"/>
        <v>1.0568104038329911</v>
      </c>
      <c r="G285" s="5">
        <f>INDEX('Default Prob'!$P$5:$P$14,MIN(1+_xlfn.IFNA(MATCH(F285,'Default Prob'!$F$5:$F$14,1),0),COUNT('Default Prob'!$P$5:$P$14)))</f>
        <v>1.6062593678540758E-2</v>
      </c>
      <c r="H285" s="5">
        <f t="shared" si="63"/>
        <v>0.97317023614885967</v>
      </c>
      <c r="I285" s="24">
        <f t="shared" si="64"/>
        <v>4.2798033687896364E-5</v>
      </c>
      <c r="J285" s="25">
        <f>INDEX('Default Prob'!$C$3:$C$13, _xlfn.IFNA(MATCH(F285, 'Default Prob'!$B$3:$B$13, 1), 1))</f>
        <v>1.9099999999999999E-2</v>
      </c>
      <c r="K285" s="26">
        <f t="shared" si="55"/>
        <v>0.98020383783871401</v>
      </c>
      <c r="L285" s="27">
        <f t="shared" ca="1" si="56"/>
        <v>0</v>
      </c>
      <c r="M285" s="27">
        <f t="shared" ca="1" si="57"/>
        <v>1553.0583743576142</v>
      </c>
      <c r="N285" s="28">
        <f t="shared" ca="1" si="58"/>
        <v>6.5152036394318547E-2</v>
      </c>
      <c r="O285" s="29">
        <f t="shared" ca="1" si="59"/>
        <v>600000</v>
      </c>
      <c r="P285" s="30">
        <f t="shared" ca="1" si="60"/>
        <v>25.170478123695951</v>
      </c>
    </row>
    <row r="286" spans="1:16" x14ac:dyDescent="0.25">
      <c r="A286" s="3">
        <f t="shared" si="61"/>
        <v>46512</v>
      </c>
      <c r="B286" s="21">
        <f t="shared" si="52"/>
        <v>36651</v>
      </c>
      <c r="C286" s="21">
        <f t="shared" si="53"/>
        <v>36697</v>
      </c>
      <c r="D286" s="1">
        <f t="shared" si="62"/>
        <v>0</v>
      </c>
      <c r="E286" s="3">
        <f t="array" ref="E286">INDEX($A$9:A285, MAX(IF($D$9:D285=1, ROW(D$9:$D285)-ROW($D$9)+1, 0)))</f>
        <v>46468</v>
      </c>
      <c r="F286" s="23">
        <f t="shared" si="54"/>
        <v>1.0595482546201231</v>
      </c>
      <c r="G286" s="5">
        <f>INDEX('Default Prob'!$P$5:$P$14,MIN(1+_xlfn.IFNA(MATCH(F286,'Default Prob'!$F$5:$F$14,1),0),COUNT('Default Prob'!$P$5:$P$14)))</f>
        <v>1.6062593678540758E-2</v>
      </c>
      <c r="H286" s="5">
        <f t="shared" si="63"/>
        <v>0.97312743999725893</v>
      </c>
      <c r="I286" s="24">
        <f t="shared" si="64"/>
        <v>4.279615160074357E-5</v>
      </c>
      <c r="J286" s="25">
        <f>INDEX('Default Prob'!$C$3:$C$13, _xlfn.IFNA(MATCH(F286, 'Default Prob'!$B$3:$B$13, 1), 1))</f>
        <v>1.9099999999999999E-2</v>
      </c>
      <c r="K286" s="26">
        <f t="shared" si="55"/>
        <v>0.98015306476977648</v>
      </c>
      <c r="L286" s="27">
        <f t="shared" ca="1" si="56"/>
        <v>0</v>
      </c>
      <c r="M286" s="27">
        <f t="shared" ca="1" si="57"/>
        <v>1589.1760109705817</v>
      </c>
      <c r="N286" s="28">
        <f t="shared" ca="1" si="58"/>
        <v>6.6660815165554513E-2</v>
      </c>
      <c r="O286" s="29">
        <f t="shared" ca="1" si="59"/>
        <v>600000</v>
      </c>
      <c r="P286" s="30">
        <f t="shared" ca="1" si="60"/>
        <v>25.168067491092472</v>
      </c>
    </row>
    <row r="287" spans="1:16" x14ac:dyDescent="0.25">
      <c r="A287" s="3">
        <f t="shared" si="61"/>
        <v>46513</v>
      </c>
      <c r="B287" s="21">
        <f t="shared" si="52"/>
        <v>36652</v>
      </c>
      <c r="C287" s="21">
        <f t="shared" si="53"/>
        <v>36697</v>
      </c>
      <c r="D287" s="1">
        <f t="shared" si="62"/>
        <v>0</v>
      </c>
      <c r="E287" s="3">
        <f t="array" ref="E287">INDEX($A$9:A286, MAX(IF($D$9:D286=1, ROW(D$9:$D286)-ROW($D$9)+1, 0)))</f>
        <v>46468</v>
      </c>
      <c r="F287" s="23">
        <f t="shared" si="54"/>
        <v>1.0622861054072552</v>
      </c>
      <c r="G287" s="5">
        <f>INDEX('Default Prob'!$P$5:$P$14,MIN(1+_xlfn.IFNA(MATCH(F287,'Default Prob'!$F$5:$F$14,1),0),COUNT('Default Prob'!$P$5:$P$14)))</f>
        <v>1.6062593678540758E-2</v>
      </c>
      <c r="H287" s="5">
        <f t="shared" si="63"/>
        <v>0.97308464572766251</v>
      </c>
      <c r="I287" s="24">
        <f t="shared" si="64"/>
        <v>4.2794269596413415E-5</v>
      </c>
      <c r="J287" s="25">
        <f>INDEX('Default Prob'!$C$3:$C$13, _xlfn.IFNA(MATCH(F287, 'Default Prob'!$B$3:$B$13, 1), 1))</f>
        <v>1.9099999999999999E-2</v>
      </c>
      <c r="K287" s="26">
        <f t="shared" si="55"/>
        <v>0.98010229433080653</v>
      </c>
      <c r="L287" s="27">
        <f t="shared" ca="1" si="56"/>
        <v>0</v>
      </c>
      <c r="M287" s="27">
        <f t="shared" ca="1" si="57"/>
        <v>1625.2936475835495</v>
      </c>
      <c r="N287" s="28">
        <f t="shared" ca="1" si="58"/>
        <v>6.8169304341095333E-2</v>
      </c>
      <c r="O287" s="29">
        <f t="shared" ca="1" si="59"/>
        <v>600000</v>
      </c>
      <c r="P287" s="30">
        <f t="shared" ca="1" si="60"/>
        <v>25.16565708939352</v>
      </c>
    </row>
    <row r="288" spans="1:16" x14ac:dyDescent="0.25">
      <c r="A288" s="3">
        <f t="shared" si="61"/>
        <v>46514</v>
      </c>
      <c r="B288" s="21">
        <f t="shared" si="52"/>
        <v>36653</v>
      </c>
      <c r="C288" s="21">
        <f t="shared" si="53"/>
        <v>36697</v>
      </c>
      <c r="D288" s="1">
        <f t="shared" si="62"/>
        <v>0</v>
      </c>
      <c r="E288" s="3">
        <f t="array" ref="E288">INDEX($A$9:A287, MAX(IF($D$9:D287=1, ROW(D$9:$D287)-ROW($D$9)+1, 0)))</f>
        <v>46468</v>
      </c>
      <c r="F288" s="23">
        <f t="shared" si="54"/>
        <v>1.0650239561943875</v>
      </c>
      <c r="G288" s="5">
        <f>INDEX('Default Prob'!$P$5:$P$14,MIN(1+_xlfn.IFNA(MATCH(F288,'Default Prob'!$F$5:$F$14,1),0),COUNT('Default Prob'!$P$5:$P$14)))</f>
        <v>1.6062593678540758E-2</v>
      </c>
      <c r="H288" s="5">
        <f t="shared" si="63"/>
        <v>0.97304185333998761</v>
      </c>
      <c r="I288" s="24">
        <f t="shared" si="64"/>
        <v>4.2792387674905896E-5</v>
      </c>
      <c r="J288" s="25">
        <f>INDEX('Default Prob'!$C$3:$C$13, _xlfn.IFNA(MATCH(F288, 'Default Prob'!$B$3:$B$13, 1), 1))</f>
        <v>1.9099999999999999E-2</v>
      </c>
      <c r="K288" s="26">
        <f t="shared" si="55"/>
        <v>0.98005152652166838</v>
      </c>
      <c r="L288" s="27">
        <f t="shared" ca="1" si="56"/>
        <v>0</v>
      </c>
      <c r="M288" s="27">
        <f t="shared" ca="1" si="57"/>
        <v>1661.4112841965173</v>
      </c>
      <c r="N288" s="28">
        <f t="shared" ca="1" si="58"/>
        <v>6.9677503962584347E-2</v>
      </c>
      <c r="O288" s="29">
        <f t="shared" ca="1" si="59"/>
        <v>600000</v>
      </c>
      <c r="P288" s="30">
        <f t="shared" ca="1" si="60"/>
        <v>25.16324691857913</v>
      </c>
    </row>
    <row r="289" spans="1:16" x14ac:dyDescent="0.25">
      <c r="A289" s="3">
        <f t="shared" si="61"/>
        <v>46517</v>
      </c>
      <c r="B289" s="21">
        <f t="shared" si="52"/>
        <v>36656</v>
      </c>
      <c r="C289" s="21">
        <f t="shared" si="53"/>
        <v>36697</v>
      </c>
      <c r="D289" s="1">
        <f t="shared" si="62"/>
        <v>0</v>
      </c>
      <c r="E289" s="3">
        <f t="array" ref="E289">INDEX($A$9:A288, MAX(IF($D$9:D288=1, ROW(D$9:$D288)-ROW($D$9)+1, 0)))</f>
        <v>46468</v>
      </c>
      <c r="F289" s="23">
        <f t="shared" si="54"/>
        <v>1.0732375085557837</v>
      </c>
      <c r="G289" s="5">
        <f>INDEX('Default Prob'!$P$5:$P$14,MIN(1+_xlfn.IFNA(MATCH(F289,'Default Prob'!$F$5:$F$14,1),0),COUNT('Default Prob'!$P$5:$P$14)))</f>
        <v>1.6062593678540758E-2</v>
      </c>
      <c r="H289" s="5">
        <f t="shared" si="63"/>
        <v>0.97291348746766471</v>
      </c>
      <c r="I289" s="24">
        <f t="shared" si="64"/>
        <v>1.2836587232289975E-4</v>
      </c>
      <c r="J289" s="25">
        <f>INDEX('Default Prob'!$C$3:$C$13, _xlfn.IFNA(MATCH(F289, 'Default Prob'!$B$3:$B$13, 1), 1))</f>
        <v>1.9099999999999999E-2</v>
      </c>
      <c r="K289" s="26">
        <f t="shared" si="55"/>
        <v>0.97989923887188113</v>
      </c>
      <c r="L289" s="27">
        <f t="shared" ca="1" si="56"/>
        <v>0</v>
      </c>
      <c r="M289" s="27">
        <f t="shared" ca="1" si="57"/>
        <v>1769.7641940354208</v>
      </c>
      <c r="N289" s="28">
        <f t="shared" ca="1" si="58"/>
        <v>0.22261088743821961</v>
      </c>
      <c r="O289" s="29">
        <f t="shared" ca="1" si="59"/>
        <v>600000</v>
      </c>
      <c r="P289" s="30">
        <f t="shared" ca="1" si="60"/>
        <v>75.471372351800738</v>
      </c>
    </row>
    <row r="290" spans="1:16" x14ac:dyDescent="0.25">
      <c r="A290" s="3">
        <f t="shared" si="61"/>
        <v>46518</v>
      </c>
      <c r="B290" s="21">
        <f t="shared" si="52"/>
        <v>36657</v>
      </c>
      <c r="C290" s="21">
        <f t="shared" si="53"/>
        <v>36697</v>
      </c>
      <c r="D290" s="1">
        <f t="shared" si="62"/>
        <v>0</v>
      </c>
      <c r="E290" s="3">
        <f t="array" ref="E290">INDEX($A$9:A289, MAX(IF($D$9:D289=1, ROW(D$9:$D289)-ROW($D$9)+1, 0)))</f>
        <v>46468</v>
      </c>
      <c r="F290" s="23">
        <f t="shared" si="54"/>
        <v>1.0759753593429158</v>
      </c>
      <c r="G290" s="5">
        <f>INDEX('Default Prob'!$P$5:$P$14,MIN(1+_xlfn.IFNA(MATCH(F290,'Default Prob'!$F$5:$F$14,1),0),COUNT('Default Prob'!$P$5:$P$14)))</f>
        <v>1.6062593678540758E-2</v>
      </c>
      <c r="H290" s="5">
        <f t="shared" si="63"/>
        <v>0.97287070260684849</v>
      </c>
      <c r="I290" s="24">
        <f t="shared" si="64"/>
        <v>4.2784860816214021E-5</v>
      </c>
      <c r="J290" s="25">
        <f>INDEX('Default Prob'!$C$3:$C$13, _xlfn.IFNA(MATCH(F290, 'Default Prob'!$B$3:$B$13, 1), 1))</f>
        <v>1.9099999999999999E-2</v>
      </c>
      <c r="K290" s="26">
        <f t="shared" si="55"/>
        <v>0.97984848158070714</v>
      </c>
      <c r="L290" s="27">
        <f t="shared" ca="1" si="56"/>
        <v>0</v>
      </c>
      <c r="M290" s="27">
        <f t="shared" ca="1" si="57"/>
        <v>1805.8818306483884</v>
      </c>
      <c r="N290" s="28">
        <f t="shared" ca="1" si="58"/>
        <v>7.5707407739148608E-2</v>
      </c>
      <c r="O290" s="29">
        <f t="shared" ca="1" si="59"/>
        <v>600000</v>
      </c>
      <c r="P290" s="30">
        <f t="shared" ca="1" si="60"/>
        <v>25.153608543245522</v>
      </c>
    </row>
    <row r="291" spans="1:16" x14ac:dyDescent="0.25">
      <c r="A291" s="3">
        <f t="shared" si="61"/>
        <v>46519</v>
      </c>
      <c r="B291" s="21">
        <f t="shared" si="52"/>
        <v>36658</v>
      </c>
      <c r="C291" s="21">
        <f t="shared" si="53"/>
        <v>36697</v>
      </c>
      <c r="D291" s="1">
        <f t="shared" si="62"/>
        <v>0</v>
      </c>
      <c r="E291" s="3">
        <f t="array" ref="E291">INDEX($A$9:A290, MAX(IF($D$9:D290=1, ROW(D$9:$D290)-ROW($D$9)+1, 0)))</f>
        <v>46468</v>
      </c>
      <c r="F291" s="23">
        <f t="shared" si="54"/>
        <v>1.0787132101300478</v>
      </c>
      <c r="G291" s="5">
        <f>INDEX('Default Prob'!$P$5:$P$14,MIN(1+_xlfn.IFNA(MATCH(F291,'Default Prob'!$F$5:$F$14,1),0),COUNT('Default Prob'!$P$5:$P$14)))</f>
        <v>1.6062593678540758E-2</v>
      </c>
      <c r="H291" s="5">
        <f t="shared" si="63"/>
        <v>0.97282791962754012</v>
      </c>
      <c r="I291" s="24">
        <f t="shared" si="64"/>
        <v>4.2782979308375602E-5</v>
      </c>
      <c r="J291" s="25">
        <f>INDEX('Default Prob'!$C$3:$C$13, _xlfn.IFNA(MATCH(F291, 'Default Prob'!$B$3:$B$13, 1), 1))</f>
        <v>1.9099999999999999E-2</v>
      </c>
      <c r="K291" s="26">
        <f t="shared" si="55"/>
        <v>0.97979772691868361</v>
      </c>
      <c r="L291" s="27">
        <f t="shared" ca="1" si="56"/>
        <v>0</v>
      </c>
      <c r="M291" s="27">
        <f t="shared" ca="1" si="57"/>
        <v>1841.9994672613561</v>
      </c>
      <c r="N291" s="28">
        <f t="shared" ca="1" si="58"/>
        <v>7.7214160214027203E-2</v>
      </c>
      <c r="O291" s="29">
        <f t="shared" ca="1" si="59"/>
        <v>600000</v>
      </c>
      <c r="P291" s="30">
        <f t="shared" ca="1" si="60"/>
        <v>25.151199526293293</v>
      </c>
    </row>
    <row r="292" spans="1:16" x14ac:dyDescent="0.25">
      <c r="A292" s="3">
        <f t="shared" si="61"/>
        <v>46520</v>
      </c>
      <c r="B292" s="21">
        <f t="shared" si="52"/>
        <v>36659</v>
      </c>
      <c r="C292" s="21">
        <f t="shared" si="53"/>
        <v>36697</v>
      </c>
      <c r="D292" s="1">
        <f t="shared" si="62"/>
        <v>0</v>
      </c>
      <c r="E292" s="3">
        <f t="array" ref="E292">INDEX($A$9:A291, MAX(IF($D$9:D291=1, ROW(D$9:$D291)-ROW($D$9)+1, 0)))</f>
        <v>46468</v>
      </c>
      <c r="F292" s="23">
        <f t="shared" si="54"/>
        <v>1.0814510609171799</v>
      </c>
      <c r="G292" s="5">
        <f>INDEX('Default Prob'!$P$5:$P$14,MIN(1+_xlfn.IFNA(MATCH(F292,'Default Prob'!$F$5:$F$14,1),0),COUNT('Default Prob'!$P$5:$P$14)))</f>
        <v>1.6062593678540758E-2</v>
      </c>
      <c r="H292" s="5">
        <f t="shared" si="63"/>
        <v>0.97278513852965676</v>
      </c>
      <c r="I292" s="24">
        <f t="shared" si="64"/>
        <v>4.278109788335982E-5</v>
      </c>
      <c r="J292" s="25">
        <f>INDEX('Default Prob'!$C$3:$C$13, _xlfn.IFNA(MATCH(F292, 'Default Prob'!$B$3:$B$13, 1), 1))</f>
        <v>1.9099999999999999E-2</v>
      </c>
      <c r="K292" s="26">
        <f t="shared" si="55"/>
        <v>0.97974697488567453</v>
      </c>
      <c r="L292" s="27">
        <f t="shared" ca="1" si="56"/>
        <v>0</v>
      </c>
      <c r="M292" s="27">
        <f t="shared" ca="1" si="57"/>
        <v>1878.1171038743239</v>
      </c>
      <c r="N292" s="28">
        <f t="shared" ca="1" si="58"/>
        <v>7.8720623384581634E-2</v>
      </c>
      <c r="O292" s="29">
        <f t="shared" ca="1" si="59"/>
        <v>600000</v>
      </c>
      <c r="P292" s="30">
        <f t="shared" ca="1" si="60"/>
        <v>25.148790740105831</v>
      </c>
    </row>
    <row r="293" spans="1:16" x14ac:dyDescent="0.25">
      <c r="A293" s="3">
        <f t="shared" si="61"/>
        <v>46521</v>
      </c>
      <c r="B293" s="21">
        <f t="shared" si="52"/>
        <v>36660</v>
      </c>
      <c r="C293" s="21">
        <f t="shared" si="53"/>
        <v>36697</v>
      </c>
      <c r="D293" s="1">
        <f t="shared" si="62"/>
        <v>0</v>
      </c>
      <c r="E293" s="3">
        <f t="array" ref="E293">INDEX($A$9:A292, MAX(IF($D$9:D292=1, ROW(D$9:$D292)-ROW($D$9)+1, 0)))</f>
        <v>46468</v>
      </c>
      <c r="F293" s="23">
        <f t="shared" si="54"/>
        <v>1.0841889117043122</v>
      </c>
      <c r="G293" s="5">
        <f>INDEX('Default Prob'!$P$5:$P$14,MIN(1+_xlfn.IFNA(MATCH(F293,'Default Prob'!$F$5:$F$14,1),0),COUNT('Default Prob'!$P$5:$P$14)))</f>
        <v>1.6062593678540758E-2</v>
      </c>
      <c r="H293" s="5">
        <f t="shared" si="63"/>
        <v>0.9727423593131157</v>
      </c>
      <c r="I293" s="24">
        <f t="shared" si="64"/>
        <v>4.2779216541055654E-5</v>
      </c>
      <c r="J293" s="25">
        <f>INDEX('Default Prob'!$C$3:$C$13, _xlfn.IFNA(MATCH(F293, 'Default Prob'!$B$3:$B$13, 1), 1))</f>
        <v>1.9099999999999999E-2</v>
      </c>
      <c r="K293" s="26">
        <f t="shared" si="55"/>
        <v>0.97969622548154334</v>
      </c>
      <c r="L293" s="27">
        <f t="shared" ca="1" si="56"/>
        <v>0</v>
      </c>
      <c r="M293" s="27">
        <f t="shared" ca="1" si="57"/>
        <v>1914.2347404872917</v>
      </c>
      <c r="N293" s="28">
        <f t="shared" ca="1" si="58"/>
        <v>8.0226797292213353E-2</v>
      </c>
      <c r="O293" s="29">
        <f t="shared" ca="1" si="59"/>
        <v>600000</v>
      </c>
      <c r="P293" s="30">
        <f t="shared" ca="1" si="60"/>
        <v>25.146382184597897</v>
      </c>
    </row>
    <row r="294" spans="1:16" x14ac:dyDescent="0.25">
      <c r="A294" s="3">
        <f t="shared" si="61"/>
        <v>46524</v>
      </c>
      <c r="B294" s="21">
        <f t="shared" si="52"/>
        <v>36663</v>
      </c>
      <c r="C294" s="21">
        <f t="shared" si="53"/>
        <v>36697</v>
      </c>
      <c r="D294" s="1">
        <f t="shared" si="62"/>
        <v>0</v>
      </c>
      <c r="E294" s="3">
        <f t="array" ref="E294">INDEX($A$9:A293, MAX(IF($D$9:D293=1, ROW(D$9:$D293)-ROW($D$9)+1, 0)))</f>
        <v>46468</v>
      </c>
      <c r="F294" s="23">
        <f t="shared" si="54"/>
        <v>1.0924024640657084</v>
      </c>
      <c r="G294" s="5">
        <f>INDEX('Default Prob'!$P$5:$P$14,MIN(1+_xlfn.IFNA(MATCH(F294,'Default Prob'!$F$5:$F$14,1),0),COUNT('Default Prob'!$P$5:$P$14)))</f>
        <v>1.6062593678540758E-2</v>
      </c>
      <c r="H294" s="5">
        <f t="shared" si="63"/>
        <v>0.97261403295071913</v>
      </c>
      <c r="I294" s="24">
        <f t="shared" si="64"/>
        <v>1.2832636239656914E-4</v>
      </c>
      <c r="J294" s="25">
        <f>INDEX('Default Prob'!$C$3:$C$13, _xlfn.IFNA(MATCH(F294, 'Default Prob'!$B$3:$B$13, 1), 1))</f>
        <v>1.9099999999999999E-2</v>
      </c>
      <c r="K294" s="26">
        <f t="shared" si="55"/>
        <v>0.97954399304105766</v>
      </c>
      <c r="L294" s="27">
        <f t="shared" ca="1" si="56"/>
        <v>0</v>
      </c>
      <c r="M294" s="27">
        <f t="shared" ca="1" si="57"/>
        <v>2022.587650326195</v>
      </c>
      <c r="N294" s="28">
        <f t="shared" ca="1" si="58"/>
        <v>0.25424193227248792</v>
      </c>
      <c r="O294" s="29">
        <f t="shared" ca="1" si="59"/>
        <v>600000</v>
      </c>
      <c r="P294" s="30">
        <f t="shared" ca="1" si="60"/>
        <v>75.420790460621504</v>
      </c>
    </row>
    <row r="295" spans="1:16" x14ac:dyDescent="0.25">
      <c r="A295" s="3">
        <f t="shared" si="61"/>
        <v>46525</v>
      </c>
      <c r="B295" s="21">
        <f t="shared" si="52"/>
        <v>36664</v>
      </c>
      <c r="C295" s="21">
        <f t="shared" si="53"/>
        <v>36697</v>
      </c>
      <c r="D295" s="1">
        <f t="shared" si="62"/>
        <v>0</v>
      </c>
      <c r="E295" s="3">
        <f t="array" ref="E295">INDEX($A$9:A294, MAX(IF($D$9:D294=1, ROW(D$9:$D294)-ROW($D$9)+1, 0)))</f>
        <v>46468</v>
      </c>
      <c r="F295" s="23">
        <f t="shared" si="54"/>
        <v>1.0951403148528405</v>
      </c>
      <c r="G295" s="5">
        <f>INDEX('Default Prob'!$P$5:$P$14,MIN(1+_xlfn.IFNA(MATCH(F295,'Default Prob'!$F$5:$F$14,1),0),COUNT('Default Prob'!$P$5:$P$14)))</f>
        <v>1.6062593678540758E-2</v>
      </c>
      <c r="H295" s="5">
        <f t="shared" si="63"/>
        <v>0.97257126125872007</v>
      </c>
      <c r="I295" s="24">
        <f t="shared" si="64"/>
        <v>4.2771691999066164E-5</v>
      </c>
      <c r="J295" s="25">
        <f>INDEX('Default Prob'!$C$3:$C$13, _xlfn.IFNA(MATCH(F295, 'Default Prob'!$B$3:$B$13, 1), 1))</f>
        <v>1.9099999999999999E-2</v>
      </c>
      <c r="K295" s="26">
        <f t="shared" si="55"/>
        <v>0.9794932541510778</v>
      </c>
      <c r="L295" s="27">
        <f t="shared" ca="1" si="56"/>
        <v>0</v>
      </c>
      <c r="M295" s="27">
        <f t="shared" ca="1" si="57"/>
        <v>2058.7052869391628</v>
      </c>
      <c r="N295" s="28">
        <f t="shared" ca="1" si="58"/>
        <v>8.624860112552811E-2</v>
      </c>
      <c r="O295" s="29">
        <f t="shared" ca="1" si="59"/>
        <v>600000</v>
      </c>
      <c r="P295" s="30">
        <f t="shared" ca="1" si="60"/>
        <v>25.136750269027761</v>
      </c>
    </row>
    <row r="296" spans="1:16" x14ac:dyDescent="0.25">
      <c r="A296" s="3">
        <f t="shared" si="61"/>
        <v>46526</v>
      </c>
      <c r="B296" s="21">
        <f t="shared" si="52"/>
        <v>36665</v>
      </c>
      <c r="C296" s="21">
        <f t="shared" si="53"/>
        <v>36697</v>
      </c>
      <c r="D296" s="1">
        <f t="shared" si="62"/>
        <v>0</v>
      </c>
      <c r="E296" s="3">
        <f t="array" ref="E296">INDEX($A$9:A295, MAX(IF($D$9:D295=1, ROW(D$9:$D295)-ROW($D$9)+1, 0)))</f>
        <v>46468</v>
      </c>
      <c r="F296" s="23">
        <f t="shared" si="54"/>
        <v>1.0978781656399725</v>
      </c>
      <c r="G296" s="5">
        <f>INDEX('Default Prob'!$P$5:$P$14,MIN(1+_xlfn.IFNA(MATCH(F296,'Default Prob'!$F$5:$F$14,1),0),COUNT('Default Prob'!$P$5:$P$14)))</f>
        <v>1.6062593678540758E-2</v>
      </c>
      <c r="H296" s="5">
        <f t="shared" si="63"/>
        <v>0.97252849144764975</v>
      </c>
      <c r="I296" s="24">
        <f t="shared" si="64"/>
        <v>4.2769811070320074E-5</v>
      </c>
      <c r="J296" s="25">
        <f>INDEX('Default Prob'!$C$3:$C$13, _xlfn.IFNA(MATCH(F296, 'Default Prob'!$B$3:$B$13, 1), 1))</f>
        <v>1.9099999999999999E-2</v>
      </c>
      <c r="K296" s="26">
        <f t="shared" si="55"/>
        <v>0.97944251788929526</v>
      </c>
      <c r="L296" s="27">
        <f t="shared" ca="1" si="56"/>
        <v>0</v>
      </c>
      <c r="M296" s="27">
        <f t="shared" ca="1" si="57"/>
        <v>2094.8229235521303</v>
      </c>
      <c r="N296" s="28">
        <f t="shared" ca="1" si="58"/>
        <v>8.7753329342351458E-2</v>
      </c>
      <c r="O296" s="29">
        <f t="shared" ca="1" si="59"/>
        <v>600000</v>
      </c>
      <c r="P296" s="30">
        <f t="shared" ca="1" si="60"/>
        <v>25.134342866618248</v>
      </c>
    </row>
    <row r="297" spans="1:16" x14ac:dyDescent="0.25">
      <c r="A297" s="3">
        <f t="shared" si="61"/>
        <v>46527</v>
      </c>
      <c r="B297" s="21">
        <f t="shared" si="52"/>
        <v>36666</v>
      </c>
      <c r="C297" s="21">
        <f t="shared" si="53"/>
        <v>36697</v>
      </c>
      <c r="D297" s="1">
        <f t="shared" si="62"/>
        <v>0</v>
      </c>
      <c r="E297" s="3">
        <f t="array" ref="E297">INDEX($A$9:A296, MAX(IF($D$9:D296=1, ROW(D$9:$D296)-ROW($D$9)+1, 0)))</f>
        <v>46468</v>
      </c>
      <c r="F297" s="23">
        <f t="shared" si="54"/>
        <v>1.1006160164271048</v>
      </c>
      <c r="G297" s="5">
        <f>INDEX('Default Prob'!$P$5:$P$14,MIN(1+_xlfn.IFNA(MATCH(F297,'Default Prob'!$F$5:$F$14,1),0),COUNT('Default Prob'!$P$5:$P$14)))</f>
        <v>1.6062593678540758E-2</v>
      </c>
      <c r="H297" s="5">
        <f t="shared" si="63"/>
        <v>0.97248572351742535</v>
      </c>
      <c r="I297" s="24">
        <f t="shared" si="64"/>
        <v>4.2767930224396622E-5</v>
      </c>
      <c r="J297" s="25">
        <f>INDEX('Default Prob'!$C$3:$C$13, _xlfn.IFNA(MATCH(F297, 'Default Prob'!$B$3:$B$13, 1), 1))</f>
        <v>1.9099999999999999E-2</v>
      </c>
      <c r="K297" s="26">
        <f t="shared" si="55"/>
        <v>0.97939178425557383</v>
      </c>
      <c r="L297" s="27">
        <f t="shared" ca="1" si="56"/>
        <v>0</v>
      </c>
      <c r="M297" s="27">
        <f t="shared" ca="1" si="57"/>
        <v>2130.9405601650983</v>
      </c>
      <c r="N297" s="28">
        <f t="shared" ca="1" si="58"/>
        <v>8.9257768545970659E-2</v>
      </c>
      <c r="O297" s="29">
        <f t="shared" ca="1" si="59"/>
        <v>600000</v>
      </c>
      <c r="P297" s="30">
        <f t="shared" ca="1" si="60"/>
        <v>25.131935694833814</v>
      </c>
    </row>
    <row r="298" spans="1:16" x14ac:dyDescent="0.25">
      <c r="A298" s="3">
        <f t="shared" si="61"/>
        <v>46528</v>
      </c>
      <c r="B298" s="21">
        <f t="shared" si="52"/>
        <v>36667</v>
      </c>
      <c r="C298" s="21">
        <f t="shared" si="53"/>
        <v>36697</v>
      </c>
      <c r="D298" s="1">
        <f t="shared" si="62"/>
        <v>0</v>
      </c>
      <c r="E298" s="3">
        <f t="array" ref="E298">INDEX($A$9:A297, MAX(IF($D$9:D297=1, ROW(D$9:$D297)-ROW($D$9)+1, 0)))</f>
        <v>46468</v>
      </c>
      <c r="F298" s="23">
        <f t="shared" si="54"/>
        <v>1.1033538672142369</v>
      </c>
      <c r="G298" s="5">
        <f>INDEX('Default Prob'!$P$5:$P$14,MIN(1+_xlfn.IFNA(MATCH(F298,'Default Prob'!$F$5:$F$14,1),0),COUNT('Default Prob'!$P$5:$P$14)))</f>
        <v>1.6062593678540758E-2</v>
      </c>
      <c r="H298" s="5">
        <f t="shared" si="63"/>
        <v>0.97244295746796428</v>
      </c>
      <c r="I298" s="24">
        <f t="shared" si="64"/>
        <v>4.2766049461073763E-5</v>
      </c>
      <c r="J298" s="25">
        <f>INDEX('Default Prob'!$C$3:$C$13, _xlfn.IFNA(MATCH(F298, 'Default Prob'!$B$3:$B$13, 1), 1))</f>
        <v>1.9099999999999999E-2</v>
      </c>
      <c r="K298" s="26">
        <f t="shared" si="55"/>
        <v>0.9793410532497776</v>
      </c>
      <c r="L298" s="27">
        <f t="shared" ca="1" si="56"/>
        <v>0</v>
      </c>
      <c r="M298" s="27">
        <f t="shared" ca="1" si="57"/>
        <v>2167.0581967780658</v>
      </c>
      <c r="N298" s="28">
        <f t="shared" ca="1" si="58"/>
        <v>9.0761918777490597E-2</v>
      </c>
      <c r="O298" s="29">
        <f t="shared" ca="1" si="59"/>
        <v>600000</v>
      </c>
      <c r="P298" s="30">
        <f t="shared" ca="1" si="60"/>
        <v>25.129528753524038</v>
      </c>
    </row>
    <row r="299" spans="1:16" x14ac:dyDescent="0.25">
      <c r="A299" s="3">
        <f t="shared" si="61"/>
        <v>46531</v>
      </c>
      <c r="B299" s="21">
        <f t="shared" si="52"/>
        <v>36670</v>
      </c>
      <c r="C299" s="21">
        <f t="shared" si="53"/>
        <v>36697</v>
      </c>
      <c r="D299" s="1">
        <f t="shared" si="62"/>
        <v>0</v>
      </c>
      <c r="E299" s="3">
        <f t="array" ref="E299">INDEX($A$9:A298, MAX(IF($D$9:D298=1, ROW(D$9:$D298)-ROW($D$9)+1, 0)))</f>
        <v>46468</v>
      </c>
      <c r="F299" s="23">
        <f t="shared" si="54"/>
        <v>1.1115674195756331</v>
      </c>
      <c r="G299" s="5">
        <f>INDEX('Default Prob'!$P$5:$P$14,MIN(1+_xlfn.IFNA(MATCH(F299,'Default Prob'!$F$5:$F$14,1),0),COUNT('Default Prob'!$P$5:$P$14)))</f>
        <v>1.6062593678540758E-2</v>
      </c>
      <c r="H299" s="5">
        <f t="shared" si="63"/>
        <v>0.97231467060333332</v>
      </c>
      <c r="I299" s="24">
        <f t="shared" si="64"/>
        <v>1.282868646309554E-4</v>
      </c>
      <c r="J299" s="25">
        <f>INDEX('Default Prob'!$C$3:$C$13, _xlfn.IFNA(MATCH(F299, 'Default Prob'!$B$3:$B$13, 1), 1))</f>
        <v>1.9099999999999999E-2</v>
      </c>
      <c r="K299" s="26">
        <f t="shared" si="55"/>
        <v>0.9791888759985784</v>
      </c>
      <c r="L299" s="27">
        <f t="shared" ca="1" si="56"/>
        <v>0</v>
      </c>
      <c r="M299" s="27">
        <f t="shared" ca="1" si="57"/>
        <v>2275.4111066169694</v>
      </c>
      <c r="N299" s="28">
        <f t="shared" ca="1" si="58"/>
        <v>0.28583047804116329</v>
      </c>
      <c r="O299" s="29">
        <f t="shared" ca="1" si="59"/>
        <v>600000</v>
      </c>
      <c r="P299" s="30">
        <f t="shared" ca="1" si="60"/>
        <v>75.370242470020202</v>
      </c>
    </row>
    <row r="300" spans="1:16" x14ac:dyDescent="0.25">
      <c r="A300" s="3">
        <f t="shared" si="61"/>
        <v>46532</v>
      </c>
      <c r="B300" s="21">
        <f t="shared" si="52"/>
        <v>36671</v>
      </c>
      <c r="C300" s="21">
        <f t="shared" si="53"/>
        <v>36697</v>
      </c>
      <c r="D300" s="1">
        <f t="shared" si="62"/>
        <v>0</v>
      </c>
      <c r="E300" s="3">
        <f t="array" ref="E300">INDEX($A$9:A299, MAX(IF($D$9:D299=1, ROW(D$9:$D299)-ROW($D$9)+1, 0)))</f>
        <v>46468</v>
      </c>
      <c r="F300" s="23">
        <f t="shared" si="54"/>
        <v>1.1143052703627652</v>
      </c>
      <c r="G300" s="5">
        <f>INDEX('Default Prob'!$P$5:$P$14,MIN(1+_xlfn.IFNA(MATCH(F300,'Default Prob'!$F$5:$F$14,1),0),COUNT('Default Prob'!$P$5:$P$14)))</f>
        <v>1.6062593678540758E-2</v>
      </c>
      <c r="H300" s="5">
        <f t="shared" si="63"/>
        <v>0.9722719120760982</v>
      </c>
      <c r="I300" s="24">
        <f t="shared" si="64"/>
        <v>4.2758527235120525E-5</v>
      </c>
      <c r="J300" s="25">
        <f>INDEX('Default Prob'!$C$3:$C$13, _xlfn.IFNA(MATCH(F300, 'Default Prob'!$B$3:$B$13, 1), 1))</f>
        <v>1.9099999999999999E-2</v>
      </c>
      <c r="K300" s="26">
        <f t="shared" si="55"/>
        <v>0.97913815550312144</v>
      </c>
      <c r="L300" s="27">
        <f t="shared" ca="1" si="56"/>
        <v>0</v>
      </c>
      <c r="M300" s="27">
        <f t="shared" ca="1" si="57"/>
        <v>2311.5287432299369</v>
      </c>
      <c r="N300" s="28">
        <f t="shared" ca="1" si="58"/>
        <v>9.677563081647729E-2</v>
      </c>
      <c r="O300" s="29">
        <f t="shared" ca="1" si="59"/>
        <v>600000</v>
      </c>
      <c r="P300" s="30">
        <f t="shared" ca="1" si="60"/>
        <v>25.119903293415536</v>
      </c>
    </row>
    <row r="301" spans="1:16" x14ac:dyDescent="0.25">
      <c r="A301" s="3">
        <f t="shared" si="61"/>
        <v>46533</v>
      </c>
      <c r="B301" s="21">
        <f t="shared" si="52"/>
        <v>36672</v>
      </c>
      <c r="C301" s="21">
        <f t="shared" si="53"/>
        <v>36697</v>
      </c>
      <c r="D301" s="1">
        <f t="shared" si="62"/>
        <v>0</v>
      </c>
      <c r="E301" s="3">
        <f t="array" ref="E301">INDEX($A$9:A300, MAX(IF($D$9:D300=1, ROW(D$9:$D300)-ROW($D$9)+1, 0)))</f>
        <v>46468</v>
      </c>
      <c r="F301" s="23">
        <f t="shared" si="54"/>
        <v>1.1170431211498972</v>
      </c>
      <c r="G301" s="5">
        <f>INDEX('Default Prob'!$P$5:$P$14,MIN(1+_xlfn.IFNA(MATCH(F301,'Default Prob'!$F$5:$F$14,1),0),COUNT('Default Prob'!$P$5:$P$14)))</f>
        <v>1.6062593678540758E-2</v>
      </c>
      <c r="H301" s="5">
        <f t="shared" si="63"/>
        <v>0.97222915542921284</v>
      </c>
      <c r="I301" s="24">
        <f t="shared" si="64"/>
        <v>4.2756646885355742E-5</v>
      </c>
      <c r="J301" s="25">
        <f>INDEX('Default Prob'!$C$3:$C$13, _xlfn.IFNA(MATCH(F301, 'Default Prob'!$B$3:$B$13, 1), 1))</f>
        <v>1.9099999999999999E-2</v>
      </c>
      <c r="K301" s="26">
        <f t="shared" si="55"/>
        <v>0.97908743763490913</v>
      </c>
      <c r="L301" s="27">
        <f t="shared" ca="1" si="56"/>
        <v>0</v>
      </c>
      <c r="M301" s="27">
        <f t="shared" ca="1" si="57"/>
        <v>2347.6463798429049</v>
      </c>
      <c r="N301" s="28">
        <f t="shared" ca="1" si="58"/>
        <v>9.8278336811945075E-2</v>
      </c>
      <c r="O301" s="29">
        <f t="shared" ca="1" si="59"/>
        <v>600000</v>
      </c>
      <c r="P301" s="30">
        <f t="shared" ca="1" si="60"/>
        <v>25.117497504506144</v>
      </c>
    </row>
    <row r="302" spans="1:16" x14ac:dyDescent="0.25">
      <c r="A302" s="3">
        <f t="shared" si="61"/>
        <v>46534</v>
      </c>
      <c r="B302" s="21">
        <f t="shared" si="52"/>
        <v>36673</v>
      </c>
      <c r="C302" s="21">
        <f t="shared" si="53"/>
        <v>36697</v>
      </c>
      <c r="D302" s="1">
        <f t="shared" si="62"/>
        <v>0</v>
      </c>
      <c r="E302" s="3">
        <f t="array" ref="E302">INDEX($A$9:A301, MAX(IF($D$9:D301=1, ROW(D$9:$D301)-ROW($D$9)+1, 0)))</f>
        <v>46468</v>
      </c>
      <c r="F302" s="23">
        <f t="shared" si="54"/>
        <v>1.1197809719370295</v>
      </c>
      <c r="G302" s="5">
        <f>INDEX('Default Prob'!$P$5:$P$14,MIN(1+_xlfn.IFNA(MATCH(F302,'Default Prob'!$F$5:$F$14,1),0),COUNT('Default Prob'!$P$5:$P$14)))</f>
        <v>1.6062593678540758E-2</v>
      </c>
      <c r="H302" s="5">
        <f t="shared" si="63"/>
        <v>0.97218640066259454</v>
      </c>
      <c r="I302" s="24">
        <f t="shared" si="64"/>
        <v>4.2754766618302575E-5</v>
      </c>
      <c r="J302" s="25">
        <f>INDEX('Default Prob'!$C$3:$C$13, _xlfn.IFNA(MATCH(F302, 'Default Prob'!$B$3:$B$13, 1), 1))</f>
        <v>1.9099999999999999E-2</v>
      </c>
      <c r="K302" s="26">
        <f t="shared" si="55"/>
        <v>0.97903672239380524</v>
      </c>
      <c r="L302" s="27">
        <f t="shared" ca="1" si="56"/>
        <v>0</v>
      </c>
      <c r="M302" s="27">
        <f t="shared" ca="1" si="57"/>
        <v>2383.7640164558725</v>
      </c>
      <c r="N302" s="28">
        <f t="shared" ca="1" si="58"/>
        <v>9.978075408482677E-2</v>
      </c>
      <c r="O302" s="29">
        <f t="shared" ca="1" si="59"/>
        <v>600000</v>
      </c>
      <c r="P302" s="30">
        <f t="shared" ca="1" si="60"/>
        <v>25.115091946017017</v>
      </c>
    </row>
    <row r="303" spans="1:16" x14ac:dyDescent="0.25">
      <c r="A303" s="3">
        <f t="shared" si="61"/>
        <v>46535</v>
      </c>
      <c r="B303" s="21">
        <f t="shared" si="52"/>
        <v>36674</v>
      </c>
      <c r="C303" s="21">
        <f t="shared" si="53"/>
        <v>36697</v>
      </c>
      <c r="D303" s="1">
        <f t="shared" si="62"/>
        <v>0</v>
      </c>
      <c r="E303" s="3">
        <f t="array" ref="E303">INDEX($A$9:A302, MAX(IF($D$9:D302=1, ROW(D$9:$D302)-ROW($D$9)+1, 0)))</f>
        <v>46468</v>
      </c>
      <c r="F303" s="23">
        <f t="shared" si="54"/>
        <v>1.1225188227241616</v>
      </c>
      <c r="G303" s="5">
        <f>INDEX('Default Prob'!$P$5:$P$14,MIN(1+_xlfn.IFNA(MATCH(F303,'Default Prob'!$F$5:$F$14,1),0),COUNT('Default Prob'!$P$5:$P$14)))</f>
        <v>1.6062593678540758E-2</v>
      </c>
      <c r="H303" s="5">
        <f t="shared" si="63"/>
        <v>0.97214364777616058</v>
      </c>
      <c r="I303" s="24">
        <f t="shared" si="64"/>
        <v>4.2752886433961024E-5</v>
      </c>
      <c r="J303" s="25">
        <f>INDEX('Default Prob'!$C$3:$C$13, _xlfn.IFNA(MATCH(F303, 'Default Prob'!$B$3:$B$13, 1), 1))</f>
        <v>1.9099999999999999E-2</v>
      </c>
      <c r="K303" s="26">
        <f t="shared" si="55"/>
        <v>0.97898600977967376</v>
      </c>
      <c r="L303" s="27">
        <f t="shared" ca="1" si="56"/>
        <v>0</v>
      </c>
      <c r="M303" s="27">
        <f t="shared" ca="1" si="57"/>
        <v>2419.8816530688405</v>
      </c>
      <c r="N303" s="28">
        <f t="shared" ca="1" si="58"/>
        <v>0.10128288267665318</v>
      </c>
      <c r="O303" s="29">
        <f t="shared" ca="1" si="59"/>
        <v>600000</v>
      </c>
      <c r="P303" s="30">
        <f t="shared" ca="1" si="60"/>
        <v>25.11268661792823</v>
      </c>
    </row>
    <row r="304" spans="1:16" x14ac:dyDescent="0.25">
      <c r="A304" s="3">
        <f t="shared" si="61"/>
        <v>46538</v>
      </c>
      <c r="B304" s="21">
        <f t="shared" si="52"/>
        <v>36677</v>
      </c>
      <c r="C304" s="21">
        <f t="shared" si="53"/>
        <v>36697</v>
      </c>
      <c r="D304" s="1">
        <f t="shared" si="62"/>
        <v>0</v>
      </c>
      <c r="E304" s="3">
        <f t="array" ref="E304">INDEX($A$9:A303, MAX(IF($D$9:D303=1, ROW(D$9:$D303)-ROW($D$9)+1, 0)))</f>
        <v>46468</v>
      </c>
      <c r="F304" s="23">
        <f t="shared" si="54"/>
        <v>1.1307323750855578</v>
      </c>
      <c r="G304" s="5">
        <f>INDEX('Default Prob'!$P$5:$P$14,MIN(1+_xlfn.IFNA(MATCH(F304,'Default Prob'!$F$5:$F$14,1),0),COUNT('Default Prob'!$P$5:$P$14)))</f>
        <v>1.6062593678540758E-2</v>
      </c>
      <c r="H304" s="5">
        <f t="shared" si="63"/>
        <v>0.97201540039713819</v>
      </c>
      <c r="I304" s="24">
        <f t="shared" si="64"/>
        <v>1.282473790223948E-4</v>
      </c>
      <c r="J304" s="25">
        <f>INDEX('Default Prob'!$C$3:$C$13, _xlfn.IFNA(MATCH(F304, 'Default Prob'!$B$3:$B$13, 1), 1))</f>
        <v>1.9099999999999999E-2</v>
      </c>
      <c r="K304" s="26">
        <f t="shared" si="55"/>
        <v>0.97883388769775326</v>
      </c>
      <c r="L304" s="27">
        <f t="shared" ca="1" si="56"/>
        <v>0</v>
      </c>
      <c r="M304" s="27">
        <f t="shared" ca="1" si="57"/>
        <v>2528.2345629077436</v>
      </c>
      <c r="N304" s="28">
        <f t="shared" ca="1" si="58"/>
        <v>0.31737656750300997</v>
      </c>
      <c r="O304" s="29">
        <f t="shared" ca="1" si="59"/>
        <v>600000</v>
      </c>
      <c r="P304" s="30">
        <f t="shared" ca="1" si="60"/>
        <v>75.319728357322802</v>
      </c>
    </row>
    <row r="305" spans="1:16" x14ac:dyDescent="0.25">
      <c r="A305" s="3">
        <f t="shared" si="61"/>
        <v>46539</v>
      </c>
      <c r="B305" s="21">
        <f t="shared" si="52"/>
        <v>36678</v>
      </c>
      <c r="C305" s="21">
        <f t="shared" si="53"/>
        <v>36697</v>
      </c>
      <c r="D305" s="1">
        <f t="shared" si="62"/>
        <v>0</v>
      </c>
      <c r="E305" s="3">
        <f t="array" ref="E305">INDEX($A$9:A304, MAX(IF($D$9:D304=1, ROW(D$9:$D304)-ROW($D$9)+1, 0)))</f>
        <v>46468</v>
      </c>
      <c r="F305" s="23">
        <f t="shared" si="54"/>
        <v>1.1334702258726899</v>
      </c>
      <c r="G305" s="5">
        <f>INDEX('Default Prob'!$P$5:$P$14,MIN(1+_xlfn.IFNA(MATCH(F305,'Default Prob'!$F$5:$F$14,1),0),COUNT('Default Prob'!$P$5:$P$14)))</f>
        <v>1.6062593678540758E-2</v>
      </c>
      <c r="H305" s="5">
        <f t="shared" si="63"/>
        <v>0.97197265503061492</v>
      </c>
      <c r="I305" s="24">
        <f t="shared" si="64"/>
        <v>4.2745366523266881E-5</v>
      </c>
      <c r="J305" s="25">
        <f>INDEX('Default Prob'!$C$3:$C$13, _xlfn.IFNA(MATCH(F305, 'Default Prob'!$B$3:$B$13, 1), 1))</f>
        <v>1.9099999999999999E-2</v>
      </c>
      <c r="K305" s="26">
        <f t="shared" si="55"/>
        <v>0.97878318559015065</v>
      </c>
      <c r="L305" s="27">
        <f t="shared" ca="1" si="56"/>
        <v>0</v>
      </c>
      <c r="M305" s="27">
        <f t="shared" ca="1" si="57"/>
        <v>2564.3521995207116</v>
      </c>
      <c r="N305" s="28">
        <f t="shared" ca="1" si="58"/>
        <v>0.10728851106273925</v>
      </c>
      <c r="O305" s="29">
        <f t="shared" ca="1" si="59"/>
        <v>600000</v>
      </c>
      <c r="P305" s="30">
        <f t="shared" ca="1" si="60"/>
        <v>25.103067608917044</v>
      </c>
    </row>
    <row r="306" spans="1:16" x14ac:dyDescent="0.25">
      <c r="A306" s="3">
        <f t="shared" si="61"/>
        <v>46540</v>
      </c>
      <c r="B306" s="21">
        <f t="shared" si="52"/>
        <v>36679</v>
      </c>
      <c r="C306" s="21">
        <f t="shared" si="53"/>
        <v>36697</v>
      </c>
      <c r="D306" s="1">
        <f t="shared" si="62"/>
        <v>0</v>
      </c>
      <c r="E306" s="3">
        <f t="array" ref="E306">INDEX($A$9:A305, MAX(IF($D$9:D305=1, ROW(D$9:$D305)-ROW($D$9)+1, 0)))</f>
        <v>46468</v>
      </c>
      <c r="F306" s="23">
        <f t="shared" si="54"/>
        <v>1.1362080766598219</v>
      </c>
      <c r="G306" s="5">
        <f>INDEX('Default Prob'!$P$5:$P$14,MIN(1+_xlfn.IFNA(MATCH(F306,'Default Prob'!$F$5:$F$14,1),0),COUNT('Default Prob'!$P$5:$P$14)))</f>
        <v>1.6062593678540758E-2</v>
      </c>
      <c r="H306" s="5">
        <f t="shared" si="63"/>
        <v>0.97192991154386266</v>
      </c>
      <c r="I306" s="24">
        <f t="shared" si="64"/>
        <v>4.2743486752261362E-5</v>
      </c>
      <c r="J306" s="25">
        <f>INDEX('Default Prob'!$C$3:$C$13, _xlfn.IFNA(MATCH(F306, 'Default Prob'!$B$3:$B$13, 1), 1))</f>
        <v>1.9099999999999999E-2</v>
      </c>
      <c r="K306" s="26">
        <f t="shared" si="55"/>
        <v>0.97873248610884012</v>
      </c>
      <c r="L306" s="27">
        <f t="shared" ca="1" si="56"/>
        <v>0</v>
      </c>
      <c r="M306" s="27">
        <f t="shared" ca="1" si="57"/>
        <v>2600.4698361336791</v>
      </c>
      <c r="N306" s="28">
        <f t="shared" ca="1" si="58"/>
        <v>0.10878919687150246</v>
      </c>
      <c r="O306" s="29">
        <f t="shared" ca="1" si="59"/>
        <v>600000</v>
      </c>
      <c r="P306" s="30">
        <f t="shared" ca="1" si="60"/>
        <v>25.100663432400619</v>
      </c>
    </row>
    <row r="307" spans="1:16" x14ac:dyDescent="0.25">
      <c r="A307" s="3">
        <f t="shared" si="61"/>
        <v>46541</v>
      </c>
      <c r="B307" s="21">
        <f t="shared" si="52"/>
        <v>36680</v>
      </c>
      <c r="C307" s="21">
        <f t="shared" si="53"/>
        <v>36697</v>
      </c>
      <c r="D307" s="1">
        <f t="shared" si="62"/>
        <v>0</v>
      </c>
      <c r="E307" s="3">
        <f t="array" ref="E307">INDEX($A$9:A306, MAX(IF($D$9:D306=1, ROW(D$9:$D306)-ROW($D$9)+1, 0)))</f>
        <v>46468</v>
      </c>
      <c r="F307" s="23">
        <f t="shared" si="54"/>
        <v>1.1389459274469542</v>
      </c>
      <c r="G307" s="5">
        <f>INDEX('Default Prob'!$P$5:$P$14,MIN(1+_xlfn.IFNA(MATCH(F307,'Default Prob'!$F$5:$F$14,1),0),COUNT('Default Prob'!$P$5:$P$14)))</f>
        <v>1.6062593678540758E-2</v>
      </c>
      <c r="H307" s="5">
        <f t="shared" si="63"/>
        <v>0.9718871699367988</v>
      </c>
      <c r="I307" s="24">
        <f t="shared" si="64"/>
        <v>4.2741607063856435E-5</v>
      </c>
      <c r="J307" s="25">
        <f>INDEX('Default Prob'!$C$3:$C$13, _xlfn.IFNA(MATCH(F307, 'Default Prob'!$B$3:$B$13, 1), 1))</f>
        <v>1.9099999999999999E-2</v>
      </c>
      <c r="K307" s="26">
        <f t="shared" si="55"/>
        <v>0.97868178925368576</v>
      </c>
      <c r="L307" s="27">
        <f t="shared" ca="1" si="56"/>
        <v>0</v>
      </c>
      <c r="M307" s="27">
        <f t="shared" ca="1" si="57"/>
        <v>2636.5874727466467</v>
      </c>
      <c r="N307" s="28">
        <f t="shared" ca="1" si="58"/>
        <v>0.11028959424799234</v>
      </c>
      <c r="O307" s="29">
        <f t="shared" ca="1" si="59"/>
        <v>600000</v>
      </c>
      <c r="P307" s="30">
        <f t="shared" ca="1" si="60"/>
        <v>25.098259486099796</v>
      </c>
    </row>
    <row r="308" spans="1:16" x14ac:dyDescent="0.25">
      <c r="A308" s="3">
        <f t="shared" si="61"/>
        <v>46542</v>
      </c>
      <c r="B308" s="21">
        <f t="shared" si="52"/>
        <v>36681</v>
      </c>
      <c r="C308" s="21">
        <f t="shared" si="53"/>
        <v>36697</v>
      </c>
      <c r="D308" s="1">
        <f t="shared" si="62"/>
        <v>0</v>
      </c>
      <c r="E308" s="3">
        <f t="array" ref="E308">INDEX($A$9:A307, MAX(IF($D$9:D307=1, ROW(D$9:$D307)-ROW($D$9)+1, 0)))</f>
        <v>46468</v>
      </c>
      <c r="F308" s="23">
        <f t="shared" si="54"/>
        <v>1.1416837782340863</v>
      </c>
      <c r="G308" s="5">
        <f>INDEX('Default Prob'!$P$5:$P$14,MIN(1+_xlfn.IFNA(MATCH(F308,'Default Prob'!$F$5:$F$14,1),0),COUNT('Default Prob'!$P$5:$P$14)))</f>
        <v>1.6062593678540758E-2</v>
      </c>
      <c r="H308" s="5">
        <f t="shared" si="63"/>
        <v>0.97184443020934053</v>
      </c>
      <c r="I308" s="24">
        <f t="shared" si="64"/>
        <v>4.2739727458274146E-5</v>
      </c>
      <c r="J308" s="25">
        <f>INDEX('Default Prob'!$C$3:$C$13, _xlfn.IFNA(MATCH(F308, 'Default Prob'!$B$3:$B$13, 1), 1))</f>
        <v>1.9099999999999999E-2</v>
      </c>
      <c r="K308" s="26">
        <f t="shared" si="55"/>
        <v>0.9786310950245517</v>
      </c>
      <c r="L308" s="27">
        <f t="shared" ca="1" si="56"/>
        <v>0</v>
      </c>
      <c r="M308" s="27">
        <f t="shared" ca="1" si="57"/>
        <v>2672.7051093596151</v>
      </c>
      <c r="N308" s="28">
        <f t="shared" ca="1" si="58"/>
        <v>0.11178970323427527</v>
      </c>
      <c r="O308" s="29">
        <f t="shared" ca="1" si="59"/>
        <v>600000</v>
      </c>
      <c r="P308" s="30">
        <f t="shared" ca="1" si="60"/>
        <v>25.095855770125038</v>
      </c>
    </row>
    <row r="309" spans="1:16" x14ac:dyDescent="0.25">
      <c r="A309" s="3">
        <f t="shared" si="61"/>
        <v>46545</v>
      </c>
      <c r="B309" s="21">
        <f t="shared" si="52"/>
        <v>36684</v>
      </c>
      <c r="C309" s="21">
        <f t="shared" si="53"/>
        <v>36697</v>
      </c>
      <c r="D309" s="1">
        <f t="shared" si="62"/>
        <v>0</v>
      </c>
      <c r="E309" s="3">
        <f t="array" ref="E309">INDEX($A$9:A308, MAX(IF($D$9:D308=1, ROW(D$9:$D308)-ROW($D$9)+1, 0)))</f>
        <v>46468</v>
      </c>
      <c r="F309" s="23">
        <f t="shared" si="54"/>
        <v>1.1498973305954825</v>
      </c>
      <c r="G309" s="5">
        <f>INDEX('Default Prob'!$P$5:$P$14,MIN(1+_xlfn.IFNA(MATCH(F309,'Default Prob'!$F$5:$F$14,1),0),COUNT('Default Prob'!$P$5:$P$14)))</f>
        <v>1.6062593678540758E-2</v>
      </c>
      <c r="H309" s="5">
        <f t="shared" si="63"/>
        <v>0.9717162223037733</v>
      </c>
      <c r="I309" s="24">
        <f t="shared" si="64"/>
        <v>1.2820790556722361E-4</v>
      </c>
      <c r="J309" s="25">
        <f>INDEX('Default Prob'!$C$3:$C$13, _xlfn.IFNA(MATCH(F309, 'Default Prob'!$B$3:$B$13, 1), 1))</f>
        <v>1.9099999999999999E-2</v>
      </c>
      <c r="K309" s="26">
        <f t="shared" si="55"/>
        <v>0.97847902809190879</v>
      </c>
      <c r="L309" s="27">
        <f t="shared" ca="1" si="56"/>
        <v>0</v>
      </c>
      <c r="M309" s="27">
        <f t="shared" ca="1" si="57"/>
        <v>2781.0580191985182</v>
      </c>
      <c r="N309" s="28">
        <f t="shared" ca="1" si="58"/>
        <v>0.34888024337864243</v>
      </c>
      <c r="O309" s="29">
        <f t="shared" ca="1" si="59"/>
        <v>600000</v>
      </c>
      <c r="P309" s="30">
        <f t="shared" ca="1" si="60"/>
        <v>75.269248099869714</v>
      </c>
    </row>
    <row r="310" spans="1:16" x14ac:dyDescent="0.25">
      <c r="A310" s="3">
        <f t="shared" si="61"/>
        <v>46546</v>
      </c>
      <c r="B310" s="21">
        <f t="shared" si="52"/>
        <v>36685</v>
      </c>
      <c r="C310" s="21">
        <f t="shared" si="53"/>
        <v>36697</v>
      </c>
      <c r="D310" s="1">
        <f t="shared" si="62"/>
        <v>0</v>
      </c>
      <c r="E310" s="3">
        <f t="array" ref="E310">INDEX($A$9:A309, MAX(IF($D$9:D309=1, ROW(D$9:$D309)-ROW($D$9)+1, 0)))</f>
        <v>46468</v>
      </c>
      <c r="F310" s="23">
        <f t="shared" si="54"/>
        <v>1.1526351813826146</v>
      </c>
      <c r="G310" s="5">
        <f>INDEX('Default Prob'!$P$5:$P$14,MIN(1+_xlfn.IFNA(MATCH(F310,'Default Prob'!$F$5:$F$14,1),0),COUNT('Default Prob'!$P$5:$P$14)))</f>
        <v>1.6062593678540758E-2</v>
      </c>
      <c r="H310" s="5">
        <f t="shared" si="63"/>
        <v>0.97167349009391124</v>
      </c>
      <c r="I310" s="24">
        <f t="shared" si="64"/>
        <v>4.2732209862061943E-5</v>
      </c>
      <c r="J310" s="25">
        <f>INDEX('Default Prob'!$C$3:$C$13, _xlfn.IFNA(MATCH(F310, 'Default Prob'!$B$3:$B$13, 1), 1))</f>
        <v>1.9099999999999999E-2</v>
      </c>
      <c r="K310" s="26">
        <f t="shared" si="55"/>
        <v>0.97842834436549453</v>
      </c>
      <c r="L310" s="27">
        <f t="shared" ca="1" si="56"/>
        <v>0</v>
      </c>
      <c r="M310" s="27">
        <f t="shared" ca="1" si="57"/>
        <v>2817.1756558114857</v>
      </c>
      <c r="N310" s="28">
        <f t="shared" ca="1" si="58"/>
        <v>0.1177872561015339</v>
      </c>
      <c r="O310" s="29">
        <f t="shared" ca="1" si="59"/>
        <v>600000</v>
      </c>
      <c r="P310" s="30">
        <f t="shared" ca="1" si="60"/>
        <v>25.086243207849673</v>
      </c>
    </row>
    <row r="311" spans="1:16" x14ac:dyDescent="0.25">
      <c r="A311" s="3">
        <f t="shared" si="61"/>
        <v>46547</v>
      </c>
      <c r="B311" s="21">
        <f t="shared" si="52"/>
        <v>36686</v>
      </c>
      <c r="C311" s="21">
        <f t="shared" si="53"/>
        <v>36697</v>
      </c>
      <c r="D311" s="1">
        <f t="shared" si="62"/>
        <v>0</v>
      </c>
      <c r="E311" s="3">
        <f t="array" ref="E311">INDEX($A$9:A310, MAX(IF($D$9:D310=1, ROW(D$9:$D310)-ROW($D$9)+1, 0)))</f>
        <v>46468</v>
      </c>
      <c r="F311" s="23">
        <f t="shared" si="54"/>
        <v>1.1553730321697468</v>
      </c>
      <c r="G311" s="5">
        <f>INDEX('Default Prob'!$P$5:$P$14,MIN(1+_xlfn.IFNA(MATCH(F311,'Default Prob'!$F$5:$F$14,1),0),COUNT('Default Prob'!$P$5:$P$14)))</f>
        <v>1.6062593678540758E-2</v>
      </c>
      <c r="H311" s="5">
        <f t="shared" si="63"/>
        <v>0.97163075976324154</v>
      </c>
      <c r="I311" s="24">
        <f t="shared" si="64"/>
        <v>4.2730330669704664E-5</v>
      </c>
      <c r="J311" s="25">
        <f>INDEX('Default Prob'!$C$3:$C$13, _xlfn.IFNA(MATCH(F311, 'Default Prob'!$B$3:$B$13, 1), 1))</f>
        <v>1.9099999999999999E-2</v>
      </c>
      <c r="K311" s="26">
        <f t="shared" si="55"/>
        <v>0.97837766326442022</v>
      </c>
      <c r="L311" s="27">
        <f t="shared" ca="1" si="56"/>
        <v>0</v>
      </c>
      <c r="M311" s="27">
        <f t="shared" ca="1" si="57"/>
        <v>2853.2932924244533</v>
      </c>
      <c r="N311" s="28">
        <f t="shared" ca="1" si="58"/>
        <v>0.11928592375669492</v>
      </c>
      <c r="O311" s="29">
        <f t="shared" ca="1" si="59"/>
        <v>600000</v>
      </c>
      <c r="P311" s="30">
        <f t="shared" ca="1" si="60"/>
        <v>25.083840642684983</v>
      </c>
    </row>
    <row r="312" spans="1:16" x14ac:dyDescent="0.25">
      <c r="A312" s="3">
        <f t="shared" si="61"/>
        <v>46548</v>
      </c>
      <c r="B312" s="21">
        <f t="shared" si="52"/>
        <v>36687</v>
      </c>
      <c r="C312" s="21">
        <f t="shared" si="53"/>
        <v>36697</v>
      </c>
      <c r="D312" s="1">
        <f t="shared" si="62"/>
        <v>0</v>
      </c>
      <c r="E312" s="3">
        <f t="array" ref="E312">INDEX($A$9:A311, MAX(IF($D$9:D311=1, ROW(D$9:$D311)-ROW($D$9)+1, 0)))</f>
        <v>46468</v>
      </c>
      <c r="F312" s="23">
        <f t="shared" si="54"/>
        <v>1.1581108829568789</v>
      </c>
      <c r="G312" s="5">
        <f>INDEX('Default Prob'!$P$5:$P$14,MIN(1+_xlfn.IFNA(MATCH(F312,'Default Prob'!$F$5:$F$14,1),0),COUNT('Default Prob'!$P$5:$P$14)))</f>
        <v>1.6062593678540758E-2</v>
      </c>
      <c r="H312" s="5">
        <f t="shared" si="63"/>
        <v>0.9715880313116817</v>
      </c>
      <c r="I312" s="24">
        <f t="shared" si="64"/>
        <v>4.2728451559836955E-5</v>
      </c>
      <c r="J312" s="25">
        <f>INDEX('Default Prob'!$C$3:$C$13, _xlfn.IFNA(MATCH(F312, 'Default Prob'!$B$3:$B$13, 1), 1))</f>
        <v>1.9099999999999999E-2</v>
      </c>
      <c r="K312" s="26">
        <f t="shared" si="55"/>
        <v>0.97832698478854985</v>
      </c>
      <c r="L312" s="27">
        <f t="shared" ca="1" si="56"/>
        <v>0</v>
      </c>
      <c r="M312" s="27">
        <f t="shared" ca="1" si="57"/>
        <v>2889.4109290374213</v>
      </c>
      <c r="N312" s="28">
        <f t="shared" ca="1" si="58"/>
        <v>0.12078430326959815</v>
      </c>
      <c r="O312" s="29">
        <f t="shared" ca="1" si="59"/>
        <v>600000</v>
      </c>
      <c r="P312" s="30">
        <f t="shared" ca="1" si="60"/>
        <v>25.081438307531339</v>
      </c>
    </row>
    <row r="313" spans="1:16" x14ac:dyDescent="0.25">
      <c r="A313" s="3">
        <f t="shared" si="61"/>
        <v>46549</v>
      </c>
      <c r="B313" s="21">
        <f t="shared" si="52"/>
        <v>36688</v>
      </c>
      <c r="C313" s="21">
        <f t="shared" si="53"/>
        <v>36697</v>
      </c>
      <c r="D313" s="1">
        <f t="shared" si="62"/>
        <v>0</v>
      </c>
      <c r="E313" s="3">
        <f t="array" ref="E313">INDEX($A$9:A312, MAX(IF($D$9:D312=1, ROW(D$9:$D312)-ROW($D$9)+1, 0)))</f>
        <v>46468</v>
      </c>
      <c r="F313" s="23">
        <f t="shared" si="54"/>
        <v>1.160848733744011</v>
      </c>
      <c r="G313" s="5">
        <f>INDEX('Default Prob'!$P$5:$P$14,MIN(1+_xlfn.IFNA(MATCH(F313,'Default Prob'!$F$5:$F$14,1),0),COUNT('Default Prob'!$P$5:$P$14)))</f>
        <v>1.6062593678540758E-2</v>
      </c>
      <c r="H313" s="5">
        <f t="shared" si="63"/>
        <v>0.97154530473914902</v>
      </c>
      <c r="I313" s="24">
        <f t="shared" si="64"/>
        <v>4.2726572532680862E-5</v>
      </c>
      <c r="J313" s="25">
        <f>INDEX('Default Prob'!$C$3:$C$13, _xlfn.IFNA(MATCH(F313, 'Default Prob'!$B$3:$B$13, 1), 1))</f>
        <v>1.9099999999999999E-2</v>
      </c>
      <c r="K313" s="26">
        <f t="shared" si="55"/>
        <v>0.97827630893774753</v>
      </c>
      <c r="L313" s="27">
        <f t="shared" ca="1" si="56"/>
        <v>0</v>
      </c>
      <c r="M313" s="27">
        <f t="shared" ca="1" si="57"/>
        <v>2925.5285656503888</v>
      </c>
      <c r="N313" s="28">
        <f t="shared" ca="1" si="58"/>
        <v>0.12228239468231938</v>
      </c>
      <c r="O313" s="29">
        <f t="shared" ca="1" si="59"/>
        <v>600000</v>
      </c>
      <c r="P313" s="30">
        <f t="shared" ca="1" si="60"/>
        <v>25.079036202499189</v>
      </c>
    </row>
    <row r="314" spans="1:16" x14ac:dyDescent="0.25">
      <c r="A314" s="3">
        <f t="shared" si="61"/>
        <v>46552</v>
      </c>
      <c r="B314" s="21">
        <f t="shared" si="52"/>
        <v>36691</v>
      </c>
      <c r="C314" s="21">
        <f t="shared" si="53"/>
        <v>36697</v>
      </c>
      <c r="D314" s="1">
        <f t="shared" si="62"/>
        <v>0</v>
      </c>
      <c r="E314" s="3">
        <f t="array" ref="E314">INDEX($A$9:A313, MAX(IF($D$9:D313=1, ROW(D$9:$D313)-ROW($D$9)+1, 0)))</f>
        <v>46468</v>
      </c>
      <c r="F314" s="23">
        <f t="shared" si="54"/>
        <v>1.1690622861054072</v>
      </c>
      <c r="G314" s="5">
        <f>INDEX('Default Prob'!$P$5:$P$14,MIN(1+_xlfn.IFNA(MATCH(F314,'Default Prob'!$F$5:$F$14,1),0),COUNT('Default Prob'!$P$5:$P$14)))</f>
        <v>1.6062593678540758E-2</v>
      </c>
      <c r="H314" s="5">
        <f t="shared" si="63"/>
        <v>0.97141713629488735</v>
      </c>
      <c r="I314" s="24">
        <f t="shared" si="64"/>
        <v>1.2816844426166707E-4</v>
      </c>
      <c r="J314" s="25">
        <f>INDEX('Default Prob'!$C$3:$C$13, _xlfn.IFNA(MATCH(F314, 'Default Prob'!$B$3:$B$13, 1), 1))</f>
        <v>1.9099999999999999E-2</v>
      </c>
      <c r="K314" s="26">
        <f t="shared" si="55"/>
        <v>0.97812429713438909</v>
      </c>
      <c r="L314" s="27">
        <f t="shared" ca="1" si="56"/>
        <v>0</v>
      </c>
      <c r="M314" s="27">
        <f t="shared" ca="1" si="57"/>
        <v>3033.8814754892928</v>
      </c>
      <c r="N314" s="28">
        <f t="shared" ca="1" si="58"/>
        <v>0.38034154835022671</v>
      </c>
      <c r="O314" s="29">
        <f t="shared" ca="1" si="59"/>
        <v>600000</v>
      </c>
      <c r="P314" s="30">
        <f t="shared" ca="1" si="60"/>
        <v>75.218801674950726</v>
      </c>
    </row>
    <row r="315" spans="1:16" x14ac:dyDescent="0.25">
      <c r="A315" s="3">
        <f t="shared" si="61"/>
        <v>46553</v>
      </c>
      <c r="B315" s="21">
        <f t="shared" si="52"/>
        <v>36692</v>
      </c>
      <c r="C315" s="21">
        <f t="shared" si="53"/>
        <v>36697</v>
      </c>
      <c r="D315" s="1">
        <f t="shared" si="62"/>
        <v>0</v>
      </c>
      <c r="E315" s="3">
        <f t="array" ref="E315">INDEX($A$9:A314, MAX(IF($D$9:D314=1, ROW(D$9:$D314)-ROW($D$9)+1, 0)))</f>
        <v>46468</v>
      </c>
      <c r="F315" s="23">
        <f t="shared" si="54"/>
        <v>1.1718001368925393</v>
      </c>
      <c r="G315" s="5">
        <f>INDEX('Default Prob'!$P$5:$P$14,MIN(1+_xlfn.IFNA(MATCH(F315,'Default Prob'!$F$5:$F$14,1),0),COUNT('Default Prob'!$P$5:$P$14)))</f>
        <v>1.6062593678540758E-2</v>
      </c>
      <c r="H315" s="5">
        <f t="shared" si="63"/>
        <v>0.97137441723763696</v>
      </c>
      <c r="I315" s="24">
        <f t="shared" si="64"/>
        <v>4.2719057250395487E-5</v>
      </c>
      <c r="J315" s="25">
        <f>INDEX('Default Prob'!$C$3:$C$13, _xlfn.IFNA(MATCH(F315, 'Default Prob'!$B$3:$B$13, 1), 1))</f>
        <v>1.9099999999999999E-2</v>
      </c>
      <c r="K315" s="26">
        <f t="shared" si="55"/>
        <v>0.97807363178249929</v>
      </c>
      <c r="L315" s="27">
        <f t="shared" ca="1" si="56"/>
        <v>0</v>
      </c>
      <c r="M315" s="27">
        <f t="shared" ca="1" si="57"/>
        <v>3069.9991121022604</v>
      </c>
      <c r="N315" s="28">
        <f t="shared" ca="1" si="58"/>
        <v>0.12827188015815794</v>
      </c>
      <c r="O315" s="29">
        <f t="shared" ca="1" si="59"/>
        <v>600000</v>
      </c>
      <c r="P315" s="30">
        <f t="shared" ca="1" si="60"/>
        <v>25.069430082731294</v>
      </c>
    </row>
    <row r="316" spans="1:16" x14ac:dyDescent="0.25">
      <c r="A316" s="3">
        <f t="shared" si="61"/>
        <v>46554</v>
      </c>
      <c r="B316" s="21">
        <f t="shared" si="52"/>
        <v>36693</v>
      </c>
      <c r="C316" s="21">
        <f t="shared" si="53"/>
        <v>36697</v>
      </c>
      <c r="D316" s="1">
        <f t="shared" si="62"/>
        <v>0</v>
      </c>
      <c r="E316" s="3">
        <f t="array" ref="E316">INDEX($A$9:A315, MAX(IF($D$9:D315=1, ROW(D$9:$D315)-ROW($D$9)+1, 0)))</f>
        <v>46468</v>
      </c>
      <c r="F316" s="23">
        <f t="shared" si="54"/>
        <v>1.1745379876796715</v>
      </c>
      <c r="G316" s="5">
        <f>INDEX('Default Prob'!$P$5:$P$14,MIN(1+_xlfn.IFNA(MATCH(F316,'Default Prob'!$F$5:$F$14,1),0),COUNT('Default Prob'!$P$5:$P$14)))</f>
        <v>1.6062593678540758E-2</v>
      </c>
      <c r="H316" s="5">
        <f t="shared" si="63"/>
        <v>0.97133170005900049</v>
      </c>
      <c r="I316" s="24">
        <f t="shared" si="64"/>
        <v>4.2717178636464403E-5</v>
      </c>
      <c r="J316" s="25">
        <f>INDEX('Default Prob'!$C$3:$C$13, _xlfn.IFNA(MATCH(F316, 'Default Prob'!$B$3:$B$13, 1), 1))</f>
        <v>1.9099999999999999E-2</v>
      </c>
      <c r="K316" s="26">
        <f t="shared" si="55"/>
        <v>0.97802296905499753</v>
      </c>
      <c r="L316" s="27">
        <f t="shared" ca="1" si="56"/>
        <v>0</v>
      </c>
      <c r="M316" s="27">
        <f t="shared" ca="1" si="57"/>
        <v>3106.1167487152284</v>
      </c>
      <c r="N316" s="28">
        <f t="shared" ca="1" si="58"/>
        <v>0.12976853169071853</v>
      </c>
      <c r="O316" s="29">
        <f t="shared" ca="1" si="59"/>
        <v>600000</v>
      </c>
      <c r="P316" s="30">
        <f t="shared" ca="1" si="60"/>
        <v>25.067029127812575</v>
      </c>
    </row>
    <row r="317" spans="1:16" x14ac:dyDescent="0.25">
      <c r="A317" s="3">
        <f t="shared" si="61"/>
        <v>46555</v>
      </c>
      <c r="B317" s="21">
        <f t="shared" si="52"/>
        <v>36694</v>
      </c>
      <c r="C317" s="21">
        <f t="shared" si="53"/>
        <v>36697</v>
      </c>
      <c r="D317" s="1">
        <f t="shared" si="62"/>
        <v>0</v>
      </c>
      <c r="E317" s="3">
        <f t="array" ref="E317">INDEX($A$9:A316, MAX(IF($D$9:D316=1, ROW(D$9:$D316)-ROW($D$9)+1, 0)))</f>
        <v>46468</v>
      </c>
      <c r="F317" s="23">
        <f t="shared" si="54"/>
        <v>1.1772758384668036</v>
      </c>
      <c r="G317" s="5">
        <f>INDEX('Default Prob'!$P$5:$P$14,MIN(1+_xlfn.IFNA(MATCH(F317,'Default Prob'!$F$5:$F$14,1),0),COUNT('Default Prob'!$P$5:$P$14)))</f>
        <v>1.6062593678540758E-2</v>
      </c>
      <c r="H317" s="5">
        <f t="shared" si="63"/>
        <v>0.97128898475889547</v>
      </c>
      <c r="I317" s="24">
        <f t="shared" si="64"/>
        <v>4.2715300105022891E-5</v>
      </c>
      <c r="J317" s="25">
        <f>INDEX('Default Prob'!$C$3:$C$13, _xlfn.IFNA(MATCH(F317, 'Default Prob'!$B$3:$B$13, 1), 1))</f>
        <v>1.9099999999999999E-2</v>
      </c>
      <c r="K317" s="26">
        <f t="shared" si="55"/>
        <v>0.97797230895174825</v>
      </c>
      <c r="L317" s="27">
        <f t="shared" ca="1" si="56"/>
        <v>0</v>
      </c>
      <c r="M317" s="27">
        <f t="shared" ca="1" si="57"/>
        <v>3142.2343853281959</v>
      </c>
      <c r="N317" s="28">
        <f t="shared" ca="1" si="58"/>
        <v>0.1312648953710733</v>
      </c>
      <c r="O317" s="29">
        <f t="shared" ca="1" si="59"/>
        <v>600000</v>
      </c>
      <c r="P317" s="30">
        <f t="shared" ca="1" si="60"/>
        <v>25.064628402765656</v>
      </c>
    </row>
    <row r="318" spans="1:16" x14ac:dyDescent="0.25">
      <c r="A318" s="3">
        <f t="shared" si="61"/>
        <v>46556</v>
      </c>
      <c r="B318" s="21">
        <f t="shared" si="52"/>
        <v>36695</v>
      </c>
      <c r="C318" s="21">
        <f t="shared" si="53"/>
        <v>36697</v>
      </c>
      <c r="D318" s="1">
        <f t="shared" si="62"/>
        <v>0</v>
      </c>
      <c r="E318" s="3">
        <f t="array" ref="E318">INDEX($A$9:A317, MAX(IF($D$9:D317=1, ROW(D$9:$D317)-ROW($D$9)+1, 0)))</f>
        <v>46468</v>
      </c>
      <c r="F318" s="23">
        <f t="shared" si="54"/>
        <v>1.1800136892539357</v>
      </c>
      <c r="G318" s="5">
        <f>INDEX('Default Prob'!$P$5:$P$14,MIN(1+_xlfn.IFNA(MATCH(F318,'Default Prob'!$F$5:$F$14,1),0),COUNT('Default Prob'!$P$5:$P$14)))</f>
        <v>1.6062593678540758E-2</v>
      </c>
      <c r="H318" s="5">
        <f t="shared" si="63"/>
        <v>0.97124627133723929</v>
      </c>
      <c r="I318" s="24">
        <f t="shared" si="64"/>
        <v>4.2713421656181971E-5</v>
      </c>
      <c r="J318" s="25">
        <f>INDEX('Default Prob'!$C$3:$C$13, _xlfn.IFNA(MATCH(F318, 'Default Prob'!$B$3:$B$13, 1), 1))</f>
        <v>1.9099999999999999E-2</v>
      </c>
      <c r="K318" s="26">
        <f t="shared" si="55"/>
        <v>0.97792165147261534</v>
      </c>
      <c r="L318" s="27">
        <f t="shared" ca="1" si="56"/>
        <v>0</v>
      </c>
      <c r="M318" s="27">
        <f t="shared" ca="1" si="57"/>
        <v>3178.3520219411635</v>
      </c>
      <c r="N318" s="28">
        <f t="shared" ca="1" si="58"/>
        <v>0.13276097124097408</v>
      </c>
      <c r="O318" s="29">
        <f t="shared" ca="1" si="59"/>
        <v>600000</v>
      </c>
      <c r="P318" s="30">
        <f t="shared" ca="1" si="60"/>
        <v>25.062227907635787</v>
      </c>
    </row>
    <row r="319" spans="1:16" x14ac:dyDescent="0.25">
      <c r="A319" s="3">
        <f t="shared" si="61"/>
        <v>46559</v>
      </c>
      <c r="B319" s="21">
        <f t="shared" si="52"/>
        <v>36698</v>
      </c>
      <c r="C319" s="21">
        <f t="shared" si="53"/>
        <v>36789</v>
      </c>
      <c r="D319" s="1">
        <f t="shared" si="62"/>
        <v>1</v>
      </c>
      <c r="E319" s="3">
        <f t="array" ref="E319">INDEX($A$9:A318, MAX(IF($D$9:D318=1, ROW(D$9:$D318)-ROW($D$9)+1, 0)))</f>
        <v>46468</v>
      </c>
      <c r="F319" s="23">
        <f t="shared" si="54"/>
        <v>1.1882272416153319</v>
      </c>
      <c r="G319" s="5">
        <f>INDEX('Default Prob'!$P$5:$P$14,MIN(1+_xlfn.IFNA(MATCH(F319,'Default Prob'!$F$5:$F$14,1),0),COUNT('Default Prob'!$P$5:$P$14)))</f>
        <v>1.6062593678540758E-2</v>
      </c>
      <c r="H319" s="5">
        <f t="shared" si="63"/>
        <v>0.97111814234213734</v>
      </c>
      <c r="I319" s="24">
        <f t="shared" si="64"/>
        <v>1.2812899510195042E-4</v>
      </c>
      <c r="J319" s="25">
        <f>INDEX('Default Prob'!$C$3:$C$13, _xlfn.IFNA(MATCH(F319, 'Default Prob'!$B$3:$B$13, 1), 1))</f>
        <v>1.9099999999999999E-2</v>
      </c>
      <c r="K319" s="26">
        <f t="shared" si="55"/>
        <v>0.97776969477855491</v>
      </c>
      <c r="L319" s="27">
        <f t="shared" ca="1" si="56"/>
        <v>3286.7049317800665</v>
      </c>
      <c r="M319" s="27">
        <f t="shared" ca="1" si="57"/>
        <v>3286.7049317800665</v>
      </c>
      <c r="N319" s="28">
        <f t="shared" ca="1" si="58"/>
        <v>3121.2363316504443</v>
      </c>
      <c r="O319" s="29">
        <f t="shared" ca="1" si="59"/>
        <v>600000</v>
      </c>
      <c r="P319" s="30">
        <f t="shared" ca="1" si="60"/>
        <v>75.168389059870222</v>
      </c>
    </row>
    <row r="320" spans="1:16" x14ac:dyDescent="0.25">
      <c r="A320" s="3">
        <f t="shared" si="61"/>
        <v>46560</v>
      </c>
      <c r="B320" s="21">
        <f t="shared" si="52"/>
        <v>36699</v>
      </c>
      <c r="C320" s="21">
        <f t="shared" si="53"/>
        <v>36789</v>
      </c>
      <c r="D320" s="1">
        <f t="shared" si="62"/>
        <v>0</v>
      </c>
      <c r="E320" s="3">
        <f t="array" ref="E320">INDEX($A$9:A319, MAX(IF($D$9:D319=1, ROW(D$9:$D319)-ROW($D$9)+1, 0)))</f>
        <v>46559</v>
      </c>
      <c r="F320" s="23">
        <f t="shared" si="54"/>
        <v>1.1909650924024642</v>
      </c>
      <c r="G320" s="5">
        <f>INDEX('Default Prob'!$P$5:$P$14,MIN(1+_xlfn.IFNA(MATCH(F320,'Default Prob'!$F$5:$F$14,1),0),COUNT('Default Prob'!$P$5:$P$14)))</f>
        <v>1.6062593678540758E-2</v>
      </c>
      <c r="H320" s="5">
        <f t="shared" si="63"/>
        <v>0.97107543643345029</v>
      </c>
      <c r="I320" s="24">
        <f t="shared" si="64"/>
        <v>4.2705908687046268E-5</v>
      </c>
      <c r="J320" s="25">
        <f>INDEX('Default Prob'!$C$3:$C$13, _xlfn.IFNA(MATCH(F320, 'Default Prob'!$B$3:$B$13, 1), 1))</f>
        <v>1.9099999999999999E-2</v>
      </c>
      <c r="K320" s="26">
        <f t="shared" si="55"/>
        <v>0.97771904779452823</v>
      </c>
      <c r="L320" s="27">
        <f t="shared" ca="1" si="56"/>
        <v>0</v>
      </c>
      <c r="M320" s="27">
        <f t="shared" ca="1" si="57"/>
        <v>36.117636612967765</v>
      </c>
      <c r="N320" s="28">
        <f t="shared" ca="1" si="58"/>
        <v>1.5080695374452447E-3</v>
      </c>
      <c r="O320" s="29">
        <f t="shared" ca="1" si="59"/>
        <v>600000</v>
      </c>
      <c r="P320" s="30">
        <f t="shared" ca="1" si="60"/>
        <v>25.052628226019369</v>
      </c>
    </row>
    <row r="321" spans="1:16" x14ac:dyDescent="0.25">
      <c r="A321" s="3">
        <f t="shared" si="61"/>
        <v>46561</v>
      </c>
      <c r="B321" s="21">
        <f t="shared" si="52"/>
        <v>36700</v>
      </c>
      <c r="C321" s="21">
        <f t="shared" si="53"/>
        <v>36789</v>
      </c>
      <c r="D321" s="1">
        <f t="shared" si="62"/>
        <v>0</v>
      </c>
      <c r="E321" s="3">
        <f t="array" ref="E321">INDEX($A$9:A320, MAX(IF($D$9:D320=1, ROW(D$9:$D320)-ROW($D$9)+1, 0)))</f>
        <v>46559</v>
      </c>
      <c r="F321" s="23">
        <f t="shared" si="54"/>
        <v>1.1937029431895962</v>
      </c>
      <c r="G321" s="5">
        <f>INDEX('Default Prob'!$P$5:$P$14,MIN(1+_xlfn.IFNA(MATCH(F321,'Default Prob'!$F$5:$F$14,1),0),COUNT('Default Prob'!$P$5:$P$14)))</f>
        <v>1.6062593678540758E-2</v>
      </c>
      <c r="H321" s="5">
        <f t="shared" si="63"/>
        <v>0.97103273240279908</v>
      </c>
      <c r="I321" s="24">
        <f t="shared" si="64"/>
        <v>4.2704030651208313E-5</v>
      </c>
      <c r="J321" s="25">
        <f>INDEX('Default Prob'!$C$3:$C$13, _xlfn.IFNA(MATCH(F321, 'Default Prob'!$B$3:$B$13, 1), 1))</f>
        <v>1.9099999999999999E-2</v>
      </c>
      <c r="K321" s="26">
        <f t="shared" si="55"/>
        <v>0.97766840343393802</v>
      </c>
      <c r="L321" s="27">
        <f t="shared" ca="1" si="56"/>
        <v>0</v>
      </c>
      <c r="M321" s="27">
        <f t="shared" ca="1" si="57"/>
        <v>72.235273225935529</v>
      </c>
      <c r="N321" s="28">
        <f t="shared" ca="1" si="58"/>
        <v>3.0158502125529471E-3</v>
      </c>
      <c r="O321" s="29">
        <f t="shared" ca="1" si="59"/>
        <v>600000</v>
      </c>
      <c r="P321" s="30">
        <f t="shared" ca="1" si="60"/>
        <v>25.050228880176469</v>
      </c>
    </row>
    <row r="322" spans="1:16" x14ac:dyDescent="0.25">
      <c r="A322" s="3">
        <f t="shared" si="61"/>
        <v>46562</v>
      </c>
      <c r="B322" s="21">
        <f t="shared" si="52"/>
        <v>36701</v>
      </c>
      <c r="C322" s="21">
        <f t="shared" si="53"/>
        <v>36789</v>
      </c>
      <c r="D322" s="1">
        <f t="shared" si="62"/>
        <v>0</v>
      </c>
      <c r="E322" s="3">
        <f t="array" ref="E322">INDEX($A$9:A321, MAX(IF($D$9:D321=1, ROW(D$9:$D321)-ROW($D$9)+1, 0)))</f>
        <v>46559</v>
      </c>
      <c r="F322" s="23">
        <f t="shared" si="54"/>
        <v>1.1964407939767283</v>
      </c>
      <c r="G322" s="5">
        <f>INDEX('Default Prob'!$P$5:$P$14,MIN(1+_xlfn.IFNA(MATCH(F322,'Default Prob'!$F$5:$F$14,1),0),COUNT('Default Prob'!$P$5:$P$14)))</f>
        <v>1.6062593678540758E-2</v>
      </c>
      <c r="H322" s="5">
        <f t="shared" si="63"/>
        <v>0.970990030250101</v>
      </c>
      <c r="I322" s="24">
        <f t="shared" si="64"/>
        <v>4.2702152698081974E-5</v>
      </c>
      <c r="J322" s="25">
        <f>INDEX('Default Prob'!$C$3:$C$13, _xlfn.IFNA(MATCH(F322, 'Default Prob'!$B$3:$B$13, 1), 1))</f>
        <v>1.9099999999999999E-2</v>
      </c>
      <c r="K322" s="26">
        <f t="shared" si="55"/>
        <v>0.97761776169664893</v>
      </c>
      <c r="L322" s="27">
        <f t="shared" ca="1" si="56"/>
        <v>0</v>
      </c>
      <c r="M322" s="27">
        <f t="shared" ca="1" si="57"/>
        <v>108.35290983890332</v>
      </c>
      <c r="N322" s="28">
        <f t="shared" ca="1" si="58"/>
        <v>4.5233420668336285E-3</v>
      </c>
      <c r="O322" s="29">
        <f t="shared" ca="1" si="59"/>
        <v>600000</v>
      </c>
      <c r="P322" s="30">
        <f t="shared" ca="1" si="60"/>
        <v>25.04782976419645</v>
      </c>
    </row>
    <row r="323" spans="1:16" x14ac:dyDescent="0.25">
      <c r="A323" s="3">
        <f t="shared" si="61"/>
        <v>46563</v>
      </c>
      <c r="B323" s="21">
        <f t="shared" si="52"/>
        <v>36702</v>
      </c>
      <c r="C323" s="21">
        <f t="shared" si="53"/>
        <v>36789</v>
      </c>
      <c r="D323" s="1">
        <f t="shared" si="62"/>
        <v>0</v>
      </c>
      <c r="E323" s="3">
        <f t="array" ref="E323">INDEX($A$9:A322, MAX(IF($D$9:D322=1, ROW(D$9:$D322)-ROW($D$9)+1, 0)))</f>
        <v>46559</v>
      </c>
      <c r="F323" s="23">
        <f t="shared" si="54"/>
        <v>1.1991786447638604</v>
      </c>
      <c r="G323" s="5">
        <f>INDEX('Default Prob'!$P$5:$P$14,MIN(1+_xlfn.IFNA(MATCH(F323,'Default Prob'!$F$5:$F$14,1),0),COUNT('Default Prob'!$P$5:$P$14)))</f>
        <v>1.6062593678540758E-2</v>
      </c>
      <c r="H323" s="5">
        <f t="shared" si="63"/>
        <v>0.97094732997527355</v>
      </c>
      <c r="I323" s="24">
        <f t="shared" si="64"/>
        <v>4.2700274827445206E-5</v>
      </c>
      <c r="J323" s="25">
        <f>INDEX('Default Prob'!$C$3:$C$13, _xlfn.IFNA(MATCH(F323, 'Default Prob'!$B$3:$B$13, 1), 1))</f>
        <v>1.9099999999999999E-2</v>
      </c>
      <c r="K323" s="26">
        <f t="shared" si="55"/>
        <v>0.97756712258252498</v>
      </c>
      <c r="L323" s="27">
        <f t="shared" ca="1" si="56"/>
        <v>0</v>
      </c>
      <c r="M323" s="27">
        <f t="shared" ca="1" si="57"/>
        <v>144.47054645187106</v>
      </c>
      <c r="N323" s="28">
        <f t="shared" ca="1" si="58"/>
        <v>6.0305451417616554E-3</v>
      </c>
      <c r="O323" s="29">
        <f t="shared" ca="1" si="59"/>
        <v>600000</v>
      </c>
      <c r="P323" s="30">
        <f t="shared" ca="1" si="60"/>
        <v>25.045430877929181</v>
      </c>
    </row>
    <row r="324" spans="1:16" x14ac:dyDescent="0.25">
      <c r="A324" s="3">
        <f t="shared" si="61"/>
        <v>46566</v>
      </c>
      <c r="B324" s="21">
        <f t="shared" si="52"/>
        <v>36705</v>
      </c>
      <c r="C324" s="21">
        <f t="shared" si="53"/>
        <v>36789</v>
      </c>
      <c r="D324" s="1">
        <f t="shared" si="62"/>
        <v>0</v>
      </c>
      <c r="E324" s="3">
        <f t="array" ref="E324">INDEX($A$9:A323, MAX(IF($D$9:D323=1, ROW(D$9:$D323)-ROW($D$9)+1, 0)))</f>
        <v>46559</v>
      </c>
      <c r="F324" s="23">
        <f t="shared" si="54"/>
        <v>1.2073921971252566</v>
      </c>
      <c r="G324" s="5">
        <f>INDEX('Default Prob'!$P$5:$P$14,MIN(1+_xlfn.IFNA(MATCH(F324,'Default Prob'!$F$5:$F$14,1),0),COUNT('Default Prob'!$P$5:$P$14)))</f>
        <v>1.6062593678540758E-2</v>
      </c>
      <c r="H324" s="5">
        <f t="shared" si="63"/>
        <v>0.97081924041718926</v>
      </c>
      <c r="I324" s="24">
        <f t="shared" si="64"/>
        <v>1.2808955808429889E-4</v>
      </c>
      <c r="J324" s="25">
        <f>INDEX('Default Prob'!$C$3:$C$13, _xlfn.IFNA(MATCH(F324, 'Default Prob'!$B$3:$B$13, 1), 1))</f>
        <v>1.9099999999999999E-2</v>
      </c>
      <c r="K324" s="26">
        <f t="shared" si="55"/>
        <v>0.97741522097778399</v>
      </c>
      <c r="L324" s="27">
        <f t="shared" ca="1" si="56"/>
        <v>0</v>
      </c>
      <c r="M324" s="27">
        <f t="shared" ca="1" si="57"/>
        <v>252.82345629077437</v>
      </c>
      <c r="N324" s="28">
        <f t="shared" ca="1" si="58"/>
        <v>3.1652658294211003E-2</v>
      </c>
      <c r="O324" s="29">
        <f t="shared" ca="1" si="59"/>
        <v>600000</v>
      </c>
      <c r="P324" s="30">
        <f t="shared" ca="1" si="60"/>
        <v>75.118010231947025</v>
      </c>
    </row>
    <row r="325" spans="1:16" x14ac:dyDescent="0.25">
      <c r="A325" s="3">
        <f t="shared" si="61"/>
        <v>46567</v>
      </c>
      <c r="B325" s="21">
        <f t="shared" si="52"/>
        <v>36706</v>
      </c>
      <c r="C325" s="21">
        <f t="shared" si="53"/>
        <v>36789</v>
      </c>
      <c r="D325" s="1">
        <f t="shared" si="62"/>
        <v>0</v>
      </c>
      <c r="E325" s="3">
        <f t="array" ref="E325">INDEX($A$9:A324, MAX(IF($D$9:D324=1, ROW(D$9:$D324)-ROW($D$9)+1, 0)))</f>
        <v>46559</v>
      </c>
      <c r="F325" s="23">
        <f t="shared" si="54"/>
        <v>1.2101300479123889</v>
      </c>
      <c r="G325" s="5">
        <f>INDEX('Default Prob'!$P$5:$P$14,MIN(1+_xlfn.IFNA(MATCH(F325,'Default Prob'!$F$5:$F$14,1),0),COUNT('Default Prob'!$P$5:$P$14)))</f>
        <v>1.6062593678540758E-2</v>
      </c>
      <c r="H325" s="5">
        <f t="shared" si="63"/>
        <v>0.97077654765301857</v>
      </c>
      <c r="I325" s="24">
        <f t="shared" si="64"/>
        <v>4.2692764170682018E-5</v>
      </c>
      <c r="J325" s="25">
        <f>INDEX('Default Prob'!$C$3:$C$13, _xlfn.IFNA(MATCH(F325, 'Default Prob'!$B$3:$B$13, 1), 1))</f>
        <v>1.9099999999999999E-2</v>
      </c>
      <c r="K325" s="26">
        <f t="shared" si="55"/>
        <v>0.9773645923549612</v>
      </c>
      <c r="L325" s="27">
        <f t="shared" ca="1" si="56"/>
        <v>0</v>
      </c>
      <c r="M325" s="27">
        <f t="shared" ca="1" si="57"/>
        <v>288.94109290374212</v>
      </c>
      <c r="N325" s="28">
        <f t="shared" ca="1" si="58"/>
        <v>1.2056470477674877E-2</v>
      </c>
      <c r="O325" s="29">
        <f t="shared" ca="1" si="59"/>
        <v>600000</v>
      </c>
      <c r="P325" s="30">
        <f t="shared" ca="1" si="60"/>
        <v>25.035837630111075</v>
      </c>
    </row>
    <row r="326" spans="1:16" x14ac:dyDescent="0.25">
      <c r="A326" s="3">
        <f t="shared" si="61"/>
        <v>46568</v>
      </c>
      <c r="B326" s="21">
        <f t="shared" si="52"/>
        <v>36707</v>
      </c>
      <c r="C326" s="21">
        <f t="shared" si="53"/>
        <v>36789</v>
      </c>
      <c r="D326" s="1">
        <f t="shared" si="62"/>
        <v>0</v>
      </c>
      <c r="E326" s="3">
        <f t="array" ref="E326">INDEX($A$9:A325, MAX(IF($D$9:D325=1, ROW(D$9:$D325)-ROW($D$9)+1, 0)))</f>
        <v>46559</v>
      </c>
      <c r="F326" s="23">
        <f t="shared" si="54"/>
        <v>1.2128678986995209</v>
      </c>
      <c r="G326" s="5">
        <f>INDEX('Default Prob'!$P$5:$P$14,MIN(1+_xlfn.IFNA(MATCH(F326,'Default Prob'!$F$5:$F$14,1),0),COUNT('Default Prob'!$P$5:$P$14)))</f>
        <v>1.6062593678540758E-2</v>
      </c>
      <c r="H326" s="5">
        <f t="shared" si="63"/>
        <v>0.97073385676630564</v>
      </c>
      <c r="I326" s="24">
        <f t="shared" si="64"/>
        <v>4.2690886712937193E-5</v>
      </c>
      <c r="J326" s="25">
        <f>INDEX('Default Prob'!$C$3:$C$13, _xlfn.IFNA(MATCH(F326, 'Default Prob'!$B$3:$B$13, 1), 1))</f>
        <v>1.9099999999999999E-2</v>
      </c>
      <c r="K326" s="26">
        <f t="shared" si="55"/>
        <v>0.9773139663546242</v>
      </c>
      <c r="L326" s="27">
        <f t="shared" ca="1" si="56"/>
        <v>0</v>
      </c>
      <c r="M326" s="27">
        <f t="shared" ca="1" si="57"/>
        <v>325.05872951670989</v>
      </c>
      <c r="N326" s="28">
        <f t="shared" ca="1" si="58"/>
        <v>1.3562230278077828E-2</v>
      </c>
      <c r="O326" s="29">
        <f t="shared" ca="1" si="59"/>
        <v>600000</v>
      </c>
      <c r="P326" s="30">
        <f t="shared" ca="1" si="60"/>
        <v>25.033439892369945</v>
      </c>
    </row>
    <row r="327" spans="1:16" x14ac:dyDescent="0.25">
      <c r="A327" s="3">
        <f t="shared" si="61"/>
        <v>46569</v>
      </c>
      <c r="B327" s="21">
        <f t="shared" si="52"/>
        <v>36708</v>
      </c>
      <c r="C327" s="21">
        <f t="shared" si="53"/>
        <v>36789</v>
      </c>
      <c r="D327" s="1">
        <f t="shared" si="62"/>
        <v>0</v>
      </c>
      <c r="E327" s="3">
        <f t="array" ref="E327">INDEX($A$9:A326, MAX(IF($D$9:D326=1, ROW(D$9:$D326)-ROW($D$9)+1, 0)))</f>
        <v>46559</v>
      </c>
      <c r="F327" s="23">
        <f t="shared" si="54"/>
        <v>1.215605749486653</v>
      </c>
      <c r="G327" s="5">
        <f>INDEX('Default Prob'!$P$5:$P$14,MIN(1+_xlfn.IFNA(MATCH(F327,'Default Prob'!$F$5:$F$14,1),0),COUNT('Default Prob'!$P$5:$P$14)))</f>
        <v>1.6062593678540758E-2</v>
      </c>
      <c r="H327" s="5">
        <f t="shared" si="63"/>
        <v>0.97069116775696784</v>
      </c>
      <c r="I327" s="24">
        <f t="shared" si="64"/>
        <v>4.268900933779296E-5</v>
      </c>
      <c r="J327" s="25">
        <f>INDEX('Default Prob'!$C$3:$C$13, _xlfn.IFNA(MATCH(F327, 'Default Prob'!$B$3:$B$13, 1), 1))</f>
        <v>1.9099999999999999E-2</v>
      </c>
      <c r="K327" s="26">
        <f t="shared" si="55"/>
        <v>0.97726334297663708</v>
      </c>
      <c r="L327" s="27">
        <f t="shared" ca="1" si="56"/>
        <v>0</v>
      </c>
      <c r="M327" s="27">
        <f t="shared" ca="1" si="57"/>
        <v>361.17636612967766</v>
      </c>
      <c r="N327" s="28">
        <f t="shared" ca="1" si="58"/>
        <v>1.5067701547991476E-2</v>
      </c>
      <c r="O327" s="29">
        <f t="shared" ca="1" si="59"/>
        <v>600000</v>
      </c>
      <c r="P327" s="30">
        <f t="shared" ca="1" si="60"/>
        <v>25.031042384287456</v>
      </c>
    </row>
    <row r="328" spans="1:16" x14ac:dyDescent="0.25">
      <c r="A328" s="3">
        <f t="shared" si="61"/>
        <v>46570</v>
      </c>
      <c r="B328" s="21">
        <f t="shared" si="52"/>
        <v>36709</v>
      </c>
      <c r="C328" s="21">
        <f t="shared" si="53"/>
        <v>36789</v>
      </c>
      <c r="D328" s="1">
        <f t="shared" si="62"/>
        <v>0</v>
      </c>
      <c r="E328" s="3">
        <f t="array" ref="E328">INDEX($A$9:A327, MAX(IF($D$9:D327=1, ROW(D$9:$D327)-ROW($D$9)+1, 0)))</f>
        <v>46559</v>
      </c>
      <c r="F328" s="23">
        <f t="shared" si="54"/>
        <v>1.2183436002737851</v>
      </c>
      <c r="G328" s="5">
        <f>INDEX('Default Prob'!$P$5:$P$14,MIN(1+_xlfn.IFNA(MATCH(F328,'Default Prob'!$F$5:$F$14,1),0),COUNT('Default Prob'!$P$5:$P$14)))</f>
        <v>1.6062593678540758E-2</v>
      </c>
      <c r="H328" s="5">
        <f t="shared" si="63"/>
        <v>0.9706484806249227</v>
      </c>
      <c r="I328" s="24">
        <f t="shared" si="64"/>
        <v>4.2687132045138299E-5</v>
      </c>
      <c r="J328" s="25">
        <f>INDEX('Default Prob'!$C$3:$C$13, _xlfn.IFNA(MATCH(F328, 'Default Prob'!$B$3:$B$13, 1), 1))</f>
        <v>1.9099999999999999E-2</v>
      </c>
      <c r="K328" s="26">
        <f t="shared" si="55"/>
        <v>0.97721272222086386</v>
      </c>
      <c r="L328" s="27">
        <f t="shared" ca="1" si="56"/>
        <v>0</v>
      </c>
      <c r="M328" s="27">
        <f t="shared" ca="1" si="57"/>
        <v>397.29400274264543</v>
      </c>
      <c r="N328" s="28">
        <f t="shared" ca="1" si="58"/>
        <v>1.6572884328833196E-2</v>
      </c>
      <c r="O328" s="29">
        <f t="shared" ca="1" si="59"/>
        <v>600000</v>
      </c>
      <c r="P328" s="30">
        <f t="shared" ca="1" si="60"/>
        <v>25.02864510577864</v>
      </c>
    </row>
    <row r="329" spans="1:16" x14ac:dyDescent="0.25">
      <c r="A329" s="3">
        <f t="shared" si="61"/>
        <v>46573</v>
      </c>
      <c r="B329" s="21">
        <f t="shared" ref="B329:B392" si="65">DATE(2000, MONTH(A329), DAY(A329))</f>
        <v>36712</v>
      </c>
      <c r="C329" s="21">
        <f t="shared" ref="C329:C392" si="66">VLOOKUP(B329, $R$9:$S$13, 2)</f>
        <v>36789</v>
      </c>
      <c r="D329" s="1">
        <f t="shared" si="62"/>
        <v>0</v>
      </c>
      <c r="E329" s="3">
        <f t="array" ref="E329">INDEX($A$9:A328, MAX(IF($D$9:D328=1, ROW(D$9:$D328)-ROW($D$9)+1, 0)))</f>
        <v>46559</v>
      </c>
      <c r="F329" s="23">
        <f t="shared" ref="F329:F392" si="67">(A329-$A$2)/365.25</f>
        <v>1.2265571526351813</v>
      </c>
      <c r="G329" s="5">
        <f>INDEX('Default Prob'!$P$5:$P$14,MIN(1+_xlfn.IFNA(MATCH(F329,'Default Prob'!$F$5:$F$14,1),0),COUNT('Default Prob'!$P$5:$P$14)))</f>
        <v>1.6062593678540758E-2</v>
      </c>
      <c r="H329" s="5">
        <f t="shared" si="63"/>
        <v>0.97052043049171755</v>
      </c>
      <c r="I329" s="24">
        <f t="shared" si="64"/>
        <v>1.2805013320515979E-4</v>
      </c>
      <c r="J329" s="25">
        <f>INDEX('Default Prob'!$C$3:$C$13, _xlfn.IFNA(MATCH(F329, 'Default Prob'!$B$3:$B$13, 1), 1))</f>
        <v>1.9099999999999999E-2</v>
      </c>
      <c r="K329" s="26">
        <f t="shared" ref="K329:K392" si="68">1/((1+J329)^F329)</f>
        <v>0.97706087568547062</v>
      </c>
      <c r="L329" s="27">
        <f t="shared" ref="L329:L392" ca="1" si="69">IF(AND(D329, A329 &lt;= $G$2), $D$5*$D$2*(A329-E329)/365.25, 0)</f>
        <v>0</v>
      </c>
      <c r="M329" s="27">
        <f t="shared" ref="M329:M392" ca="1" si="70">IF(A329&lt;=$G$2, $D$5*$D$2*(A329-E329)/365.25, 0)</f>
        <v>505.64691258154875</v>
      </c>
      <c r="N329" s="28">
        <f t="shared" ref="N329:N392" ca="1" si="71">(L329*H329 + M329*I329) * K329</f>
        <v>6.3262888545384477E-2</v>
      </c>
      <c r="O329" s="29">
        <f t="shared" ref="O329:O392" ca="1" si="72">IF(A329&lt;=$G$2, $D$2*(1-$D$3), 0)</f>
        <v>600000</v>
      </c>
      <c r="P329" s="30">
        <f t="shared" ref="P329:P392" ca="1" si="73">O329*I329*K329</f>
        <v>75.067665168644737</v>
      </c>
    </row>
    <row r="330" spans="1:16" x14ac:dyDescent="0.25">
      <c r="A330" s="3">
        <f t="shared" ref="A330:A393" si="74">WORKDAY(A329, 1)</f>
        <v>46574</v>
      </c>
      <c r="B330" s="21">
        <f t="shared" si="65"/>
        <v>36713</v>
      </c>
      <c r="C330" s="21">
        <f t="shared" si="66"/>
        <v>36789</v>
      </c>
      <c r="D330" s="1">
        <f t="shared" ref="D330:D393" si="75">IF(OR(C330=B330, AND(C330&lt;&gt;C329, C329&gt;B329)), 1, 0)</f>
        <v>0</v>
      </c>
      <c r="E330" s="3">
        <f t="array" ref="E330">INDEX($A$9:A329, MAX(IF($D$9:D329=1, ROW(D$9:$D329)-ROW($D$9)+1, 0)))</f>
        <v>46559</v>
      </c>
      <c r="F330" s="23">
        <f t="shared" si="67"/>
        <v>1.2292950034223136</v>
      </c>
      <c r="G330" s="5">
        <f>INDEX('Default Prob'!$P$5:$P$14,MIN(1+_xlfn.IFNA(MATCH(F330,'Default Prob'!$F$5:$F$14,1),0),COUNT('Default Prob'!$P$5:$P$14)))</f>
        <v>1.6062593678540758E-2</v>
      </c>
      <c r="H330" s="5">
        <f t="shared" ref="H330:H393" si="76">H329*EXP(-G329*(F330-F329))</f>
        <v>0.97047775086801746</v>
      </c>
      <c r="I330" s="24">
        <f t="shared" ref="I330:I393" si="77">H329-H330</f>
        <v>4.2679623700081493E-5</v>
      </c>
      <c r="J330" s="25">
        <f>INDEX('Default Prob'!$C$3:$C$13, _xlfn.IFNA(MATCH(F330, 'Default Prob'!$B$3:$B$13, 1), 1))</f>
        <v>1.9099999999999999E-2</v>
      </c>
      <c r="K330" s="26">
        <f t="shared" si="68"/>
        <v>0.97701026541719549</v>
      </c>
      <c r="L330" s="27">
        <f t="shared" ca="1" si="69"/>
        <v>0</v>
      </c>
      <c r="M330" s="27">
        <f t="shared" ca="1" si="70"/>
        <v>541.76454919451646</v>
      </c>
      <c r="N330" s="28">
        <f t="shared" ca="1" si="71"/>
        <v>2.2590731390640766E-2</v>
      </c>
      <c r="O330" s="29">
        <f t="shared" ca="1" si="72"/>
        <v>600000</v>
      </c>
      <c r="P330" s="30">
        <f t="shared" ca="1" si="73"/>
        <v>25.019058287473587</v>
      </c>
    </row>
    <row r="331" spans="1:16" x14ac:dyDescent="0.25">
      <c r="A331" s="3">
        <f t="shared" si="74"/>
        <v>46575</v>
      </c>
      <c r="B331" s="21">
        <f t="shared" si="65"/>
        <v>36714</v>
      </c>
      <c r="C331" s="21">
        <f t="shared" si="66"/>
        <v>36789</v>
      </c>
      <c r="D331" s="1">
        <f t="shared" si="75"/>
        <v>0</v>
      </c>
      <c r="E331" s="3">
        <f t="array" ref="E331">INDEX($A$9:A330, MAX(IF($D$9:D330=1, ROW(D$9:$D330)-ROW($D$9)+1, 0)))</f>
        <v>46559</v>
      </c>
      <c r="F331" s="23">
        <f t="shared" si="67"/>
        <v>1.2320328542094456</v>
      </c>
      <c r="G331" s="5">
        <f>INDEX('Default Prob'!$P$5:$P$14,MIN(1+_xlfn.IFNA(MATCH(F331,'Default Prob'!$F$5:$F$14,1),0),COUNT('Default Prob'!$P$5:$P$14)))</f>
        <v>1.6062593678540758E-2</v>
      </c>
      <c r="H331" s="5">
        <f t="shared" si="76"/>
        <v>0.97043507312119726</v>
      </c>
      <c r="I331" s="24">
        <f t="shared" si="77"/>
        <v>4.2677746820207751E-5</v>
      </c>
      <c r="J331" s="25">
        <f>INDEX('Default Prob'!$C$3:$C$13, _xlfn.IFNA(MATCH(F331, 'Default Prob'!$B$3:$B$13, 1), 1))</f>
        <v>1.9099999999999999E-2</v>
      </c>
      <c r="K331" s="26">
        <f t="shared" si="68"/>
        <v>0.97695965777045513</v>
      </c>
      <c r="L331" s="27">
        <f t="shared" ca="1" si="69"/>
        <v>0</v>
      </c>
      <c r="M331" s="27">
        <f t="shared" ca="1" si="70"/>
        <v>577.88218580748423</v>
      </c>
      <c r="N331" s="28">
        <f t="shared" ca="1" si="71"/>
        <v>2.4094472347898063E-2</v>
      </c>
      <c r="O331" s="29">
        <f t="shared" ca="1" si="72"/>
        <v>600000</v>
      </c>
      <c r="P331" s="30">
        <f t="shared" ca="1" si="73"/>
        <v>25.016662156730575</v>
      </c>
    </row>
    <row r="332" spans="1:16" x14ac:dyDescent="0.25">
      <c r="A332" s="3">
        <f t="shared" si="74"/>
        <v>46576</v>
      </c>
      <c r="B332" s="21">
        <f t="shared" si="65"/>
        <v>36715</v>
      </c>
      <c r="C332" s="21">
        <f t="shared" si="66"/>
        <v>36789</v>
      </c>
      <c r="D332" s="1">
        <f t="shared" si="75"/>
        <v>0</v>
      </c>
      <c r="E332" s="3">
        <f t="array" ref="E332">INDEX($A$9:A331, MAX(IF($D$9:D331=1, ROW(D$9:$D331)-ROW($D$9)+1, 0)))</f>
        <v>46559</v>
      </c>
      <c r="F332" s="23">
        <f t="shared" si="67"/>
        <v>1.2347707049965777</v>
      </c>
      <c r="G332" s="5">
        <f>INDEX('Default Prob'!$P$5:$P$14,MIN(1+_xlfn.IFNA(MATCH(F332,'Default Prob'!$F$5:$F$14,1),0),COUNT('Default Prob'!$P$5:$P$14)))</f>
        <v>1.6062593678540758E-2</v>
      </c>
      <c r="H332" s="5">
        <f t="shared" si="76"/>
        <v>0.97039239725117443</v>
      </c>
      <c r="I332" s="24">
        <f t="shared" si="77"/>
        <v>4.2675870022823581E-5</v>
      </c>
      <c r="J332" s="25">
        <f>INDEX('Default Prob'!$C$3:$C$13, _xlfn.IFNA(MATCH(F332, 'Default Prob'!$B$3:$B$13, 1), 1))</f>
        <v>1.9099999999999999E-2</v>
      </c>
      <c r="K332" s="26">
        <f t="shared" si="68"/>
        <v>0.97690905274511419</v>
      </c>
      <c r="L332" s="27">
        <f t="shared" ca="1" si="69"/>
        <v>0</v>
      </c>
      <c r="M332" s="27">
        <f t="shared" ca="1" si="70"/>
        <v>613.99982242045212</v>
      </c>
      <c r="N332" s="28">
        <f t="shared" ca="1" si="71"/>
        <v>2.5597925064698948E-2</v>
      </c>
      <c r="O332" s="29">
        <f t="shared" ca="1" si="72"/>
        <v>600000</v>
      </c>
      <c r="P332" s="30">
        <f t="shared" ca="1" si="73"/>
        <v>25.01426625544212</v>
      </c>
    </row>
    <row r="333" spans="1:16" x14ac:dyDescent="0.25">
      <c r="A333" s="3">
        <f t="shared" si="74"/>
        <v>46577</v>
      </c>
      <c r="B333" s="21">
        <f t="shared" si="65"/>
        <v>36716</v>
      </c>
      <c r="C333" s="21">
        <f t="shared" si="66"/>
        <v>36789</v>
      </c>
      <c r="D333" s="1">
        <f t="shared" si="75"/>
        <v>0</v>
      </c>
      <c r="E333" s="3">
        <f t="array" ref="E333">INDEX($A$9:A332, MAX(IF($D$9:D332=1, ROW(D$9:$D332)-ROW($D$9)+1, 0)))</f>
        <v>46559</v>
      </c>
      <c r="F333" s="23">
        <f t="shared" si="67"/>
        <v>1.2375085557837098</v>
      </c>
      <c r="G333" s="5">
        <f>INDEX('Default Prob'!$P$5:$P$14,MIN(1+_xlfn.IFNA(MATCH(F333,'Default Prob'!$F$5:$F$14,1),0),COUNT('Default Prob'!$P$5:$P$14)))</f>
        <v>1.6062593678540758E-2</v>
      </c>
      <c r="H333" s="5">
        <f t="shared" si="76"/>
        <v>0.97034972325786639</v>
      </c>
      <c r="I333" s="24">
        <f t="shared" si="77"/>
        <v>4.2673993308040004E-5</v>
      </c>
      <c r="J333" s="25">
        <f>INDEX('Default Prob'!$C$3:$C$13, _xlfn.IFNA(MATCH(F333, 'Default Prob'!$B$3:$B$13, 1), 1))</f>
        <v>1.9099999999999999E-2</v>
      </c>
      <c r="K333" s="26">
        <f t="shared" si="68"/>
        <v>0.97685845034103669</v>
      </c>
      <c r="L333" s="27">
        <f t="shared" ca="1" si="69"/>
        <v>0</v>
      </c>
      <c r="M333" s="27">
        <f t="shared" ca="1" si="70"/>
        <v>650.11745903341978</v>
      </c>
      <c r="N333" s="28">
        <f t="shared" ca="1" si="71"/>
        <v>2.7101089582529183E-2</v>
      </c>
      <c r="O333" s="29">
        <f t="shared" ca="1" si="72"/>
        <v>600000</v>
      </c>
      <c r="P333" s="30">
        <f t="shared" ca="1" si="73"/>
        <v>25.011870583653437</v>
      </c>
    </row>
    <row r="334" spans="1:16" x14ac:dyDescent="0.25">
      <c r="A334" s="3">
        <f t="shared" si="74"/>
        <v>46580</v>
      </c>
      <c r="B334" s="21">
        <f t="shared" si="65"/>
        <v>36719</v>
      </c>
      <c r="C334" s="21">
        <f t="shared" si="66"/>
        <v>36789</v>
      </c>
      <c r="D334" s="1">
        <f t="shared" si="75"/>
        <v>0</v>
      </c>
      <c r="E334" s="3">
        <f t="array" ref="E334">INDEX($A$9:A333, MAX(IF($D$9:D333=1, ROW(D$9:$D333)-ROW($D$9)+1, 0)))</f>
        <v>46559</v>
      </c>
      <c r="F334" s="23">
        <f t="shared" si="67"/>
        <v>1.2457221081451062</v>
      </c>
      <c r="G334" s="5">
        <f>INDEX('Default Prob'!$P$5:$P$14,MIN(1+_xlfn.IFNA(MATCH(F334,'Default Prob'!$F$5:$F$14,1),0),COUNT('Default Prob'!$P$5:$P$14)))</f>
        <v>1.6062593678540758E-2</v>
      </c>
      <c r="H334" s="5">
        <f t="shared" si="76"/>
        <v>0.97022171253740586</v>
      </c>
      <c r="I334" s="24">
        <f t="shared" si="77"/>
        <v>1.280107204605363E-4</v>
      </c>
      <c r="J334" s="25">
        <f>INDEX('Default Prob'!$C$3:$C$13, _xlfn.IFNA(MATCH(F334, 'Default Prob'!$B$3:$B$13, 1), 1))</f>
        <v>1.9099999999999999E-2</v>
      </c>
      <c r="K334" s="26">
        <f t="shared" si="68"/>
        <v>0.97670665885502628</v>
      </c>
      <c r="L334" s="27">
        <f t="shared" ca="1" si="69"/>
        <v>0</v>
      </c>
      <c r="M334" s="27">
        <f t="shared" ca="1" si="70"/>
        <v>758.47036887232321</v>
      </c>
      <c r="N334" s="28">
        <f t="shared" ca="1" si="71"/>
        <v>9.4830733407161735E-2</v>
      </c>
      <c r="O334" s="29">
        <f t="shared" ca="1" si="72"/>
        <v>600000</v>
      </c>
      <c r="P334" s="30">
        <f t="shared" ca="1" si="73"/>
        <v>75.017353847181084</v>
      </c>
    </row>
    <row r="335" spans="1:16" x14ac:dyDescent="0.25">
      <c r="A335" s="3">
        <f t="shared" si="74"/>
        <v>46581</v>
      </c>
      <c r="B335" s="21">
        <f t="shared" si="65"/>
        <v>36720</v>
      </c>
      <c r="C335" s="21">
        <f t="shared" si="66"/>
        <v>36789</v>
      </c>
      <c r="D335" s="1">
        <f t="shared" si="75"/>
        <v>0</v>
      </c>
      <c r="E335" s="3">
        <f t="array" ref="E335">INDEX($A$9:A334, MAX(IF($D$9:D334=1, ROW(D$9:$D334)-ROW($D$9)+1, 0)))</f>
        <v>46559</v>
      </c>
      <c r="F335" s="23">
        <f t="shared" si="67"/>
        <v>1.2484599589322383</v>
      </c>
      <c r="G335" s="5">
        <f>INDEX('Default Prob'!$P$5:$P$14,MIN(1+_xlfn.IFNA(MATCH(F335,'Default Prob'!$F$5:$F$14,1),0),COUNT('Default Prob'!$P$5:$P$14)))</f>
        <v>1.6062593678540758E-2</v>
      </c>
      <c r="H335" s="5">
        <f t="shared" si="76"/>
        <v>0.97017904605013183</v>
      </c>
      <c r="I335" s="24">
        <f t="shared" si="77"/>
        <v>4.2666487274023446E-5</v>
      </c>
      <c r="J335" s="25">
        <f>INDEX('Default Prob'!$C$3:$C$13, _xlfn.IFNA(MATCH(F335, 'Default Prob'!$B$3:$B$13, 1), 1))</f>
        <v>1.9099999999999999E-2</v>
      </c>
      <c r="K335" s="26">
        <f t="shared" si="68"/>
        <v>0.97665606693464468</v>
      </c>
      <c r="L335" s="27">
        <f t="shared" ca="1" si="69"/>
        <v>0</v>
      </c>
      <c r="M335" s="27">
        <f t="shared" ca="1" si="70"/>
        <v>794.58800548529086</v>
      </c>
      <c r="N335" s="28">
        <f t="shared" ca="1" si="71"/>
        <v>3.3110866491827554E-2</v>
      </c>
      <c r="O335" s="29">
        <f t="shared" ca="1" si="72"/>
        <v>600000</v>
      </c>
      <c r="P335" s="30">
        <f t="shared" ca="1" si="73"/>
        <v>25.002290190578886</v>
      </c>
    </row>
    <row r="336" spans="1:16" x14ac:dyDescent="0.25">
      <c r="A336" s="3">
        <f t="shared" si="74"/>
        <v>46582</v>
      </c>
      <c r="B336" s="21">
        <f t="shared" si="65"/>
        <v>36721</v>
      </c>
      <c r="C336" s="21">
        <f t="shared" si="66"/>
        <v>36789</v>
      </c>
      <c r="D336" s="1">
        <f t="shared" si="75"/>
        <v>0</v>
      </c>
      <c r="E336" s="3">
        <f t="array" ref="E336">INDEX($A$9:A335, MAX(IF($D$9:D335=1, ROW(D$9:$D335)-ROW($D$9)+1, 0)))</f>
        <v>46559</v>
      </c>
      <c r="F336" s="23">
        <f t="shared" si="67"/>
        <v>1.2511978097193703</v>
      </c>
      <c r="G336" s="5">
        <f>INDEX('Default Prob'!$P$5:$P$14,MIN(1+_xlfn.IFNA(MATCH(F336,'Default Prob'!$F$5:$F$14,1),0),COUNT('Default Prob'!$P$5:$P$14)))</f>
        <v>1.6062593678540758E-2</v>
      </c>
      <c r="H336" s="5">
        <f t="shared" si="76"/>
        <v>0.97013638143916003</v>
      </c>
      <c r="I336" s="24">
        <f t="shared" si="77"/>
        <v>4.2664610971798744E-5</v>
      </c>
      <c r="J336" s="25">
        <f>INDEX('Default Prob'!$C$3:$C$13, _xlfn.IFNA(MATCH(F336, 'Default Prob'!$B$3:$B$13, 1), 1))</f>
        <v>1.9099999999999999E-2</v>
      </c>
      <c r="K336" s="26">
        <f t="shared" si="68"/>
        <v>0.9766054776348474</v>
      </c>
      <c r="L336" s="27">
        <f t="shared" ca="1" si="69"/>
        <v>0</v>
      </c>
      <c r="M336" s="27">
        <f t="shared" ca="1" si="70"/>
        <v>830.70564209825864</v>
      </c>
      <c r="N336" s="28">
        <f t="shared" ca="1" si="71"/>
        <v>3.461259063565101E-2</v>
      </c>
      <c r="O336" s="29">
        <f t="shared" ca="1" si="72"/>
        <v>600000</v>
      </c>
      <c r="P336" s="30">
        <f t="shared" ca="1" si="73"/>
        <v>24.999895665731078</v>
      </c>
    </row>
    <row r="337" spans="1:16" x14ac:dyDescent="0.25">
      <c r="A337" s="3">
        <f t="shared" si="74"/>
        <v>46583</v>
      </c>
      <c r="B337" s="21">
        <f t="shared" si="65"/>
        <v>36722</v>
      </c>
      <c r="C337" s="21">
        <f t="shared" si="66"/>
        <v>36789</v>
      </c>
      <c r="D337" s="1">
        <f t="shared" si="75"/>
        <v>0</v>
      </c>
      <c r="E337" s="3">
        <f t="array" ref="E337">INDEX($A$9:A336, MAX(IF($D$9:D336=1, ROW(D$9:$D336)-ROW($D$9)+1, 0)))</f>
        <v>46559</v>
      </c>
      <c r="F337" s="23">
        <f t="shared" si="67"/>
        <v>1.2539356605065024</v>
      </c>
      <c r="G337" s="5">
        <f>INDEX('Default Prob'!$P$5:$P$14,MIN(1+_xlfn.IFNA(MATCH(F337,'Default Prob'!$F$5:$F$14,1),0),COUNT('Default Prob'!$P$5:$P$14)))</f>
        <v>1.6062593678540758E-2</v>
      </c>
      <c r="H337" s="5">
        <f t="shared" si="76"/>
        <v>0.97009371870440786</v>
      </c>
      <c r="I337" s="24">
        <f t="shared" si="77"/>
        <v>4.2662734752174636E-5</v>
      </c>
      <c r="J337" s="25">
        <f>INDEX('Default Prob'!$C$3:$C$13, _xlfn.IFNA(MATCH(F337, 'Default Prob'!$B$3:$B$13, 1), 1))</f>
        <v>1.9099999999999999E-2</v>
      </c>
      <c r="K337" s="26">
        <f t="shared" si="68"/>
        <v>0.97655489095549919</v>
      </c>
      <c r="L337" s="27">
        <f t="shared" ca="1" si="69"/>
        <v>0</v>
      </c>
      <c r="M337" s="27">
        <f t="shared" ca="1" si="70"/>
        <v>866.82327871122652</v>
      </c>
      <c r="N337" s="28">
        <f t="shared" ca="1" si="71"/>
        <v>3.6114026828934324E-2</v>
      </c>
      <c r="O337" s="29">
        <f t="shared" ca="1" si="72"/>
        <v>600000</v>
      </c>
      <c r="P337" s="30">
        <f t="shared" ca="1" si="73"/>
        <v>24.997501370263972</v>
      </c>
    </row>
    <row r="338" spans="1:16" x14ac:dyDescent="0.25">
      <c r="A338" s="3">
        <f t="shared" si="74"/>
        <v>46584</v>
      </c>
      <c r="B338" s="21">
        <f t="shared" si="65"/>
        <v>36723</v>
      </c>
      <c r="C338" s="21">
        <f t="shared" si="66"/>
        <v>36789</v>
      </c>
      <c r="D338" s="1">
        <f t="shared" si="75"/>
        <v>0</v>
      </c>
      <c r="E338" s="3">
        <f t="array" ref="E338">INDEX($A$9:A337, MAX(IF($D$9:D337=1, ROW(D$9:$D337)-ROW($D$9)+1, 0)))</f>
        <v>46559</v>
      </c>
      <c r="F338" s="23">
        <f t="shared" si="67"/>
        <v>1.2566735112936345</v>
      </c>
      <c r="G338" s="5">
        <f>INDEX('Default Prob'!$P$5:$P$14,MIN(1+_xlfn.IFNA(MATCH(F338,'Default Prob'!$F$5:$F$14,1),0),COUNT('Default Prob'!$P$5:$P$14)))</f>
        <v>1.6062593678540758E-2</v>
      </c>
      <c r="H338" s="5">
        <f t="shared" si="76"/>
        <v>0.97005105784579293</v>
      </c>
      <c r="I338" s="24">
        <f t="shared" si="77"/>
        <v>4.2660858614929076E-5</v>
      </c>
      <c r="J338" s="25">
        <f>INDEX('Default Prob'!$C$3:$C$13, _xlfn.IFNA(MATCH(F338, 'Default Prob'!$B$3:$B$13, 1), 1))</f>
        <v>1.9099999999999999E-2</v>
      </c>
      <c r="K338" s="26">
        <f t="shared" si="68"/>
        <v>0.97650430689646384</v>
      </c>
      <c r="L338" s="27">
        <f t="shared" ca="1" si="69"/>
        <v>0</v>
      </c>
      <c r="M338" s="27">
        <f t="shared" ca="1" si="70"/>
        <v>902.94091532419418</v>
      </c>
      <c r="N338" s="28">
        <f t="shared" ca="1" si="71"/>
        <v>3.7615175112875238E-2</v>
      </c>
      <c r="O338" s="29">
        <f t="shared" ca="1" si="72"/>
        <v>600000</v>
      </c>
      <c r="P338" s="30">
        <f t="shared" ca="1" si="73"/>
        <v>24.995107304027613</v>
      </c>
    </row>
    <row r="339" spans="1:16" x14ac:dyDescent="0.25">
      <c r="A339" s="3">
        <f t="shared" si="74"/>
        <v>46587</v>
      </c>
      <c r="B339" s="21">
        <f t="shared" si="65"/>
        <v>36726</v>
      </c>
      <c r="C339" s="21">
        <f t="shared" si="66"/>
        <v>36789</v>
      </c>
      <c r="D339" s="1">
        <f t="shared" si="75"/>
        <v>0</v>
      </c>
      <c r="E339" s="3">
        <f t="array" ref="E339">INDEX($A$9:A338, MAX(IF($D$9:D338=1, ROW(D$9:$D338)-ROW($D$9)+1, 0)))</f>
        <v>46559</v>
      </c>
      <c r="F339" s="23">
        <f t="shared" si="67"/>
        <v>1.2648870636550309</v>
      </c>
      <c r="G339" s="5">
        <f>INDEX('Default Prob'!$P$5:$P$14,MIN(1+_xlfn.IFNA(MATCH(F339,'Default Prob'!$F$5:$F$14,1),0),COUNT('Default Prob'!$P$5:$P$14)))</f>
        <v>1.6062593678540758E-2</v>
      </c>
      <c r="H339" s="5">
        <f t="shared" si="76"/>
        <v>0.96992308652594605</v>
      </c>
      <c r="I339" s="24">
        <f t="shared" si="77"/>
        <v>1.2797131984687571E-4</v>
      </c>
      <c r="J339" s="25">
        <f>INDEX('Default Prob'!$C$3:$C$13, _xlfn.IFNA(MATCH(F339, 'Default Prob'!$B$3:$B$13, 1), 1))</f>
        <v>1.9099999999999999E-2</v>
      </c>
      <c r="K339" s="26">
        <f t="shared" si="68"/>
        <v>0.97635257043987955</v>
      </c>
      <c r="L339" s="27">
        <f t="shared" ca="1" si="69"/>
        <v>0</v>
      </c>
      <c r="M339" s="27">
        <f t="shared" ca="1" si="70"/>
        <v>1011.2938251630975</v>
      </c>
      <c r="N339" s="28">
        <f t="shared" ca="1" si="71"/>
        <v>0.12635623549524805</v>
      </c>
      <c r="O339" s="29">
        <f t="shared" ca="1" si="72"/>
        <v>600000</v>
      </c>
      <c r="P339" s="30">
        <f t="shared" ca="1" si="73"/>
        <v>74.967076245048645</v>
      </c>
    </row>
    <row r="340" spans="1:16" x14ac:dyDescent="0.25">
      <c r="A340" s="3">
        <f t="shared" si="74"/>
        <v>46588</v>
      </c>
      <c r="B340" s="21">
        <f t="shared" si="65"/>
        <v>36727</v>
      </c>
      <c r="C340" s="21">
        <f t="shared" si="66"/>
        <v>36789</v>
      </c>
      <c r="D340" s="1">
        <f t="shared" si="75"/>
        <v>0</v>
      </c>
      <c r="E340" s="3">
        <f t="array" ref="E340">INDEX($A$9:A339, MAX(IF($D$9:D339=1, ROW(D$9:$D339)-ROW($D$9)+1, 0)))</f>
        <v>46559</v>
      </c>
      <c r="F340" s="23">
        <f t="shared" si="67"/>
        <v>1.267624914442163</v>
      </c>
      <c r="G340" s="5">
        <f>INDEX('Default Prob'!$P$5:$P$14,MIN(1+_xlfn.IFNA(MATCH(F340,'Default Prob'!$F$5:$F$14,1),0),COUNT('Default Prob'!$P$5:$P$14)))</f>
        <v>1.6062593678540758E-2</v>
      </c>
      <c r="H340" s="5">
        <f t="shared" si="76"/>
        <v>0.96988043317105477</v>
      </c>
      <c r="I340" s="24">
        <f t="shared" si="77"/>
        <v>4.2653354891286632E-5</v>
      </c>
      <c r="J340" s="25">
        <f>INDEX('Default Prob'!$C$3:$C$13, _xlfn.IFNA(MATCH(F340, 'Default Prob'!$B$3:$B$13, 1), 1))</f>
        <v>1.9099999999999999E-2</v>
      </c>
      <c r="K340" s="26">
        <f t="shared" si="68"/>
        <v>0.9763019968607396</v>
      </c>
      <c r="L340" s="27">
        <f t="shared" ca="1" si="69"/>
        <v>0</v>
      </c>
      <c r="M340" s="27">
        <f t="shared" ca="1" si="70"/>
        <v>1047.4114617760652</v>
      </c>
      <c r="N340" s="28">
        <f t="shared" ca="1" si="71"/>
        <v>4.3616889984039862E-2</v>
      </c>
      <c r="O340" s="29">
        <f t="shared" ca="1" si="72"/>
        <v>600000</v>
      </c>
      <c r="P340" s="30">
        <f t="shared" ca="1" si="73"/>
        <v>24.98553333190376</v>
      </c>
    </row>
    <row r="341" spans="1:16" x14ac:dyDescent="0.25">
      <c r="A341" s="3">
        <f t="shared" si="74"/>
        <v>46589</v>
      </c>
      <c r="B341" s="21">
        <f t="shared" si="65"/>
        <v>36728</v>
      </c>
      <c r="C341" s="21">
        <f t="shared" si="66"/>
        <v>36789</v>
      </c>
      <c r="D341" s="1">
        <f t="shared" si="75"/>
        <v>0</v>
      </c>
      <c r="E341" s="3">
        <f t="array" ref="E341">INDEX($A$9:A340, MAX(IF($D$9:D340=1, ROW(D$9:$D340)-ROW($D$9)+1, 0)))</f>
        <v>46559</v>
      </c>
      <c r="F341" s="23">
        <f t="shared" si="67"/>
        <v>1.270362765229295</v>
      </c>
      <c r="G341" s="5">
        <f>INDEX('Default Prob'!$P$5:$P$14,MIN(1+_xlfn.IFNA(MATCH(F341,'Default Prob'!$F$5:$F$14,1),0),COUNT('Default Prob'!$P$5:$P$14)))</f>
        <v>1.6062593678540758E-2</v>
      </c>
      <c r="H341" s="5">
        <f t="shared" si="76"/>
        <v>0.96983778169188817</v>
      </c>
      <c r="I341" s="24">
        <f t="shared" si="77"/>
        <v>4.2651479166599948E-5</v>
      </c>
      <c r="J341" s="25">
        <f>INDEX('Default Prob'!$C$3:$C$13, _xlfn.IFNA(MATCH(F341, 'Default Prob'!$B$3:$B$13, 1), 1))</f>
        <v>1.9099999999999999E-2</v>
      </c>
      <c r="K341" s="26">
        <f t="shared" si="68"/>
        <v>0.97625142590123415</v>
      </c>
      <c r="L341" s="27">
        <f t="shared" ca="1" si="69"/>
        <v>0</v>
      </c>
      <c r="M341" s="27">
        <f t="shared" ca="1" si="70"/>
        <v>1083.5290983890329</v>
      </c>
      <c r="N341" s="28">
        <f t="shared" ca="1" si="71"/>
        <v>4.5116599342412959E-2</v>
      </c>
      <c r="O341" s="29">
        <f t="shared" ca="1" si="72"/>
        <v>600000</v>
      </c>
      <c r="P341" s="30">
        <f t="shared" ca="1" si="73"/>
        <v>24.98314041191399</v>
      </c>
    </row>
    <row r="342" spans="1:16" x14ac:dyDescent="0.25">
      <c r="A342" s="3">
        <f t="shared" si="74"/>
        <v>46590</v>
      </c>
      <c r="B342" s="21">
        <f t="shared" si="65"/>
        <v>36729</v>
      </c>
      <c r="C342" s="21">
        <f t="shared" si="66"/>
        <v>36789</v>
      </c>
      <c r="D342" s="1">
        <f t="shared" si="75"/>
        <v>0</v>
      </c>
      <c r="E342" s="3">
        <f t="array" ref="E342">INDEX($A$9:A341, MAX(IF($D$9:D341=1, ROW(D$9:$D341)-ROW($D$9)+1, 0)))</f>
        <v>46559</v>
      </c>
      <c r="F342" s="23">
        <f t="shared" si="67"/>
        <v>1.2731006160164271</v>
      </c>
      <c r="G342" s="5">
        <f>INDEX('Default Prob'!$P$5:$P$14,MIN(1+_xlfn.IFNA(MATCH(F342,'Default Prob'!$F$5:$F$14,1),0),COUNT('Default Prob'!$P$5:$P$14)))</f>
        <v>1.6062593678540758E-2</v>
      </c>
      <c r="H342" s="5">
        <f t="shared" si="76"/>
        <v>0.96979513208836388</v>
      </c>
      <c r="I342" s="24">
        <f t="shared" si="77"/>
        <v>4.2649603524291813E-5</v>
      </c>
      <c r="J342" s="25">
        <f>INDEX('Default Prob'!$C$3:$C$13, _xlfn.IFNA(MATCH(F342, 'Default Prob'!$B$3:$B$13, 1), 1))</f>
        <v>1.9099999999999999E-2</v>
      </c>
      <c r="K342" s="26">
        <f t="shared" si="68"/>
        <v>0.97620085756122732</v>
      </c>
      <c r="L342" s="27">
        <f t="shared" ca="1" si="69"/>
        <v>0</v>
      </c>
      <c r="M342" s="27">
        <f t="shared" ca="1" si="70"/>
        <v>1119.6467350020009</v>
      </c>
      <c r="N342" s="28">
        <f t="shared" ca="1" si="71"/>
        <v>4.6616021039611072E-2</v>
      </c>
      <c r="O342" s="29">
        <f t="shared" ca="1" si="72"/>
        <v>600000</v>
      </c>
      <c r="P342" s="30">
        <f t="shared" ca="1" si="73"/>
        <v>24.980747721036007</v>
      </c>
    </row>
    <row r="343" spans="1:16" x14ac:dyDescent="0.25">
      <c r="A343" s="3">
        <f t="shared" si="74"/>
        <v>46591</v>
      </c>
      <c r="B343" s="21">
        <f t="shared" si="65"/>
        <v>36730</v>
      </c>
      <c r="C343" s="21">
        <f t="shared" si="66"/>
        <v>36789</v>
      </c>
      <c r="D343" s="1">
        <f t="shared" si="75"/>
        <v>0</v>
      </c>
      <c r="E343" s="3">
        <f t="array" ref="E343">INDEX($A$9:A342, MAX(IF($D$9:D342=1, ROW(D$9:$D342)-ROW($D$9)+1, 0)))</f>
        <v>46559</v>
      </c>
      <c r="F343" s="23">
        <f t="shared" si="67"/>
        <v>1.2758384668035592</v>
      </c>
      <c r="G343" s="5">
        <f>INDEX('Default Prob'!$P$5:$P$14,MIN(1+_xlfn.IFNA(MATCH(F343,'Default Prob'!$F$5:$F$14,1),0),COUNT('Default Prob'!$P$5:$P$14)))</f>
        <v>1.6062593678540758E-2</v>
      </c>
      <c r="H343" s="5">
        <f t="shared" si="76"/>
        <v>0.96975248436039929</v>
      </c>
      <c r="I343" s="24">
        <f t="shared" si="77"/>
        <v>4.264772796458427E-5</v>
      </c>
      <c r="J343" s="25">
        <f>INDEX('Default Prob'!$C$3:$C$13, _xlfn.IFNA(MATCH(F343, 'Default Prob'!$B$3:$B$13, 1), 1))</f>
        <v>1.9099999999999999E-2</v>
      </c>
      <c r="K343" s="26">
        <f t="shared" si="68"/>
        <v>0.97615029184058377</v>
      </c>
      <c r="L343" s="27">
        <f t="shared" ca="1" si="69"/>
        <v>0</v>
      </c>
      <c r="M343" s="27">
        <f t="shared" ca="1" si="70"/>
        <v>1155.7643716149685</v>
      </c>
      <c r="N343" s="28">
        <f t="shared" ca="1" si="71"/>
        <v>4.8115155117221392E-2</v>
      </c>
      <c r="O343" s="29">
        <f t="shared" ca="1" si="72"/>
        <v>600000</v>
      </c>
      <c r="P343" s="30">
        <f t="shared" ca="1" si="73"/>
        <v>24.978355259380056</v>
      </c>
    </row>
    <row r="344" spans="1:16" x14ac:dyDescent="0.25">
      <c r="A344" s="3">
        <f t="shared" si="74"/>
        <v>46594</v>
      </c>
      <c r="B344" s="21">
        <f t="shared" si="65"/>
        <v>36733</v>
      </c>
      <c r="C344" s="21">
        <f t="shared" si="66"/>
        <v>36789</v>
      </c>
      <c r="D344" s="1">
        <f t="shared" si="75"/>
        <v>0</v>
      </c>
      <c r="E344" s="3">
        <f t="array" ref="E344">INDEX($A$9:A343, MAX(IF($D$9:D343=1, ROW(D$9:$D343)-ROW($D$9)+1, 0)))</f>
        <v>46559</v>
      </c>
      <c r="F344" s="23">
        <f t="shared" si="67"/>
        <v>1.2840520191649556</v>
      </c>
      <c r="G344" s="5">
        <f>INDEX('Default Prob'!$P$5:$P$14,MIN(1+_xlfn.IFNA(MATCH(F344,'Default Prob'!$F$5:$F$14,1),0),COUNT('Default Prob'!$P$5:$P$14)))</f>
        <v>1.6062593678540758E-2</v>
      </c>
      <c r="H344" s="5">
        <f t="shared" si="76"/>
        <v>0.96962455242903889</v>
      </c>
      <c r="I344" s="24">
        <f t="shared" si="77"/>
        <v>1.2793193136040326E-4</v>
      </c>
      <c r="J344" s="25">
        <f>INDEX('Default Prob'!$C$3:$C$13, _xlfn.IFNA(MATCH(F344, 'Default Prob'!$B$3:$B$13, 1), 1))</f>
        <v>1.9099999999999999E-2</v>
      </c>
      <c r="K344" s="26">
        <f t="shared" si="68"/>
        <v>0.97599861039347546</v>
      </c>
      <c r="L344" s="27">
        <f t="shared" ca="1" si="69"/>
        <v>0</v>
      </c>
      <c r="M344" s="27">
        <f t="shared" ca="1" si="70"/>
        <v>1264.1172814538718</v>
      </c>
      <c r="N344" s="28">
        <f t="shared" ca="1" si="71"/>
        <v>0.15783943738716885</v>
      </c>
      <c r="O344" s="29">
        <f t="shared" ca="1" si="72"/>
        <v>600000</v>
      </c>
      <c r="P344" s="30">
        <f t="shared" ca="1" si="73"/>
        <v>74.916832339624236</v>
      </c>
    </row>
    <row r="345" spans="1:16" x14ac:dyDescent="0.25">
      <c r="A345" s="3">
        <f t="shared" si="74"/>
        <v>46595</v>
      </c>
      <c r="B345" s="21">
        <f t="shared" si="65"/>
        <v>36734</v>
      </c>
      <c r="C345" s="21">
        <f t="shared" si="66"/>
        <v>36789</v>
      </c>
      <c r="D345" s="1">
        <f t="shared" si="75"/>
        <v>0</v>
      </c>
      <c r="E345" s="3">
        <f t="array" ref="E345">INDEX($A$9:A344, MAX(IF($D$9:D344=1, ROW(D$9:$D344)-ROW($D$9)+1, 0)))</f>
        <v>46559</v>
      </c>
      <c r="F345" s="23">
        <f t="shared" si="67"/>
        <v>1.2867898699520877</v>
      </c>
      <c r="G345" s="5">
        <f>INDEX('Default Prob'!$P$5:$P$14,MIN(1+_xlfn.IFNA(MATCH(F345,'Default Prob'!$F$5:$F$14,1),0),COUNT('Default Prob'!$P$5:$P$14)))</f>
        <v>1.6062593678540758E-2</v>
      </c>
      <c r="H345" s="5">
        <f t="shared" si="76"/>
        <v>0.96958191220248835</v>
      </c>
      <c r="I345" s="24">
        <f t="shared" si="77"/>
        <v>4.2640226550538785E-5</v>
      </c>
      <c r="J345" s="25">
        <f>INDEX('Default Prob'!$C$3:$C$13, _xlfn.IFNA(MATCH(F345, 'Default Prob'!$B$3:$B$13, 1), 1))</f>
        <v>1.9099999999999999E-2</v>
      </c>
      <c r="K345" s="26">
        <f t="shared" si="68"/>
        <v>0.9759480551489278</v>
      </c>
      <c r="L345" s="27">
        <f t="shared" ca="1" si="69"/>
        <v>0</v>
      </c>
      <c r="M345" s="27">
        <f t="shared" ca="1" si="70"/>
        <v>1300.2349180668396</v>
      </c>
      <c r="N345" s="28">
        <f t="shared" ca="1" si="71"/>
        <v>5.4108816057271601E-2</v>
      </c>
      <c r="O345" s="29">
        <f t="shared" ca="1" si="72"/>
        <v>600000</v>
      </c>
      <c r="P345" s="30">
        <f t="shared" ca="1" si="73"/>
        <v>24.968787703864802</v>
      </c>
    </row>
    <row r="346" spans="1:16" x14ac:dyDescent="0.25">
      <c r="A346" s="3">
        <f t="shared" si="74"/>
        <v>46596</v>
      </c>
      <c r="B346" s="21">
        <f t="shared" si="65"/>
        <v>36735</v>
      </c>
      <c r="C346" s="21">
        <f t="shared" si="66"/>
        <v>36789</v>
      </c>
      <c r="D346" s="1">
        <f t="shared" si="75"/>
        <v>0</v>
      </c>
      <c r="E346" s="3">
        <f t="array" ref="E346">INDEX($A$9:A345, MAX(IF($D$9:D345=1, ROW(D$9:$D345)-ROW($D$9)+1, 0)))</f>
        <v>46559</v>
      </c>
      <c r="F346" s="23">
        <f t="shared" si="67"/>
        <v>1.2895277207392197</v>
      </c>
      <c r="G346" s="5">
        <f>INDEX('Default Prob'!$P$5:$P$14,MIN(1+_xlfn.IFNA(MATCH(F346,'Default Prob'!$F$5:$F$14,1),0),COUNT('Default Prob'!$P$5:$P$14)))</f>
        <v>1.6062593678540758E-2</v>
      </c>
      <c r="H346" s="5">
        <f t="shared" si="76"/>
        <v>0.96953927385108518</v>
      </c>
      <c r="I346" s="24">
        <f t="shared" si="77"/>
        <v>4.2638351403168073E-5</v>
      </c>
      <c r="J346" s="25">
        <f>INDEX('Default Prob'!$C$3:$C$13, _xlfn.IFNA(MATCH(F346, 'Default Prob'!$B$3:$B$13, 1), 1))</f>
        <v>1.9099999999999999E-2</v>
      </c>
      <c r="K346" s="26">
        <f t="shared" si="68"/>
        <v>0.97589750252306506</v>
      </c>
      <c r="L346" s="27">
        <f t="shared" ca="1" si="69"/>
        <v>0</v>
      </c>
      <c r="M346" s="27">
        <f t="shared" ca="1" si="70"/>
        <v>1336.3525546798076</v>
      </c>
      <c r="N346" s="28">
        <f t="shared" ca="1" si="71"/>
        <v>5.5606512656266857E-2</v>
      </c>
      <c r="O346" s="29">
        <f t="shared" ca="1" si="72"/>
        <v>600000</v>
      </c>
      <c r="P346" s="30">
        <f t="shared" ca="1" si="73"/>
        <v>24.96639638763153</v>
      </c>
    </row>
    <row r="347" spans="1:16" x14ac:dyDescent="0.25">
      <c r="A347" s="3">
        <f t="shared" si="74"/>
        <v>46597</v>
      </c>
      <c r="B347" s="21">
        <f t="shared" si="65"/>
        <v>36736</v>
      </c>
      <c r="C347" s="21">
        <f t="shared" si="66"/>
        <v>36789</v>
      </c>
      <c r="D347" s="1">
        <f t="shared" si="75"/>
        <v>0</v>
      </c>
      <c r="E347" s="3">
        <f t="array" ref="E347">INDEX($A$9:A346, MAX(IF($D$9:D346=1, ROW(D$9:$D346)-ROW($D$9)+1, 0)))</f>
        <v>46559</v>
      </c>
      <c r="F347" s="23">
        <f t="shared" si="67"/>
        <v>1.2922655715263518</v>
      </c>
      <c r="G347" s="5">
        <f>INDEX('Default Prob'!$P$5:$P$14,MIN(1+_xlfn.IFNA(MATCH(F347,'Default Prob'!$F$5:$F$14,1),0),COUNT('Default Prob'!$P$5:$P$14)))</f>
        <v>1.6062593678540758E-2</v>
      </c>
      <c r="H347" s="5">
        <f t="shared" si="76"/>
        <v>0.96949663737474689</v>
      </c>
      <c r="I347" s="24">
        <f t="shared" si="77"/>
        <v>4.2636476338286933E-5</v>
      </c>
      <c r="J347" s="25">
        <f>INDEX('Default Prob'!$C$3:$C$13, _xlfn.IFNA(MATCH(F347, 'Default Prob'!$B$3:$B$13, 1), 1))</f>
        <v>1.9099999999999999E-2</v>
      </c>
      <c r="K347" s="26">
        <f t="shared" si="68"/>
        <v>0.97584695251575138</v>
      </c>
      <c r="L347" s="27">
        <f t="shared" ca="1" si="69"/>
        <v>0</v>
      </c>
      <c r="M347" s="27">
        <f t="shared" ca="1" si="70"/>
        <v>1372.4701912927751</v>
      </c>
      <c r="N347" s="28">
        <f t="shared" ca="1" si="71"/>
        <v>5.7103921883539542E-2</v>
      </c>
      <c r="O347" s="29">
        <f t="shared" ca="1" si="72"/>
        <v>600000</v>
      </c>
      <c r="P347" s="30">
        <f t="shared" ca="1" si="73"/>
        <v>24.964005300436348</v>
      </c>
    </row>
    <row r="348" spans="1:16" x14ac:dyDescent="0.25">
      <c r="A348" s="3">
        <f t="shared" si="74"/>
        <v>46598</v>
      </c>
      <c r="B348" s="21">
        <f t="shared" si="65"/>
        <v>36737</v>
      </c>
      <c r="C348" s="21">
        <f t="shared" si="66"/>
        <v>36789</v>
      </c>
      <c r="D348" s="1">
        <f t="shared" si="75"/>
        <v>0</v>
      </c>
      <c r="E348" s="3">
        <f t="array" ref="E348">INDEX($A$9:A347, MAX(IF($D$9:D347=1, ROW(D$9:$D347)-ROW($D$9)+1, 0)))</f>
        <v>46559</v>
      </c>
      <c r="F348" s="23">
        <f t="shared" si="67"/>
        <v>1.2950034223134839</v>
      </c>
      <c r="G348" s="5">
        <f>INDEX('Default Prob'!$P$5:$P$14,MIN(1+_xlfn.IFNA(MATCH(F348,'Default Prob'!$F$5:$F$14,1),0),COUNT('Default Prob'!$P$5:$P$14)))</f>
        <v>1.6062593678540758E-2</v>
      </c>
      <c r="H348" s="5">
        <f t="shared" si="76"/>
        <v>0.96945400277339111</v>
      </c>
      <c r="I348" s="24">
        <f t="shared" si="77"/>
        <v>4.2634601355784341E-5</v>
      </c>
      <c r="J348" s="25">
        <f>INDEX('Default Prob'!$C$3:$C$13, _xlfn.IFNA(MATCH(F348, 'Default Prob'!$B$3:$B$13, 1), 1))</f>
        <v>1.9099999999999999E-2</v>
      </c>
      <c r="K348" s="26">
        <f t="shared" si="68"/>
        <v>0.9757964051268514</v>
      </c>
      <c r="L348" s="27">
        <f t="shared" ca="1" si="69"/>
        <v>0</v>
      </c>
      <c r="M348" s="27">
        <f t="shared" ca="1" si="70"/>
        <v>1408.5878279057429</v>
      </c>
      <c r="N348" s="28">
        <f t="shared" ca="1" si="71"/>
        <v>5.860104378025216E-2</v>
      </c>
      <c r="O348" s="29">
        <f t="shared" ca="1" si="72"/>
        <v>600000</v>
      </c>
      <c r="P348" s="30">
        <f t="shared" ca="1" si="73"/>
        <v>24.961614442194445</v>
      </c>
    </row>
    <row r="349" spans="1:16" x14ac:dyDescent="0.25">
      <c r="A349" s="3">
        <f t="shared" si="74"/>
        <v>46601</v>
      </c>
      <c r="B349" s="21">
        <f t="shared" si="65"/>
        <v>36740</v>
      </c>
      <c r="C349" s="21">
        <f t="shared" si="66"/>
        <v>36789</v>
      </c>
      <c r="D349" s="1">
        <f t="shared" si="75"/>
        <v>0</v>
      </c>
      <c r="E349" s="3">
        <f t="array" ref="E349">INDEX($A$9:A348, MAX(IF($D$9:D348=1, ROW(D$9:$D348)-ROW($D$9)+1, 0)))</f>
        <v>46559</v>
      </c>
      <c r="F349" s="23">
        <f t="shared" si="67"/>
        <v>1.3032169746748803</v>
      </c>
      <c r="G349" s="5">
        <f>INDEX('Default Prob'!$P$5:$P$14,MIN(1+_xlfn.IFNA(MATCH(F349,'Default Prob'!$F$5:$F$14,1),0),COUNT('Default Prob'!$P$5:$P$14)))</f>
        <v>1.6062593678540758E-2</v>
      </c>
      <c r="H349" s="5">
        <f t="shared" si="76"/>
        <v>0.96932611021839377</v>
      </c>
      <c r="I349" s="24">
        <f t="shared" si="77"/>
        <v>1.278925549973442E-4</v>
      </c>
      <c r="J349" s="25">
        <f>INDEX('Default Prob'!$C$3:$C$13, _xlfn.IFNA(MATCH(F349, 'Default Prob'!$B$3:$B$13, 1), 1))</f>
        <v>1.9099999999999999E-2</v>
      </c>
      <c r="K349" s="26">
        <f t="shared" si="68"/>
        <v>0.97564477866927601</v>
      </c>
      <c r="L349" s="27">
        <f t="shared" ca="1" si="69"/>
        <v>0</v>
      </c>
      <c r="M349" s="27">
        <f t="shared" ca="1" si="70"/>
        <v>1516.9407377446464</v>
      </c>
      <c r="N349" s="28">
        <f t="shared" ca="1" si="71"/>
        <v>0.18928038162235522</v>
      </c>
      <c r="O349" s="29">
        <f t="shared" ca="1" si="72"/>
        <v>600000</v>
      </c>
      <c r="P349" s="30">
        <f t="shared" ca="1" si="73"/>
        <v>74.866622108299254</v>
      </c>
    </row>
    <row r="350" spans="1:16" x14ac:dyDescent="0.25">
      <c r="A350" s="3">
        <f t="shared" si="74"/>
        <v>46602</v>
      </c>
      <c r="B350" s="21">
        <f t="shared" si="65"/>
        <v>36741</v>
      </c>
      <c r="C350" s="21">
        <f t="shared" si="66"/>
        <v>36789</v>
      </c>
      <c r="D350" s="1">
        <f t="shared" si="75"/>
        <v>0</v>
      </c>
      <c r="E350" s="3">
        <f t="array" ref="E350">INDEX($A$9:A349, MAX(IF($D$9:D349=1, ROW(D$9:$D349)-ROW($D$9)+1, 0)))</f>
        <v>46559</v>
      </c>
      <c r="F350" s="23">
        <f t="shared" si="67"/>
        <v>1.3059548254620124</v>
      </c>
      <c r="G350" s="5">
        <f>INDEX('Default Prob'!$P$5:$P$14,MIN(1+_xlfn.IFNA(MATCH(F350,'Default Prob'!$F$5:$F$14,1),0),COUNT('Default Prob'!$P$5:$P$14)))</f>
        <v>1.6062593678540758E-2</v>
      </c>
      <c r="H350" s="5">
        <f t="shared" si="76"/>
        <v>0.96928348311614321</v>
      </c>
      <c r="I350" s="24">
        <f t="shared" si="77"/>
        <v>4.2627102250558657E-5</v>
      </c>
      <c r="J350" s="25">
        <f>INDEX('Default Prob'!$C$3:$C$13, _xlfn.IFNA(MATCH(F350, 'Default Prob'!$B$3:$B$13, 1), 1))</f>
        <v>1.9099999999999999E-2</v>
      </c>
      <c r="K350" s="26">
        <f t="shared" si="68"/>
        <v>0.97559424175267384</v>
      </c>
      <c r="L350" s="27">
        <f t="shared" ca="1" si="69"/>
        <v>0</v>
      </c>
      <c r="M350" s="27">
        <f t="shared" ca="1" si="70"/>
        <v>1553.0583743576142</v>
      </c>
      <c r="N350" s="28">
        <f t="shared" ca="1" si="71"/>
        <v>6.4586658888915793E-2</v>
      </c>
      <c r="O350" s="29">
        <f t="shared" ca="1" si="72"/>
        <v>600000</v>
      </c>
      <c r="P350" s="30">
        <f t="shared" ca="1" si="73"/>
        <v>24.952053298948481</v>
      </c>
    </row>
    <row r="351" spans="1:16" x14ac:dyDescent="0.25">
      <c r="A351" s="3">
        <f t="shared" si="74"/>
        <v>46603</v>
      </c>
      <c r="B351" s="21">
        <f t="shared" si="65"/>
        <v>36742</v>
      </c>
      <c r="C351" s="21">
        <f t="shared" si="66"/>
        <v>36789</v>
      </c>
      <c r="D351" s="1">
        <f t="shared" si="75"/>
        <v>0</v>
      </c>
      <c r="E351" s="3">
        <f t="array" ref="E351">INDEX($A$9:A350, MAX(IF($D$9:D350=1, ROW(D$9:$D350)-ROW($D$9)+1, 0)))</f>
        <v>46559</v>
      </c>
      <c r="F351" s="23">
        <f t="shared" si="67"/>
        <v>1.3086926762491444</v>
      </c>
      <c r="G351" s="5">
        <f>INDEX('Default Prob'!$P$5:$P$14,MIN(1+_xlfn.IFNA(MATCH(F351,'Default Prob'!$F$5:$F$14,1),0),COUNT('Default Prob'!$P$5:$P$14)))</f>
        <v>1.6062593678540758E-2</v>
      </c>
      <c r="H351" s="5">
        <f t="shared" si="76"/>
        <v>0.96924085788846293</v>
      </c>
      <c r="I351" s="24">
        <f t="shared" si="77"/>
        <v>4.2625227680281874E-5</v>
      </c>
      <c r="J351" s="25">
        <f>INDEX('Default Prob'!$C$3:$C$13, _xlfn.IFNA(MATCH(F351, 'Default Prob'!$B$3:$B$13, 1), 1))</f>
        <v>1.9099999999999999E-2</v>
      </c>
      <c r="K351" s="26">
        <f t="shared" si="68"/>
        <v>0.97554370745380725</v>
      </c>
      <c r="L351" s="27">
        <f t="shared" ca="1" si="69"/>
        <v>0</v>
      </c>
      <c r="M351" s="27">
        <f t="shared" ca="1" si="70"/>
        <v>1589.1760109705817</v>
      </c>
      <c r="N351" s="28">
        <f t="shared" ca="1" si="71"/>
        <v>6.6082344752762839E-2</v>
      </c>
      <c r="O351" s="29">
        <f t="shared" ca="1" si="72"/>
        <v>600000</v>
      </c>
      <c r="P351" s="30">
        <f t="shared" ca="1" si="73"/>
        <v>24.949663585370896</v>
      </c>
    </row>
    <row r="352" spans="1:16" x14ac:dyDescent="0.25">
      <c r="A352" s="3">
        <f t="shared" si="74"/>
        <v>46604</v>
      </c>
      <c r="B352" s="21">
        <f t="shared" si="65"/>
        <v>36743</v>
      </c>
      <c r="C352" s="21">
        <f t="shared" si="66"/>
        <v>36789</v>
      </c>
      <c r="D352" s="1">
        <f t="shared" si="75"/>
        <v>0</v>
      </c>
      <c r="E352" s="3">
        <f t="array" ref="E352">INDEX($A$9:A351, MAX(IF($D$9:D351=1, ROW(D$9:$D351)-ROW($D$9)+1, 0)))</f>
        <v>46559</v>
      </c>
      <c r="F352" s="23">
        <f t="shared" si="67"/>
        <v>1.3114305270362765</v>
      </c>
      <c r="G352" s="5">
        <f>INDEX('Default Prob'!$P$5:$P$14,MIN(1+_xlfn.IFNA(MATCH(F352,'Default Prob'!$F$5:$F$14,1),0),COUNT('Default Prob'!$P$5:$P$14)))</f>
        <v>1.6062593678540758E-2</v>
      </c>
      <c r="H352" s="5">
        <f t="shared" si="76"/>
        <v>0.96919823453527032</v>
      </c>
      <c r="I352" s="24">
        <f t="shared" si="77"/>
        <v>4.2623353192605684E-5</v>
      </c>
      <c r="J352" s="25">
        <f>INDEX('Default Prob'!$C$3:$C$13, _xlfn.IFNA(MATCH(F352, 'Default Prob'!$B$3:$B$13, 1), 1))</f>
        <v>1.9099999999999999E-2</v>
      </c>
      <c r="K352" s="26">
        <f t="shared" si="68"/>
        <v>0.97549317577254047</v>
      </c>
      <c r="L352" s="27">
        <f t="shared" ca="1" si="69"/>
        <v>0</v>
      </c>
      <c r="M352" s="27">
        <f t="shared" ca="1" si="70"/>
        <v>1625.2936475835495</v>
      </c>
      <c r="N352" s="28">
        <f t="shared" ca="1" si="71"/>
        <v>6.7577743534145279E-2</v>
      </c>
      <c r="O352" s="29">
        <f t="shared" ca="1" si="72"/>
        <v>600000</v>
      </c>
      <c r="P352" s="30">
        <f t="shared" ca="1" si="73"/>
        <v>24.947274100757742</v>
      </c>
    </row>
    <row r="353" spans="1:16" x14ac:dyDescent="0.25">
      <c r="A353" s="3">
        <f t="shared" si="74"/>
        <v>46605</v>
      </c>
      <c r="B353" s="21">
        <f t="shared" si="65"/>
        <v>36744</v>
      </c>
      <c r="C353" s="21">
        <f t="shared" si="66"/>
        <v>36789</v>
      </c>
      <c r="D353" s="1">
        <f t="shared" si="75"/>
        <v>0</v>
      </c>
      <c r="E353" s="3">
        <f t="array" ref="E353">INDEX($A$9:A352, MAX(IF($D$9:D352=1, ROW(D$9:$D352)-ROW($D$9)+1, 0)))</f>
        <v>46559</v>
      </c>
      <c r="F353" s="23">
        <f t="shared" si="67"/>
        <v>1.3141683778234086</v>
      </c>
      <c r="G353" s="5">
        <f>INDEX('Default Prob'!$P$5:$P$14,MIN(1+_xlfn.IFNA(MATCH(F353,'Default Prob'!$F$5:$F$14,1),0),COUNT('Default Prob'!$P$5:$P$14)))</f>
        <v>1.6062593678540758E-2</v>
      </c>
      <c r="H353" s="5">
        <f t="shared" si="76"/>
        <v>0.96915561305648312</v>
      </c>
      <c r="I353" s="24">
        <f t="shared" si="77"/>
        <v>4.262147878719702E-5</v>
      </c>
      <c r="J353" s="25">
        <f>INDEX('Default Prob'!$C$3:$C$13, _xlfn.IFNA(MATCH(F353, 'Default Prob'!$B$3:$B$13, 1), 1))</f>
        <v>1.9099999999999999E-2</v>
      </c>
      <c r="K353" s="26">
        <f t="shared" si="68"/>
        <v>0.97544264670873793</v>
      </c>
      <c r="L353" s="27">
        <f t="shared" ca="1" si="69"/>
        <v>0</v>
      </c>
      <c r="M353" s="27">
        <f t="shared" ca="1" si="70"/>
        <v>1661.4112841965173</v>
      </c>
      <c r="N353" s="28">
        <f t="shared" ca="1" si="71"/>
        <v>6.9072855273816722E-2</v>
      </c>
      <c r="O353" s="29">
        <f t="shared" ca="1" si="72"/>
        <v>600000</v>
      </c>
      <c r="P353" s="30">
        <f t="shared" ca="1" si="73"/>
        <v>24.944884844894275</v>
      </c>
    </row>
    <row r="354" spans="1:16" x14ac:dyDescent="0.25">
      <c r="A354" s="3">
        <f t="shared" si="74"/>
        <v>46608</v>
      </c>
      <c r="B354" s="21">
        <f t="shared" si="65"/>
        <v>36747</v>
      </c>
      <c r="C354" s="21">
        <f t="shared" si="66"/>
        <v>36789</v>
      </c>
      <c r="D354" s="1">
        <f t="shared" si="75"/>
        <v>0</v>
      </c>
      <c r="E354" s="3">
        <f t="array" ref="E354">INDEX($A$9:A353, MAX(IF($D$9:D353=1, ROW(D$9:$D353)-ROW($D$9)+1, 0)))</f>
        <v>46559</v>
      </c>
      <c r="F354" s="23">
        <f t="shared" si="67"/>
        <v>1.322381930184805</v>
      </c>
      <c r="G354" s="5">
        <f>INDEX('Default Prob'!$P$5:$P$14,MIN(1+_xlfn.IFNA(MATCH(F354,'Default Prob'!$F$5:$F$14,1),0),COUNT('Default Prob'!$P$5:$P$14)))</f>
        <v>1.6062593678540758E-2</v>
      </c>
      <c r="H354" s="5">
        <f t="shared" si="76"/>
        <v>0.9690277598657292</v>
      </c>
      <c r="I354" s="24">
        <f t="shared" si="77"/>
        <v>1.2785319075392376E-4</v>
      </c>
      <c r="J354" s="25">
        <f>INDEX('Default Prob'!$C$3:$C$13, _xlfn.IFNA(MATCH(F354, 'Default Prob'!$B$3:$B$13, 1), 1))</f>
        <v>1.9099999999999999E-2</v>
      </c>
      <c r="K354" s="26">
        <f t="shared" si="68"/>
        <v>0.97529107522076031</v>
      </c>
      <c r="L354" s="27">
        <f t="shared" ca="1" si="69"/>
        <v>0</v>
      </c>
      <c r="M354" s="27">
        <f t="shared" ca="1" si="70"/>
        <v>1769.7641940354208</v>
      </c>
      <c r="N354" s="28">
        <f t="shared" ca="1" si="71"/>
        <v>0.22067911070217436</v>
      </c>
      <c r="O354" s="29">
        <f t="shared" ca="1" si="72"/>
        <v>600000</v>
      </c>
      <c r="P354" s="30">
        <f t="shared" ca="1" si="73"/>
        <v>74.816445528479562</v>
      </c>
    </row>
    <row r="355" spans="1:16" x14ac:dyDescent="0.25">
      <c r="A355" s="3">
        <f t="shared" si="74"/>
        <v>46609</v>
      </c>
      <c r="B355" s="21">
        <f t="shared" si="65"/>
        <v>36748</v>
      </c>
      <c r="C355" s="21">
        <f t="shared" si="66"/>
        <v>36789</v>
      </c>
      <c r="D355" s="1">
        <f t="shared" si="75"/>
        <v>0</v>
      </c>
      <c r="E355" s="3">
        <f t="array" ref="E355">INDEX($A$9:A354, MAX(IF($D$9:D354=1, ROW(D$9:$D354)-ROW($D$9)+1, 0)))</f>
        <v>46559</v>
      </c>
      <c r="F355" s="23">
        <f t="shared" si="67"/>
        <v>1.3251197809719371</v>
      </c>
      <c r="G355" s="5">
        <f>INDEX('Default Prob'!$P$5:$P$14,MIN(1+_xlfn.IFNA(MATCH(F355,'Default Prob'!$F$5:$F$14,1),0),COUNT('Default Prob'!$P$5:$P$14)))</f>
        <v>1.6062593678540758E-2</v>
      </c>
      <c r="H355" s="5">
        <f t="shared" si="76"/>
        <v>0.96898514588373907</v>
      </c>
      <c r="I355" s="24">
        <f t="shared" si="77"/>
        <v>4.2613981990125005E-5</v>
      </c>
      <c r="J355" s="25">
        <f>INDEX('Default Prob'!$C$3:$C$13, _xlfn.IFNA(MATCH(F355, 'Default Prob'!$B$3:$B$13, 1), 1))</f>
        <v>1.9099999999999999E-2</v>
      </c>
      <c r="K355" s="26">
        <f t="shared" si="68"/>
        <v>0.97524055662545928</v>
      </c>
      <c r="L355" s="27">
        <f t="shared" ca="1" si="69"/>
        <v>0</v>
      </c>
      <c r="M355" s="27">
        <f t="shared" ca="1" si="70"/>
        <v>1805.8818306483884</v>
      </c>
      <c r="N355" s="28">
        <f t="shared" ca="1" si="71"/>
        <v>7.5050432643715914E-2</v>
      </c>
      <c r="O355" s="29">
        <f t="shared" ca="1" si="72"/>
        <v>600000</v>
      </c>
      <c r="P355" s="30">
        <f t="shared" ca="1" si="73"/>
        <v>24.935330109646085</v>
      </c>
    </row>
    <row r="356" spans="1:16" x14ac:dyDescent="0.25">
      <c r="A356" s="3">
        <f t="shared" si="74"/>
        <v>46610</v>
      </c>
      <c r="B356" s="21">
        <f t="shared" si="65"/>
        <v>36749</v>
      </c>
      <c r="C356" s="21">
        <f t="shared" si="66"/>
        <v>36789</v>
      </c>
      <c r="D356" s="1">
        <f t="shared" si="75"/>
        <v>0</v>
      </c>
      <c r="E356" s="3">
        <f t="array" ref="E356">INDEX($A$9:A355, MAX(IF($D$9:D355=1, ROW(D$9:$D355)-ROW($D$9)+1, 0)))</f>
        <v>46559</v>
      </c>
      <c r="F356" s="23">
        <f t="shared" si="67"/>
        <v>1.3278576317590691</v>
      </c>
      <c r="G356" s="5">
        <f>INDEX('Default Prob'!$P$5:$P$14,MIN(1+_xlfn.IFNA(MATCH(F356,'Default Prob'!$F$5:$F$14,1),0),COUNT('Default Prob'!$P$5:$P$14)))</f>
        <v>1.6062593678540758E-2</v>
      </c>
      <c r="H356" s="5">
        <f t="shared" si="76"/>
        <v>0.96894253377574213</v>
      </c>
      <c r="I356" s="24">
        <f t="shared" si="77"/>
        <v>4.261210799694215E-5</v>
      </c>
      <c r="J356" s="25">
        <f>INDEX('Default Prob'!$C$3:$C$13, _xlfn.IFNA(MATCH(F356, 'Default Prob'!$B$3:$B$13, 1), 1))</f>
        <v>1.9099999999999999E-2</v>
      </c>
      <c r="K356" s="26">
        <f t="shared" si="68"/>
        <v>0.97519004064694459</v>
      </c>
      <c r="L356" s="27">
        <f t="shared" ca="1" si="69"/>
        <v>0</v>
      </c>
      <c r="M356" s="27">
        <f t="shared" ca="1" si="70"/>
        <v>1841.9994672613561</v>
      </c>
      <c r="N356" s="28">
        <f t="shared" ca="1" si="71"/>
        <v>7.6544109795201945E-2</v>
      </c>
      <c r="O356" s="29">
        <f t="shared" ca="1" si="72"/>
        <v>600000</v>
      </c>
      <c r="P356" s="30">
        <f t="shared" ca="1" si="73"/>
        <v>24.932941997754003</v>
      </c>
    </row>
    <row r="357" spans="1:16" x14ac:dyDescent="0.25">
      <c r="A357" s="3">
        <f t="shared" si="74"/>
        <v>46611</v>
      </c>
      <c r="B357" s="21">
        <f t="shared" si="65"/>
        <v>36750</v>
      </c>
      <c r="C357" s="21">
        <f t="shared" si="66"/>
        <v>36789</v>
      </c>
      <c r="D357" s="1">
        <f t="shared" si="75"/>
        <v>0</v>
      </c>
      <c r="E357" s="3">
        <f t="array" ref="E357">INDEX($A$9:A356, MAX(IF($D$9:D356=1, ROW(D$9:$D356)-ROW($D$9)+1, 0)))</f>
        <v>46559</v>
      </c>
      <c r="F357" s="23">
        <f t="shared" si="67"/>
        <v>1.3305954825462012</v>
      </c>
      <c r="G357" s="5">
        <f>INDEX('Default Prob'!$P$5:$P$14,MIN(1+_xlfn.IFNA(MATCH(F357,'Default Prob'!$F$5:$F$14,1),0),COUNT('Default Prob'!$P$5:$P$14)))</f>
        <v>1.6062593678540758E-2</v>
      </c>
      <c r="H357" s="5">
        <f t="shared" si="76"/>
        <v>0.96889992354165611</v>
      </c>
      <c r="I357" s="24">
        <f t="shared" si="77"/>
        <v>4.2610234086026821E-5</v>
      </c>
      <c r="J357" s="25">
        <f>INDEX('Default Prob'!$C$3:$C$13, _xlfn.IFNA(MATCH(F357, 'Default Prob'!$B$3:$B$13, 1), 1))</f>
        <v>1.9099999999999999E-2</v>
      </c>
      <c r="K357" s="26">
        <f t="shared" si="68"/>
        <v>0.97513952728508091</v>
      </c>
      <c r="L357" s="27">
        <f t="shared" ca="1" si="69"/>
        <v>0</v>
      </c>
      <c r="M357" s="27">
        <f t="shared" ca="1" si="70"/>
        <v>1878.1171038743239</v>
      </c>
      <c r="N357" s="28">
        <f t="shared" ca="1" si="71"/>
        <v>7.8037500152489198E-2</v>
      </c>
      <c r="O357" s="29">
        <f t="shared" ca="1" si="72"/>
        <v>600000</v>
      </c>
      <c r="P357" s="30">
        <f t="shared" ca="1" si="73"/>
        <v>24.930554114492903</v>
      </c>
    </row>
    <row r="358" spans="1:16" x14ac:dyDescent="0.25">
      <c r="A358" s="3">
        <f t="shared" si="74"/>
        <v>46612</v>
      </c>
      <c r="B358" s="21">
        <f t="shared" si="65"/>
        <v>36751</v>
      </c>
      <c r="C358" s="21">
        <f t="shared" si="66"/>
        <v>36789</v>
      </c>
      <c r="D358" s="1">
        <f t="shared" si="75"/>
        <v>0</v>
      </c>
      <c r="E358" s="3">
        <f t="array" ref="E358">INDEX($A$9:A357, MAX(IF($D$9:D357=1, ROW(D$9:$D357)-ROW($D$9)+1, 0)))</f>
        <v>46559</v>
      </c>
      <c r="F358" s="23">
        <f t="shared" si="67"/>
        <v>1.3333333333333333</v>
      </c>
      <c r="G358" s="5">
        <f>INDEX('Default Prob'!$P$5:$P$14,MIN(1+_xlfn.IFNA(MATCH(F358,'Default Prob'!$F$5:$F$14,1),0),COUNT('Default Prob'!$P$5:$P$14)))</f>
        <v>1.6062593678540758E-2</v>
      </c>
      <c r="H358" s="5">
        <f t="shared" si="76"/>
        <v>0.96885731518139839</v>
      </c>
      <c r="I358" s="24">
        <f t="shared" si="77"/>
        <v>4.2608360257712086E-5</v>
      </c>
      <c r="J358" s="25">
        <f>INDEX('Default Prob'!$C$3:$C$13, _xlfn.IFNA(MATCH(F358, 'Default Prob'!$B$3:$B$13, 1), 1))</f>
        <v>1.9099999999999999E-2</v>
      </c>
      <c r="K358" s="26">
        <f t="shared" si="68"/>
        <v>0.97508901653973257</v>
      </c>
      <c r="L358" s="27">
        <f t="shared" ca="1" si="69"/>
        <v>0</v>
      </c>
      <c r="M358" s="27">
        <f t="shared" ca="1" si="70"/>
        <v>1914.2347404872917</v>
      </c>
      <c r="N358" s="28">
        <f t="shared" ca="1" si="71"/>
        <v>7.9530603757424309E-2</v>
      </c>
      <c r="O358" s="29">
        <f t="shared" ca="1" si="72"/>
        <v>600000</v>
      </c>
      <c r="P358" s="30">
        <f t="shared" ca="1" si="73"/>
        <v>24.928166460037861</v>
      </c>
    </row>
    <row r="359" spans="1:16" x14ac:dyDescent="0.25">
      <c r="A359" s="3">
        <f t="shared" si="74"/>
        <v>46615</v>
      </c>
      <c r="B359" s="21">
        <f t="shared" si="65"/>
        <v>36754</v>
      </c>
      <c r="C359" s="21">
        <f t="shared" si="66"/>
        <v>36789</v>
      </c>
      <c r="D359" s="1">
        <f t="shared" si="75"/>
        <v>0</v>
      </c>
      <c r="E359" s="3">
        <f t="array" ref="E359">INDEX($A$9:A358, MAX(IF($D$9:D358=1, ROW(D$9:$D358)-ROW($D$9)+1, 0)))</f>
        <v>46559</v>
      </c>
      <c r="F359" s="23">
        <f t="shared" si="67"/>
        <v>1.3415468856947297</v>
      </c>
      <c r="G359" s="5">
        <f>INDEX('Default Prob'!$P$5:$P$14,MIN(1+_xlfn.IFNA(MATCH(F359,'Default Prob'!$F$5:$F$14,1),0),COUNT('Default Prob'!$P$5:$P$14)))</f>
        <v>1.6062593678540758E-2</v>
      </c>
      <c r="H359" s="5">
        <f t="shared" si="76"/>
        <v>0.9687295013427718</v>
      </c>
      <c r="I359" s="24">
        <f t="shared" si="77"/>
        <v>1.2781383862658924E-4</v>
      </c>
      <c r="J359" s="25">
        <f>INDEX('Default Prob'!$C$3:$C$13, _xlfn.IFNA(MATCH(F359, 'Default Prob'!$B$3:$B$13, 1), 1))</f>
        <v>1.9099999999999999E-2</v>
      </c>
      <c r="K359" s="26">
        <f t="shared" si="68"/>
        <v>0.97493750000142432</v>
      </c>
      <c r="L359" s="27">
        <f t="shared" ca="1" si="69"/>
        <v>0</v>
      </c>
      <c r="M359" s="27">
        <f t="shared" ca="1" si="70"/>
        <v>2022.587650326195</v>
      </c>
      <c r="N359" s="28">
        <f t="shared" ca="1" si="71"/>
        <v>0.25203566709039799</v>
      </c>
      <c r="O359" s="29">
        <f t="shared" ca="1" si="72"/>
        <v>600000</v>
      </c>
      <c r="P359" s="30">
        <f t="shared" ca="1" si="73"/>
        <v>74.766302577715422</v>
      </c>
    </row>
    <row r="360" spans="1:16" x14ac:dyDescent="0.25">
      <c r="A360" s="3">
        <f t="shared" si="74"/>
        <v>46616</v>
      </c>
      <c r="B360" s="21">
        <f t="shared" si="65"/>
        <v>36755</v>
      </c>
      <c r="C360" s="21">
        <f t="shared" si="66"/>
        <v>36789</v>
      </c>
      <c r="D360" s="1">
        <f t="shared" si="75"/>
        <v>0</v>
      </c>
      <c r="E360" s="3">
        <f t="array" ref="E360">INDEX($A$9:A359, MAX(IF($D$9:D359=1, ROW(D$9:$D359)-ROW($D$9)+1, 0)))</f>
        <v>46559</v>
      </c>
      <c r="F360" s="23">
        <f t="shared" si="67"/>
        <v>1.3442847364818618</v>
      </c>
      <c r="G360" s="5">
        <f>INDEX('Default Prob'!$P$5:$P$14,MIN(1+_xlfn.IFNA(MATCH(F360,'Default Prob'!$F$5:$F$14,1),0),COUNT('Default Prob'!$P$5:$P$14)))</f>
        <v>1.6062593678540758E-2</v>
      </c>
      <c r="H360" s="5">
        <f t="shared" si="76"/>
        <v>0.96868690047700379</v>
      </c>
      <c r="I360" s="24">
        <f t="shared" si="77"/>
        <v>4.2600865768016583E-5</v>
      </c>
      <c r="J360" s="25">
        <f>INDEX('Default Prob'!$C$3:$C$13, _xlfn.IFNA(MATCH(F360, 'Default Prob'!$B$3:$B$13, 1), 1))</f>
        <v>1.9099999999999999E-2</v>
      </c>
      <c r="K360" s="26">
        <f t="shared" si="68"/>
        <v>0.97488699972078219</v>
      </c>
      <c r="L360" s="27">
        <f t="shared" ca="1" si="69"/>
        <v>0</v>
      </c>
      <c r="M360" s="27">
        <f t="shared" ca="1" si="70"/>
        <v>2058.7052869391628</v>
      </c>
      <c r="N360" s="28">
        <f t="shared" ca="1" si="71"/>
        <v>8.5500151473776084E-2</v>
      </c>
      <c r="O360" s="29">
        <f t="shared" ca="1" si="72"/>
        <v>600000</v>
      </c>
      <c r="P360" s="30">
        <f t="shared" ca="1" si="73"/>
        <v>24.918618128453677</v>
      </c>
    </row>
    <row r="361" spans="1:16" x14ac:dyDescent="0.25">
      <c r="A361" s="3">
        <f t="shared" si="74"/>
        <v>46617</v>
      </c>
      <c r="B361" s="21">
        <f t="shared" si="65"/>
        <v>36756</v>
      </c>
      <c r="C361" s="21">
        <f t="shared" si="66"/>
        <v>36789</v>
      </c>
      <c r="D361" s="1">
        <f t="shared" si="75"/>
        <v>0</v>
      </c>
      <c r="E361" s="3">
        <f t="array" ref="E361">INDEX($A$9:A360, MAX(IF($D$9:D360=1, ROW(D$9:$D360)-ROW($D$9)+1, 0)))</f>
        <v>46559</v>
      </c>
      <c r="F361" s="23">
        <f t="shared" si="67"/>
        <v>1.3470225872689938</v>
      </c>
      <c r="G361" s="5">
        <f>INDEX('Default Prob'!$P$5:$P$14,MIN(1+_xlfn.IFNA(MATCH(F361,'Default Prob'!$F$5:$F$14,1),0),COUNT('Default Prob'!$P$5:$P$14)))</f>
        <v>1.6062593678540758E-2</v>
      </c>
      <c r="H361" s="5">
        <f t="shared" si="76"/>
        <v>0.96864430148465219</v>
      </c>
      <c r="I361" s="24">
        <f t="shared" si="77"/>
        <v>4.2598992351594589E-5</v>
      </c>
      <c r="J361" s="25">
        <f>INDEX('Default Prob'!$C$3:$C$13, _xlfn.IFNA(MATCH(F361, 'Default Prob'!$B$3:$B$13, 1), 1))</f>
        <v>1.9099999999999999E-2</v>
      </c>
      <c r="K361" s="26">
        <f t="shared" si="68"/>
        <v>0.97483650205597772</v>
      </c>
      <c r="L361" s="27">
        <f t="shared" ca="1" si="69"/>
        <v>0</v>
      </c>
      <c r="M361" s="27">
        <f t="shared" ca="1" si="70"/>
        <v>2094.8229235521303</v>
      </c>
      <c r="N361" s="28">
        <f t="shared" ca="1" si="71"/>
        <v>8.6991821933331978E-2</v>
      </c>
      <c r="O361" s="29">
        <f t="shared" ca="1" si="72"/>
        <v>600000</v>
      </c>
      <c r="P361" s="30">
        <f t="shared" ca="1" si="73"/>
        <v>24.916231617082691</v>
      </c>
    </row>
    <row r="362" spans="1:16" x14ac:dyDescent="0.25">
      <c r="A362" s="3">
        <f t="shared" si="74"/>
        <v>46618</v>
      </c>
      <c r="B362" s="21">
        <f t="shared" si="65"/>
        <v>36757</v>
      </c>
      <c r="C362" s="21">
        <f t="shared" si="66"/>
        <v>36789</v>
      </c>
      <c r="D362" s="1">
        <f t="shared" si="75"/>
        <v>0</v>
      </c>
      <c r="E362" s="3">
        <f t="array" ref="E362">INDEX($A$9:A361, MAX(IF($D$9:D361=1, ROW(D$9:$D361)-ROW($D$9)+1, 0)))</f>
        <v>46559</v>
      </c>
      <c r="F362" s="23">
        <f t="shared" si="67"/>
        <v>1.3497604380561259</v>
      </c>
      <c r="G362" s="5">
        <f>INDEX('Default Prob'!$P$5:$P$14,MIN(1+_xlfn.IFNA(MATCH(F362,'Default Prob'!$F$5:$F$14,1),0),COUNT('Default Prob'!$P$5:$P$14)))</f>
        <v>1.6062593678540758E-2</v>
      </c>
      <c r="H362" s="5">
        <f t="shared" si="76"/>
        <v>0.96860170436563464</v>
      </c>
      <c r="I362" s="24">
        <f t="shared" si="77"/>
        <v>4.2597119017551144E-5</v>
      </c>
      <c r="J362" s="25">
        <f>INDEX('Default Prob'!$C$3:$C$13, _xlfn.IFNA(MATCH(F362, 'Default Prob'!$B$3:$B$13, 1), 1))</f>
        <v>1.9099999999999999E-2</v>
      </c>
      <c r="K362" s="26">
        <f t="shared" si="68"/>
        <v>0.97478600700687568</v>
      </c>
      <c r="L362" s="27">
        <f t="shared" ca="1" si="69"/>
        <v>0</v>
      </c>
      <c r="M362" s="27">
        <f t="shared" ca="1" si="70"/>
        <v>2130.9405601650983</v>
      </c>
      <c r="N362" s="28">
        <f t="shared" ca="1" si="71"/>
        <v>8.8483205887457034E-2</v>
      </c>
      <c r="O362" s="29">
        <f t="shared" ca="1" si="72"/>
        <v>600000</v>
      </c>
      <c r="P362" s="30">
        <f t="shared" ca="1" si="73"/>
        <v>24.913845334269197</v>
      </c>
    </row>
    <row r="363" spans="1:16" x14ac:dyDescent="0.25">
      <c r="A363" s="3">
        <f t="shared" si="74"/>
        <v>46619</v>
      </c>
      <c r="B363" s="21">
        <f t="shared" si="65"/>
        <v>36758</v>
      </c>
      <c r="C363" s="21">
        <f t="shared" si="66"/>
        <v>36789</v>
      </c>
      <c r="D363" s="1">
        <f t="shared" si="75"/>
        <v>0</v>
      </c>
      <c r="E363" s="3">
        <f t="array" ref="E363">INDEX($A$9:A362, MAX(IF($D$9:D362=1, ROW(D$9:$D362)-ROW($D$9)+1, 0)))</f>
        <v>46559</v>
      </c>
      <c r="F363" s="23">
        <f t="shared" si="67"/>
        <v>1.352498288843258</v>
      </c>
      <c r="G363" s="5">
        <f>INDEX('Default Prob'!$P$5:$P$14,MIN(1+_xlfn.IFNA(MATCH(F363,'Default Prob'!$F$5:$F$14,1),0),COUNT('Default Prob'!$P$5:$P$14)))</f>
        <v>1.6062593678540758E-2</v>
      </c>
      <c r="H363" s="5">
        <f t="shared" si="76"/>
        <v>0.96855910911986876</v>
      </c>
      <c r="I363" s="24">
        <f t="shared" si="77"/>
        <v>4.2595245765886247E-5</v>
      </c>
      <c r="J363" s="25">
        <f>INDEX('Default Prob'!$C$3:$C$13, _xlfn.IFNA(MATCH(F363, 'Default Prob'!$B$3:$B$13, 1), 1))</f>
        <v>1.9099999999999999E-2</v>
      </c>
      <c r="K363" s="26">
        <f t="shared" si="68"/>
        <v>0.9747355145733404</v>
      </c>
      <c r="L363" s="27">
        <f t="shared" ca="1" si="69"/>
        <v>0</v>
      </c>
      <c r="M363" s="27">
        <f t="shared" ca="1" si="70"/>
        <v>2167.0581967780658</v>
      </c>
      <c r="N363" s="28">
        <f t="shared" ca="1" si="71"/>
        <v>8.9974303377354584E-2</v>
      </c>
      <c r="O363" s="29">
        <f t="shared" ca="1" si="72"/>
        <v>600000</v>
      </c>
      <c r="P363" s="30">
        <f t="shared" ca="1" si="73"/>
        <v>24.911459279993419</v>
      </c>
    </row>
    <row r="364" spans="1:16" x14ac:dyDescent="0.25">
      <c r="A364" s="3">
        <f t="shared" si="74"/>
        <v>46622</v>
      </c>
      <c r="B364" s="21">
        <f t="shared" si="65"/>
        <v>36761</v>
      </c>
      <c r="C364" s="21">
        <f t="shared" si="66"/>
        <v>36789</v>
      </c>
      <c r="D364" s="1">
        <f t="shared" si="75"/>
        <v>0</v>
      </c>
      <c r="E364" s="3">
        <f t="array" ref="E364">INDEX($A$9:A363, MAX(IF($D$9:D363=1, ROW(D$9:$D363)-ROW($D$9)+1, 0)))</f>
        <v>46559</v>
      </c>
      <c r="F364" s="23">
        <f t="shared" si="67"/>
        <v>1.3607118412046544</v>
      </c>
      <c r="G364" s="5">
        <f>INDEX('Default Prob'!$P$5:$P$14,MIN(1+_xlfn.IFNA(MATCH(F364,'Default Prob'!$F$5:$F$14,1),0),COUNT('Default Prob'!$P$5:$P$14)))</f>
        <v>1.6062593678540758E-2</v>
      </c>
      <c r="H364" s="5">
        <f t="shared" si="76"/>
        <v>0.9684313346212573</v>
      </c>
      <c r="I364" s="24">
        <f t="shared" si="77"/>
        <v>1.2777449861145485E-4</v>
      </c>
      <c r="J364" s="25">
        <f>INDEX('Default Prob'!$C$3:$C$13, _xlfn.IFNA(MATCH(F364, 'Default Prob'!$B$3:$B$13, 1), 1))</f>
        <v>1.9099999999999999E-2</v>
      </c>
      <c r="K364" s="26">
        <f t="shared" si="68"/>
        <v>0.97458405296478035</v>
      </c>
      <c r="L364" s="27">
        <f t="shared" ca="1" si="69"/>
        <v>0</v>
      </c>
      <c r="M364" s="27">
        <f t="shared" ca="1" si="70"/>
        <v>2275.4111066169694</v>
      </c>
      <c r="N364" s="28">
        <f t="shared" ca="1" si="71"/>
        <v>0.28335009321227472</v>
      </c>
      <c r="O364" s="29">
        <f t="shared" ca="1" si="72"/>
        <v>600000</v>
      </c>
      <c r="P364" s="30">
        <f t="shared" ca="1" si="73"/>
        <v>74.716193233376615</v>
      </c>
    </row>
    <row r="365" spans="1:16" x14ac:dyDescent="0.25">
      <c r="A365" s="3">
        <f t="shared" si="74"/>
        <v>46623</v>
      </c>
      <c r="B365" s="21">
        <f t="shared" si="65"/>
        <v>36762</v>
      </c>
      <c r="C365" s="21">
        <f t="shared" si="66"/>
        <v>36789</v>
      </c>
      <c r="D365" s="1">
        <f t="shared" si="75"/>
        <v>0</v>
      </c>
      <c r="E365" s="3">
        <f t="array" ref="E365">INDEX($A$9:A364, MAX(IF($D$9:D364=1, ROW(D$9:$D364)-ROW($D$9)+1, 0)))</f>
        <v>46559</v>
      </c>
      <c r="F365" s="23">
        <f t="shared" si="67"/>
        <v>1.3634496919917864</v>
      </c>
      <c r="G365" s="5">
        <f>INDEX('Default Prob'!$P$5:$P$14,MIN(1+_xlfn.IFNA(MATCH(F365,'Default Prob'!$F$5:$F$14,1),0),COUNT('Default Prob'!$P$5:$P$14)))</f>
        <v>1.6062593678540758E-2</v>
      </c>
      <c r="H365" s="5">
        <f t="shared" si="76"/>
        <v>0.96838874686767429</v>
      </c>
      <c r="I365" s="24">
        <f t="shared" si="77"/>
        <v>4.2587753583012145E-5</v>
      </c>
      <c r="J365" s="25">
        <f>INDEX('Default Prob'!$C$3:$C$13, _xlfn.IFNA(MATCH(F365, 'Default Prob'!$B$3:$B$13, 1), 1))</f>
        <v>1.9099999999999999E-2</v>
      </c>
      <c r="K365" s="26">
        <f t="shared" si="68"/>
        <v>0.97453357099215754</v>
      </c>
      <c r="L365" s="27">
        <f t="shared" ca="1" si="69"/>
        <v>0</v>
      </c>
      <c r="M365" s="27">
        <f t="shared" ca="1" si="70"/>
        <v>2311.5287432299369</v>
      </c>
      <c r="N365" s="28">
        <f t="shared" ca="1" si="71"/>
        <v>9.5935829518571034E-2</v>
      </c>
      <c r="O365" s="29">
        <f t="shared" ca="1" si="72"/>
        <v>600000</v>
      </c>
      <c r="P365" s="30">
        <f t="shared" ca="1" si="73"/>
        <v>24.901917347872125</v>
      </c>
    </row>
    <row r="366" spans="1:16" x14ac:dyDescent="0.25">
      <c r="A366" s="3">
        <f t="shared" si="74"/>
        <v>46624</v>
      </c>
      <c r="B366" s="21">
        <f t="shared" si="65"/>
        <v>36763</v>
      </c>
      <c r="C366" s="21">
        <f t="shared" si="66"/>
        <v>36789</v>
      </c>
      <c r="D366" s="1">
        <f t="shared" si="75"/>
        <v>0</v>
      </c>
      <c r="E366" s="3">
        <f t="array" ref="E366">INDEX($A$9:A365, MAX(IF($D$9:D365=1, ROW(D$9:$D365)-ROW($D$9)+1, 0)))</f>
        <v>46559</v>
      </c>
      <c r="F366" s="23">
        <f t="shared" si="67"/>
        <v>1.3661875427789185</v>
      </c>
      <c r="G366" s="5">
        <f>INDEX('Default Prob'!$P$5:$P$14,MIN(1+_xlfn.IFNA(MATCH(F366,'Default Prob'!$F$5:$F$14,1),0),COUNT('Default Prob'!$P$5:$P$14)))</f>
        <v>1.6062593678540758E-2</v>
      </c>
      <c r="H366" s="5">
        <f t="shared" si="76"/>
        <v>0.96834616098693116</v>
      </c>
      <c r="I366" s="24">
        <f t="shared" si="77"/>
        <v>4.2585880743128968E-5</v>
      </c>
      <c r="J366" s="25">
        <f>INDEX('Default Prob'!$C$3:$C$13, _xlfn.IFNA(MATCH(F366, 'Default Prob'!$B$3:$B$13, 1), 1))</f>
        <v>1.9099999999999999E-2</v>
      </c>
      <c r="K366" s="26">
        <f t="shared" si="68"/>
        <v>0.97448309163442404</v>
      </c>
      <c r="L366" s="27">
        <f t="shared" ca="1" si="69"/>
        <v>0</v>
      </c>
      <c r="M366" s="27">
        <f t="shared" ca="1" si="70"/>
        <v>2347.6463798429049</v>
      </c>
      <c r="N366" s="28">
        <f t="shared" ca="1" si="71"/>
        <v>9.7425495304961404E-2</v>
      </c>
      <c r="O366" s="29">
        <f t="shared" ca="1" si="72"/>
        <v>600000</v>
      </c>
      <c r="P366" s="30">
        <f t="shared" ca="1" si="73"/>
        <v>24.899532435923518</v>
      </c>
    </row>
    <row r="367" spans="1:16" x14ac:dyDescent="0.25">
      <c r="A367" s="3">
        <f t="shared" si="74"/>
        <v>46625</v>
      </c>
      <c r="B367" s="21">
        <f t="shared" si="65"/>
        <v>36764</v>
      </c>
      <c r="C367" s="21">
        <f t="shared" si="66"/>
        <v>36789</v>
      </c>
      <c r="D367" s="1">
        <f t="shared" si="75"/>
        <v>0</v>
      </c>
      <c r="E367" s="3">
        <f t="array" ref="E367">INDEX($A$9:A366, MAX(IF($D$9:D366=1, ROW(D$9:$D366)-ROW($D$9)+1, 0)))</f>
        <v>46559</v>
      </c>
      <c r="F367" s="23">
        <f t="shared" si="67"/>
        <v>1.3689253935660506</v>
      </c>
      <c r="G367" s="5">
        <f>INDEX('Default Prob'!$P$5:$P$14,MIN(1+_xlfn.IFNA(MATCH(F367,'Default Prob'!$F$5:$F$14,1),0),COUNT('Default Prob'!$P$5:$P$14)))</f>
        <v>1.6062593678540758E-2</v>
      </c>
      <c r="H367" s="5">
        <f t="shared" si="76"/>
        <v>0.96830357697894542</v>
      </c>
      <c r="I367" s="24">
        <f t="shared" si="77"/>
        <v>4.2584007985735362E-5</v>
      </c>
      <c r="J367" s="25">
        <f>INDEX('Default Prob'!$C$3:$C$13, _xlfn.IFNA(MATCH(F367, 'Default Prob'!$B$3:$B$13, 1), 1))</f>
        <v>1.9099999999999999E-2</v>
      </c>
      <c r="K367" s="26">
        <f t="shared" si="68"/>
        <v>0.97443261489144462</v>
      </c>
      <c r="L367" s="27">
        <f t="shared" ca="1" si="69"/>
        <v>0</v>
      </c>
      <c r="M367" s="27">
        <f t="shared" ca="1" si="70"/>
        <v>2383.7640164558725</v>
      </c>
      <c r="N367" s="28">
        <f t="shared" ca="1" si="71"/>
        <v>9.8914874874494782E-2</v>
      </c>
      <c r="O367" s="29">
        <f t="shared" ca="1" si="72"/>
        <v>600000</v>
      </c>
      <c r="P367" s="30">
        <f t="shared" ca="1" si="73"/>
        <v>24.89714775245896</v>
      </c>
    </row>
    <row r="368" spans="1:16" x14ac:dyDescent="0.25">
      <c r="A368" s="3">
        <f t="shared" si="74"/>
        <v>46626</v>
      </c>
      <c r="B368" s="21">
        <f t="shared" si="65"/>
        <v>36765</v>
      </c>
      <c r="C368" s="21">
        <f t="shared" si="66"/>
        <v>36789</v>
      </c>
      <c r="D368" s="1">
        <f t="shared" si="75"/>
        <v>0</v>
      </c>
      <c r="E368" s="3">
        <f t="array" ref="E368">INDEX($A$9:A367, MAX(IF($D$9:D367=1, ROW(D$9:$D367)-ROW($D$9)+1, 0)))</f>
        <v>46559</v>
      </c>
      <c r="F368" s="23">
        <f t="shared" si="67"/>
        <v>1.3716632443531827</v>
      </c>
      <c r="G368" s="5">
        <f>INDEX('Default Prob'!$P$5:$P$14,MIN(1+_xlfn.IFNA(MATCH(F368,'Default Prob'!$F$5:$F$14,1),0),COUNT('Default Prob'!$P$5:$P$14)))</f>
        <v>1.6062593678540758E-2</v>
      </c>
      <c r="H368" s="5">
        <f t="shared" si="76"/>
        <v>0.96826099484363481</v>
      </c>
      <c r="I368" s="24">
        <f t="shared" si="77"/>
        <v>4.2582135310609281E-5</v>
      </c>
      <c r="J368" s="25">
        <f>INDEX('Default Prob'!$C$3:$C$13, _xlfn.IFNA(MATCH(F368, 'Default Prob'!$B$3:$B$13, 1), 1))</f>
        <v>1.9099999999999999E-2</v>
      </c>
      <c r="K368" s="26">
        <f t="shared" si="68"/>
        <v>0.97438214076308372</v>
      </c>
      <c r="L368" s="27">
        <f t="shared" ca="1" si="69"/>
        <v>0</v>
      </c>
      <c r="M368" s="27">
        <f t="shared" ca="1" si="70"/>
        <v>2419.8816530688405</v>
      </c>
      <c r="N368" s="28">
        <f t="shared" ca="1" si="71"/>
        <v>0.10040396826782944</v>
      </c>
      <c r="O368" s="29">
        <f t="shared" ca="1" si="72"/>
        <v>600000</v>
      </c>
      <c r="P368" s="30">
        <f t="shared" ca="1" si="73"/>
        <v>24.894763297328861</v>
      </c>
    </row>
    <row r="369" spans="1:16" x14ac:dyDescent="0.25">
      <c r="A369" s="3">
        <f t="shared" si="74"/>
        <v>46629</v>
      </c>
      <c r="B369" s="21">
        <f t="shared" si="65"/>
        <v>36768</v>
      </c>
      <c r="C369" s="21">
        <f t="shared" si="66"/>
        <v>36789</v>
      </c>
      <c r="D369" s="1">
        <f t="shared" si="75"/>
        <v>0</v>
      </c>
      <c r="E369" s="3">
        <f t="array" ref="E369">INDEX($A$9:A368, MAX(IF($D$9:D368=1, ROW(D$9:$D368)-ROW($D$9)+1, 0)))</f>
        <v>46559</v>
      </c>
      <c r="F369" s="23">
        <f t="shared" si="67"/>
        <v>1.3798767967145791</v>
      </c>
      <c r="G369" s="5">
        <f>INDEX('Default Prob'!$P$5:$P$14,MIN(1+_xlfn.IFNA(MATCH(F369,'Default Prob'!$F$5:$F$14,1),0),COUNT('Default Prob'!$P$5:$P$14)))</f>
        <v>1.6062593678540758E-2</v>
      </c>
      <c r="H369" s="5">
        <f t="shared" si="76"/>
        <v>0.96813325967292996</v>
      </c>
      <c r="I369" s="24">
        <f t="shared" si="77"/>
        <v>1.2773517070485685E-4</v>
      </c>
      <c r="J369" s="25">
        <f>INDEX('Default Prob'!$C$3:$C$13, _xlfn.IFNA(MATCH(F369, 'Default Prob'!$B$3:$B$13, 1), 1))</f>
        <v>1.9099999999999999E-2</v>
      </c>
      <c r="K369" s="26">
        <f t="shared" si="68"/>
        <v>0.97423073406435834</v>
      </c>
      <c r="L369" s="27">
        <f t="shared" ca="1" si="69"/>
        <v>0</v>
      </c>
      <c r="M369" s="27">
        <f t="shared" ca="1" si="70"/>
        <v>2528.2345629077436</v>
      </c>
      <c r="N369" s="28">
        <f t="shared" ca="1" si="71"/>
        <v>0.31462243145551827</v>
      </c>
      <c r="O369" s="29">
        <f t="shared" ca="1" si="72"/>
        <v>600000</v>
      </c>
      <c r="P369" s="30">
        <f t="shared" ca="1" si="73"/>
        <v>74.666117472977291</v>
      </c>
    </row>
    <row r="370" spans="1:16" x14ac:dyDescent="0.25">
      <c r="A370" s="3">
        <f t="shared" si="74"/>
        <v>46630</v>
      </c>
      <c r="B370" s="21">
        <f t="shared" si="65"/>
        <v>36769</v>
      </c>
      <c r="C370" s="21">
        <f t="shared" si="66"/>
        <v>36789</v>
      </c>
      <c r="D370" s="1">
        <f t="shared" si="75"/>
        <v>0</v>
      </c>
      <c r="E370" s="3">
        <f t="array" ref="E370">INDEX($A$9:A369, MAX(IF($D$9:D369=1, ROW(D$9:$D369)-ROW($D$9)+1, 0)))</f>
        <v>46559</v>
      </c>
      <c r="F370" s="23">
        <f t="shared" si="67"/>
        <v>1.3826146475017111</v>
      </c>
      <c r="G370" s="5">
        <f>INDEX('Default Prob'!$P$5:$P$14,MIN(1+_xlfn.IFNA(MATCH(F370,'Default Prob'!$F$5:$F$14,1),0),COUNT('Default Prob'!$P$5:$P$14)))</f>
        <v>1.6062593678540758E-2</v>
      </c>
      <c r="H370" s="5">
        <f t="shared" si="76"/>
        <v>0.96809068502749618</v>
      </c>
      <c r="I370" s="24">
        <f t="shared" si="77"/>
        <v>4.2574645433779423E-5</v>
      </c>
      <c r="J370" s="25">
        <f>INDEX('Default Prob'!$C$3:$C$13, _xlfn.IFNA(MATCH(F370, 'Default Prob'!$B$3:$B$13, 1), 1))</f>
        <v>1.9099999999999999E-2</v>
      </c>
      <c r="K370" s="26">
        <f t="shared" si="68"/>
        <v>0.97418027039311728</v>
      </c>
      <c r="L370" s="27">
        <f t="shared" ca="1" si="69"/>
        <v>0</v>
      </c>
      <c r="M370" s="27">
        <f t="shared" ca="1" si="70"/>
        <v>2564.3521995207116</v>
      </c>
      <c r="N370" s="28">
        <f t="shared" ca="1" si="71"/>
        <v>0.10635748090467899</v>
      </c>
      <c r="O370" s="29">
        <f t="shared" ca="1" si="72"/>
        <v>600000</v>
      </c>
      <c r="P370" s="30">
        <f t="shared" ca="1" si="73"/>
        <v>24.8852277603422</v>
      </c>
    </row>
    <row r="371" spans="1:16" x14ac:dyDescent="0.25">
      <c r="A371" s="3">
        <f t="shared" si="74"/>
        <v>46631</v>
      </c>
      <c r="B371" s="21">
        <f t="shared" si="65"/>
        <v>36770</v>
      </c>
      <c r="C371" s="21">
        <f t="shared" si="66"/>
        <v>36789</v>
      </c>
      <c r="D371" s="1">
        <f t="shared" si="75"/>
        <v>0</v>
      </c>
      <c r="E371" s="3">
        <f t="array" ref="E371">INDEX($A$9:A370, MAX(IF($D$9:D370=1, ROW(D$9:$D370)-ROW($D$9)+1, 0)))</f>
        <v>46559</v>
      </c>
      <c r="F371" s="23">
        <f t="shared" si="67"/>
        <v>1.3853524982888432</v>
      </c>
      <c r="G371" s="5">
        <f>INDEX('Default Prob'!$P$5:$P$14,MIN(1+_xlfn.IFNA(MATCH(F371,'Default Prob'!$F$5:$F$14,1),0),COUNT('Default Prob'!$P$5:$P$14)))</f>
        <v>1.6062593678540758E-2</v>
      </c>
      <c r="H371" s="5">
        <f t="shared" si="76"/>
        <v>0.96804811225432574</v>
      </c>
      <c r="I371" s="24">
        <f t="shared" si="77"/>
        <v>4.2572773170435063E-5</v>
      </c>
      <c r="J371" s="25">
        <f>INDEX('Default Prob'!$C$3:$C$13, _xlfn.IFNA(MATCH(F371, 'Default Prob'!$B$3:$B$13, 1), 1))</f>
        <v>1.9099999999999999E-2</v>
      </c>
      <c r="K371" s="26">
        <f t="shared" si="68"/>
        <v>0.97412980933581794</v>
      </c>
      <c r="L371" s="27">
        <f t="shared" ca="1" si="69"/>
        <v>0</v>
      </c>
      <c r="M371" s="27">
        <f t="shared" ca="1" si="70"/>
        <v>2600.4698361336791</v>
      </c>
      <c r="N371" s="28">
        <f t="shared" ca="1" si="71"/>
        <v>0.10784514403539003</v>
      </c>
      <c r="O371" s="29">
        <f t="shared" ca="1" si="72"/>
        <v>600000</v>
      </c>
      <c r="P371" s="30">
        <f t="shared" ca="1" si="73"/>
        <v>24.882844446847759</v>
      </c>
    </row>
    <row r="372" spans="1:16" x14ac:dyDescent="0.25">
      <c r="A372" s="3">
        <f t="shared" si="74"/>
        <v>46632</v>
      </c>
      <c r="B372" s="21">
        <f t="shared" si="65"/>
        <v>36771</v>
      </c>
      <c r="C372" s="21">
        <f t="shared" si="66"/>
        <v>36789</v>
      </c>
      <c r="D372" s="1">
        <f t="shared" si="75"/>
        <v>0</v>
      </c>
      <c r="E372" s="3">
        <f t="array" ref="E372">INDEX($A$9:A371, MAX(IF($D$9:D371=1, ROW(D$9:$D371)-ROW($D$9)+1, 0)))</f>
        <v>46559</v>
      </c>
      <c r="F372" s="23">
        <f t="shared" si="67"/>
        <v>1.3880903490759753</v>
      </c>
      <c r="G372" s="5">
        <f>INDEX('Default Prob'!$P$5:$P$14,MIN(1+_xlfn.IFNA(MATCH(F372,'Default Prob'!$F$5:$F$14,1),0),COUNT('Default Prob'!$P$5:$P$14)))</f>
        <v>1.6062593678540758E-2</v>
      </c>
      <c r="H372" s="5">
        <f t="shared" si="76"/>
        <v>0.96800554135333639</v>
      </c>
      <c r="I372" s="24">
        <f t="shared" si="77"/>
        <v>4.2570900989358229E-5</v>
      </c>
      <c r="J372" s="25">
        <f>INDEX('Default Prob'!$C$3:$C$13, _xlfn.IFNA(MATCH(F372, 'Default Prob'!$B$3:$B$13, 1), 1))</f>
        <v>1.9099999999999999E-2</v>
      </c>
      <c r="K372" s="26">
        <f t="shared" si="68"/>
        <v>0.97407935089232467</v>
      </c>
      <c r="L372" s="27">
        <f t="shared" ca="1" si="69"/>
        <v>0</v>
      </c>
      <c r="M372" s="27">
        <f t="shared" ca="1" si="70"/>
        <v>2636.5874727466467</v>
      </c>
      <c r="N372" s="28">
        <f t="shared" ca="1" si="71"/>
        <v>0.10933252123678429</v>
      </c>
      <c r="O372" s="29">
        <f t="shared" ca="1" si="72"/>
        <v>600000</v>
      </c>
      <c r="P372" s="30">
        <f t="shared" ca="1" si="73"/>
        <v>24.880461361569292</v>
      </c>
    </row>
    <row r="373" spans="1:16" x14ac:dyDescent="0.25">
      <c r="A373" s="3">
        <f t="shared" si="74"/>
        <v>46633</v>
      </c>
      <c r="B373" s="21">
        <f t="shared" si="65"/>
        <v>36772</v>
      </c>
      <c r="C373" s="21">
        <f t="shared" si="66"/>
        <v>36789</v>
      </c>
      <c r="D373" s="1">
        <f t="shared" si="75"/>
        <v>0</v>
      </c>
      <c r="E373" s="3">
        <f t="array" ref="E373">INDEX($A$9:A372, MAX(IF($D$9:D372=1, ROW(D$9:$D372)-ROW($D$9)+1, 0)))</f>
        <v>46559</v>
      </c>
      <c r="F373" s="23">
        <f t="shared" si="67"/>
        <v>1.3908281998631074</v>
      </c>
      <c r="G373" s="5">
        <f>INDEX('Default Prob'!$P$5:$P$14,MIN(1+_xlfn.IFNA(MATCH(F373,'Default Prob'!$F$5:$F$14,1),0),COUNT('Default Prob'!$P$5:$P$14)))</f>
        <v>1.6062593678540758E-2</v>
      </c>
      <c r="H373" s="5">
        <f t="shared" si="76"/>
        <v>0.96796297232444573</v>
      </c>
      <c r="I373" s="24">
        <f t="shared" si="77"/>
        <v>4.2569028890659943E-5</v>
      </c>
      <c r="J373" s="25">
        <f>INDEX('Default Prob'!$C$3:$C$13, _xlfn.IFNA(MATCH(F373, 'Default Prob'!$B$3:$B$13, 1), 1))</f>
        <v>1.9099999999999999E-2</v>
      </c>
      <c r="K373" s="26">
        <f t="shared" si="68"/>
        <v>0.97402889506250201</v>
      </c>
      <c r="L373" s="27">
        <f t="shared" ca="1" si="69"/>
        <v>0</v>
      </c>
      <c r="M373" s="27">
        <f t="shared" ca="1" si="70"/>
        <v>2672.7051093596151</v>
      </c>
      <c r="N373" s="28">
        <f t="shared" ca="1" si="71"/>
        <v>0.11081961255027596</v>
      </c>
      <c r="O373" s="29">
        <f t="shared" ca="1" si="72"/>
        <v>600000</v>
      </c>
      <c r="P373" s="30">
        <f t="shared" ca="1" si="73"/>
        <v>24.878078504551937</v>
      </c>
    </row>
    <row r="374" spans="1:16" x14ac:dyDescent="0.25">
      <c r="A374" s="3">
        <f t="shared" si="74"/>
        <v>46636</v>
      </c>
      <c r="B374" s="21">
        <f t="shared" si="65"/>
        <v>36775</v>
      </c>
      <c r="C374" s="21">
        <f t="shared" si="66"/>
        <v>36789</v>
      </c>
      <c r="D374" s="1">
        <f t="shared" si="75"/>
        <v>0</v>
      </c>
      <c r="E374" s="3">
        <f t="array" ref="E374">INDEX($A$9:A373, MAX(IF($D$9:D373=1, ROW(D$9:$D373)-ROW($D$9)+1, 0)))</f>
        <v>46559</v>
      </c>
      <c r="F374" s="23">
        <f t="shared" si="67"/>
        <v>1.3990417522245038</v>
      </c>
      <c r="G374" s="5">
        <f>INDEX('Default Prob'!$P$5:$P$14,MIN(1+_xlfn.IFNA(MATCH(F374,'Default Prob'!$F$5:$F$14,1),0),COUNT('Default Prob'!$P$5:$P$14)))</f>
        <v>1.6062593678540758E-2</v>
      </c>
      <c r="H374" s="5">
        <f t="shared" si="76"/>
        <v>0.96783527646954259</v>
      </c>
      <c r="I374" s="24">
        <f t="shared" si="77"/>
        <v>1.2769585490313151E-4</v>
      </c>
      <c r="J374" s="25">
        <f>INDEX('Default Prob'!$C$3:$C$13, _xlfn.IFNA(MATCH(F374, 'Default Prob'!$B$3:$B$13, 1), 1))</f>
        <v>1.9099999999999999E-2</v>
      </c>
      <c r="K374" s="26">
        <f t="shared" si="68"/>
        <v>0.97387754325370435</v>
      </c>
      <c r="L374" s="27">
        <f t="shared" ca="1" si="69"/>
        <v>0</v>
      </c>
      <c r="M374" s="27">
        <f t="shared" ca="1" si="70"/>
        <v>2781.0580191985182</v>
      </c>
      <c r="N374" s="28">
        <f t="shared" ca="1" si="71"/>
        <v>0.34585272417000951</v>
      </c>
      <c r="O374" s="29">
        <f t="shared" ca="1" si="72"/>
        <v>600000</v>
      </c>
      <c r="P374" s="30">
        <f t="shared" ca="1" si="73"/>
        <v>74.61607527404594</v>
      </c>
    </row>
    <row r="375" spans="1:16" x14ac:dyDescent="0.25">
      <c r="A375" s="3">
        <f t="shared" si="74"/>
        <v>46637</v>
      </c>
      <c r="B375" s="21">
        <f t="shared" si="65"/>
        <v>36776</v>
      </c>
      <c r="C375" s="21">
        <f t="shared" si="66"/>
        <v>36789</v>
      </c>
      <c r="D375" s="1">
        <f t="shared" si="75"/>
        <v>0</v>
      </c>
      <c r="E375" s="3">
        <f t="array" ref="E375">INDEX($A$9:A374, MAX(IF($D$9:D374=1, ROW(D$9:$D374)-ROW($D$9)+1, 0)))</f>
        <v>46559</v>
      </c>
      <c r="F375" s="23">
        <f t="shared" si="67"/>
        <v>1.4017796030116358</v>
      </c>
      <c r="G375" s="5">
        <f>INDEX('Default Prob'!$P$5:$P$14,MIN(1+_xlfn.IFNA(MATCH(F375,'Default Prob'!$F$5:$F$14,1),0),COUNT('Default Prob'!$P$5:$P$14)))</f>
        <v>1.6062593678540758E-2</v>
      </c>
      <c r="H375" s="5">
        <f t="shared" si="76"/>
        <v>0.9677927149282235</v>
      </c>
      <c r="I375" s="24">
        <f t="shared" si="77"/>
        <v>4.2561541319097174E-5</v>
      </c>
      <c r="J375" s="25">
        <f>INDEX('Default Prob'!$C$3:$C$13, _xlfn.IFNA(MATCH(F375, 'Default Prob'!$B$3:$B$13, 1), 1))</f>
        <v>1.9099999999999999E-2</v>
      </c>
      <c r="K375" s="26">
        <f t="shared" si="68"/>
        <v>0.97382709787721056</v>
      </c>
      <c r="L375" s="27">
        <f t="shared" ca="1" si="69"/>
        <v>0</v>
      </c>
      <c r="M375" s="27">
        <f t="shared" ca="1" si="70"/>
        <v>2817.1756558114857</v>
      </c>
      <c r="N375" s="28">
        <f t="shared" ca="1" si="71"/>
        <v>0.11676511974626465</v>
      </c>
      <c r="O375" s="29">
        <f t="shared" ca="1" si="72"/>
        <v>600000</v>
      </c>
      <c r="P375" s="30">
        <f t="shared" ca="1" si="73"/>
        <v>24.86854935837443</v>
      </c>
    </row>
    <row r="376" spans="1:16" x14ac:dyDescent="0.25">
      <c r="A376" s="3">
        <f t="shared" si="74"/>
        <v>46638</v>
      </c>
      <c r="B376" s="21">
        <f t="shared" si="65"/>
        <v>36777</v>
      </c>
      <c r="C376" s="21">
        <f t="shared" si="66"/>
        <v>36789</v>
      </c>
      <c r="D376" s="1">
        <f t="shared" si="75"/>
        <v>0</v>
      </c>
      <c r="E376" s="3">
        <f t="array" ref="E376">INDEX($A$9:A375, MAX(IF($D$9:D375=1, ROW(D$9:$D375)-ROW($D$9)+1, 0)))</f>
        <v>46559</v>
      </c>
      <c r="F376" s="23">
        <f t="shared" si="67"/>
        <v>1.4045174537987679</v>
      </c>
      <c r="G376" s="5">
        <f>INDEX('Default Prob'!$P$5:$P$14,MIN(1+_xlfn.IFNA(MATCH(F376,'Default Prob'!$F$5:$F$14,1),0),COUNT('Default Prob'!$P$5:$P$14)))</f>
        <v>1.6062593678540758E-2</v>
      </c>
      <c r="H376" s="5">
        <f t="shared" si="76"/>
        <v>0.96775015525859154</v>
      </c>
      <c r="I376" s="24">
        <f t="shared" si="77"/>
        <v>4.2559669631958563E-5</v>
      </c>
      <c r="J376" s="25">
        <f>INDEX('Default Prob'!$C$3:$C$13, _xlfn.IFNA(MATCH(F376, 'Default Prob'!$B$3:$B$13, 1), 1))</f>
        <v>1.9099999999999999E-2</v>
      </c>
      <c r="K376" s="26">
        <f t="shared" si="68"/>
        <v>0.9737766551137107</v>
      </c>
      <c r="L376" s="27">
        <f t="shared" ca="1" si="69"/>
        <v>0</v>
      </c>
      <c r="M376" s="27">
        <f t="shared" ca="1" si="70"/>
        <v>2853.2932924244533</v>
      </c>
      <c r="N376" s="28">
        <f t="shared" ca="1" si="71"/>
        <v>0.11825078223618514</v>
      </c>
      <c r="O376" s="29">
        <f t="shared" ca="1" si="72"/>
        <v>600000</v>
      </c>
      <c r="P376" s="30">
        <f t="shared" ca="1" si="73"/>
        <v>24.866167642171909</v>
      </c>
    </row>
    <row r="377" spans="1:16" x14ac:dyDescent="0.25">
      <c r="A377" s="3">
        <f t="shared" si="74"/>
        <v>46639</v>
      </c>
      <c r="B377" s="21">
        <f t="shared" si="65"/>
        <v>36778</v>
      </c>
      <c r="C377" s="21">
        <f t="shared" si="66"/>
        <v>36789</v>
      </c>
      <c r="D377" s="1">
        <f t="shared" si="75"/>
        <v>0</v>
      </c>
      <c r="E377" s="3">
        <f t="array" ref="E377">INDEX($A$9:A376, MAX(IF($D$9:D376=1, ROW(D$9:$D376)-ROW($D$9)+1, 0)))</f>
        <v>46559</v>
      </c>
      <c r="F377" s="23">
        <f t="shared" si="67"/>
        <v>1.4072553045859</v>
      </c>
      <c r="G377" s="5">
        <f>INDEX('Default Prob'!$P$5:$P$14,MIN(1+_xlfn.IFNA(MATCH(F377,'Default Prob'!$F$5:$F$14,1),0),COUNT('Default Prob'!$P$5:$P$14)))</f>
        <v>1.6062593678540758E-2</v>
      </c>
      <c r="H377" s="5">
        <f t="shared" si="76"/>
        <v>0.96770759746056434</v>
      </c>
      <c r="I377" s="24">
        <f t="shared" si="77"/>
        <v>4.2557798027198501E-5</v>
      </c>
      <c r="J377" s="25">
        <f>INDEX('Default Prob'!$C$3:$C$13, _xlfn.IFNA(MATCH(F377, 'Default Prob'!$B$3:$B$13, 1), 1))</f>
        <v>1.9099999999999999E-2</v>
      </c>
      <c r="K377" s="26">
        <f t="shared" si="68"/>
        <v>0.97372621496306933</v>
      </c>
      <c r="L377" s="27">
        <f t="shared" ca="1" si="69"/>
        <v>0</v>
      </c>
      <c r="M377" s="27">
        <f t="shared" ca="1" si="70"/>
        <v>2889.4109290374213</v>
      </c>
      <c r="N377" s="28">
        <f t="shared" ca="1" si="71"/>
        <v>0.11973615908490119</v>
      </c>
      <c r="O377" s="29">
        <f t="shared" ca="1" si="72"/>
        <v>600000</v>
      </c>
      <c r="P377" s="30">
        <f t="shared" ca="1" si="73"/>
        <v>24.863786154112066</v>
      </c>
    </row>
    <row r="378" spans="1:16" x14ac:dyDescent="0.25">
      <c r="A378" s="3">
        <f t="shared" si="74"/>
        <v>46640</v>
      </c>
      <c r="B378" s="21">
        <f t="shared" si="65"/>
        <v>36779</v>
      </c>
      <c r="C378" s="21">
        <f t="shared" si="66"/>
        <v>36789</v>
      </c>
      <c r="D378" s="1">
        <f t="shared" si="75"/>
        <v>0</v>
      </c>
      <c r="E378" s="3">
        <f t="array" ref="E378">INDEX($A$9:A377, MAX(IF($D$9:D377=1, ROW(D$9:$D377)-ROW($D$9)+1, 0)))</f>
        <v>46559</v>
      </c>
      <c r="F378" s="23">
        <f t="shared" si="67"/>
        <v>1.4099931553730323</v>
      </c>
      <c r="G378" s="5">
        <f>INDEX('Default Prob'!$P$5:$P$14,MIN(1+_xlfn.IFNA(MATCH(F378,'Default Prob'!$F$5:$F$14,1),0),COUNT('Default Prob'!$P$5:$P$14)))</f>
        <v>1.6062593678540758E-2</v>
      </c>
      <c r="H378" s="5">
        <f t="shared" si="76"/>
        <v>0.96766504153405963</v>
      </c>
      <c r="I378" s="24">
        <f t="shared" si="77"/>
        <v>4.2555926504705965E-5</v>
      </c>
      <c r="J378" s="25">
        <f>INDEX('Default Prob'!$C$3:$C$13, _xlfn.IFNA(MATCH(F378, 'Default Prob'!$B$3:$B$13, 1), 1))</f>
        <v>1.9099999999999999E-2</v>
      </c>
      <c r="K378" s="26">
        <f t="shared" si="68"/>
        <v>0.97367577742515099</v>
      </c>
      <c r="L378" s="27">
        <f t="shared" ca="1" si="69"/>
        <v>0</v>
      </c>
      <c r="M378" s="27">
        <f t="shared" ca="1" si="70"/>
        <v>2925.5285656503888</v>
      </c>
      <c r="N378" s="28">
        <f t="shared" ca="1" si="71"/>
        <v>0.12122125033320011</v>
      </c>
      <c r="O378" s="29">
        <f t="shared" ca="1" si="72"/>
        <v>600000</v>
      </c>
      <c r="P378" s="30">
        <f t="shared" ca="1" si="73"/>
        <v>24.861404894110301</v>
      </c>
    </row>
    <row r="379" spans="1:16" x14ac:dyDescent="0.25">
      <c r="A379" s="3">
        <f t="shared" si="74"/>
        <v>46643</v>
      </c>
      <c r="B379" s="21">
        <f t="shared" si="65"/>
        <v>36782</v>
      </c>
      <c r="C379" s="21">
        <f t="shared" si="66"/>
        <v>36789</v>
      </c>
      <c r="D379" s="1">
        <f t="shared" si="75"/>
        <v>0</v>
      </c>
      <c r="E379" s="3">
        <f t="array" ref="E379">INDEX($A$9:A378, MAX(IF($D$9:D378=1, ROW(D$9:$D378)-ROW($D$9)+1, 0)))</f>
        <v>46559</v>
      </c>
      <c r="F379" s="23">
        <f t="shared" si="67"/>
        <v>1.4182067077344285</v>
      </c>
      <c r="G379" s="5">
        <f>INDEX('Default Prob'!$P$5:$P$14,MIN(1+_xlfn.IFNA(MATCH(F379,'Default Prob'!$F$5:$F$14,1),0),COUNT('Default Prob'!$P$5:$P$14)))</f>
        <v>1.6062593678540758E-2</v>
      </c>
      <c r="H379" s="5">
        <f t="shared" si="76"/>
        <v>0.96753738498285724</v>
      </c>
      <c r="I379" s="24">
        <f t="shared" si="77"/>
        <v>1.2765655120239305E-4</v>
      </c>
      <c r="J379" s="25">
        <f>INDEX('Default Prob'!$C$3:$C$13, _xlfn.IFNA(MATCH(F379, 'Default Prob'!$B$3:$B$13, 1), 1))</f>
        <v>1.9099999999999999E-2</v>
      </c>
      <c r="K379" s="26">
        <f t="shared" si="68"/>
        <v>0.97352448048638163</v>
      </c>
      <c r="L379" s="27">
        <f t="shared" ca="1" si="69"/>
        <v>0</v>
      </c>
      <c r="M379" s="27">
        <f t="shared" ca="1" si="70"/>
        <v>3033.8814754892928</v>
      </c>
      <c r="N379" s="28">
        <f t="shared" ca="1" si="71"/>
        <v>0.37704101366717041</v>
      </c>
      <c r="O379" s="29">
        <f t="shared" ca="1" si="72"/>
        <v>600000</v>
      </c>
      <c r="P379" s="30">
        <f t="shared" ca="1" si="73"/>
        <v>74.56606661399573</v>
      </c>
    </row>
    <row r="380" spans="1:16" x14ac:dyDescent="0.25">
      <c r="A380" s="3">
        <f t="shared" si="74"/>
        <v>46644</v>
      </c>
      <c r="B380" s="21">
        <f t="shared" si="65"/>
        <v>36783</v>
      </c>
      <c r="C380" s="21">
        <f t="shared" si="66"/>
        <v>36789</v>
      </c>
      <c r="D380" s="1">
        <f t="shared" si="75"/>
        <v>0</v>
      </c>
      <c r="E380" s="3">
        <f t="array" ref="E380">INDEX($A$9:A379, MAX(IF($D$9:D379=1, ROW(D$9:$D379)-ROW($D$9)+1, 0)))</f>
        <v>46559</v>
      </c>
      <c r="F380" s="23">
        <f t="shared" si="67"/>
        <v>1.4209445585215605</v>
      </c>
      <c r="G380" s="5">
        <f>INDEX('Default Prob'!$P$5:$P$14,MIN(1+_xlfn.IFNA(MATCH(F380,'Default Prob'!$F$5:$F$14,1),0),COUNT('Default Prob'!$P$5:$P$14)))</f>
        <v>1.6062593678540758E-2</v>
      </c>
      <c r="H380" s="5">
        <f t="shared" si="76"/>
        <v>0.9674948365416195</v>
      </c>
      <c r="I380" s="24">
        <f t="shared" si="77"/>
        <v>4.254844123774415E-5</v>
      </c>
      <c r="J380" s="25">
        <f>INDEX('Default Prob'!$C$3:$C$13, _xlfn.IFNA(MATCH(F380, 'Default Prob'!$B$3:$B$13, 1), 1))</f>
        <v>1.9099999999999999E-2</v>
      </c>
      <c r="K380" s="26">
        <f t="shared" si="68"/>
        <v>0.97347405339800264</v>
      </c>
      <c r="L380" s="27">
        <f t="shared" ca="1" si="69"/>
        <v>0</v>
      </c>
      <c r="M380" s="27">
        <f t="shared" ca="1" si="70"/>
        <v>3069.9991121022604</v>
      </c>
      <c r="N380" s="28">
        <f t="shared" ca="1" si="71"/>
        <v>0.12715876014489377</v>
      </c>
      <c r="O380" s="29">
        <f t="shared" ca="1" si="72"/>
        <v>600000</v>
      </c>
      <c r="P380" s="30">
        <f t="shared" ca="1" si="73"/>
        <v>24.851882134484114</v>
      </c>
    </row>
    <row r="381" spans="1:16" x14ac:dyDescent="0.25">
      <c r="A381" s="3">
        <f t="shared" si="74"/>
        <v>46645</v>
      </c>
      <c r="B381" s="21">
        <f t="shared" si="65"/>
        <v>36784</v>
      </c>
      <c r="C381" s="21">
        <f t="shared" si="66"/>
        <v>36789</v>
      </c>
      <c r="D381" s="1">
        <f t="shared" si="75"/>
        <v>0</v>
      </c>
      <c r="E381" s="3">
        <f t="array" ref="E381">INDEX($A$9:A380, MAX(IF($D$9:D380=1, ROW(D$9:$D380)-ROW($D$9)+1, 0)))</f>
        <v>46559</v>
      </c>
      <c r="F381" s="23">
        <f t="shared" si="67"/>
        <v>1.4236824093086926</v>
      </c>
      <c r="G381" s="5">
        <f>INDEX('Default Prob'!$P$5:$P$14,MIN(1+_xlfn.IFNA(MATCH(F381,'Default Prob'!$F$5:$F$14,1),0),COUNT('Default Prob'!$P$5:$P$14)))</f>
        <v>1.6062593678540758E-2</v>
      </c>
      <c r="H381" s="5">
        <f t="shared" si="76"/>
        <v>0.96745228997149268</v>
      </c>
      <c r="I381" s="24">
        <f t="shared" si="77"/>
        <v>4.2546570126811289E-5</v>
      </c>
      <c r="J381" s="25">
        <f>INDEX('Default Prob'!$C$3:$C$13, _xlfn.IFNA(MATCH(F381, 'Default Prob'!$B$3:$B$13, 1), 1))</f>
        <v>1.9099999999999999E-2</v>
      </c>
      <c r="K381" s="26">
        <f t="shared" si="68"/>
        <v>0.97342362892167011</v>
      </c>
      <c r="L381" s="27">
        <f t="shared" ca="1" si="69"/>
        <v>0</v>
      </c>
      <c r="M381" s="27">
        <f t="shared" ca="1" si="70"/>
        <v>3106.1167487152284</v>
      </c>
      <c r="N381" s="28">
        <f t="shared" ca="1" si="71"/>
        <v>0.12864242400800385</v>
      </c>
      <c r="O381" s="29">
        <f t="shared" ca="1" si="72"/>
        <v>600000</v>
      </c>
      <c r="P381" s="30">
        <f t="shared" ca="1" si="73"/>
        <v>24.849502014606582</v>
      </c>
    </row>
    <row r="382" spans="1:16" x14ac:dyDescent="0.25">
      <c r="A382" s="3">
        <f t="shared" si="74"/>
        <v>46646</v>
      </c>
      <c r="B382" s="21">
        <f t="shared" si="65"/>
        <v>36785</v>
      </c>
      <c r="C382" s="21">
        <f t="shared" si="66"/>
        <v>36789</v>
      </c>
      <c r="D382" s="1">
        <f t="shared" si="75"/>
        <v>0</v>
      </c>
      <c r="E382" s="3">
        <f t="array" ref="E382">INDEX($A$9:A381, MAX(IF($D$9:D381=1, ROW(D$9:$D381)-ROW($D$9)+1, 0)))</f>
        <v>46559</v>
      </c>
      <c r="F382" s="23">
        <f t="shared" si="67"/>
        <v>1.4264202600958247</v>
      </c>
      <c r="G382" s="5">
        <f>INDEX('Default Prob'!$P$5:$P$14,MIN(1+_xlfn.IFNA(MATCH(F382,'Default Prob'!$F$5:$F$14,1),0),COUNT('Default Prob'!$P$5:$P$14)))</f>
        <v>1.6062593678540758E-2</v>
      </c>
      <c r="H382" s="5">
        <f t="shared" si="76"/>
        <v>0.96740974527239465</v>
      </c>
      <c r="I382" s="24">
        <f t="shared" si="77"/>
        <v>4.2544699098034933E-5</v>
      </c>
      <c r="J382" s="25">
        <f>INDEX('Default Prob'!$C$3:$C$13, _xlfn.IFNA(MATCH(F382, 'Default Prob'!$B$3:$B$13, 1), 1))</f>
        <v>1.9099999999999999E-2</v>
      </c>
      <c r="K382" s="26">
        <f t="shared" si="68"/>
        <v>0.97337320705724895</v>
      </c>
      <c r="L382" s="27">
        <f t="shared" ca="1" si="69"/>
        <v>0</v>
      </c>
      <c r="M382" s="27">
        <f t="shared" ca="1" si="70"/>
        <v>3142.2343853281959</v>
      </c>
      <c r="N382" s="28">
        <f t="shared" ca="1" si="71"/>
        <v>0.13012580251682504</v>
      </c>
      <c r="O382" s="29">
        <f t="shared" ca="1" si="72"/>
        <v>600000</v>
      </c>
      <c r="P382" s="30">
        <f t="shared" ca="1" si="73"/>
        <v>24.847122122603945</v>
      </c>
    </row>
    <row r="383" spans="1:16" x14ac:dyDescent="0.25">
      <c r="A383" s="3">
        <f t="shared" si="74"/>
        <v>46647</v>
      </c>
      <c r="B383" s="21">
        <f t="shared" si="65"/>
        <v>36786</v>
      </c>
      <c r="C383" s="21">
        <f t="shared" si="66"/>
        <v>36789</v>
      </c>
      <c r="D383" s="1">
        <f t="shared" si="75"/>
        <v>0</v>
      </c>
      <c r="E383" s="3">
        <f t="array" ref="E383">INDEX($A$9:A382, MAX(IF($D$9:D382=1, ROW(D$9:$D382)-ROW($D$9)+1, 0)))</f>
        <v>46559</v>
      </c>
      <c r="F383" s="23">
        <f t="shared" si="67"/>
        <v>1.429158110882957</v>
      </c>
      <c r="G383" s="5">
        <f>INDEX('Default Prob'!$P$5:$P$14,MIN(1+_xlfn.IFNA(MATCH(F383,'Default Prob'!$F$5:$F$14,1),0),COUNT('Default Prob'!$P$5:$P$14)))</f>
        <v>1.6062593678540758E-2</v>
      </c>
      <c r="H383" s="5">
        <f t="shared" si="76"/>
        <v>0.96736720244424301</v>
      </c>
      <c r="I383" s="24">
        <f t="shared" si="77"/>
        <v>4.2542828151637124E-5</v>
      </c>
      <c r="J383" s="25">
        <f>INDEX('Default Prob'!$C$3:$C$13, _xlfn.IFNA(MATCH(F383, 'Default Prob'!$B$3:$B$13, 1), 1))</f>
        <v>1.9099999999999999E-2</v>
      </c>
      <c r="K383" s="26">
        <f t="shared" si="68"/>
        <v>0.97332278780460368</v>
      </c>
      <c r="L383" s="27">
        <f t="shared" ca="1" si="69"/>
        <v>0</v>
      </c>
      <c r="M383" s="27">
        <f t="shared" ca="1" si="70"/>
        <v>3178.3520219411635</v>
      </c>
      <c r="N383" s="28">
        <f t="shared" ca="1" si="71"/>
        <v>0.1316088957130914</v>
      </c>
      <c r="O383" s="29">
        <f t="shared" ca="1" si="72"/>
        <v>600000</v>
      </c>
      <c r="P383" s="30">
        <f t="shared" ca="1" si="73"/>
        <v>24.844742458586172</v>
      </c>
    </row>
    <row r="384" spans="1:16" x14ac:dyDescent="0.25">
      <c r="A384" s="3">
        <f t="shared" si="74"/>
        <v>46650</v>
      </c>
      <c r="B384" s="21">
        <f t="shared" si="65"/>
        <v>36789</v>
      </c>
      <c r="C384" s="21">
        <f t="shared" si="66"/>
        <v>36789</v>
      </c>
      <c r="D384" s="1">
        <f t="shared" si="75"/>
        <v>1</v>
      </c>
      <c r="E384" s="3">
        <f t="array" ref="E384">INDEX($A$9:A383, MAX(IF($D$9:D383=1, ROW(D$9:$D383)-ROW($D$9)+1, 0)))</f>
        <v>46559</v>
      </c>
      <c r="F384" s="23">
        <f t="shared" si="67"/>
        <v>1.4373716632443532</v>
      </c>
      <c r="G384" s="5">
        <f>INDEX('Default Prob'!$P$5:$P$14,MIN(1+_xlfn.IFNA(MATCH(F384,'Default Prob'!$F$5:$F$14,1),0),COUNT('Default Prob'!$P$5:$P$14)))</f>
        <v>1.6062593678540758E-2</v>
      </c>
      <c r="H384" s="5">
        <f t="shared" si="76"/>
        <v>0.96723958518464404</v>
      </c>
      <c r="I384" s="24">
        <f t="shared" si="77"/>
        <v>1.2761725959897774E-4</v>
      </c>
      <c r="J384" s="25">
        <f>INDEX('Default Prob'!$C$3:$C$13, _xlfn.IFNA(MATCH(F384, 'Default Prob'!$B$3:$B$13, 1), 1))</f>
        <v>1.9099999999999999E-2</v>
      </c>
      <c r="K384" s="26">
        <f t="shared" si="68"/>
        <v>0.97317154571597053</v>
      </c>
      <c r="L384" s="27">
        <f t="shared" ca="1" si="69"/>
        <v>3286.7049317800665</v>
      </c>
      <c r="M384" s="27">
        <f t="shared" ca="1" si="70"/>
        <v>3286.7049317800665</v>
      </c>
      <c r="N384" s="28">
        <f t="shared" ca="1" si="71"/>
        <v>3094.1508112495235</v>
      </c>
      <c r="O384" s="29">
        <f t="shared" ca="1" si="72"/>
        <v>600000</v>
      </c>
      <c r="P384" s="30">
        <f t="shared" ca="1" si="73"/>
        <v>74.516091470384069</v>
      </c>
    </row>
    <row r="385" spans="1:16" x14ac:dyDescent="0.25">
      <c r="A385" s="3">
        <f t="shared" si="74"/>
        <v>46651</v>
      </c>
      <c r="B385" s="21">
        <f t="shared" si="65"/>
        <v>36790</v>
      </c>
      <c r="C385" s="21">
        <f t="shared" si="66"/>
        <v>36880</v>
      </c>
      <c r="D385" s="1">
        <f t="shared" si="75"/>
        <v>0</v>
      </c>
      <c r="E385" s="3">
        <f t="array" ref="E385">INDEX($A$9:A384, MAX(IF($D$9:D384=1, ROW(D$9:$D384)-ROW($D$9)+1, 0)))</f>
        <v>46650</v>
      </c>
      <c r="F385" s="23">
        <f t="shared" si="67"/>
        <v>1.4401095140314852</v>
      </c>
      <c r="G385" s="5">
        <f>INDEX('Default Prob'!$P$5:$P$14,MIN(1+_xlfn.IFNA(MATCH(F385,'Default Prob'!$F$5:$F$14,1),0),COUNT('Default Prob'!$P$5:$P$14)))</f>
        <v>1.6062593678540758E-2</v>
      </c>
      <c r="H385" s="5">
        <f t="shared" si="76"/>
        <v>0.96719704983945542</v>
      </c>
      <c r="I385" s="24">
        <f t="shared" si="77"/>
        <v>4.253534518861013E-5</v>
      </c>
      <c r="J385" s="25">
        <f>INDEX('Default Prob'!$C$3:$C$13, _xlfn.IFNA(MATCH(F385, 'Default Prob'!$B$3:$B$13, 1), 1))</f>
        <v>1.9099999999999999E-2</v>
      </c>
      <c r="K385" s="26">
        <f t="shared" si="68"/>
        <v>0.9731211369090762</v>
      </c>
      <c r="L385" s="27">
        <f t="shared" ca="1" si="69"/>
        <v>0</v>
      </c>
      <c r="M385" s="27">
        <f t="shared" ca="1" si="70"/>
        <v>36.117636612967765</v>
      </c>
      <c r="N385" s="28">
        <f t="shared" ca="1" si="71"/>
        <v>1.4949827846728501E-3</v>
      </c>
      <c r="O385" s="29">
        <f t="shared" ca="1" si="72"/>
        <v>600000</v>
      </c>
      <c r="P385" s="30">
        <f t="shared" ca="1" si="73"/>
        <v>24.835226081256177</v>
      </c>
    </row>
    <row r="386" spans="1:16" x14ac:dyDescent="0.25">
      <c r="A386" s="3">
        <f t="shared" si="74"/>
        <v>46652</v>
      </c>
      <c r="B386" s="21">
        <f t="shared" si="65"/>
        <v>36791</v>
      </c>
      <c r="C386" s="21">
        <f t="shared" si="66"/>
        <v>36880</v>
      </c>
      <c r="D386" s="1">
        <f t="shared" si="75"/>
        <v>0</v>
      </c>
      <c r="E386" s="3">
        <f t="array" ref="E386">INDEX($A$9:A385, MAX(IF($D$9:D385=1, ROW(D$9:$D385)-ROW($D$9)+1, 0)))</f>
        <v>46650</v>
      </c>
      <c r="F386" s="23">
        <f t="shared" si="67"/>
        <v>1.4428473648186173</v>
      </c>
      <c r="G386" s="5">
        <f>INDEX('Default Prob'!$P$5:$P$14,MIN(1+_xlfn.IFNA(MATCH(F386,'Default Prob'!$F$5:$F$14,1),0),COUNT('Default Prob'!$P$5:$P$14)))</f>
        <v>1.6062593678540758E-2</v>
      </c>
      <c r="H386" s="5">
        <f t="shared" si="76"/>
        <v>0.96715451636480199</v>
      </c>
      <c r="I386" s="24">
        <f t="shared" si="77"/>
        <v>4.253347465343893E-5</v>
      </c>
      <c r="J386" s="25">
        <f>INDEX('Default Prob'!$C$3:$C$13, _xlfn.IFNA(MATCH(F386, 'Default Prob'!$B$3:$B$13, 1), 1))</f>
        <v>1.9099999999999999E-2</v>
      </c>
      <c r="K386" s="26">
        <f t="shared" si="68"/>
        <v>0.97307073071328143</v>
      </c>
      <c r="L386" s="27">
        <f t="shared" ca="1" si="69"/>
        <v>0</v>
      </c>
      <c r="M386" s="27">
        <f t="shared" ca="1" si="70"/>
        <v>72.235273225935529</v>
      </c>
      <c r="N386" s="28">
        <f t="shared" ca="1" si="71"/>
        <v>2.9896792137003225E-3</v>
      </c>
      <c r="O386" s="29">
        <f t="shared" ca="1" si="72"/>
        <v>600000</v>
      </c>
      <c r="P386" s="30">
        <f t="shared" ca="1" si="73"/>
        <v>24.832847556477994</v>
      </c>
    </row>
    <row r="387" spans="1:16" x14ac:dyDescent="0.25">
      <c r="A387" s="3">
        <f t="shared" si="74"/>
        <v>46653</v>
      </c>
      <c r="B387" s="21">
        <f t="shared" si="65"/>
        <v>36792</v>
      </c>
      <c r="C387" s="21">
        <f t="shared" si="66"/>
        <v>36880</v>
      </c>
      <c r="D387" s="1">
        <f t="shared" si="75"/>
        <v>0</v>
      </c>
      <c r="E387" s="3">
        <f t="array" ref="E387">INDEX($A$9:A386, MAX(IF($D$9:D386=1, ROW(D$9:$D386)-ROW($D$9)+1, 0)))</f>
        <v>46650</v>
      </c>
      <c r="F387" s="23">
        <f t="shared" si="67"/>
        <v>1.4455852156057496</v>
      </c>
      <c r="G387" s="5">
        <f>INDEX('Default Prob'!$P$5:$P$14,MIN(1+_xlfn.IFNA(MATCH(F387,'Default Prob'!$F$5:$F$14,1),0),COUNT('Default Prob'!$P$5:$P$14)))</f>
        <v>1.6062593678540758E-2</v>
      </c>
      <c r="H387" s="5">
        <f t="shared" si="76"/>
        <v>0.96711198476060134</v>
      </c>
      <c r="I387" s="24">
        <f t="shared" si="77"/>
        <v>4.2531604200646278E-5</v>
      </c>
      <c r="J387" s="25">
        <f>INDEX('Default Prob'!$C$3:$C$13, _xlfn.IFNA(MATCH(F387, 'Default Prob'!$B$3:$B$13, 1), 1))</f>
        <v>1.9099999999999999E-2</v>
      </c>
      <c r="K387" s="26">
        <f t="shared" si="68"/>
        <v>0.97302032712845099</v>
      </c>
      <c r="L387" s="27">
        <f t="shared" ca="1" si="69"/>
        <v>0</v>
      </c>
      <c r="M387" s="27">
        <f t="shared" ca="1" si="70"/>
        <v>108.35290983890332</v>
      </c>
      <c r="N387" s="28">
        <f t="shared" ca="1" si="71"/>
        <v>4.4840893282324283E-3</v>
      </c>
      <c r="O387" s="29">
        <f t="shared" ca="1" si="72"/>
        <v>600000</v>
      </c>
      <c r="P387" s="30">
        <f t="shared" ca="1" si="73"/>
        <v>24.830469259566385</v>
      </c>
    </row>
    <row r="388" spans="1:16" x14ac:dyDescent="0.25">
      <c r="A388" s="3">
        <f t="shared" si="74"/>
        <v>46654</v>
      </c>
      <c r="B388" s="21">
        <f t="shared" si="65"/>
        <v>36793</v>
      </c>
      <c r="C388" s="21">
        <f t="shared" si="66"/>
        <v>36880</v>
      </c>
      <c r="D388" s="1">
        <f t="shared" si="75"/>
        <v>0</v>
      </c>
      <c r="E388" s="3">
        <f t="array" ref="E388">INDEX($A$9:A387, MAX(IF($D$9:D387=1, ROW(D$9:$D387)-ROW($D$9)+1, 0)))</f>
        <v>46650</v>
      </c>
      <c r="F388" s="23">
        <f t="shared" si="67"/>
        <v>1.4483230663928817</v>
      </c>
      <c r="G388" s="5">
        <f>INDEX('Default Prob'!$P$5:$P$14,MIN(1+_xlfn.IFNA(MATCH(F388,'Default Prob'!$F$5:$F$14,1),0),COUNT('Default Prob'!$P$5:$P$14)))</f>
        <v>1.6062593678540758E-2</v>
      </c>
      <c r="H388" s="5">
        <f t="shared" si="76"/>
        <v>0.96706945502677133</v>
      </c>
      <c r="I388" s="24">
        <f t="shared" si="77"/>
        <v>4.252973383001013E-5</v>
      </c>
      <c r="J388" s="25">
        <f>INDEX('Default Prob'!$C$3:$C$13, _xlfn.IFNA(MATCH(F388, 'Default Prob'!$B$3:$B$13, 1), 1))</f>
        <v>1.9099999999999999E-2</v>
      </c>
      <c r="K388" s="26">
        <f t="shared" si="68"/>
        <v>0.97296992615444966</v>
      </c>
      <c r="L388" s="27">
        <f t="shared" ca="1" si="69"/>
        <v>0</v>
      </c>
      <c r="M388" s="27">
        <f t="shared" ca="1" si="70"/>
        <v>144.47054645187106</v>
      </c>
      <c r="N388" s="28">
        <f t="shared" ca="1" si="71"/>
        <v>5.978213169383218E-3</v>
      </c>
      <c r="O388" s="29">
        <f t="shared" ca="1" si="72"/>
        <v>600000</v>
      </c>
      <c r="P388" s="30">
        <f t="shared" ca="1" si="73"/>
        <v>24.828091190372014</v>
      </c>
    </row>
    <row r="389" spans="1:16" x14ac:dyDescent="0.25">
      <c r="A389" s="3">
        <f t="shared" si="74"/>
        <v>46657</v>
      </c>
      <c r="B389" s="21">
        <f t="shared" si="65"/>
        <v>36796</v>
      </c>
      <c r="C389" s="21">
        <f t="shared" si="66"/>
        <v>36880</v>
      </c>
      <c r="D389" s="1">
        <f t="shared" si="75"/>
        <v>0</v>
      </c>
      <c r="E389" s="3">
        <f t="array" ref="E389">INDEX($A$9:A388, MAX(IF($D$9:D388=1, ROW(D$9:$D388)-ROW($D$9)+1, 0)))</f>
        <v>46650</v>
      </c>
      <c r="F389" s="23">
        <f t="shared" si="67"/>
        <v>1.4565366187542779</v>
      </c>
      <c r="G389" s="5">
        <f>INDEX('Default Prob'!$P$5:$P$14,MIN(1+_xlfn.IFNA(MATCH(F389,'Default Prob'!$F$5:$F$14,1),0),COUNT('Default Prob'!$P$5:$P$14)))</f>
        <v>1.6062593678540758E-2</v>
      </c>
      <c r="H389" s="5">
        <f t="shared" si="76"/>
        <v>0.96694187704668211</v>
      </c>
      <c r="I389" s="24">
        <f t="shared" si="77"/>
        <v>1.2757798008922183E-4</v>
      </c>
      <c r="J389" s="25">
        <f>INDEX('Default Prob'!$C$3:$C$13, _xlfn.IFNA(MATCH(F389, 'Default Prob'!$B$3:$B$13, 1), 1))</f>
        <v>1.9099999999999999E-2</v>
      </c>
      <c r="K389" s="26">
        <f t="shared" si="68"/>
        <v>0.97281873889606774</v>
      </c>
      <c r="L389" s="27">
        <f t="shared" ca="1" si="69"/>
        <v>0</v>
      </c>
      <c r="M389" s="27">
        <f t="shared" ca="1" si="70"/>
        <v>252.82345629077437</v>
      </c>
      <c r="N389" s="28">
        <f t="shared" ca="1" si="71"/>
        <v>3.1377982290594832E-2</v>
      </c>
      <c r="O389" s="29">
        <f t="shared" ca="1" si="72"/>
        <v>600000</v>
      </c>
      <c r="P389" s="30">
        <f t="shared" ca="1" si="73"/>
        <v>74.466149820782661</v>
      </c>
    </row>
    <row r="390" spans="1:16" x14ac:dyDescent="0.25">
      <c r="A390" s="3">
        <f t="shared" si="74"/>
        <v>46658</v>
      </c>
      <c r="B390" s="21">
        <f t="shared" si="65"/>
        <v>36797</v>
      </c>
      <c r="C390" s="21">
        <f t="shared" si="66"/>
        <v>36880</v>
      </c>
      <c r="D390" s="1">
        <f t="shared" si="75"/>
        <v>0</v>
      </c>
      <c r="E390" s="3">
        <f t="array" ref="E390">INDEX($A$9:A389, MAX(IF($D$9:D389=1, ROW(D$9:$D389)-ROW($D$9)+1, 0)))</f>
        <v>46650</v>
      </c>
      <c r="F390" s="23">
        <f t="shared" si="67"/>
        <v>1.4592744695414099</v>
      </c>
      <c r="G390" s="5">
        <f>INDEX('Default Prob'!$P$5:$P$14,MIN(1+_xlfn.IFNA(MATCH(F390,'Default Prob'!$F$5:$F$14,1),0),COUNT('Default Prob'!$P$5:$P$14)))</f>
        <v>1.6062593678540758E-2</v>
      </c>
      <c r="H390" s="5">
        <f t="shared" si="76"/>
        <v>0.96689935479351186</v>
      </c>
      <c r="I390" s="24">
        <f t="shared" si="77"/>
        <v>4.2522253170251822E-5</v>
      </c>
      <c r="J390" s="25">
        <f>INDEX('Default Prob'!$C$3:$C$13, _xlfn.IFNA(MATCH(F390, 'Default Prob'!$B$3:$B$13, 1), 1))</f>
        <v>1.9099999999999999E-2</v>
      </c>
      <c r="K390" s="26">
        <f t="shared" si="68"/>
        <v>0.97276834836403059</v>
      </c>
      <c r="L390" s="27">
        <f t="shared" ca="1" si="69"/>
        <v>0</v>
      </c>
      <c r="M390" s="27">
        <f t="shared" ca="1" si="70"/>
        <v>288.94109290374212</v>
      </c>
      <c r="N390" s="28">
        <f t="shared" ca="1" si="71"/>
        <v>1.1951846622787657E-2</v>
      </c>
      <c r="O390" s="29">
        <f t="shared" ca="1" si="72"/>
        <v>600000</v>
      </c>
      <c r="P390" s="30">
        <f t="shared" ca="1" si="73"/>
        <v>24.818581191085816</v>
      </c>
    </row>
    <row r="391" spans="1:16" x14ac:dyDescent="0.25">
      <c r="A391" s="3">
        <f t="shared" si="74"/>
        <v>46659</v>
      </c>
      <c r="B391" s="21">
        <f t="shared" si="65"/>
        <v>36798</v>
      </c>
      <c r="C391" s="21">
        <f t="shared" si="66"/>
        <v>36880</v>
      </c>
      <c r="D391" s="1">
        <f t="shared" si="75"/>
        <v>0</v>
      </c>
      <c r="E391" s="3">
        <f t="array" ref="E391">INDEX($A$9:A390, MAX(IF($D$9:D390=1, ROW(D$9:$D390)-ROW($D$9)+1, 0)))</f>
        <v>46650</v>
      </c>
      <c r="F391" s="23">
        <f t="shared" si="67"/>
        <v>1.462012320328542</v>
      </c>
      <c r="G391" s="5">
        <f>INDEX('Default Prob'!$P$5:$P$14,MIN(1+_xlfn.IFNA(MATCH(F391,'Default Prob'!$F$5:$F$14,1),0),COUNT('Default Prob'!$P$5:$P$14)))</f>
        <v>1.6062593678540758E-2</v>
      </c>
      <c r="H391" s="5">
        <f t="shared" si="76"/>
        <v>0.96685683441030101</v>
      </c>
      <c r="I391" s="24">
        <f t="shared" si="77"/>
        <v>4.2520383210842283E-5</v>
      </c>
      <c r="J391" s="25">
        <f>INDEX('Default Prob'!$C$3:$C$13, _xlfn.IFNA(MATCH(F391, 'Default Prob'!$B$3:$B$13, 1), 1))</f>
        <v>1.9099999999999999E-2</v>
      </c>
      <c r="K391" s="26">
        <f t="shared" si="68"/>
        <v>0.97271796044214609</v>
      </c>
      <c r="L391" s="27">
        <f t="shared" ca="1" si="69"/>
        <v>0</v>
      </c>
      <c r="M391" s="27">
        <f t="shared" ca="1" si="70"/>
        <v>325.05872951670989</v>
      </c>
      <c r="N391" s="28">
        <f t="shared" ca="1" si="71"/>
        <v>1.3444539713877065E-2</v>
      </c>
      <c r="O391" s="29">
        <f t="shared" ca="1" si="72"/>
        <v>600000</v>
      </c>
      <c r="P391" s="30">
        <f t="shared" ca="1" si="73"/>
        <v>24.816204260441385</v>
      </c>
    </row>
    <row r="392" spans="1:16" x14ac:dyDescent="0.25">
      <c r="A392" s="3">
        <f t="shared" si="74"/>
        <v>46660</v>
      </c>
      <c r="B392" s="21">
        <f t="shared" si="65"/>
        <v>36799</v>
      </c>
      <c r="C392" s="21">
        <f t="shared" si="66"/>
        <v>36880</v>
      </c>
      <c r="D392" s="1">
        <f t="shared" si="75"/>
        <v>0</v>
      </c>
      <c r="E392" s="3">
        <f t="array" ref="E392">INDEX($A$9:A391, MAX(IF($D$9:D391=1, ROW(D$9:$D391)-ROW($D$9)+1, 0)))</f>
        <v>46650</v>
      </c>
      <c r="F392" s="23">
        <f t="shared" si="67"/>
        <v>1.4647501711156743</v>
      </c>
      <c r="G392" s="5">
        <f>INDEX('Default Prob'!$P$5:$P$14,MIN(1+_xlfn.IFNA(MATCH(F392,'Default Prob'!$F$5:$F$14,1),0),COUNT('Default Prob'!$P$5:$P$14)))</f>
        <v>1.6062593678540758E-2</v>
      </c>
      <c r="H392" s="5">
        <f t="shared" si="76"/>
        <v>0.96681431589696731</v>
      </c>
      <c r="I392" s="24">
        <f t="shared" si="77"/>
        <v>4.251851333370027E-5</v>
      </c>
      <c r="J392" s="25">
        <f>INDEX('Default Prob'!$C$3:$C$13, _xlfn.IFNA(MATCH(F392, 'Default Prob'!$B$3:$B$13, 1), 1))</f>
        <v>1.9099999999999999E-2</v>
      </c>
      <c r="K392" s="26">
        <f t="shared" si="68"/>
        <v>0.97266757513027946</v>
      </c>
      <c r="L392" s="27">
        <f t="shared" ca="1" si="69"/>
        <v>0</v>
      </c>
      <c r="M392" s="27">
        <f t="shared" ca="1" si="70"/>
        <v>361.17636612967766</v>
      </c>
      <c r="N392" s="28">
        <f t="shared" ca="1" si="71"/>
        <v>1.4936946778286922E-2</v>
      </c>
      <c r="O392" s="29">
        <f t="shared" ca="1" si="72"/>
        <v>600000</v>
      </c>
      <c r="P392" s="30">
        <f t="shared" ca="1" si="73"/>
        <v>24.813827557460819</v>
      </c>
    </row>
    <row r="393" spans="1:16" x14ac:dyDescent="0.25">
      <c r="A393" s="3">
        <f t="shared" si="74"/>
        <v>46661</v>
      </c>
      <c r="B393" s="21">
        <f t="shared" ref="B393:B456" si="78">DATE(2000, MONTH(A393), DAY(A393))</f>
        <v>36800</v>
      </c>
      <c r="C393" s="21">
        <f t="shared" ref="C393:C456" si="79">VLOOKUP(B393, $R$9:$S$13, 2)</f>
        <v>36880</v>
      </c>
      <c r="D393" s="1">
        <f t="shared" si="75"/>
        <v>0</v>
      </c>
      <c r="E393" s="3">
        <f t="array" ref="E393">INDEX($A$9:A392, MAX(IF($D$9:D392=1, ROW(D$9:$D392)-ROW($D$9)+1, 0)))</f>
        <v>46650</v>
      </c>
      <c r="F393" s="23">
        <f t="shared" ref="F393:F456" si="80">(A393-$A$2)/365.25</f>
        <v>1.4674880219028064</v>
      </c>
      <c r="G393" s="5">
        <f>INDEX('Default Prob'!$P$5:$P$14,MIN(1+_xlfn.IFNA(MATCH(F393,'Default Prob'!$F$5:$F$14,1),0),COUNT('Default Prob'!$P$5:$P$14)))</f>
        <v>1.6062593678540758E-2</v>
      </c>
      <c r="H393" s="5">
        <f t="shared" si="76"/>
        <v>0.96677179925342849</v>
      </c>
      <c r="I393" s="24">
        <f t="shared" si="77"/>
        <v>4.2516643538825782E-5</v>
      </c>
      <c r="J393" s="25">
        <f>INDEX('Default Prob'!$C$3:$C$13, _xlfn.IFNA(MATCH(F393, 'Default Prob'!$B$3:$B$13, 1), 1))</f>
        <v>1.9099999999999999E-2</v>
      </c>
      <c r="K393" s="26">
        <f t="shared" ref="K393:K456" si="81">1/((1+J393)^F393)</f>
        <v>0.97261719242829547</v>
      </c>
      <c r="L393" s="27">
        <f t="shared" ref="L393:L456" ca="1" si="82">IF(AND(D393, A393 &lt;= $G$2), $D$5*$D$2*(A393-E393)/365.25, 0)</f>
        <v>0</v>
      </c>
      <c r="M393" s="27">
        <f t="shared" ref="M393:M456" ca="1" si="83">IF(A393&lt;=$G$2, $D$5*$D$2*(A393-E393)/365.25, 0)</f>
        <v>397.29400274264543</v>
      </c>
      <c r="N393" s="28">
        <f t="shared" ref="N393:N456" ca="1" si="84">(L393*H393 + M393*I393) * K393</f>
        <v>1.6429067857117584E-2</v>
      </c>
      <c r="O393" s="29">
        <f t="shared" ref="O393:O456" ca="1" si="85">IF(A393&lt;=$G$2, $D$2*(1-$D$3), 0)</f>
        <v>600000</v>
      </c>
      <c r="P393" s="30">
        <f t="shared" ref="P393:P456" ca="1" si="86">O393*I393*K393</f>
        <v>24.811451082124417</v>
      </c>
    </row>
    <row r="394" spans="1:16" x14ac:dyDescent="0.25">
      <c r="A394" s="3">
        <f t="shared" ref="A394:A457" si="87">WORKDAY(A393, 1)</f>
        <v>46664</v>
      </c>
      <c r="B394" s="21">
        <f t="shared" si="78"/>
        <v>36803</v>
      </c>
      <c r="C394" s="21">
        <f t="shared" si="79"/>
        <v>36880</v>
      </c>
      <c r="D394" s="1">
        <f t="shared" ref="D394:D457" si="88">IF(OR(C394=B394, AND(C394&lt;&gt;C393, C393&gt;B393)), 1, 0)</f>
        <v>0</v>
      </c>
      <c r="E394" s="3">
        <f t="array" ref="E394">INDEX($A$9:A393, MAX(IF($D$9:D393=1, ROW(D$9:$D393)-ROW($D$9)+1, 0)))</f>
        <v>46650</v>
      </c>
      <c r="F394" s="23">
        <f t="shared" si="80"/>
        <v>1.4757015742642026</v>
      </c>
      <c r="G394" s="5">
        <f>INDEX('Default Prob'!$P$5:$P$14,MIN(1+_xlfn.IFNA(MATCH(F394,'Default Prob'!$F$5:$F$14,1),0),COUNT('Default Prob'!$P$5:$P$14)))</f>
        <v>1.6062593678540758E-2</v>
      </c>
      <c r="H394" s="5">
        <f t="shared" ref="H394:H457" si="89">H393*EXP(-G393*(F394-F393))</f>
        <v>0.96664426054075914</v>
      </c>
      <c r="I394" s="24">
        <f t="shared" ref="I394:I457" si="90">H393-H394</f>
        <v>1.2753871266935057E-4</v>
      </c>
      <c r="J394" s="25">
        <f>INDEX('Default Prob'!$C$3:$C$13, _xlfn.IFNA(MATCH(F394, 'Default Prob'!$B$3:$B$13, 1), 1))</f>
        <v>1.9099999999999999E-2</v>
      </c>
      <c r="K394" s="26">
        <f t="shared" si="81"/>
        <v>0.9724660599802869</v>
      </c>
      <c r="L394" s="27">
        <f t="shared" ca="1" si="82"/>
        <v>0</v>
      </c>
      <c r="M394" s="27">
        <f t="shared" ca="1" si="83"/>
        <v>505.64691258154875</v>
      </c>
      <c r="N394" s="28">
        <f t="shared" ca="1" si="84"/>
        <v>6.2713904720933647E-2</v>
      </c>
      <c r="O394" s="29">
        <f t="shared" ca="1" si="85"/>
        <v>600000</v>
      </c>
      <c r="P394" s="30">
        <f t="shared" ca="1" si="86"/>
        <v>74.416241642712748</v>
      </c>
    </row>
    <row r="395" spans="1:16" x14ac:dyDescent="0.25">
      <c r="A395" s="3">
        <f t="shared" si="87"/>
        <v>46665</v>
      </c>
      <c r="B395" s="21">
        <f t="shared" si="78"/>
        <v>36804</v>
      </c>
      <c r="C395" s="21">
        <f t="shared" si="79"/>
        <v>36880</v>
      </c>
      <c r="D395" s="1">
        <f t="shared" si="88"/>
        <v>0</v>
      </c>
      <c r="E395" s="3">
        <f t="array" ref="E395">INDEX($A$9:A394, MAX(IF($D$9:D394=1, ROW(D$9:$D394)-ROW($D$9)+1, 0)))</f>
        <v>46650</v>
      </c>
      <c r="F395" s="23">
        <f t="shared" si="80"/>
        <v>1.4784394250513346</v>
      </c>
      <c r="G395" s="5">
        <f>INDEX('Default Prob'!$P$5:$P$14,MIN(1+_xlfn.IFNA(MATCH(F395,'Default Prob'!$F$5:$F$14,1),0),COUNT('Default Prob'!$P$5:$P$14)))</f>
        <v>1.6062593678540758E-2</v>
      </c>
      <c r="H395" s="5">
        <f t="shared" si="89"/>
        <v>0.96660175137557769</v>
      </c>
      <c r="I395" s="24">
        <f t="shared" si="90"/>
        <v>4.2509165181447983E-5</v>
      </c>
      <c r="J395" s="25">
        <f>INDEX('Default Prob'!$C$3:$C$13, _xlfn.IFNA(MATCH(F395, 'Default Prob'!$B$3:$B$13, 1), 1))</f>
        <v>1.9099999999999999E-2</v>
      </c>
      <c r="K395" s="26">
        <f t="shared" si="81"/>
        <v>0.97241568771648157</v>
      </c>
      <c r="L395" s="27">
        <f t="shared" ca="1" si="82"/>
        <v>0</v>
      </c>
      <c r="M395" s="27">
        <f t="shared" ca="1" si="83"/>
        <v>541.76454919451646</v>
      </c>
      <c r="N395" s="28">
        <f t="shared" ca="1" si="84"/>
        <v>2.2394693138197162E-2</v>
      </c>
      <c r="O395" s="29">
        <f t="shared" ca="1" si="85"/>
        <v>600000</v>
      </c>
      <c r="P395" s="30">
        <f t="shared" ca="1" si="86"/>
        <v>24.801947456502752</v>
      </c>
    </row>
    <row r="396" spans="1:16" x14ac:dyDescent="0.25">
      <c r="A396" s="3">
        <f t="shared" si="87"/>
        <v>46666</v>
      </c>
      <c r="B396" s="21">
        <f t="shared" si="78"/>
        <v>36805</v>
      </c>
      <c r="C396" s="21">
        <f t="shared" si="79"/>
        <v>36880</v>
      </c>
      <c r="D396" s="1">
        <f t="shared" si="88"/>
        <v>0</v>
      </c>
      <c r="E396" s="3">
        <f t="array" ref="E396">INDEX($A$9:A395, MAX(IF($D$9:D395=1, ROW(D$9:$D395)-ROW($D$9)+1, 0)))</f>
        <v>46650</v>
      </c>
      <c r="F396" s="23">
        <f t="shared" si="80"/>
        <v>1.4811772758384667</v>
      </c>
      <c r="G396" s="5">
        <f>INDEX('Default Prob'!$P$5:$P$14,MIN(1+_xlfn.IFNA(MATCH(F396,'Default Prob'!$F$5:$F$14,1),0),COUNT('Default Prob'!$P$5:$P$14)))</f>
        <v>1.6062593678540758E-2</v>
      </c>
      <c r="H396" s="5">
        <f t="shared" si="89"/>
        <v>0.96655924407978</v>
      </c>
      <c r="I396" s="24">
        <f t="shared" si="90"/>
        <v>4.2507295797689082E-5</v>
      </c>
      <c r="J396" s="25">
        <f>INDEX('Default Prob'!$C$3:$C$13, _xlfn.IFNA(MATCH(F396, 'Default Prob'!$B$3:$B$13, 1), 1))</f>
        <v>1.9099999999999999E-2</v>
      </c>
      <c r="K396" s="26">
        <f t="shared" si="81"/>
        <v>0.97236531806188264</v>
      </c>
      <c r="L396" s="27">
        <f t="shared" ca="1" si="82"/>
        <v>0</v>
      </c>
      <c r="M396" s="27">
        <f t="shared" ca="1" si="83"/>
        <v>577.88218580748423</v>
      </c>
      <c r="N396" s="28">
        <f t="shared" ca="1" si="84"/>
        <v>2.3885384905327111E-2</v>
      </c>
      <c r="O396" s="29">
        <f t="shared" ca="1" si="85"/>
        <v>600000</v>
      </c>
      <c r="P396" s="30">
        <f t="shared" ca="1" si="86"/>
        <v>24.799572118962281</v>
      </c>
    </row>
    <row r="397" spans="1:16" x14ac:dyDescent="0.25">
      <c r="A397" s="3">
        <f t="shared" si="87"/>
        <v>46667</v>
      </c>
      <c r="B397" s="21">
        <f t="shared" si="78"/>
        <v>36806</v>
      </c>
      <c r="C397" s="21">
        <f t="shared" si="79"/>
        <v>36880</v>
      </c>
      <c r="D397" s="1">
        <f t="shared" si="88"/>
        <v>0</v>
      </c>
      <c r="E397" s="3">
        <f t="array" ref="E397">INDEX($A$9:A396, MAX(IF($D$9:D396=1, ROW(D$9:$D396)-ROW($D$9)+1, 0)))</f>
        <v>46650</v>
      </c>
      <c r="F397" s="23">
        <f t="shared" si="80"/>
        <v>1.483915126625599</v>
      </c>
      <c r="G397" s="5">
        <f>INDEX('Default Prob'!$P$5:$P$14,MIN(1+_xlfn.IFNA(MATCH(F397,'Default Prob'!$F$5:$F$14,1),0),COUNT('Default Prob'!$P$5:$P$14)))</f>
        <v>1.6062593678540758E-2</v>
      </c>
      <c r="H397" s="5">
        <f t="shared" si="89"/>
        <v>0.96651673865328391</v>
      </c>
      <c r="I397" s="24">
        <f t="shared" si="90"/>
        <v>4.2505426496086685E-5</v>
      </c>
      <c r="J397" s="25">
        <f>INDEX('Default Prob'!$C$3:$C$13, _xlfn.IFNA(MATCH(F397, 'Default Prob'!$B$3:$B$13, 1), 1))</f>
        <v>1.9099999999999999E-2</v>
      </c>
      <c r="K397" s="26">
        <f t="shared" si="81"/>
        <v>0.97231495101635534</v>
      </c>
      <c r="L397" s="27">
        <f t="shared" ca="1" si="82"/>
        <v>0</v>
      </c>
      <c r="M397" s="27">
        <f t="shared" ca="1" si="83"/>
        <v>613.99982242045212</v>
      </c>
      <c r="N397" s="28">
        <f t="shared" ca="1" si="84"/>
        <v>2.5375790933298639E-2</v>
      </c>
      <c r="O397" s="29">
        <f t="shared" ca="1" si="85"/>
        <v>600000</v>
      </c>
      <c r="P397" s="30">
        <f t="shared" ca="1" si="86"/>
        <v>24.797197008883089</v>
      </c>
    </row>
    <row r="398" spans="1:16" x14ac:dyDescent="0.25">
      <c r="A398" s="3">
        <f t="shared" si="87"/>
        <v>46668</v>
      </c>
      <c r="B398" s="21">
        <f t="shared" si="78"/>
        <v>36807</v>
      </c>
      <c r="C398" s="21">
        <f t="shared" si="79"/>
        <v>36880</v>
      </c>
      <c r="D398" s="1">
        <f t="shared" si="88"/>
        <v>0</v>
      </c>
      <c r="E398" s="3">
        <f t="array" ref="E398">INDEX($A$9:A397, MAX(IF($D$9:D397=1, ROW(D$9:$D397)-ROW($D$9)+1, 0)))</f>
        <v>46650</v>
      </c>
      <c r="F398" s="23">
        <f t="shared" si="80"/>
        <v>1.4866529774127311</v>
      </c>
      <c r="G398" s="5">
        <f>INDEX('Default Prob'!$P$5:$P$14,MIN(1+_xlfn.IFNA(MATCH(F398,'Default Prob'!$F$5:$F$14,1),0),COUNT('Default Prob'!$P$5:$P$14)))</f>
        <v>1.6062593678540758E-2</v>
      </c>
      <c r="H398" s="5">
        <f t="shared" si="89"/>
        <v>0.96647423509600727</v>
      </c>
      <c r="I398" s="24">
        <f t="shared" si="90"/>
        <v>4.2503557276640791E-5</v>
      </c>
      <c r="J398" s="25">
        <f>INDEX('Default Prob'!$C$3:$C$13, _xlfn.IFNA(MATCH(F398, 'Default Prob'!$B$3:$B$13, 1), 1))</f>
        <v>1.9099999999999999E-2</v>
      </c>
      <c r="K398" s="26">
        <f t="shared" si="81"/>
        <v>0.97226458657976456</v>
      </c>
      <c r="L398" s="27">
        <f t="shared" ca="1" si="82"/>
        <v>0</v>
      </c>
      <c r="M398" s="27">
        <f t="shared" ca="1" si="83"/>
        <v>650.11745903341978</v>
      </c>
      <c r="N398" s="28">
        <f t="shared" ca="1" si="84"/>
        <v>2.6865911263167234E-2</v>
      </c>
      <c r="O398" s="29">
        <f t="shared" ca="1" si="85"/>
        <v>600000</v>
      </c>
      <c r="P398" s="30">
        <f t="shared" ca="1" si="86"/>
        <v>24.794822126245503</v>
      </c>
    </row>
    <row r="399" spans="1:16" x14ac:dyDescent="0.25">
      <c r="A399" s="3">
        <f t="shared" si="87"/>
        <v>46671</v>
      </c>
      <c r="B399" s="21">
        <f t="shared" si="78"/>
        <v>36810</v>
      </c>
      <c r="C399" s="21">
        <f t="shared" si="79"/>
        <v>36880</v>
      </c>
      <c r="D399" s="1">
        <f t="shared" si="88"/>
        <v>0</v>
      </c>
      <c r="E399" s="3">
        <f t="array" ref="E399">INDEX($A$9:A398, MAX(IF($D$9:D398=1, ROW(D$9:$D398)-ROW($D$9)+1, 0)))</f>
        <v>46650</v>
      </c>
      <c r="F399" s="23">
        <f t="shared" si="80"/>
        <v>1.4948665297741273</v>
      </c>
      <c r="G399" s="5">
        <f>INDEX('Default Prob'!$P$5:$P$14,MIN(1+_xlfn.IFNA(MATCH(F399,'Default Prob'!$F$5:$F$14,1),0),COUNT('Default Prob'!$P$5:$P$14)))</f>
        <v>1.6062593678540758E-2</v>
      </c>
      <c r="H399" s="5">
        <f t="shared" si="89"/>
        <v>0.96634673563867157</v>
      </c>
      <c r="I399" s="24">
        <f t="shared" si="90"/>
        <v>1.2749945733570023E-4</v>
      </c>
      <c r="J399" s="25">
        <f>INDEX('Default Prob'!$C$3:$C$13, _xlfn.IFNA(MATCH(F399, 'Default Prob'!$B$3:$B$13, 1), 1))</f>
        <v>1.9099999999999999E-2</v>
      </c>
      <c r="K399" s="26">
        <f t="shared" si="81"/>
        <v>0.97211350892225901</v>
      </c>
      <c r="L399" s="27">
        <f t="shared" ca="1" si="82"/>
        <v>0</v>
      </c>
      <c r="M399" s="27">
        <f t="shared" ca="1" si="83"/>
        <v>758.47036887232321</v>
      </c>
      <c r="N399" s="28">
        <f t="shared" ca="1" si="84"/>
        <v>9.400780957464222E-2</v>
      </c>
      <c r="O399" s="29">
        <f t="shared" ca="1" si="85"/>
        <v>600000</v>
      </c>
      <c r="P399" s="30">
        <f t="shared" ca="1" si="86"/>
        <v>74.36636691377484</v>
      </c>
    </row>
    <row r="400" spans="1:16" x14ac:dyDescent="0.25">
      <c r="A400" s="3">
        <f t="shared" si="87"/>
        <v>46672</v>
      </c>
      <c r="B400" s="21">
        <f t="shared" si="78"/>
        <v>36811</v>
      </c>
      <c r="C400" s="21">
        <f t="shared" si="79"/>
        <v>36880</v>
      </c>
      <c r="D400" s="1">
        <f t="shared" si="88"/>
        <v>0</v>
      </c>
      <c r="E400" s="3">
        <f t="array" ref="E400">INDEX($A$9:A399, MAX(IF($D$9:D399=1, ROW(D$9:$D399)-ROW($D$9)+1, 0)))</f>
        <v>46650</v>
      </c>
      <c r="F400" s="23">
        <f t="shared" si="80"/>
        <v>1.4976043805612593</v>
      </c>
      <c r="G400" s="5">
        <f>INDEX('Default Prob'!$P$5:$P$14,MIN(1+_xlfn.IFNA(MATCH(F400,'Default Prob'!$F$5:$F$14,1),0),COUNT('Default Prob'!$P$5:$P$14)))</f>
        <v>1.6062593678540758E-2</v>
      </c>
      <c r="H400" s="5">
        <f t="shared" si="89"/>
        <v>0.96630423955745048</v>
      </c>
      <c r="I400" s="24">
        <f t="shared" si="90"/>
        <v>4.2496081221088389E-5</v>
      </c>
      <c r="J400" s="25">
        <f>INDEX('Default Prob'!$C$3:$C$13, _xlfn.IFNA(MATCH(F400, 'Default Prob'!$B$3:$B$13, 1), 1))</f>
        <v>1.9099999999999999E-2</v>
      </c>
      <c r="K400" s="26">
        <f t="shared" si="81"/>
        <v>0.97206315492006223</v>
      </c>
      <c r="L400" s="27">
        <f t="shared" ca="1" si="82"/>
        <v>0</v>
      </c>
      <c r="M400" s="27">
        <f t="shared" ca="1" si="83"/>
        <v>794.58800548529086</v>
      </c>
      <c r="N400" s="28">
        <f t="shared" ca="1" si="84"/>
        <v>3.2823536423071148E-2</v>
      </c>
      <c r="O400" s="29">
        <f t="shared" ca="1" si="85"/>
        <v>600000</v>
      </c>
      <c r="P400" s="30">
        <f t="shared" ca="1" si="86"/>
        <v>24.785324870106233</v>
      </c>
    </row>
    <row r="401" spans="1:16" x14ac:dyDescent="0.25">
      <c r="A401" s="3">
        <f t="shared" si="87"/>
        <v>46673</v>
      </c>
      <c r="B401" s="21">
        <f t="shared" si="78"/>
        <v>36812</v>
      </c>
      <c r="C401" s="21">
        <f t="shared" si="79"/>
        <v>36880</v>
      </c>
      <c r="D401" s="1">
        <f t="shared" si="88"/>
        <v>0</v>
      </c>
      <c r="E401" s="3">
        <f t="array" ref="E401">INDEX($A$9:A400, MAX(IF($D$9:D400=1, ROW(D$9:$D400)-ROW($D$9)+1, 0)))</f>
        <v>46650</v>
      </c>
      <c r="F401" s="23">
        <f t="shared" si="80"/>
        <v>1.5003422313483916</v>
      </c>
      <c r="G401" s="5">
        <f>INDEX('Default Prob'!$P$5:$P$14,MIN(1+_xlfn.IFNA(MATCH(F401,'Default Prob'!$F$5:$F$14,1),0),COUNT('Default Prob'!$P$5:$P$14)))</f>
        <v>1.6062593678540758E-2</v>
      </c>
      <c r="H401" s="5">
        <f t="shared" si="89"/>
        <v>0.96626174534503784</v>
      </c>
      <c r="I401" s="24">
        <f t="shared" si="90"/>
        <v>4.2494212412647059E-5</v>
      </c>
      <c r="J401" s="25">
        <f>INDEX('Default Prob'!$C$3:$C$13, _xlfn.IFNA(MATCH(F401, 'Default Prob'!$B$3:$B$13, 1), 1))</f>
        <v>1.9099999999999999E-2</v>
      </c>
      <c r="K401" s="26">
        <f t="shared" si="81"/>
        <v>0.97201280352612651</v>
      </c>
      <c r="L401" s="27">
        <f t="shared" ca="1" si="82"/>
        <v>0</v>
      </c>
      <c r="M401" s="27">
        <f t="shared" ca="1" si="83"/>
        <v>830.70564209825864</v>
      </c>
      <c r="N401" s="28">
        <f t="shared" ca="1" si="84"/>
        <v>3.4312228878294555E-2</v>
      </c>
      <c r="O401" s="29">
        <f t="shared" ca="1" si="85"/>
        <v>600000</v>
      </c>
      <c r="P401" s="30">
        <f t="shared" ca="1" si="86"/>
        <v>24.782951124511076</v>
      </c>
    </row>
    <row r="402" spans="1:16" x14ac:dyDescent="0.25">
      <c r="A402" s="3">
        <f t="shared" si="87"/>
        <v>46674</v>
      </c>
      <c r="B402" s="21">
        <f t="shared" si="78"/>
        <v>36813</v>
      </c>
      <c r="C402" s="21">
        <f t="shared" si="79"/>
        <v>36880</v>
      </c>
      <c r="D402" s="1">
        <f t="shared" si="88"/>
        <v>0</v>
      </c>
      <c r="E402" s="3">
        <f t="array" ref="E402">INDEX($A$9:A401, MAX(IF($D$9:D401=1, ROW(D$9:$D401)-ROW($D$9)+1, 0)))</f>
        <v>46650</v>
      </c>
      <c r="F402" s="23">
        <f t="shared" si="80"/>
        <v>1.5030800821355237</v>
      </c>
      <c r="G402" s="5">
        <f>INDEX('Default Prob'!$P$5:$P$14,MIN(1+_xlfn.IFNA(MATCH(F402,'Default Prob'!$F$5:$F$14,1),0),COUNT('Default Prob'!$P$5:$P$14)))</f>
        <v>1.6062593678540758E-2</v>
      </c>
      <c r="H402" s="5">
        <f t="shared" si="89"/>
        <v>0.96621925300135147</v>
      </c>
      <c r="I402" s="24">
        <f t="shared" si="90"/>
        <v>4.2492343686362233E-5</v>
      </c>
      <c r="J402" s="25">
        <f>INDEX('Default Prob'!$C$3:$C$13, _xlfn.IFNA(MATCH(F402, 'Default Prob'!$B$3:$B$13, 1), 1))</f>
        <v>1.9099999999999999E-2</v>
      </c>
      <c r="K402" s="26">
        <f t="shared" si="81"/>
        <v>0.97196245474031628</v>
      </c>
      <c r="L402" s="27">
        <f t="shared" ca="1" si="82"/>
        <v>0</v>
      </c>
      <c r="M402" s="27">
        <f t="shared" ca="1" si="83"/>
        <v>866.82327871122652</v>
      </c>
      <c r="N402" s="28">
        <f t="shared" ca="1" si="84"/>
        <v>3.5800635881664183E-2</v>
      </c>
      <c r="O402" s="29">
        <f t="shared" ca="1" si="85"/>
        <v>600000</v>
      </c>
      <c r="P402" s="30">
        <f t="shared" ca="1" si="86"/>
        <v>24.78057760623949</v>
      </c>
    </row>
    <row r="403" spans="1:16" x14ac:dyDescent="0.25">
      <c r="A403" s="3">
        <f t="shared" si="87"/>
        <v>46675</v>
      </c>
      <c r="B403" s="21">
        <f t="shared" si="78"/>
        <v>36814</v>
      </c>
      <c r="C403" s="21">
        <f t="shared" si="79"/>
        <v>36880</v>
      </c>
      <c r="D403" s="1">
        <f t="shared" si="88"/>
        <v>0</v>
      </c>
      <c r="E403" s="3">
        <f t="array" ref="E403">INDEX($A$9:A402, MAX(IF($D$9:D402=1, ROW(D$9:$D402)-ROW($D$9)+1, 0)))</f>
        <v>46650</v>
      </c>
      <c r="F403" s="23">
        <f t="shared" si="80"/>
        <v>1.5058179329226558</v>
      </c>
      <c r="G403" s="5">
        <f>INDEX('Default Prob'!$P$5:$P$14,MIN(1+_xlfn.IFNA(MATCH(F403,'Default Prob'!$F$5:$F$14,1),0),COUNT('Default Prob'!$P$5:$P$14)))</f>
        <v>1.6062593678540758E-2</v>
      </c>
      <c r="H403" s="5">
        <f t="shared" si="89"/>
        <v>0.96617676252630913</v>
      </c>
      <c r="I403" s="24">
        <f t="shared" si="90"/>
        <v>4.2490475042344933E-5</v>
      </c>
      <c r="J403" s="25">
        <f>INDEX('Default Prob'!$C$3:$C$13, _xlfn.IFNA(MATCH(F403, 'Default Prob'!$B$3:$B$13, 1), 1))</f>
        <v>1.9099999999999999E-2</v>
      </c>
      <c r="K403" s="26">
        <f t="shared" si="81"/>
        <v>0.97191210856249677</v>
      </c>
      <c r="L403" s="27">
        <f t="shared" ca="1" si="82"/>
        <v>0</v>
      </c>
      <c r="M403" s="27">
        <f t="shared" ca="1" si="83"/>
        <v>902.94091532419418</v>
      </c>
      <c r="N403" s="28">
        <f t="shared" ca="1" si="84"/>
        <v>3.7288757474299827E-2</v>
      </c>
      <c r="O403" s="29">
        <f t="shared" ca="1" si="85"/>
        <v>600000</v>
      </c>
      <c r="P403" s="30">
        <f t="shared" ca="1" si="86"/>
        <v>24.778204315336566</v>
      </c>
    </row>
    <row r="404" spans="1:16" x14ac:dyDescent="0.25">
      <c r="A404" s="3">
        <f t="shared" si="87"/>
        <v>46678</v>
      </c>
      <c r="B404" s="21">
        <f t="shared" si="78"/>
        <v>36817</v>
      </c>
      <c r="C404" s="21">
        <f t="shared" si="79"/>
        <v>36880</v>
      </c>
      <c r="D404" s="1">
        <f t="shared" si="88"/>
        <v>0</v>
      </c>
      <c r="E404" s="3">
        <f t="array" ref="E404">INDEX($A$9:A403, MAX(IF($D$9:D403=1, ROW(D$9:$D403)-ROW($D$9)+1, 0)))</f>
        <v>46650</v>
      </c>
      <c r="F404" s="23">
        <f t="shared" si="80"/>
        <v>1.514031485284052</v>
      </c>
      <c r="G404" s="5">
        <f>INDEX('Default Prob'!$P$5:$P$14,MIN(1+_xlfn.IFNA(MATCH(F404,'Default Prob'!$F$5:$F$14,1),0),COUNT('Default Prob'!$P$5:$P$14)))</f>
        <v>1.6062593678540758E-2</v>
      </c>
      <c r="H404" s="5">
        <f t="shared" si="89"/>
        <v>0.96604930231222474</v>
      </c>
      <c r="I404" s="24">
        <f t="shared" si="90"/>
        <v>1.2746021408438502E-4</v>
      </c>
      <c r="J404" s="25">
        <f>INDEX('Default Prob'!$C$3:$C$13, _xlfn.IFNA(MATCH(F404, 'Default Prob'!$B$3:$B$13, 1), 1))</f>
        <v>1.9099999999999999E-2</v>
      </c>
      <c r="K404" s="26">
        <f t="shared" si="81"/>
        <v>0.9717610856756308</v>
      </c>
      <c r="L404" s="27">
        <f t="shared" ca="1" si="82"/>
        <v>0</v>
      </c>
      <c r="M404" s="27">
        <f t="shared" ca="1" si="83"/>
        <v>1011.2938251630975</v>
      </c>
      <c r="N404" s="28">
        <f t="shared" ca="1" si="84"/>
        <v>0.12525973909739799</v>
      </c>
      <c r="O404" s="29">
        <f t="shared" ca="1" si="85"/>
        <v>600000</v>
      </c>
      <c r="P404" s="30">
        <f t="shared" ca="1" si="86"/>
        <v>74.316525611454182</v>
      </c>
    </row>
    <row r="405" spans="1:16" x14ac:dyDescent="0.25">
      <c r="A405" s="3">
        <f t="shared" si="87"/>
        <v>46679</v>
      </c>
      <c r="B405" s="21">
        <f t="shared" si="78"/>
        <v>36818</v>
      </c>
      <c r="C405" s="21">
        <f t="shared" si="79"/>
        <v>36880</v>
      </c>
      <c r="D405" s="1">
        <f t="shared" si="88"/>
        <v>0</v>
      </c>
      <c r="E405" s="3">
        <f t="array" ref="E405">INDEX($A$9:A404, MAX(IF($D$9:D404=1, ROW(D$9:$D404)-ROW($D$9)+1, 0)))</f>
        <v>46650</v>
      </c>
      <c r="F405" s="23">
        <f t="shared" si="80"/>
        <v>1.516769336071184</v>
      </c>
      <c r="G405" s="5">
        <f>INDEX('Default Prob'!$P$5:$P$14,MIN(1+_xlfn.IFNA(MATCH(F405,'Default Prob'!$F$5:$F$14,1),0),COUNT('Default Prob'!$P$5:$P$14)))</f>
        <v>1.6062593678540758E-2</v>
      </c>
      <c r="H405" s="5">
        <f t="shared" si="89"/>
        <v>0.9660068193109369</v>
      </c>
      <c r="I405" s="24">
        <f t="shared" si="90"/>
        <v>4.2483001287840771E-5</v>
      </c>
      <c r="J405" s="25">
        <f>INDEX('Default Prob'!$C$3:$C$13, _xlfn.IFNA(MATCH(F405, 'Default Prob'!$B$3:$B$13, 1), 1))</f>
        <v>1.9099999999999999E-2</v>
      </c>
      <c r="K405" s="26">
        <f t="shared" si="81"/>
        <v>0.97171074992842266</v>
      </c>
      <c r="L405" s="27">
        <f t="shared" ca="1" si="82"/>
        <v>0</v>
      </c>
      <c r="M405" s="27">
        <f t="shared" ca="1" si="83"/>
        <v>1047.4114617760652</v>
      </c>
      <c r="N405" s="28">
        <f t="shared" ca="1" si="84"/>
        <v>4.3238390556887676E-2</v>
      </c>
      <c r="O405" s="29">
        <f t="shared" ca="1" si="85"/>
        <v>600000</v>
      </c>
      <c r="P405" s="30">
        <f t="shared" ca="1" si="86"/>
        <v>24.768713424370741</v>
      </c>
    </row>
    <row r="406" spans="1:16" x14ac:dyDescent="0.25">
      <c r="A406" s="3">
        <f t="shared" si="87"/>
        <v>46680</v>
      </c>
      <c r="B406" s="21">
        <f t="shared" si="78"/>
        <v>36819</v>
      </c>
      <c r="C406" s="21">
        <f t="shared" si="79"/>
        <v>36880</v>
      </c>
      <c r="D406" s="1">
        <f t="shared" si="88"/>
        <v>0</v>
      </c>
      <c r="E406" s="3">
        <f t="array" ref="E406">INDEX($A$9:A405, MAX(IF($D$9:D405=1, ROW(D$9:$D405)-ROW($D$9)+1, 0)))</f>
        <v>46650</v>
      </c>
      <c r="F406" s="23">
        <f t="shared" si="80"/>
        <v>1.5195071868583163</v>
      </c>
      <c r="G406" s="5">
        <f>INDEX('Default Prob'!$P$5:$P$14,MIN(1+_xlfn.IFNA(MATCH(F406,'Default Prob'!$F$5:$F$14,1),0),COUNT('Default Prob'!$P$5:$P$14)))</f>
        <v>1.6062593678540758E-2</v>
      </c>
      <c r="H406" s="5">
        <f t="shared" si="89"/>
        <v>0.9659643381778823</v>
      </c>
      <c r="I406" s="24">
        <f t="shared" si="90"/>
        <v>4.2481133054605991E-5</v>
      </c>
      <c r="J406" s="25">
        <f>INDEX('Default Prob'!$C$3:$C$13, _xlfn.IFNA(MATCH(F406, 'Default Prob'!$B$3:$B$13, 1), 1))</f>
        <v>1.9099999999999999E-2</v>
      </c>
      <c r="K406" s="26">
        <f t="shared" si="81"/>
        <v>0.97166041678852977</v>
      </c>
      <c r="L406" s="27">
        <f t="shared" ca="1" si="82"/>
        <v>0</v>
      </c>
      <c r="M406" s="27">
        <f t="shared" ca="1" si="83"/>
        <v>1083.5290983890329</v>
      </c>
      <c r="N406" s="28">
        <f t="shared" ca="1" si="84"/>
        <v>4.4725085710574965E-2</v>
      </c>
      <c r="O406" s="29">
        <f t="shared" ca="1" si="85"/>
        <v>600000</v>
      </c>
      <c r="P406" s="30">
        <f t="shared" ca="1" si="86"/>
        <v>24.766341269692468</v>
      </c>
    </row>
    <row r="407" spans="1:16" x14ac:dyDescent="0.25">
      <c r="A407" s="3">
        <f t="shared" si="87"/>
        <v>46681</v>
      </c>
      <c r="B407" s="21">
        <f t="shared" si="78"/>
        <v>36820</v>
      </c>
      <c r="C407" s="21">
        <f t="shared" si="79"/>
        <v>36880</v>
      </c>
      <c r="D407" s="1">
        <f t="shared" si="88"/>
        <v>0</v>
      </c>
      <c r="E407" s="3">
        <f t="array" ref="E407">INDEX($A$9:A406, MAX(IF($D$9:D406=1, ROW(D$9:$D406)-ROW($D$9)+1, 0)))</f>
        <v>46650</v>
      </c>
      <c r="F407" s="23">
        <f t="shared" si="80"/>
        <v>1.5222450376454484</v>
      </c>
      <c r="G407" s="5">
        <f>INDEX('Default Prob'!$P$5:$P$14,MIN(1+_xlfn.IFNA(MATCH(F407,'Default Prob'!$F$5:$F$14,1),0),COUNT('Default Prob'!$P$5:$P$14)))</f>
        <v>1.6062593678540758E-2</v>
      </c>
      <c r="H407" s="5">
        <f t="shared" si="89"/>
        <v>0.96592185891297877</v>
      </c>
      <c r="I407" s="24">
        <f t="shared" si="90"/>
        <v>4.2479264903527714E-5</v>
      </c>
      <c r="J407" s="25">
        <f>INDEX('Default Prob'!$C$3:$C$13, _xlfn.IFNA(MATCH(F407, 'Default Prob'!$B$3:$B$13, 1), 1))</f>
        <v>1.9099999999999999E-2</v>
      </c>
      <c r="K407" s="26">
        <f t="shared" si="81"/>
        <v>0.97161008625581691</v>
      </c>
      <c r="L407" s="27">
        <f t="shared" ca="1" si="82"/>
        <v>0</v>
      </c>
      <c r="M407" s="27">
        <f t="shared" ca="1" si="83"/>
        <v>1119.6467350020009</v>
      </c>
      <c r="N407" s="28">
        <f t="shared" ca="1" si="84"/>
        <v>4.6211495699473422E-2</v>
      </c>
      <c r="O407" s="29">
        <f t="shared" ca="1" si="85"/>
        <v>600000</v>
      </c>
      <c r="P407" s="30">
        <f t="shared" ca="1" si="86"/>
        <v>24.763969342200156</v>
      </c>
    </row>
    <row r="408" spans="1:16" x14ac:dyDescent="0.25">
      <c r="A408" s="3">
        <f t="shared" si="87"/>
        <v>46682</v>
      </c>
      <c r="B408" s="21">
        <f t="shared" si="78"/>
        <v>36821</v>
      </c>
      <c r="C408" s="21">
        <f t="shared" si="79"/>
        <v>36880</v>
      </c>
      <c r="D408" s="1">
        <f t="shared" si="88"/>
        <v>0</v>
      </c>
      <c r="E408" s="3">
        <f t="array" ref="E408">INDEX($A$9:A407, MAX(IF($D$9:D407=1, ROW(D$9:$D407)-ROW($D$9)+1, 0)))</f>
        <v>46650</v>
      </c>
      <c r="F408" s="23">
        <f t="shared" si="80"/>
        <v>1.5249828884325805</v>
      </c>
      <c r="G408" s="5">
        <f>INDEX('Default Prob'!$P$5:$P$14,MIN(1+_xlfn.IFNA(MATCH(F408,'Default Prob'!$F$5:$F$14,1),0),COUNT('Default Prob'!$P$5:$P$14)))</f>
        <v>1.6062593678540758E-2</v>
      </c>
      <c r="H408" s="5">
        <f t="shared" si="89"/>
        <v>0.96587938151614416</v>
      </c>
      <c r="I408" s="24">
        <f t="shared" si="90"/>
        <v>4.2477396834605941E-5</v>
      </c>
      <c r="J408" s="25">
        <f>INDEX('Default Prob'!$C$3:$C$13, _xlfn.IFNA(MATCH(F408, 'Default Prob'!$B$3:$B$13, 1), 1))</f>
        <v>1.9099999999999999E-2</v>
      </c>
      <c r="K408" s="26">
        <f t="shared" si="81"/>
        <v>0.9715597583301494</v>
      </c>
      <c r="L408" s="27">
        <f t="shared" ca="1" si="82"/>
        <v>0</v>
      </c>
      <c r="M408" s="27">
        <f t="shared" ca="1" si="83"/>
        <v>1155.7643716149685</v>
      </c>
      <c r="N408" s="28">
        <f t="shared" ca="1" si="84"/>
        <v>4.7697620564572288E-2</v>
      </c>
      <c r="O408" s="29">
        <f t="shared" ca="1" si="85"/>
        <v>600000</v>
      </c>
      <c r="P408" s="30">
        <f t="shared" ca="1" si="86"/>
        <v>24.761597641874161</v>
      </c>
    </row>
    <row r="409" spans="1:16" x14ac:dyDescent="0.25">
      <c r="A409" s="3">
        <f t="shared" si="87"/>
        <v>46685</v>
      </c>
      <c r="B409" s="21">
        <f t="shared" si="78"/>
        <v>36824</v>
      </c>
      <c r="C409" s="21">
        <f t="shared" si="79"/>
        <v>36880</v>
      </c>
      <c r="D409" s="1">
        <f t="shared" si="88"/>
        <v>0</v>
      </c>
      <c r="E409" s="3">
        <f t="array" ref="E409">INDEX($A$9:A408, MAX(IF($D$9:D408=1, ROW(D$9:$D408)-ROW($D$9)+1, 0)))</f>
        <v>46650</v>
      </c>
      <c r="F409" s="23">
        <f t="shared" si="80"/>
        <v>1.5331964407939767</v>
      </c>
      <c r="G409" s="5">
        <f>INDEX('Default Prob'!$P$5:$P$14,MIN(1+_xlfn.IFNA(MATCH(F409,'Default Prob'!$F$5:$F$14,1),0),COUNT('Default Prob'!$P$5:$P$14)))</f>
        <v>1.6062593678540758E-2</v>
      </c>
      <c r="H409" s="5">
        <f t="shared" si="89"/>
        <v>0.9657519605332322</v>
      </c>
      <c r="I409" s="24">
        <f t="shared" si="90"/>
        <v>1.2742098291196324E-4</v>
      </c>
      <c r="J409" s="25">
        <f>INDEX('Default Prob'!$C$3:$C$13, _xlfn.IFNA(MATCH(F409, 'Default Prob'!$B$3:$B$13, 1), 1))</f>
        <v>1.9099999999999999E-2</v>
      </c>
      <c r="K409" s="26">
        <f t="shared" si="81"/>
        <v>0.97140879019406656</v>
      </c>
      <c r="L409" s="27">
        <f t="shared" ca="1" si="82"/>
        <v>0</v>
      </c>
      <c r="M409" s="27">
        <f t="shared" ca="1" si="83"/>
        <v>1264.1172814538718</v>
      </c>
      <c r="N409" s="28">
        <f t="shared" ca="1" si="84"/>
        <v>0.15646973549750606</v>
      </c>
      <c r="O409" s="29">
        <f t="shared" ca="1" si="85"/>
        <v>600000</v>
      </c>
      <c r="P409" s="30">
        <f t="shared" ca="1" si="86"/>
        <v>74.266717713509422</v>
      </c>
    </row>
    <row r="410" spans="1:16" x14ac:dyDescent="0.25">
      <c r="A410" s="3">
        <f t="shared" si="87"/>
        <v>46686</v>
      </c>
      <c r="B410" s="21">
        <f t="shared" si="78"/>
        <v>36825</v>
      </c>
      <c r="C410" s="21">
        <f t="shared" si="79"/>
        <v>36880</v>
      </c>
      <c r="D410" s="1">
        <f t="shared" si="88"/>
        <v>0</v>
      </c>
      <c r="E410" s="3">
        <f t="array" ref="E410">INDEX($A$9:A409, MAX(IF($D$9:D409=1, ROW(D$9:$D409)-ROW($D$9)+1, 0)))</f>
        <v>46650</v>
      </c>
      <c r="F410" s="23">
        <f t="shared" si="80"/>
        <v>1.5359342915811087</v>
      </c>
      <c r="G410" s="5">
        <f>INDEX('Default Prob'!$P$5:$P$14,MIN(1+_xlfn.IFNA(MATCH(F410,'Default Prob'!$F$5:$F$14,1),0),COUNT('Default Prob'!$P$5:$P$14)))</f>
        <v>1.6062593678540758E-2</v>
      </c>
      <c r="H410" s="5">
        <f t="shared" si="89"/>
        <v>0.96570949060785172</v>
      </c>
      <c r="I410" s="24">
        <f t="shared" si="90"/>
        <v>4.2469925380483886E-5</v>
      </c>
      <c r="J410" s="25">
        <f>INDEX('Default Prob'!$C$3:$C$13, _xlfn.IFNA(MATCH(F410, 'Default Prob'!$B$3:$B$13, 1), 1))</f>
        <v>1.9099999999999999E-2</v>
      </c>
      <c r="K410" s="26">
        <f t="shared" si="81"/>
        <v>0.97135847269522901</v>
      </c>
      <c r="L410" s="27">
        <f t="shared" ca="1" si="82"/>
        <v>0</v>
      </c>
      <c r="M410" s="27">
        <f t="shared" ca="1" si="83"/>
        <v>1300.2349180668396</v>
      </c>
      <c r="N410" s="28">
        <f t="shared" ca="1" si="84"/>
        <v>5.3639269606591371E-2</v>
      </c>
      <c r="O410" s="29">
        <f t="shared" ca="1" si="85"/>
        <v>600000</v>
      </c>
      <c r="P410" s="30">
        <f t="shared" ca="1" si="86"/>
        <v>24.752113111840302</v>
      </c>
    </row>
    <row r="411" spans="1:16" x14ac:dyDescent="0.25">
      <c r="A411" s="3">
        <f t="shared" si="87"/>
        <v>46687</v>
      </c>
      <c r="B411" s="21">
        <f t="shared" si="78"/>
        <v>36826</v>
      </c>
      <c r="C411" s="21">
        <f t="shared" si="79"/>
        <v>36880</v>
      </c>
      <c r="D411" s="1">
        <f t="shared" si="88"/>
        <v>0</v>
      </c>
      <c r="E411" s="3">
        <f t="array" ref="E411">INDEX($A$9:A410, MAX(IF($D$9:D410=1, ROW(D$9:$D410)-ROW($D$9)+1, 0)))</f>
        <v>46650</v>
      </c>
      <c r="F411" s="23">
        <f t="shared" si="80"/>
        <v>1.538672142368241</v>
      </c>
      <c r="G411" s="5">
        <f>INDEX('Default Prob'!$P$5:$P$14,MIN(1+_xlfn.IFNA(MATCH(F411,'Default Prob'!$F$5:$F$14,1),0),COUNT('Default Prob'!$P$5:$P$14)))</f>
        <v>1.6062593678540758E-2</v>
      </c>
      <c r="H411" s="5">
        <f t="shared" si="89"/>
        <v>0.96566702255012948</v>
      </c>
      <c r="I411" s="24">
        <f t="shared" si="90"/>
        <v>4.246805772223361E-5</v>
      </c>
      <c r="J411" s="25">
        <f>INDEX('Default Prob'!$C$3:$C$13, _xlfn.IFNA(MATCH(F411, 'Default Prob'!$B$3:$B$13, 1), 1))</f>
        <v>1.9099999999999999E-2</v>
      </c>
      <c r="K411" s="26">
        <f t="shared" si="81"/>
        <v>0.97130815780276136</v>
      </c>
      <c r="L411" s="27">
        <f t="shared" ca="1" si="82"/>
        <v>0</v>
      </c>
      <c r="M411" s="27">
        <f t="shared" ca="1" si="83"/>
        <v>1336.3525546798076</v>
      </c>
      <c r="N411" s="28">
        <f t="shared" ca="1" si="84"/>
        <v>5.5123969467221423E-2</v>
      </c>
      <c r="O411" s="29">
        <f t="shared" ca="1" si="85"/>
        <v>600000</v>
      </c>
      <c r="P411" s="30">
        <f t="shared" ca="1" si="86"/>
        <v>24.749742546986436</v>
      </c>
    </row>
    <row r="412" spans="1:16" x14ac:dyDescent="0.25">
      <c r="A412" s="3">
        <f t="shared" si="87"/>
        <v>46688</v>
      </c>
      <c r="B412" s="21">
        <f t="shared" si="78"/>
        <v>36827</v>
      </c>
      <c r="C412" s="21">
        <f t="shared" si="79"/>
        <v>36880</v>
      </c>
      <c r="D412" s="1">
        <f t="shared" si="88"/>
        <v>0</v>
      </c>
      <c r="E412" s="3">
        <f t="array" ref="E412">INDEX($A$9:A411, MAX(IF($D$9:D411=1, ROW(D$9:$D411)-ROW($D$9)+1, 0)))</f>
        <v>46650</v>
      </c>
      <c r="F412" s="23">
        <f t="shared" si="80"/>
        <v>1.5414099931553731</v>
      </c>
      <c r="G412" s="5">
        <f>INDEX('Default Prob'!$P$5:$P$14,MIN(1+_xlfn.IFNA(MATCH(F412,'Default Prob'!$F$5:$F$14,1),0),COUNT('Default Prob'!$P$5:$P$14)))</f>
        <v>1.6062593678540758E-2</v>
      </c>
      <c r="H412" s="5">
        <f t="shared" si="89"/>
        <v>0.96562455635998323</v>
      </c>
      <c r="I412" s="24">
        <f t="shared" si="90"/>
        <v>4.246619014625086E-5</v>
      </c>
      <c r="J412" s="25">
        <f>INDEX('Default Prob'!$C$3:$C$13, _xlfn.IFNA(MATCH(F412, 'Default Prob'!$B$3:$B$13, 1), 1))</f>
        <v>1.9099999999999999E-2</v>
      </c>
      <c r="K412" s="26">
        <f t="shared" si="81"/>
        <v>0.97125784551652861</v>
      </c>
      <c r="L412" s="27">
        <f t="shared" ca="1" si="82"/>
        <v>0</v>
      </c>
      <c r="M412" s="27">
        <f t="shared" ca="1" si="83"/>
        <v>1372.4701912927751</v>
      </c>
      <c r="N412" s="28">
        <f t="shared" ca="1" si="84"/>
        <v>5.6608384450028276E-2</v>
      </c>
      <c r="O412" s="29">
        <f t="shared" ca="1" si="85"/>
        <v>600000</v>
      </c>
      <c r="P412" s="30">
        <f t="shared" ca="1" si="86"/>
        <v>24.747372209245707</v>
      </c>
    </row>
    <row r="413" spans="1:16" x14ac:dyDescent="0.25">
      <c r="A413" s="3">
        <f t="shared" si="87"/>
        <v>46689</v>
      </c>
      <c r="B413" s="21">
        <f t="shared" si="78"/>
        <v>36828</v>
      </c>
      <c r="C413" s="21">
        <f t="shared" si="79"/>
        <v>36880</v>
      </c>
      <c r="D413" s="1">
        <f t="shared" si="88"/>
        <v>0</v>
      </c>
      <c r="E413" s="3">
        <f t="array" ref="E413">INDEX($A$9:A412, MAX(IF($D$9:D412=1, ROW(D$9:$D412)-ROW($D$9)+1, 0)))</f>
        <v>46650</v>
      </c>
      <c r="F413" s="23">
        <f t="shared" si="80"/>
        <v>1.5441478439425051</v>
      </c>
      <c r="G413" s="5">
        <f>INDEX('Default Prob'!$P$5:$P$14,MIN(1+_xlfn.IFNA(MATCH(F413,'Default Prob'!$F$5:$F$14,1),0),COUNT('Default Prob'!$P$5:$P$14)))</f>
        <v>1.6062593678540758E-2</v>
      </c>
      <c r="H413" s="5">
        <f t="shared" si="89"/>
        <v>0.96558209203733092</v>
      </c>
      <c r="I413" s="24">
        <f t="shared" si="90"/>
        <v>4.2464322652313591E-5</v>
      </c>
      <c r="J413" s="25">
        <f>INDEX('Default Prob'!$C$3:$C$13, _xlfn.IFNA(MATCH(F413, 'Default Prob'!$B$3:$B$13, 1), 1))</f>
        <v>1.9099999999999999E-2</v>
      </c>
      <c r="K413" s="26">
        <f t="shared" si="81"/>
        <v>0.97120753583639596</v>
      </c>
      <c r="L413" s="27">
        <f t="shared" ca="1" si="82"/>
        <v>0</v>
      </c>
      <c r="M413" s="27">
        <f t="shared" ca="1" si="83"/>
        <v>1408.5878279057429</v>
      </c>
      <c r="N413" s="28">
        <f t="shared" ca="1" si="84"/>
        <v>5.809251459567602E-2</v>
      </c>
      <c r="O413" s="29">
        <f t="shared" ca="1" si="85"/>
        <v>600000</v>
      </c>
      <c r="P413" s="30">
        <f t="shared" ca="1" si="86"/>
        <v>24.745002098469079</v>
      </c>
    </row>
    <row r="414" spans="1:16" x14ac:dyDescent="0.25">
      <c r="A414" s="3">
        <f t="shared" si="87"/>
        <v>46692</v>
      </c>
      <c r="B414" s="21">
        <f t="shared" si="78"/>
        <v>36831</v>
      </c>
      <c r="C414" s="21">
        <f t="shared" si="79"/>
        <v>36880</v>
      </c>
      <c r="D414" s="1">
        <f t="shared" si="88"/>
        <v>0</v>
      </c>
      <c r="E414" s="3">
        <f t="array" ref="E414">INDEX($A$9:A413, MAX(IF($D$9:D413=1, ROW(D$9:$D413)-ROW($D$9)+1, 0)))</f>
        <v>46650</v>
      </c>
      <c r="F414" s="23">
        <f t="shared" si="80"/>
        <v>1.5523613963039014</v>
      </c>
      <c r="G414" s="5">
        <f>INDEX('Default Prob'!$P$5:$P$14,MIN(1+_xlfn.IFNA(MATCH(F414,'Default Prob'!$F$5:$F$14,1),0),COUNT('Default Prob'!$P$5:$P$14)))</f>
        <v>1.6062593678540758E-2</v>
      </c>
      <c r="H414" s="5">
        <f t="shared" si="89"/>
        <v>0.96545471027351648</v>
      </c>
      <c r="I414" s="24">
        <f t="shared" si="90"/>
        <v>1.2738176381443811E-4</v>
      </c>
      <c r="J414" s="25">
        <f>INDEX('Default Prob'!$C$3:$C$13, _xlfn.IFNA(MATCH(F414, 'Default Prob'!$B$3:$B$13, 1), 1))</f>
        <v>1.9099999999999999E-2</v>
      </c>
      <c r="K414" s="26">
        <f t="shared" si="81"/>
        <v>0.97105662243124746</v>
      </c>
      <c r="L414" s="27">
        <f t="shared" ca="1" si="82"/>
        <v>0</v>
      </c>
      <c r="M414" s="27">
        <f t="shared" ca="1" si="83"/>
        <v>1516.9407377446464</v>
      </c>
      <c r="N414" s="28">
        <f t="shared" ca="1" si="84"/>
        <v>0.18763784094500194</v>
      </c>
      <c r="O414" s="29">
        <f t="shared" ca="1" si="85"/>
        <v>600000</v>
      </c>
      <c r="P414" s="30">
        <f t="shared" ca="1" si="86"/>
        <v>74.216943197389909</v>
      </c>
    </row>
    <row r="415" spans="1:16" x14ac:dyDescent="0.25">
      <c r="A415" s="3">
        <f t="shared" si="87"/>
        <v>46693</v>
      </c>
      <c r="B415" s="21">
        <f t="shared" si="78"/>
        <v>36832</v>
      </c>
      <c r="C415" s="21">
        <f t="shared" si="79"/>
        <v>36880</v>
      </c>
      <c r="D415" s="1">
        <f t="shared" si="88"/>
        <v>0</v>
      </c>
      <c r="E415" s="3">
        <f t="array" ref="E415">INDEX($A$9:A414, MAX(IF($D$9:D414=1, ROW(D$9:$D414)-ROW($D$9)+1, 0)))</f>
        <v>46650</v>
      </c>
      <c r="F415" s="23">
        <f t="shared" si="80"/>
        <v>1.5550992470910336</v>
      </c>
      <c r="G415" s="5">
        <f>INDEX('Default Prob'!$P$5:$P$14,MIN(1+_xlfn.IFNA(MATCH(F415,'Default Prob'!$F$5:$F$14,1),0),COUNT('Default Prob'!$P$5:$P$14)))</f>
        <v>1.6062593678540758E-2</v>
      </c>
      <c r="H415" s="5">
        <f t="shared" si="89"/>
        <v>0.96541225342001868</v>
      </c>
      <c r="I415" s="24">
        <f t="shared" si="90"/>
        <v>4.2456853497796487E-5</v>
      </c>
      <c r="J415" s="25">
        <f>INDEX('Default Prob'!$C$3:$C$13, _xlfn.IFNA(MATCH(F415, 'Default Prob'!$B$3:$B$13, 1), 1))</f>
        <v>1.9099999999999999E-2</v>
      </c>
      <c r="K415" s="26">
        <f t="shared" si="81"/>
        <v>0.97100632317416469</v>
      </c>
      <c r="L415" s="27">
        <f t="shared" ca="1" si="82"/>
        <v>0</v>
      </c>
      <c r="M415" s="27">
        <f t="shared" ca="1" si="83"/>
        <v>1553.0583743576142</v>
      </c>
      <c r="N415" s="28">
        <f t="shared" ca="1" si="84"/>
        <v>6.4026187626572237E-2</v>
      </c>
      <c r="O415" s="29">
        <f t="shared" ca="1" si="85"/>
        <v>600000</v>
      </c>
      <c r="P415" s="30">
        <f t="shared" ca="1" si="86"/>
        <v>24.735523925063724</v>
      </c>
    </row>
    <row r="416" spans="1:16" x14ac:dyDescent="0.25">
      <c r="A416" s="3">
        <f t="shared" si="87"/>
        <v>46694</v>
      </c>
      <c r="B416" s="21">
        <f t="shared" si="78"/>
        <v>36833</v>
      </c>
      <c r="C416" s="21">
        <f t="shared" si="79"/>
        <v>36880</v>
      </c>
      <c r="D416" s="1">
        <f t="shared" si="88"/>
        <v>0</v>
      </c>
      <c r="E416" s="3">
        <f t="array" ref="E416">INDEX($A$9:A415, MAX(IF($D$9:D415=1, ROW(D$9:$D415)-ROW($D$9)+1, 0)))</f>
        <v>46650</v>
      </c>
      <c r="F416" s="23">
        <f t="shared" si="80"/>
        <v>1.5578370978781657</v>
      </c>
      <c r="G416" s="5">
        <f>INDEX('Default Prob'!$P$5:$P$14,MIN(1+_xlfn.IFNA(MATCH(F416,'Default Prob'!$F$5:$F$14,1),0),COUNT('Default Prob'!$P$5:$P$14)))</f>
        <v>1.6062593678540758E-2</v>
      </c>
      <c r="H416" s="5">
        <f t="shared" si="89"/>
        <v>0.96536979843360426</v>
      </c>
      <c r="I416" s="24">
        <f t="shared" si="90"/>
        <v>4.2454986414419693E-5</v>
      </c>
      <c r="J416" s="25">
        <f>INDEX('Default Prob'!$C$3:$C$13, _xlfn.IFNA(MATCH(F416, 'Default Prob'!$B$3:$B$13, 1), 1))</f>
        <v>1.9099999999999999E-2</v>
      </c>
      <c r="K416" s="26">
        <f t="shared" si="81"/>
        <v>0.97095602652250712</v>
      </c>
      <c r="L416" s="27">
        <f t="shared" ca="1" si="82"/>
        <v>0</v>
      </c>
      <c r="M416" s="27">
        <f t="shared" ca="1" si="83"/>
        <v>1589.1760109705817</v>
      </c>
      <c r="N416" s="28">
        <f t="shared" ca="1" si="84"/>
        <v>6.5508894200967546E-2</v>
      </c>
      <c r="O416" s="29">
        <f t="shared" ca="1" si="85"/>
        <v>600000</v>
      </c>
      <c r="P416" s="30">
        <f t="shared" ca="1" si="86"/>
        <v>24.733154949007179</v>
      </c>
    </row>
    <row r="417" spans="1:16" x14ac:dyDescent="0.25">
      <c r="A417" s="3">
        <f t="shared" si="87"/>
        <v>46695</v>
      </c>
      <c r="B417" s="21">
        <f t="shared" si="78"/>
        <v>36834</v>
      </c>
      <c r="C417" s="21">
        <f t="shared" si="79"/>
        <v>36880</v>
      </c>
      <c r="D417" s="1">
        <f t="shared" si="88"/>
        <v>0</v>
      </c>
      <c r="E417" s="3">
        <f t="array" ref="E417">INDEX($A$9:A416, MAX(IF($D$9:D416=1, ROW(D$9:$D416)-ROW($D$9)+1, 0)))</f>
        <v>46650</v>
      </c>
      <c r="F417" s="23">
        <f t="shared" si="80"/>
        <v>1.5605749486652978</v>
      </c>
      <c r="G417" s="5">
        <f>INDEX('Default Prob'!$P$5:$P$14,MIN(1+_xlfn.IFNA(MATCH(F417,'Default Prob'!$F$5:$F$14,1),0),COUNT('Default Prob'!$P$5:$P$14)))</f>
        <v>1.6062593678540758E-2</v>
      </c>
      <c r="H417" s="5">
        <f t="shared" si="89"/>
        <v>0.96532734531419107</v>
      </c>
      <c r="I417" s="24">
        <f t="shared" si="90"/>
        <v>4.2453119413199403E-5</v>
      </c>
      <c r="J417" s="25">
        <f>INDEX('Default Prob'!$C$3:$C$13, _xlfn.IFNA(MATCH(F417, 'Default Prob'!$B$3:$B$13, 1), 1))</f>
        <v>1.9099999999999999E-2</v>
      </c>
      <c r="K417" s="26">
        <f t="shared" si="81"/>
        <v>0.97090573247613943</v>
      </c>
      <c r="L417" s="27">
        <f t="shared" ca="1" si="82"/>
        <v>0</v>
      </c>
      <c r="M417" s="27">
        <f t="shared" ca="1" si="83"/>
        <v>1625.2936475835495</v>
      </c>
      <c r="N417" s="28">
        <f t="shared" ca="1" si="84"/>
        <v>6.6991316183970015E-2</v>
      </c>
      <c r="O417" s="29">
        <f t="shared" ca="1" si="85"/>
        <v>600000</v>
      </c>
      <c r="P417" s="30">
        <f t="shared" ca="1" si="86"/>
        <v>24.73078619986163</v>
      </c>
    </row>
    <row r="418" spans="1:16" x14ac:dyDescent="0.25">
      <c r="A418" s="3">
        <f t="shared" si="87"/>
        <v>46696</v>
      </c>
      <c r="B418" s="21">
        <f t="shared" si="78"/>
        <v>36835</v>
      </c>
      <c r="C418" s="21">
        <f t="shared" si="79"/>
        <v>36880</v>
      </c>
      <c r="D418" s="1">
        <f t="shared" si="88"/>
        <v>0</v>
      </c>
      <c r="E418" s="3">
        <f t="array" ref="E418">INDEX($A$9:A417, MAX(IF($D$9:D417=1, ROW(D$9:$D417)-ROW($D$9)+1, 0)))</f>
        <v>46650</v>
      </c>
      <c r="F418" s="23">
        <f t="shared" si="80"/>
        <v>1.5633127994524298</v>
      </c>
      <c r="G418" s="5">
        <f>INDEX('Default Prob'!$P$5:$P$14,MIN(1+_xlfn.IFNA(MATCH(F418,'Default Prob'!$F$5:$F$14,1),0),COUNT('Default Prob'!$P$5:$P$14)))</f>
        <v>1.6062593678540758E-2</v>
      </c>
      <c r="H418" s="5">
        <f t="shared" si="89"/>
        <v>0.96528489406169704</v>
      </c>
      <c r="I418" s="24">
        <f t="shared" si="90"/>
        <v>4.2451252494024594E-5</v>
      </c>
      <c r="J418" s="25">
        <f>INDEX('Default Prob'!$C$3:$C$13, _xlfn.IFNA(MATCH(F418, 'Default Prob'!$B$3:$B$13, 1), 1))</f>
        <v>1.9099999999999999E-2</v>
      </c>
      <c r="K418" s="26">
        <f t="shared" si="81"/>
        <v>0.97085544103492705</v>
      </c>
      <c r="L418" s="27">
        <f t="shared" ca="1" si="82"/>
        <v>0</v>
      </c>
      <c r="M418" s="27">
        <f t="shared" ca="1" si="83"/>
        <v>1661.4112841965173</v>
      </c>
      <c r="N418" s="28">
        <f t="shared" ca="1" si="84"/>
        <v>6.8473453616323662E-2</v>
      </c>
      <c r="O418" s="29">
        <f t="shared" ca="1" si="85"/>
        <v>600000</v>
      </c>
      <c r="P418" s="30">
        <f t="shared" ca="1" si="86"/>
        <v>24.728417677542776</v>
      </c>
    </row>
    <row r="419" spans="1:16" x14ac:dyDescent="0.25">
      <c r="A419" s="3">
        <f t="shared" si="87"/>
        <v>46699</v>
      </c>
      <c r="B419" s="21">
        <f t="shared" si="78"/>
        <v>36838</v>
      </c>
      <c r="C419" s="21">
        <f t="shared" si="79"/>
        <v>36880</v>
      </c>
      <c r="D419" s="1">
        <f t="shared" si="88"/>
        <v>0</v>
      </c>
      <c r="E419" s="3">
        <f t="array" ref="E419">INDEX($A$9:A418, MAX(IF($D$9:D418=1, ROW(D$9:$D418)-ROW($D$9)+1, 0)))</f>
        <v>46650</v>
      </c>
      <c r="F419" s="23">
        <f t="shared" si="80"/>
        <v>1.5715263518138261</v>
      </c>
      <c r="G419" s="5">
        <f>INDEX('Default Prob'!$P$5:$P$14,MIN(1+_xlfn.IFNA(MATCH(F419,'Default Prob'!$F$5:$F$14,1),0),COUNT('Default Prob'!$P$5:$P$14)))</f>
        <v>1.6062593678540758E-2</v>
      </c>
      <c r="H419" s="5">
        <f t="shared" si="89"/>
        <v>0.96515755150490867</v>
      </c>
      <c r="I419" s="24">
        <f t="shared" si="90"/>
        <v>1.2734255678836792E-4</v>
      </c>
      <c r="J419" s="25">
        <f>INDEX('Default Prob'!$C$3:$C$13, _xlfn.IFNA(MATCH(F419, 'Default Prob'!$B$3:$B$13, 1), 1))</f>
        <v>1.9099999999999999E-2</v>
      </c>
      <c r="K419" s="26">
        <f t="shared" si="81"/>
        <v>0.9707045823408712</v>
      </c>
      <c r="L419" s="27">
        <f t="shared" ca="1" si="82"/>
        <v>0</v>
      </c>
      <c r="M419" s="27">
        <f t="shared" ca="1" si="83"/>
        <v>1769.7641940354208</v>
      </c>
      <c r="N419" s="28">
        <f t="shared" ca="1" si="84"/>
        <v>0.21876409757290866</v>
      </c>
      <c r="O419" s="29">
        <f t="shared" ca="1" si="85"/>
        <v>600000</v>
      </c>
      <c r="P419" s="30">
        <f t="shared" ca="1" si="86"/>
        <v>74.167202040882827</v>
      </c>
    </row>
    <row r="420" spans="1:16" x14ac:dyDescent="0.25">
      <c r="A420" s="3">
        <f t="shared" si="87"/>
        <v>46700</v>
      </c>
      <c r="B420" s="21">
        <f t="shared" si="78"/>
        <v>36839</v>
      </c>
      <c r="C420" s="21">
        <f t="shared" si="79"/>
        <v>36880</v>
      </c>
      <c r="D420" s="1">
        <f t="shared" si="88"/>
        <v>0</v>
      </c>
      <c r="E420" s="3">
        <f t="array" ref="E420">INDEX($A$9:A419, MAX(IF($D$9:D419=1, ROW(D$9:$D419)-ROW($D$9)+1, 0)))</f>
        <v>46650</v>
      </c>
      <c r="F420" s="23">
        <f t="shared" si="80"/>
        <v>1.5742642026009583</v>
      </c>
      <c r="G420" s="5">
        <f>INDEX('Default Prob'!$P$5:$P$14,MIN(1+_xlfn.IFNA(MATCH(F420,'Default Prob'!$F$5:$F$14,1),0),COUNT('Default Prob'!$P$5:$P$14)))</f>
        <v>1.6062593678540758E-2</v>
      </c>
      <c r="H420" s="5">
        <f t="shared" si="89"/>
        <v>0.96511510771927023</v>
      </c>
      <c r="I420" s="24">
        <f t="shared" si="90"/>
        <v>4.2443785638446307E-5</v>
      </c>
      <c r="J420" s="25">
        <f>INDEX('Default Prob'!$C$3:$C$13, _xlfn.IFNA(MATCH(F420, 'Default Prob'!$B$3:$B$13, 1), 1))</f>
        <v>1.9099999999999999E-2</v>
      </c>
      <c r="K420" s="26">
        <f t="shared" si="81"/>
        <v>0.97065430131893005</v>
      </c>
      <c r="L420" s="27">
        <f t="shared" ca="1" si="82"/>
        <v>0</v>
      </c>
      <c r="M420" s="27">
        <f t="shared" ca="1" si="83"/>
        <v>1805.8818306483884</v>
      </c>
      <c r="N420" s="28">
        <f t="shared" ca="1" si="84"/>
        <v>7.4399158658481082E-2</v>
      </c>
      <c r="O420" s="29">
        <f t="shared" ca="1" si="85"/>
        <v>600000</v>
      </c>
      <c r="P420" s="30">
        <f t="shared" ca="1" si="86"/>
        <v>24.718945856529924</v>
      </c>
    </row>
    <row r="421" spans="1:16" x14ac:dyDescent="0.25">
      <c r="A421" s="3">
        <f t="shared" si="87"/>
        <v>46701</v>
      </c>
      <c r="B421" s="21">
        <f t="shared" si="78"/>
        <v>36840</v>
      </c>
      <c r="C421" s="21">
        <f t="shared" si="79"/>
        <v>36880</v>
      </c>
      <c r="D421" s="1">
        <f t="shared" si="88"/>
        <v>0</v>
      </c>
      <c r="E421" s="3">
        <f t="array" ref="E421">INDEX($A$9:A420, MAX(IF($D$9:D420=1, ROW(D$9:$D420)-ROW($D$9)+1, 0)))</f>
        <v>46650</v>
      </c>
      <c r="F421" s="23">
        <f t="shared" si="80"/>
        <v>1.5770020533880904</v>
      </c>
      <c r="G421" s="5">
        <f>INDEX('Default Prob'!$P$5:$P$14,MIN(1+_xlfn.IFNA(MATCH(F421,'Default Prob'!$F$5:$F$14,1),0),COUNT('Default Prob'!$P$5:$P$14)))</f>
        <v>1.6062593678540758E-2</v>
      </c>
      <c r="H421" s="5">
        <f t="shared" si="89"/>
        <v>0.96507266580014039</v>
      </c>
      <c r="I421" s="24">
        <f t="shared" si="90"/>
        <v>4.2441919129831973E-5</v>
      </c>
      <c r="J421" s="25">
        <f>INDEX('Default Prob'!$C$3:$C$13, _xlfn.IFNA(MATCH(F421, 'Default Prob'!$B$3:$B$13, 1), 1))</f>
        <v>1.9099999999999999E-2</v>
      </c>
      <c r="K421" s="26">
        <f t="shared" si="81"/>
        <v>0.9706040229014693</v>
      </c>
      <c r="L421" s="27">
        <f t="shared" ca="1" si="82"/>
        <v>0</v>
      </c>
      <c r="M421" s="27">
        <f t="shared" ca="1" si="83"/>
        <v>1841.9994672613561</v>
      </c>
      <c r="N421" s="28">
        <f t="shared" ca="1" si="84"/>
        <v>7.5879873951715665E-2</v>
      </c>
      <c r="O421" s="29">
        <f t="shared" ca="1" si="85"/>
        <v>600000</v>
      </c>
      <c r="P421" s="30">
        <f t="shared" ca="1" si="86"/>
        <v>24.716578468244244</v>
      </c>
    </row>
    <row r="422" spans="1:16" x14ac:dyDescent="0.25">
      <c r="A422" s="3">
        <f t="shared" si="87"/>
        <v>46702</v>
      </c>
      <c r="B422" s="21">
        <f t="shared" si="78"/>
        <v>36841</v>
      </c>
      <c r="C422" s="21">
        <f t="shared" si="79"/>
        <v>36880</v>
      </c>
      <c r="D422" s="1">
        <f t="shared" si="88"/>
        <v>0</v>
      </c>
      <c r="E422" s="3">
        <f t="array" ref="E422">INDEX($A$9:A421, MAX(IF($D$9:D421=1, ROW(D$9:$D421)-ROW($D$9)+1, 0)))</f>
        <v>46650</v>
      </c>
      <c r="F422" s="23">
        <f t="shared" si="80"/>
        <v>1.5797399041752225</v>
      </c>
      <c r="G422" s="5">
        <f>INDEX('Default Prob'!$P$5:$P$14,MIN(1+_xlfn.IFNA(MATCH(F422,'Default Prob'!$F$5:$F$14,1),0),COUNT('Default Prob'!$P$5:$P$14)))</f>
        <v>1.6062593678540758E-2</v>
      </c>
      <c r="H422" s="5">
        <f t="shared" si="89"/>
        <v>0.96503022574743724</v>
      </c>
      <c r="I422" s="24">
        <f t="shared" si="90"/>
        <v>4.2440052703152098E-5</v>
      </c>
      <c r="J422" s="25">
        <f>INDEX('Default Prob'!$C$3:$C$13, _xlfn.IFNA(MATCH(F422, 'Default Prob'!$B$3:$B$13, 1), 1))</f>
        <v>1.9099999999999999E-2</v>
      </c>
      <c r="K422" s="26">
        <f t="shared" si="81"/>
        <v>0.97055374708835429</v>
      </c>
      <c r="L422" s="27">
        <f t="shared" ca="1" si="82"/>
        <v>0</v>
      </c>
      <c r="M422" s="27">
        <f t="shared" ca="1" si="83"/>
        <v>1878.1171038743239</v>
      </c>
      <c r="N422" s="28">
        <f t="shared" ca="1" si="84"/>
        <v>7.7360304939491864E-2</v>
      </c>
      <c r="O422" s="29">
        <f t="shared" ca="1" si="85"/>
        <v>600000</v>
      </c>
      <c r="P422" s="30">
        <f t="shared" ca="1" si="86"/>
        <v>24.714211306602905</v>
      </c>
    </row>
    <row r="423" spans="1:16" x14ac:dyDescent="0.25">
      <c r="A423" s="3">
        <f t="shared" si="87"/>
        <v>46703</v>
      </c>
      <c r="B423" s="21">
        <f t="shared" si="78"/>
        <v>36842</v>
      </c>
      <c r="C423" s="21">
        <f t="shared" si="79"/>
        <v>36880</v>
      </c>
      <c r="D423" s="1">
        <f t="shared" si="88"/>
        <v>0</v>
      </c>
      <c r="E423" s="3">
        <f t="array" ref="E423">INDEX($A$9:A422, MAX(IF($D$9:D422=1, ROW(D$9:$D422)-ROW($D$9)+1, 0)))</f>
        <v>46650</v>
      </c>
      <c r="F423" s="23">
        <f t="shared" si="80"/>
        <v>1.5824777549623545</v>
      </c>
      <c r="G423" s="5">
        <f>INDEX('Default Prob'!$P$5:$P$14,MIN(1+_xlfn.IFNA(MATCH(F423,'Default Prob'!$F$5:$F$14,1),0),COUNT('Default Prob'!$P$5:$P$14)))</f>
        <v>1.6062593678540758E-2</v>
      </c>
      <c r="H423" s="5">
        <f t="shared" si="89"/>
        <v>0.9649877875610785</v>
      </c>
      <c r="I423" s="24">
        <f t="shared" si="90"/>
        <v>4.2438186358739749E-5</v>
      </c>
      <c r="J423" s="25">
        <f>INDEX('Default Prob'!$C$3:$C$13, _xlfn.IFNA(MATCH(F423, 'Default Prob'!$B$3:$B$13, 1), 1))</f>
        <v>1.9099999999999999E-2</v>
      </c>
      <c r="K423" s="26">
        <f t="shared" si="81"/>
        <v>0.97050347387944991</v>
      </c>
      <c r="L423" s="27">
        <f t="shared" ca="1" si="82"/>
        <v>0</v>
      </c>
      <c r="M423" s="27">
        <f t="shared" ca="1" si="83"/>
        <v>1914.2347404872917</v>
      </c>
      <c r="N423" s="28">
        <f t="shared" ca="1" si="84"/>
        <v>7.8840451663295175E-2</v>
      </c>
      <c r="O423" s="29">
        <f t="shared" ca="1" si="85"/>
        <v>600000</v>
      </c>
      <c r="P423" s="30">
        <f t="shared" ca="1" si="86"/>
        <v>24.711844371780245</v>
      </c>
    </row>
    <row r="424" spans="1:16" x14ac:dyDescent="0.25">
      <c r="A424" s="3">
        <f t="shared" si="87"/>
        <v>46706</v>
      </c>
      <c r="B424" s="21">
        <f t="shared" si="78"/>
        <v>36845</v>
      </c>
      <c r="C424" s="21">
        <f t="shared" si="79"/>
        <v>36880</v>
      </c>
      <c r="D424" s="1">
        <f t="shared" si="88"/>
        <v>0</v>
      </c>
      <c r="E424" s="3">
        <f t="array" ref="E424">INDEX($A$9:A423, MAX(IF($D$9:D423=1, ROW(D$9:$D423)-ROW($D$9)+1, 0)))</f>
        <v>46650</v>
      </c>
      <c r="F424" s="23">
        <f t="shared" si="80"/>
        <v>1.5906913073237507</v>
      </c>
      <c r="G424" s="5">
        <f>INDEX('Default Prob'!$P$5:$P$14,MIN(1+_xlfn.IFNA(MATCH(F424,'Default Prob'!$F$5:$F$14,1),0),COUNT('Default Prob'!$P$5:$P$14)))</f>
        <v>1.6062593678540758E-2</v>
      </c>
      <c r="H424" s="5">
        <f t="shared" si="89"/>
        <v>0.96486048419924875</v>
      </c>
      <c r="I424" s="24">
        <f t="shared" si="90"/>
        <v>1.2730336182975588E-4</v>
      </c>
      <c r="J424" s="25">
        <f>INDEX('Default Prob'!$C$3:$C$13, _xlfn.IFNA(MATCH(F424, 'Default Prob'!$B$3:$B$13, 1), 1))</f>
        <v>1.9099999999999999E-2</v>
      </c>
      <c r="K424" s="26">
        <f t="shared" si="81"/>
        <v>0.97035266987665214</v>
      </c>
      <c r="L424" s="27">
        <f t="shared" ca="1" si="82"/>
        <v>0</v>
      </c>
      <c r="M424" s="27">
        <f t="shared" ca="1" si="83"/>
        <v>2022.587650326195</v>
      </c>
      <c r="N424" s="28">
        <f t="shared" ca="1" si="84"/>
        <v>0.24984854747576796</v>
      </c>
      <c r="O424" s="29">
        <f t="shared" ca="1" si="85"/>
        <v>600000</v>
      </c>
      <c r="P424" s="30">
        <f t="shared" ca="1" si="86"/>
        <v>74.117494221466259</v>
      </c>
    </row>
    <row r="425" spans="1:16" x14ac:dyDescent="0.25">
      <c r="A425" s="3">
        <f t="shared" si="87"/>
        <v>46707</v>
      </c>
      <c r="B425" s="21">
        <f t="shared" si="78"/>
        <v>36846</v>
      </c>
      <c r="C425" s="21">
        <f t="shared" si="79"/>
        <v>36880</v>
      </c>
      <c r="D425" s="1">
        <f t="shared" si="88"/>
        <v>0</v>
      </c>
      <c r="E425" s="3">
        <f t="array" ref="E425">INDEX($A$9:A424, MAX(IF($D$9:D424=1, ROW(D$9:$D424)-ROW($D$9)+1, 0)))</f>
        <v>46650</v>
      </c>
      <c r="F425" s="23">
        <f t="shared" si="80"/>
        <v>1.593429158110883</v>
      </c>
      <c r="G425" s="5">
        <f>INDEX('Default Prob'!$P$5:$P$14,MIN(1+_xlfn.IFNA(MATCH(F425,'Default Prob'!$F$5:$F$14,1),0),COUNT('Default Prob'!$P$5:$P$14)))</f>
        <v>1.6062593678540758E-2</v>
      </c>
      <c r="H425" s="5">
        <f t="shared" si="89"/>
        <v>0.96481805347744742</v>
      </c>
      <c r="I425" s="24">
        <f t="shared" si="90"/>
        <v>4.2430721801323124E-5</v>
      </c>
      <c r="J425" s="25">
        <f>INDEX('Default Prob'!$C$3:$C$13, _xlfn.IFNA(MATCH(F425, 'Default Prob'!$B$3:$B$13, 1), 1))</f>
        <v>1.9099999999999999E-2</v>
      </c>
      <c r="K425" s="26">
        <f t="shared" si="81"/>
        <v>0.97030240708324167</v>
      </c>
      <c r="L425" s="27">
        <f t="shared" ca="1" si="82"/>
        <v>0</v>
      </c>
      <c r="M425" s="27">
        <f t="shared" ca="1" si="83"/>
        <v>2058.7052869391628</v>
      </c>
      <c r="N425" s="28">
        <f t="shared" ca="1" si="84"/>
        <v>8.4758196731769098E-2</v>
      </c>
      <c r="O425" s="29">
        <f t="shared" ca="1" si="85"/>
        <v>600000</v>
      </c>
      <c r="P425" s="30">
        <f t="shared" ca="1" si="86"/>
        <v>24.702378898861923</v>
      </c>
    </row>
    <row r="426" spans="1:16" x14ac:dyDescent="0.25">
      <c r="A426" s="3">
        <f t="shared" si="87"/>
        <v>46708</v>
      </c>
      <c r="B426" s="21">
        <f t="shared" si="78"/>
        <v>36847</v>
      </c>
      <c r="C426" s="21">
        <f t="shared" si="79"/>
        <v>36880</v>
      </c>
      <c r="D426" s="1">
        <f t="shared" si="88"/>
        <v>0</v>
      </c>
      <c r="E426" s="3">
        <f t="array" ref="E426">INDEX($A$9:A425, MAX(IF($D$9:D425=1, ROW(D$9:$D425)-ROW($D$9)+1, 0)))</f>
        <v>46650</v>
      </c>
      <c r="F426" s="23">
        <f t="shared" si="80"/>
        <v>1.5961670088980151</v>
      </c>
      <c r="G426" s="5">
        <f>INDEX('Default Prob'!$P$5:$P$14,MIN(1+_xlfn.IFNA(MATCH(F426,'Default Prob'!$F$5:$F$14,1),0),COUNT('Default Prob'!$P$5:$P$14)))</f>
        <v>1.6062593678540758E-2</v>
      </c>
      <c r="H426" s="5">
        <f t="shared" si="89"/>
        <v>0.96477562462158029</v>
      </c>
      <c r="I426" s="24">
        <f t="shared" si="90"/>
        <v>4.2428855867138182E-5</v>
      </c>
      <c r="J426" s="25">
        <f>INDEX('Default Prob'!$C$3:$C$13, _xlfn.IFNA(MATCH(F426, 'Default Prob'!$B$3:$B$13, 1), 1))</f>
        <v>1.9099999999999999E-2</v>
      </c>
      <c r="K426" s="26">
        <f t="shared" si="81"/>
        <v>0.9702521468933677</v>
      </c>
      <c r="L426" s="27">
        <f t="shared" ca="1" si="82"/>
        <v>0</v>
      </c>
      <c r="M426" s="27">
        <f t="shared" ca="1" si="83"/>
        <v>2094.8229235521303</v>
      </c>
      <c r="N426" s="28">
        <f t="shared" ca="1" si="84"/>
        <v>8.6236922746726258E-2</v>
      </c>
      <c r="O426" s="29">
        <f t="shared" ca="1" si="85"/>
        <v>600000</v>
      </c>
      <c r="P426" s="30">
        <f t="shared" ca="1" si="86"/>
        <v>24.700013097192048</v>
      </c>
    </row>
    <row r="427" spans="1:16" x14ac:dyDescent="0.25">
      <c r="A427" s="3">
        <f t="shared" si="87"/>
        <v>46709</v>
      </c>
      <c r="B427" s="21">
        <f t="shared" si="78"/>
        <v>36848</v>
      </c>
      <c r="C427" s="21">
        <f t="shared" si="79"/>
        <v>36880</v>
      </c>
      <c r="D427" s="1">
        <f t="shared" si="88"/>
        <v>0</v>
      </c>
      <c r="E427" s="3">
        <f t="array" ref="E427">INDEX($A$9:A426, MAX(IF($D$9:D426=1, ROW(D$9:$D426)-ROW($D$9)+1, 0)))</f>
        <v>46650</v>
      </c>
      <c r="F427" s="23">
        <f t="shared" si="80"/>
        <v>1.5989048596851472</v>
      </c>
      <c r="G427" s="5">
        <f>INDEX('Default Prob'!$P$5:$P$14,MIN(1+_xlfn.IFNA(MATCH(F427,'Default Prob'!$F$5:$F$14,1),0),COUNT('Default Prob'!$P$5:$P$14)))</f>
        <v>1.6062593678540758E-2</v>
      </c>
      <c r="H427" s="5">
        <f t="shared" si="89"/>
        <v>0.96473319763156529</v>
      </c>
      <c r="I427" s="24">
        <f t="shared" si="90"/>
        <v>4.2426990014998722E-5</v>
      </c>
      <c r="J427" s="25">
        <f>INDEX('Default Prob'!$C$3:$C$13, _xlfn.IFNA(MATCH(F427, 'Default Prob'!$B$3:$B$13, 1), 1))</f>
        <v>1.9099999999999999E-2</v>
      </c>
      <c r="K427" s="26">
        <f t="shared" si="81"/>
        <v>0.97020188930689488</v>
      </c>
      <c r="L427" s="27">
        <f t="shared" ca="1" si="82"/>
        <v>0</v>
      </c>
      <c r="M427" s="27">
        <f t="shared" ca="1" si="83"/>
        <v>2130.9405601650983</v>
      </c>
      <c r="N427" s="28">
        <f t="shared" ca="1" si="84"/>
        <v>8.7715364742484939E-2</v>
      </c>
      <c r="O427" s="29">
        <f t="shared" ca="1" si="85"/>
        <v>600000</v>
      </c>
      <c r="P427" s="30">
        <f t="shared" ca="1" si="86"/>
        <v>24.697647522093916</v>
      </c>
    </row>
    <row r="428" spans="1:16" x14ac:dyDescent="0.25">
      <c r="A428" s="3">
        <f t="shared" si="87"/>
        <v>46710</v>
      </c>
      <c r="B428" s="21">
        <f t="shared" si="78"/>
        <v>36849</v>
      </c>
      <c r="C428" s="21">
        <f t="shared" si="79"/>
        <v>36880</v>
      </c>
      <c r="D428" s="1">
        <f t="shared" si="88"/>
        <v>0</v>
      </c>
      <c r="E428" s="3">
        <f t="array" ref="E428">INDEX($A$9:A427, MAX(IF($D$9:D427=1, ROW(D$9:$D427)-ROW($D$9)+1, 0)))</f>
        <v>46650</v>
      </c>
      <c r="F428" s="23">
        <f t="shared" si="80"/>
        <v>1.6016427104722792</v>
      </c>
      <c r="G428" s="5">
        <f>INDEX('Default Prob'!$P$5:$P$14,MIN(1+_xlfn.IFNA(MATCH(F428,'Default Prob'!$F$5:$F$14,1),0),COUNT('Default Prob'!$P$5:$P$14)))</f>
        <v>1.6062593678540758E-2</v>
      </c>
      <c r="H428" s="5">
        <f t="shared" si="89"/>
        <v>0.96469077250732027</v>
      </c>
      <c r="I428" s="24">
        <f t="shared" si="90"/>
        <v>4.2425124245015766E-5</v>
      </c>
      <c r="J428" s="25">
        <f>INDEX('Default Prob'!$C$3:$C$13, _xlfn.IFNA(MATCH(F428, 'Default Prob'!$B$3:$B$13, 1), 1))</f>
        <v>1.9099999999999999E-2</v>
      </c>
      <c r="K428" s="26">
        <f t="shared" si="81"/>
        <v>0.97015163432368889</v>
      </c>
      <c r="L428" s="27">
        <f t="shared" ca="1" si="82"/>
        <v>0</v>
      </c>
      <c r="M428" s="27">
        <f t="shared" ca="1" si="83"/>
        <v>2167.0581967780658</v>
      </c>
      <c r="N428" s="28">
        <f t="shared" ca="1" si="84"/>
        <v>8.9193522760123919E-2</v>
      </c>
      <c r="O428" s="29">
        <f t="shared" ca="1" si="85"/>
        <v>600000</v>
      </c>
      <c r="P428" s="30">
        <f t="shared" ca="1" si="86"/>
        <v>24.695282173612561</v>
      </c>
    </row>
    <row r="429" spans="1:16" x14ac:dyDescent="0.25">
      <c r="A429" s="3">
        <f t="shared" si="87"/>
        <v>46713</v>
      </c>
      <c r="B429" s="21">
        <f t="shared" si="78"/>
        <v>36852</v>
      </c>
      <c r="C429" s="21">
        <f t="shared" si="79"/>
        <v>36880</v>
      </c>
      <c r="D429" s="1">
        <f t="shared" si="88"/>
        <v>0</v>
      </c>
      <c r="E429" s="3">
        <f t="array" ref="E429">INDEX($A$9:A428, MAX(IF($D$9:D428=1, ROW(D$9:$D428)-ROW($D$9)+1, 0)))</f>
        <v>46650</v>
      </c>
      <c r="F429" s="23">
        <f t="shared" si="80"/>
        <v>1.6098562628336757</v>
      </c>
      <c r="G429" s="5">
        <f>INDEX('Default Prob'!$P$5:$P$14,MIN(1+_xlfn.IFNA(MATCH(F429,'Default Prob'!$F$5:$F$14,1),0),COUNT('Default Prob'!$P$5:$P$14)))</f>
        <v>1.6062593678540758E-2</v>
      </c>
      <c r="H429" s="5">
        <f t="shared" si="89"/>
        <v>0.96456350832838522</v>
      </c>
      <c r="I429" s="24">
        <f t="shared" si="90"/>
        <v>1.2726417893504927E-4</v>
      </c>
      <c r="J429" s="25">
        <f>INDEX('Default Prob'!$C$3:$C$13, _xlfn.IFNA(MATCH(F429, 'Default Prob'!$B$3:$B$13, 1), 1))</f>
        <v>1.9099999999999999E-2</v>
      </c>
      <c r="K429" s="26">
        <f t="shared" si="81"/>
        <v>0.97000088499232173</v>
      </c>
      <c r="L429" s="27">
        <f t="shared" ca="1" si="82"/>
        <v>0</v>
      </c>
      <c r="M429" s="27">
        <f t="shared" ca="1" si="83"/>
        <v>2275.4111066169694</v>
      </c>
      <c r="N429" s="28">
        <f t="shared" ca="1" si="84"/>
        <v>0.28089123271119665</v>
      </c>
      <c r="O429" s="29">
        <f t="shared" ca="1" si="85"/>
        <v>600000</v>
      </c>
      <c r="P429" s="30">
        <f t="shared" ca="1" si="86"/>
        <v>74.067819716891378</v>
      </c>
    </row>
    <row r="430" spans="1:16" x14ac:dyDescent="0.25">
      <c r="A430" s="3">
        <f t="shared" si="87"/>
        <v>46714</v>
      </c>
      <c r="B430" s="21">
        <f t="shared" si="78"/>
        <v>36853</v>
      </c>
      <c r="C430" s="21">
        <f t="shared" si="79"/>
        <v>36880</v>
      </c>
      <c r="D430" s="1">
        <f t="shared" si="88"/>
        <v>0</v>
      </c>
      <c r="E430" s="3">
        <f t="array" ref="E430">INDEX($A$9:A429, MAX(IF($D$9:D429=1, ROW(D$9:$D429)-ROW($D$9)+1, 0)))</f>
        <v>46650</v>
      </c>
      <c r="F430" s="23">
        <f t="shared" si="80"/>
        <v>1.6125941136208077</v>
      </c>
      <c r="G430" s="5">
        <f>INDEX('Default Prob'!$P$5:$P$14,MIN(1+_xlfn.IFNA(MATCH(F430,'Default Prob'!$F$5:$F$14,1),0),COUNT('Default Prob'!$P$5:$P$14)))</f>
        <v>1.6062593678540758E-2</v>
      </c>
      <c r="H430" s="5">
        <f t="shared" si="89"/>
        <v>0.96452109066640002</v>
      </c>
      <c r="I430" s="24">
        <f t="shared" si="90"/>
        <v>4.241766198520569E-5</v>
      </c>
      <c r="J430" s="25">
        <f>INDEX('Default Prob'!$C$3:$C$13, _xlfn.IFNA(MATCH(F430, 'Default Prob'!$B$3:$B$13, 1), 1))</f>
        <v>1.9099999999999999E-2</v>
      </c>
      <c r="K430" s="26">
        <f t="shared" si="81"/>
        <v>0.96995064042083368</v>
      </c>
      <c r="L430" s="27">
        <f t="shared" ca="1" si="82"/>
        <v>0</v>
      </c>
      <c r="M430" s="27">
        <f t="shared" ca="1" si="83"/>
        <v>2311.5287432299369</v>
      </c>
      <c r="N430" s="28">
        <f t="shared" ca="1" si="84"/>
        <v>9.5103315863222695E-2</v>
      </c>
      <c r="O430" s="29">
        <f t="shared" ca="1" si="85"/>
        <v>600000</v>
      </c>
      <c r="P430" s="30">
        <f t="shared" ca="1" si="86"/>
        <v>24.685823044622826</v>
      </c>
    </row>
    <row r="431" spans="1:16" x14ac:dyDescent="0.25">
      <c r="A431" s="3">
        <f t="shared" si="87"/>
        <v>46715</v>
      </c>
      <c r="B431" s="21">
        <f t="shared" si="78"/>
        <v>36854</v>
      </c>
      <c r="C431" s="21">
        <f t="shared" si="79"/>
        <v>36880</v>
      </c>
      <c r="D431" s="1">
        <f t="shared" si="88"/>
        <v>0</v>
      </c>
      <c r="E431" s="3">
        <f t="array" ref="E431">INDEX($A$9:A430, MAX(IF($D$9:D430=1, ROW(D$9:$D430)-ROW($D$9)+1, 0)))</f>
        <v>46650</v>
      </c>
      <c r="F431" s="23">
        <f t="shared" si="80"/>
        <v>1.6153319644079398</v>
      </c>
      <c r="G431" s="5">
        <f>INDEX('Default Prob'!$P$5:$P$14,MIN(1+_xlfn.IFNA(MATCH(F431,'Default Prob'!$F$5:$F$14,1),0),COUNT('Default Prob'!$P$5:$P$14)))</f>
        <v>1.6062593678540758E-2</v>
      </c>
      <c r="H431" s="5">
        <f t="shared" si="89"/>
        <v>0.96447867486977468</v>
      </c>
      <c r="I431" s="24">
        <f t="shared" si="90"/>
        <v>4.2415796625339119E-5</v>
      </c>
      <c r="J431" s="25">
        <f>INDEX('Default Prob'!$C$3:$C$13, _xlfn.IFNA(MATCH(F431, 'Default Prob'!$B$3:$B$13, 1), 1))</f>
        <v>1.9099999999999999E-2</v>
      </c>
      <c r="K431" s="26">
        <f t="shared" si="81"/>
        <v>0.96990039845193798</v>
      </c>
      <c r="L431" s="27">
        <f t="shared" ca="1" si="82"/>
        <v>0</v>
      </c>
      <c r="M431" s="27">
        <f t="shared" ca="1" si="83"/>
        <v>2347.6463798429049</v>
      </c>
      <c r="N431" s="28">
        <f t="shared" ca="1" si="84"/>
        <v>9.658005460138655E-2</v>
      </c>
      <c r="O431" s="29">
        <f t="shared" ca="1" si="85"/>
        <v>600000</v>
      </c>
      <c r="P431" s="30">
        <f t="shared" ca="1" si="86"/>
        <v>24.683458828543667</v>
      </c>
    </row>
    <row r="432" spans="1:16" x14ac:dyDescent="0.25">
      <c r="A432" s="3">
        <f t="shared" si="87"/>
        <v>46716</v>
      </c>
      <c r="B432" s="21">
        <f t="shared" si="78"/>
        <v>36855</v>
      </c>
      <c r="C432" s="21">
        <f t="shared" si="79"/>
        <v>36880</v>
      </c>
      <c r="D432" s="1">
        <f t="shared" si="88"/>
        <v>0</v>
      </c>
      <c r="E432" s="3">
        <f t="array" ref="E432">INDEX($A$9:A431, MAX(IF($D$9:D431=1, ROW(D$9:$D431)-ROW($D$9)+1, 0)))</f>
        <v>46650</v>
      </c>
      <c r="F432" s="23">
        <f t="shared" si="80"/>
        <v>1.6180698151950719</v>
      </c>
      <c r="G432" s="5">
        <f>INDEX('Default Prob'!$P$5:$P$14,MIN(1+_xlfn.IFNA(MATCH(F432,'Default Prob'!$F$5:$F$14,1),0),COUNT('Default Prob'!$P$5:$P$14)))</f>
        <v>1.6062593678540758E-2</v>
      </c>
      <c r="H432" s="5">
        <f t="shared" si="89"/>
        <v>0.96443626093842716</v>
      </c>
      <c r="I432" s="24">
        <f t="shared" si="90"/>
        <v>4.241393134751803E-5</v>
      </c>
      <c r="J432" s="25">
        <f>INDEX('Default Prob'!$C$3:$C$13, _xlfn.IFNA(MATCH(F432, 'Default Prob'!$B$3:$B$13, 1), 1))</f>
        <v>1.9099999999999999E-2</v>
      </c>
      <c r="K432" s="26">
        <f t="shared" si="81"/>
        <v>0.96985015908549987</v>
      </c>
      <c r="L432" s="27">
        <f t="shared" ca="1" si="82"/>
        <v>0</v>
      </c>
      <c r="M432" s="27">
        <f t="shared" ca="1" si="83"/>
        <v>2383.7640164558725</v>
      </c>
      <c r="N432" s="28">
        <f t="shared" ca="1" si="84"/>
        <v>9.8056509606170697E-2</v>
      </c>
      <c r="O432" s="29">
        <f t="shared" ca="1" si="85"/>
        <v>600000</v>
      </c>
      <c r="P432" s="30">
        <f t="shared" ca="1" si="86"/>
        <v>24.681094838899099</v>
      </c>
    </row>
    <row r="433" spans="1:16" x14ac:dyDescent="0.25">
      <c r="A433" s="3">
        <f t="shared" si="87"/>
        <v>46717</v>
      </c>
      <c r="B433" s="21">
        <f t="shared" si="78"/>
        <v>36856</v>
      </c>
      <c r="C433" s="21">
        <f t="shared" si="79"/>
        <v>36880</v>
      </c>
      <c r="D433" s="1">
        <f t="shared" si="88"/>
        <v>0</v>
      </c>
      <c r="E433" s="3">
        <f t="array" ref="E433">INDEX($A$9:A432, MAX(IF($D$9:D432=1, ROW(D$9:$D432)-ROW($D$9)+1, 0)))</f>
        <v>46650</v>
      </c>
      <c r="F433" s="23">
        <f t="shared" si="80"/>
        <v>1.6208076659822039</v>
      </c>
      <c r="G433" s="5">
        <f>INDEX('Default Prob'!$P$5:$P$14,MIN(1+_xlfn.IFNA(MATCH(F433,'Default Prob'!$F$5:$F$14,1),0),COUNT('Default Prob'!$P$5:$P$14)))</f>
        <v>1.6062593678540758E-2</v>
      </c>
      <c r="H433" s="5">
        <f t="shared" si="89"/>
        <v>0.96439384887227542</v>
      </c>
      <c r="I433" s="24">
        <f t="shared" si="90"/>
        <v>4.2412066151742422E-5</v>
      </c>
      <c r="J433" s="25">
        <f>INDEX('Default Prob'!$C$3:$C$13, _xlfn.IFNA(MATCH(F433, 'Default Prob'!$B$3:$B$13, 1), 1))</f>
        <v>1.9099999999999999E-2</v>
      </c>
      <c r="K433" s="26">
        <f t="shared" si="81"/>
        <v>0.96979992232138457</v>
      </c>
      <c r="L433" s="27">
        <f t="shared" ca="1" si="82"/>
        <v>0</v>
      </c>
      <c r="M433" s="27">
        <f t="shared" ca="1" si="83"/>
        <v>2419.8816530688405</v>
      </c>
      <c r="N433" s="28">
        <f t="shared" ca="1" si="84"/>
        <v>9.9532680918387587E-2</v>
      </c>
      <c r="O433" s="29">
        <f t="shared" ca="1" si="85"/>
        <v>600000</v>
      </c>
      <c r="P433" s="30">
        <f t="shared" ca="1" si="86"/>
        <v>24.678731075669535</v>
      </c>
    </row>
    <row r="434" spans="1:16" x14ac:dyDescent="0.25">
      <c r="A434" s="3">
        <f t="shared" si="87"/>
        <v>46720</v>
      </c>
      <c r="B434" s="21">
        <f t="shared" si="78"/>
        <v>36859</v>
      </c>
      <c r="C434" s="21">
        <f t="shared" si="79"/>
        <v>36880</v>
      </c>
      <c r="D434" s="1">
        <f t="shared" si="88"/>
        <v>0</v>
      </c>
      <c r="E434" s="3">
        <f t="array" ref="E434">INDEX($A$9:A433, MAX(IF($D$9:D433=1, ROW(D$9:$D433)-ROW($D$9)+1, 0)))</f>
        <v>46650</v>
      </c>
      <c r="F434" s="23">
        <f t="shared" si="80"/>
        <v>1.6290212183436004</v>
      </c>
      <c r="G434" s="5">
        <f>INDEX('Default Prob'!$P$5:$P$14,MIN(1+_xlfn.IFNA(MATCH(F434,'Default Prob'!$F$5:$F$14,1),0),COUNT('Default Prob'!$P$5:$P$14)))</f>
        <v>1.6062593678540758E-2</v>
      </c>
      <c r="H434" s="5">
        <f t="shared" si="89"/>
        <v>0.96426662386417483</v>
      </c>
      <c r="I434" s="24">
        <f t="shared" si="90"/>
        <v>1.2722500810058435E-4</v>
      </c>
      <c r="J434" s="25">
        <f>INDEX('Default Prob'!$C$3:$C$13, _xlfn.IFNA(MATCH(F434, 'Default Prob'!$B$3:$B$13, 1), 1))</f>
        <v>1.9099999999999999E-2</v>
      </c>
      <c r="K434" s="26">
        <f t="shared" si="81"/>
        <v>0.96964922764162786</v>
      </c>
      <c r="L434" s="27">
        <f t="shared" ca="1" si="82"/>
        <v>0</v>
      </c>
      <c r="M434" s="27">
        <f t="shared" ca="1" si="83"/>
        <v>2528.2345629077436</v>
      </c>
      <c r="N434" s="28">
        <f t="shared" ca="1" si="84"/>
        <v>0.31189219529909867</v>
      </c>
      <c r="O434" s="29">
        <f t="shared" ca="1" si="85"/>
        <v>600000</v>
      </c>
      <c r="P434" s="30">
        <f t="shared" ca="1" si="86"/>
        <v>74.018178504858881</v>
      </c>
    </row>
    <row r="435" spans="1:16" x14ac:dyDescent="0.25">
      <c r="A435" s="3">
        <f t="shared" si="87"/>
        <v>46721</v>
      </c>
      <c r="B435" s="21">
        <f t="shared" si="78"/>
        <v>36860</v>
      </c>
      <c r="C435" s="21">
        <f t="shared" si="79"/>
        <v>36880</v>
      </c>
      <c r="D435" s="1">
        <f t="shared" si="88"/>
        <v>0</v>
      </c>
      <c r="E435" s="3">
        <f t="array" ref="E435">INDEX($A$9:A434, MAX(IF($D$9:D434=1, ROW(D$9:$D434)-ROW($D$9)+1, 0)))</f>
        <v>46650</v>
      </c>
      <c r="F435" s="23">
        <f t="shared" si="80"/>
        <v>1.6317590691307324</v>
      </c>
      <c r="G435" s="5">
        <f>INDEX('Default Prob'!$P$5:$P$14,MIN(1+_xlfn.IFNA(MATCH(F435,'Default Prob'!$F$5:$F$14,1),0),COUNT('Default Prob'!$P$5:$P$14)))</f>
        <v>1.6062593678540758E-2</v>
      </c>
      <c r="H435" s="5">
        <f t="shared" si="89"/>
        <v>0.96422421925798618</v>
      </c>
      <c r="I435" s="24">
        <f t="shared" si="90"/>
        <v>4.2404606188650718E-5</v>
      </c>
      <c r="J435" s="25">
        <f>INDEX('Default Prob'!$C$3:$C$13, _xlfn.IFNA(MATCH(F435, 'Default Prob'!$B$3:$B$13, 1), 1))</f>
        <v>1.9099999999999999E-2</v>
      </c>
      <c r="K435" s="26">
        <f t="shared" si="81"/>
        <v>0.96959900128545606</v>
      </c>
      <c r="L435" s="27">
        <f t="shared" ca="1" si="82"/>
        <v>0</v>
      </c>
      <c r="M435" s="27">
        <f t="shared" ca="1" si="83"/>
        <v>2564.3521995207116</v>
      </c>
      <c r="N435" s="28">
        <f t="shared" ca="1" si="84"/>
        <v>0.10543453005656168</v>
      </c>
      <c r="O435" s="29">
        <f t="shared" ca="1" si="85"/>
        <v>600000</v>
      </c>
      <c r="P435" s="30">
        <f t="shared" ca="1" si="86"/>
        <v>24.669278286251284</v>
      </c>
    </row>
    <row r="436" spans="1:16" x14ac:dyDescent="0.25">
      <c r="A436" s="3">
        <f t="shared" si="87"/>
        <v>46722</v>
      </c>
      <c r="B436" s="21">
        <f t="shared" si="78"/>
        <v>36861</v>
      </c>
      <c r="C436" s="21">
        <f t="shared" si="79"/>
        <v>36880</v>
      </c>
      <c r="D436" s="1">
        <f t="shared" si="88"/>
        <v>0</v>
      </c>
      <c r="E436" s="3">
        <f t="array" ref="E436">INDEX($A$9:A435, MAX(IF($D$9:D435=1, ROW(D$9:$D435)-ROW($D$9)+1, 0)))</f>
        <v>46650</v>
      </c>
      <c r="F436" s="23">
        <f t="shared" si="80"/>
        <v>1.6344969199178645</v>
      </c>
      <c r="G436" s="5">
        <f>INDEX('Default Prob'!$P$5:$P$14,MIN(1+_xlfn.IFNA(MATCH(F436,'Default Prob'!$F$5:$F$14,1),0),COUNT('Default Prob'!$P$5:$P$14)))</f>
        <v>1.6062593678540758E-2</v>
      </c>
      <c r="H436" s="5">
        <f t="shared" si="89"/>
        <v>0.96418181651658319</v>
      </c>
      <c r="I436" s="24">
        <f t="shared" si="90"/>
        <v>4.2402741402991495E-5</v>
      </c>
      <c r="J436" s="25">
        <f>INDEX('Default Prob'!$C$3:$C$13, _xlfn.IFNA(MATCH(F436, 'Default Prob'!$B$3:$B$13, 1), 1))</f>
        <v>1.9099999999999999E-2</v>
      </c>
      <c r="K436" s="26">
        <f t="shared" si="81"/>
        <v>0.96954877753093327</v>
      </c>
      <c r="L436" s="27">
        <f t="shared" ca="1" si="82"/>
        <v>0</v>
      </c>
      <c r="M436" s="27">
        <f t="shared" ca="1" si="83"/>
        <v>2600.4698361336791</v>
      </c>
      <c r="N436" s="28">
        <f t="shared" ca="1" si="84"/>
        <v>0.10690928351766817</v>
      </c>
      <c r="O436" s="29">
        <f t="shared" ca="1" si="85"/>
        <v>600000</v>
      </c>
      <c r="P436" s="30">
        <f t="shared" ca="1" si="86"/>
        <v>24.666915654738418</v>
      </c>
    </row>
    <row r="437" spans="1:16" x14ac:dyDescent="0.25">
      <c r="A437" s="3">
        <f t="shared" si="87"/>
        <v>46723</v>
      </c>
      <c r="B437" s="21">
        <f t="shared" si="78"/>
        <v>36862</v>
      </c>
      <c r="C437" s="21">
        <f t="shared" si="79"/>
        <v>36880</v>
      </c>
      <c r="D437" s="1">
        <f t="shared" si="88"/>
        <v>0</v>
      </c>
      <c r="E437" s="3">
        <f t="array" ref="E437">INDEX($A$9:A436, MAX(IF($D$9:D436=1, ROW(D$9:$D436)-ROW($D$9)+1, 0)))</f>
        <v>46650</v>
      </c>
      <c r="F437" s="23">
        <f t="shared" si="80"/>
        <v>1.6372347707049966</v>
      </c>
      <c r="G437" s="5">
        <f>INDEX('Default Prob'!$P$5:$P$14,MIN(1+_xlfn.IFNA(MATCH(F437,'Default Prob'!$F$5:$F$14,1),0),COUNT('Default Prob'!$P$5:$P$14)))</f>
        <v>1.6062593678540758E-2</v>
      </c>
      <c r="H437" s="5">
        <f t="shared" si="89"/>
        <v>0.96413941563988392</v>
      </c>
      <c r="I437" s="24">
        <f t="shared" si="90"/>
        <v>4.2400876699266732E-5</v>
      </c>
      <c r="J437" s="25">
        <f>INDEX('Default Prob'!$C$3:$C$13, _xlfn.IFNA(MATCH(F437, 'Default Prob'!$B$3:$B$13, 1), 1))</f>
        <v>1.9099999999999999E-2</v>
      </c>
      <c r="K437" s="26">
        <f t="shared" si="81"/>
        <v>0.96949855637792437</v>
      </c>
      <c r="L437" s="27">
        <f t="shared" ca="1" si="82"/>
        <v>0</v>
      </c>
      <c r="M437" s="27">
        <f t="shared" ca="1" si="83"/>
        <v>2636.5874727466467</v>
      </c>
      <c r="N437" s="28">
        <f t="shared" ca="1" si="84"/>
        <v>0.10838375353069138</v>
      </c>
      <c r="O437" s="29">
        <f t="shared" ca="1" si="85"/>
        <v>600000</v>
      </c>
      <c r="P437" s="30">
        <f t="shared" ca="1" si="86"/>
        <v>24.664553249458482</v>
      </c>
    </row>
    <row r="438" spans="1:16" x14ac:dyDescent="0.25">
      <c r="A438" s="3">
        <f t="shared" si="87"/>
        <v>46724</v>
      </c>
      <c r="B438" s="21">
        <f t="shared" si="78"/>
        <v>36863</v>
      </c>
      <c r="C438" s="21">
        <f t="shared" si="79"/>
        <v>36880</v>
      </c>
      <c r="D438" s="1">
        <f t="shared" si="88"/>
        <v>0</v>
      </c>
      <c r="E438" s="3">
        <f t="array" ref="E438">INDEX($A$9:A437, MAX(IF($D$9:D437=1, ROW(D$9:$D437)-ROW($D$9)+1, 0)))</f>
        <v>46650</v>
      </c>
      <c r="F438" s="23">
        <f t="shared" si="80"/>
        <v>1.6399726214921286</v>
      </c>
      <c r="G438" s="5">
        <f>INDEX('Default Prob'!$P$5:$P$14,MIN(1+_xlfn.IFNA(MATCH(F438,'Default Prob'!$F$5:$F$14,1),0),COUNT('Default Prob'!$P$5:$P$14)))</f>
        <v>1.6062593678540758E-2</v>
      </c>
      <c r="H438" s="5">
        <f t="shared" si="89"/>
        <v>0.96409701662780634</v>
      </c>
      <c r="I438" s="24">
        <f t="shared" si="90"/>
        <v>4.239901207758745E-5</v>
      </c>
      <c r="J438" s="25">
        <f>INDEX('Default Prob'!$C$3:$C$13, _xlfn.IFNA(MATCH(F438, 'Default Prob'!$B$3:$B$13, 1), 1))</f>
        <v>1.9099999999999999E-2</v>
      </c>
      <c r="K438" s="26">
        <f t="shared" si="81"/>
        <v>0.96944833782629503</v>
      </c>
      <c r="L438" s="27">
        <f t="shared" ca="1" si="82"/>
        <v>0</v>
      </c>
      <c r="M438" s="27">
        <f t="shared" ca="1" si="83"/>
        <v>2672.7051093596151</v>
      </c>
      <c r="N438" s="28">
        <f t="shared" ca="1" si="84"/>
        <v>0.10985794013668691</v>
      </c>
      <c r="O438" s="29">
        <f t="shared" ca="1" si="85"/>
        <v>600000</v>
      </c>
      <c r="P438" s="30">
        <f t="shared" ca="1" si="86"/>
        <v>24.662191070456497</v>
      </c>
    </row>
    <row r="439" spans="1:16" x14ac:dyDescent="0.25">
      <c r="A439" s="3">
        <f t="shared" si="87"/>
        <v>46727</v>
      </c>
      <c r="B439" s="21">
        <f t="shared" si="78"/>
        <v>36866</v>
      </c>
      <c r="C439" s="21">
        <f t="shared" si="79"/>
        <v>36880</v>
      </c>
      <c r="D439" s="1">
        <f t="shared" si="88"/>
        <v>0</v>
      </c>
      <c r="E439" s="3">
        <f t="array" ref="E439">INDEX($A$9:A438, MAX(IF($D$9:D438=1, ROW(D$9:$D438)-ROW($D$9)+1, 0)))</f>
        <v>46650</v>
      </c>
      <c r="F439" s="23">
        <f t="shared" si="80"/>
        <v>1.6481861738535251</v>
      </c>
      <c r="G439" s="5">
        <f>INDEX('Default Prob'!$P$5:$P$14,MIN(1+_xlfn.IFNA(MATCH(F439,'Default Prob'!$F$5:$F$14,1),0),COUNT('Default Prob'!$P$5:$P$14)))</f>
        <v>1.6062593678540758E-2</v>
      </c>
      <c r="H439" s="5">
        <f t="shared" si="89"/>
        <v>0.96396983077848386</v>
      </c>
      <c r="I439" s="24">
        <f t="shared" si="90"/>
        <v>1.2718584932247534E-4</v>
      </c>
      <c r="J439" s="25">
        <f>INDEX('Default Prob'!$C$3:$C$13, _xlfn.IFNA(MATCH(F439, 'Default Prob'!$B$3:$B$13, 1), 1))</f>
        <v>1.9099999999999999E-2</v>
      </c>
      <c r="K439" s="26">
        <f t="shared" si="81"/>
        <v>0.96929769777833574</v>
      </c>
      <c r="L439" s="27">
        <f t="shared" ca="1" si="82"/>
        <v>0</v>
      </c>
      <c r="M439" s="27">
        <f t="shared" ca="1" si="83"/>
        <v>2781.0580191985182</v>
      </c>
      <c r="N439" s="28">
        <f t="shared" ca="1" si="84"/>
        <v>0.34285147722126053</v>
      </c>
      <c r="O439" s="29">
        <f t="shared" ca="1" si="85"/>
        <v>600000</v>
      </c>
      <c r="P439" s="30">
        <f t="shared" ca="1" si="86"/>
        <v>73.968570562954582</v>
      </c>
    </row>
    <row r="440" spans="1:16" x14ac:dyDescent="0.25">
      <c r="A440" s="3">
        <f t="shared" si="87"/>
        <v>46728</v>
      </c>
      <c r="B440" s="21">
        <f t="shared" si="78"/>
        <v>36867</v>
      </c>
      <c r="C440" s="21">
        <f t="shared" si="79"/>
        <v>36880</v>
      </c>
      <c r="D440" s="1">
        <f t="shared" si="88"/>
        <v>0</v>
      </c>
      <c r="E440" s="3">
        <f t="array" ref="E440">INDEX($A$9:A439, MAX(IF($D$9:D439=1, ROW(D$9:$D439)-ROW($D$9)+1, 0)))</f>
        <v>46650</v>
      </c>
      <c r="F440" s="23">
        <f t="shared" si="80"/>
        <v>1.6509240246406571</v>
      </c>
      <c r="G440" s="5">
        <f>INDEX('Default Prob'!$P$5:$P$14,MIN(1+_xlfn.IFNA(MATCH(F440,'Default Prob'!$F$5:$F$14,1),0),COUNT('Default Prob'!$P$5:$P$14)))</f>
        <v>1.6062593678540758E-2</v>
      </c>
      <c r="H440" s="5">
        <f t="shared" si="89"/>
        <v>0.9639274392240732</v>
      </c>
      <c r="I440" s="24">
        <f t="shared" si="90"/>
        <v>4.2391554410659005E-5</v>
      </c>
      <c r="J440" s="25">
        <f>INDEX('Default Prob'!$C$3:$C$13, _xlfn.IFNA(MATCH(F440, 'Default Prob'!$B$3:$B$13, 1), 1))</f>
        <v>1.9099999999999999E-2</v>
      </c>
      <c r="K440" s="26">
        <f t="shared" si="81"/>
        <v>0.96924748963087648</v>
      </c>
      <c r="L440" s="27">
        <f t="shared" ca="1" si="82"/>
        <v>0</v>
      </c>
      <c r="M440" s="27">
        <f t="shared" ca="1" si="83"/>
        <v>2817.1756558114857</v>
      </c>
      <c r="N440" s="28">
        <f t="shared" ca="1" si="84"/>
        <v>0.11575185330399711</v>
      </c>
      <c r="O440" s="29">
        <f t="shared" ca="1" si="85"/>
        <v>600000</v>
      </c>
      <c r="P440" s="30">
        <f t="shared" ca="1" si="86"/>
        <v>24.652744616449169</v>
      </c>
    </row>
    <row r="441" spans="1:16" x14ac:dyDescent="0.25">
      <c r="A441" s="3">
        <f t="shared" si="87"/>
        <v>46729</v>
      </c>
      <c r="B441" s="21">
        <f t="shared" si="78"/>
        <v>36868</v>
      </c>
      <c r="C441" s="21">
        <f t="shared" si="79"/>
        <v>36880</v>
      </c>
      <c r="D441" s="1">
        <f t="shared" si="88"/>
        <v>0</v>
      </c>
      <c r="E441" s="3">
        <f t="array" ref="E441">INDEX($A$9:A440, MAX(IF($D$9:D440=1, ROW(D$9:$D440)-ROW($D$9)+1, 0)))</f>
        <v>46650</v>
      </c>
      <c r="F441" s="23">
        <f t="shared" si="80"/>
        <v>1.6536618754277892</v>
      </c>
      <c r="G441" s="5">
        <f>INDEX('Default Prob'!$P$5:$P$14,MIN(1+_xlfn.IFNA(MATCH(F441,'Default Prob'!$F$5:$F$14,1),0),COUNT('Default Prob'!$P$5:$P$14)))</f>
        <v>1.6062593678540758E-2</v>
      </c>
      <c r="H441" s="5">
        <f t="shared" si="89"/>
        <v>0.96388504953387422</v>
      </c>
      <c r="I441" s="24">
        <f t="shared" si="90"/>
        <v>4.2389690198985086E-5</v>
      </c>
      <c r="J441" s="25">
        <f>INDEX('Default Prob'!$C$3:$C$13, _xlfn.IFNA(MATCH(F441, 'Default Prob'!$B$3:$B$13, 1), 1))</f>
        <v>1.9099999999999999E-2</v>
      </c>
      <c r="K441" s="26">
        <f t="shared" si="81"/>
        <v>0.96919728408412298</v>
      </c>
      <c r="L441" s="27">
        <f t="shared" ca="1" si="82"/>
        <v>0</v>
      </c>
      <c r="M441" s="27">
        <f t="shared" ca="1" si="83"/>
        <v>2853.2932924244533</v>
      </c>
      <c r="N441" s="28">
        <f t="shared" ca="1" si="84"/>
        <v>0.11722462348574379</v>
      </c>
      <c r="O441" s="29">
        <f t="shared" ca="1" si="85"/>
        <v>600000</v>
      </c>
      <c r="P441" s="30">
        <f t="shared" ca="1" si="86"/>
        <v>24.650383568414227</v>
      </c>
    </row>
    <row r="442" spans="1:16" x14ac:dyDescent="0.25">
      <c r="A442" s="3">
        <f t="shared" si="87"/>
        <v>46730</v>
      </c>
      <c r="B442" s="21">
        <f t="shared" si="78"/>
        <v>36869</v>
      </c>
      <c r="C442" s="21">
        <f t="shared" si="79"/>
        <v>36880</v>
      </c>
      <c r="D442" s="1">
        <f t="shared" si="88"/>
        <v>0</v>
      </c>
      <c r="E442" s="3">
        <f t="array" ref="E442">INDEX($A$9:A441, MAX(IF($D$9:D441=1, ROW(D$9:$D441)-ROW($D$9)+1, 0)))</f>
        <v>46650</v>
      </c>
      <c r="F442" s="23">
        <f t="shared" si="80"/>
        <v>1.6563997262149213</v>
      </c>
      <c r="G442" s="5">
        <f>INDEX('Default Prob'!$P$5:$P$14,MIN(1+_xlfn.IFNA(MATCH(F442,'Default Prob'!$F$5:$F$14,1),0),COUNT('Default Prob'!$P$5:$P$14)))</f>
        <v>1.6062593678540758E-2</v>
      </c>
      <c r="H442" s="5">
        <f t="shared" si="89"/>
        <v>0.96384266170780508</v>
      </c>
      <c r="I442" s="24">
        <f t="shared" si="90"/>
        <v>4.2387826069134604E-5</v>
      </c>
      <c r="J442" s="25">
        <f>INDEX('Default Prob'!$C$3:$C$13, _xlfn.IFNA(MATCH(F442, 'Default Prob'!$B$3:$B$13, 1), 1))</f>
        <v>1.9099999999999999E-2</v>
      </c>
      <c r="K442" s="26">
        <f t="shared" si="81"/>
        <v>0.96914708113794046</v>
      </c>
      <c r="L442" s="27">
        <f t="shared" ca="1" si="82"/>
        <v>0</v>
      </c>
      <c r="M442" s="27">
        <f t="shared" ca="1" si="83"/>
        <v>2889.4109290374213</v>
      </c>
      <c r="N442" s="28">
        <f t="shared" ca="1" si="84"/>
        <v>0.1186971105044034</v>
      </c>
      <c r="O442" s="29">
        <f t="shared" ca="1" si="85"/>
        <v>600000</v>
      </c>
      <c r="P442" s="30">
        <f t="shared" ca="1" si="86"/>
        <v>24.6480227464107</v>
      </c>
    </row>
    <row r="443" spans="1:16" x14ac:dyDescent="0.25">
      <c r="A443" s="3">
        <f t="shared" si="87"/>
        <v>46731</v>
      </c>
      <c r="B443" s="21">
        <f t="shared" si="78"/>
        <v>36870</v>
      </c>
      <c r="C443" s="21">
        <f t="shared" si="79"/>
        <v>36880</v>
      </c>
      <c r="D443" s="1">
        <f t="shared" si="88"/>
        <v>0</v>
      </c>
      <c r="E443" s="3">
        <f t="array" ref="E443">INDEX($A$9:A442, MAX(IF($D$9:D442=1, ROW(D$9:$D442)-ROW($D$9)+1, 0)))</f>
        <v>46650</v>
      </c>
      <c r="F443" s="23">
        <f t="shared" si="80"/>
        <v>1.6591375770020533</v>
      </c>
      <c r="G443" s="5">
        <f>INDEX('Default Prob'!$P$5:$P$14,MIN(1+_xlfn.IFNA(MATCH(F443,'Default Prob'!$F$5:$F$14,1),0),COUNT('Default Prob'!$P$5:$P$14)))</f>
        <v>1.6062593678540758E-2</v>
      </c>
      <c r="H443" s="5">
        <f t="shared" si="89"/>
        <v>0.96380027574578375</v>
      </c>
      <c r="I443" s="24">
        <f t="shared" si="90"/>
        <v>4.2385962021329604E-5</v>
      </c>
      <c r="J443" s="25">
        <f>INDEX('Default Prob'!$C$3:$C$13, _xlfn.IFNA(MATCH(F443, 'Default Prob'!$B$3:$B$13, 1), 1))</f>
        <v>1.9099999999999999E-2</v>
      </c>
      <c r="K443" s="26">
        <f t="shared" si="81"/>
        <v>0.96909688079219436</v>
      </c>
      <c r="L443" s="27">
        <f t="shared" ca="1" si="82"/>
        <v>0</v>
      </c>
      <c r="M443" s="27">
        <f t="shared" ca="1" si="83"/>
        <v>2925.5285656503888</v>
      </c>
      <c r="N443" s="28">
        <f t="shared" ca="1" si="84"/>
        <v>0.12016931440132872</v>
      </c>
      <c r="O443" s="29">
        <f t="shared" ca="1" si="85"/>
        <v>600000</v>
      </c>
      <c r="P443" s="30">
        <f t="shared" ca="1" si="86"/>
        <v>24.645662150548159</v>
      </c>
    </row>
    <row r="444" spans="1:16" x14ac:dyDescent="0.25">
      <c r="A444" s="3">
        <f t="shared" si="87"/>
        <v>46734</v>
      </c>
      <c r="B444" s="21">
        <f t="shared" si="78"/>
        <v>36873</v>
      </c>
      <c r="C444" s="21">
        <f t="shared" si="79"/>
        <v>36880</v>
      </c>
      <c r="D444" s="1">
        <f t="shared" si="88"/>
        <v>0</v>
      </c>
      <c r="E444" s="3">
        <f t="array" ref="E444">INDEX($A$9:A443, MAX(IF($D$9:D443=1, ROW(D$9:$D443)-ROW($D$9)+1, 0)))</f>
        <v>46650</v>
      </c>
      <c r="F444" s="23">
        <f t="shared" si="80"/>
        <v>1.6673511293634498</v>
      </c>
      <c r="G444" s="5">
        <f>INDEX('Default Prob'!$P$5:$P$14,MIN(1+_xlfn.IFNA(MATCH(F444,'Default Prob'!$F$5:$F$14,1),0),COUNT('Default Prob'!$P$5:$P$14)))</f>
        <v>1.6062593678540758E-2</v>
      </c>
      <c r="H444" s="5">
        <f t="shared" si="89"/>
        <v>0.96367312904318658</v>
      </c>
      <c r="I444" s="24">
        <f t="shared" si="90"/>
        <v>1.2714670259716954E-4</v>
      </c>
      <c r="J444" s="25">
        <f>INDEX('Default Prob'!$C$3:$C$13, _xlfn.IFNA(MATCH(F444, 'Default Prob'!$B$3:$B$13, 1), 1))</f>
        <v>1.9099999999999999E-2</v>
      </c>
      <c r="K444" s="26">
        <f t="shared" si="81"/>
        <v>0.96894629535622667</v>
      </c>
      <c r="L444" s="27">
        <f t="shared" ca="1" si="82"/>
        <v>0</v>
      </c>
      <c r="M444" s="27">
        <f t="shared" ca="1" si="83"/>
        <v>3033.8814754892928</v>
      </c>
      <c r="N444" s="28">
        <f t="shared" ca="1" si="84"/>
        <v>0.37376912042274157</v>
      </c>
      <c r="O444" s="29">
        <f t="shared" ca="1" si="85"/>
        <v>600000</v>
      </c>
      <c r="P444" s="30">
        <f t="shared" ca="1" si="86"/>
        <v>73.918995868972402</v>
      </c>
    </row>
    <row r="445" spans="1:16" x14ac:dyDescent="0.25">
      <c r="A445" s="3">
        <f t="shared" si="87"/>
        <v>46735</v>
      </c>
      <c r="B445" s="21">
        <f t="shared" si="78"/>
        <v>36874</v>
      </c>
      <c r="C445" s="21">
        <f t="shared" si="79"/>
        <v>36880</v>
      </c>
      <c r="D445" s="1">
        <f t="shared" si="88"/>
        <v>0</v>
      </c>
      <c r="E445" s="3">
        <f t="array" ref="E445">INDEX($A$9:A444, MAX(IF($D$9:D444=1, ROW(D$9:$D444)-ROW($D$9)+1, 0)))</f>
        <v>46650</v>
      </c>
      <c r="F445" s="23">
        <f t="shared" si="80"/>
        <v>1.6700889801505818</v>
      </c>
      <c r="G445" s="5">
        <f>INDEX('Default Prob'!$P$5:$P$14,MIN(1+_xlfn.IFNA(MATCH(F445,'Default Prob'!$F$5:$F$14,1),0),COUNT('Default Prob'!$P$5:$P$14)))</f>
        <v>1.6062593678540758E-2</v>
      </c>
      <c r="H445" s="5">
        <f t="shared" si="89"/>
        <v>0.96363075053653668</v>
      </c>
      <c r="I445" s="24">
        <f t="shared" si="90"/>
        <v>4.2378506649898284E-5</v>
      </c>
      <c r="J445" s="25">
        <f>INDEX('Default Prob'!$C$3:$C$13, _xlfn.IFNA(MATCH(F445, 'Default Prob'!$B$3:$B$13, 1), 1))</f>
        <v>1.9099999999999999E-2</v>
      </c>
      <c r="K445" s="26">
        <f t="shared" si="81"/>
        <v>0.96889610541087867</v>
      </c>
      <c r="L445" s="27">
        <f t="shared" ca="1" si="82"/>
        <v>0</v>
      </c>
      <c r="M445" s="27">
        <f t="shared" ca="1" si="83"/>
        <v>3069.9991121022604</v>
      </c>
      <c r="N445" s="28">
        <f t="shared" ca="1" si="84"/>
        <v>0.12605529958447176</v>
      </c>
      <c r="O445" s="29">
        <f t="shared" ca="1" si="85"/>
        <v>600000</v>
      </c>
      <c r="P445" s="30">
        <f t="shared" ca="1" si="86"/>
        <v>24.636222027729282</v>
      </c>
    </row>
    <row r="446" spans="1:16" x14ac:dyDescent="0.25">
      <c r="A446" s="3">
        <f t="shared" si="87"/>
        <v>46736</v>
      </c>
      <c r="B446" s="21">
        <f t="shared" si="78"/>
        <v>36875</v>
      </c>
      <c r="C446" s="21">
        <f t="shared" si="79"/>
        <v>36880</v>
      </c>
      <c r="D446" s="1">
        <f t="shared" si="88"/>
        <v>0</v>
      </c>
      <c r="E446" s="3">
        <f t="array" ref="E446">INDEX($A$9:A445, MAX(IF($D$9:D445=1, ROW(D$9:$D445)-ROW($D$9)+1, 0)))</f>
        <v>46650</v>
      </c>
      <c r="F446" s="23">
        <f t="shared" si="80"/>
        <v>1.6728268309377139</v>
      </c>
      <c r="G446" s="5">
        <f>INDEX('Default Prob'!$P$5:$P$14,MIN(1+_xlfn.IFNA(MATCH(F446,'Default Prob'!$F$5:$F$14,1),0),COUNT('Default Prob'!$P$5:$P$14)))</f>
        <v>1.6062593678540758E-2</v>
      </c>
      <c r="H446" s="5">
        <f t="shared" si="89"/>
        <v>0.9635883738935247</v>
      </c>
      <c r="I446" s="24">
        <f t="shared" si="90"/>
        <v>4.2376643011987625E-5</v>
      </c>
      <c r="J446" s="25">
        <f>INDEX('Default Prob'!$C$3:$C$13, _xlfn.IFNA(MATCH(F446, 'Default Prob'!$B$3:$B$13, 1), 1))</f>
        <v>1.9099999999999999E-2</v>
      </c>
      <c r="K446" s="26">
        <f t="shared" si="81"/>
        <v>0.96884591806529363</v>
      </c>
      <c r="L446" s="27">
        <f t="shared" ca="1" si="82"/>
        <v>0</v>
      </c>
      <c r="M446" s="27">
        <f t="shared" ca="1" si="83"/>
        <v>3106.1167487152284</v>
      </c>
      <c r="N446" s="28">
        <f t="shared" ca="1" si="84"/>
        <v>0.12752608848273342</v>
      </c>
      <c r="O446" s="29">
        <f t="shared" ca="1" si="85"/>
        <v>600000</v>
      </c>
      <c r="P446" s="30">
        <f t="shared" ca="1" si="86"/>
        <v>24.633862562084616</v>
      </c>
    </row>
    <row r="447" spans="1:16" x14ac:dyDescent="0.25">
      <c r="A447" s="3">
        <f t="shared" si="87"/>
        <v>46737</v>
      </c>
      <c r="B447" s="21">
        <f t="shared" si="78"/>
        <v>36876</v>
      </c>
      <c r="C447" s="21">
        <f t="shared" si="79"/>
        <v>36880</v>
      </c>
      <c r="D447" s="1">
        <f t="shared" si="88"/>
        <v>0</v>
      </c>
      <c r="E447" s="3">
        <f t="array" ref="E447">INDEX($A$9:A446, MAX(IF($D$9:D446=1, ROW(D$9:$D446)-ROW($D$9)+1, 0)))</f>
        <v>46650</v>
      </c>
      <c r="F447" s="23">
        <f t="shared" si="80"/>
        <v>1.675564681724846</v>
      </c>
      <c r="G447" s="5">
        <f>INDEX('Default Prob'!$P$5:$P$14,MIN(1+_xlfn.IFNA(MATCH(F447,'Default Prob'!$F$5:$F$14,1),0),COUNT('Default Prob'!$P$5:$P$14)))</f>
        <v>1.6062593678540758E-2</v>
      </c>
      <c r="H447" s="5">
        <f t="shared" si="89"/>
        <v>0.9635459991140688</v>
      </c>
      <c r="I447" s="24">
        <f t="shared" si="90"/>
        <v>4.2374779455900402E-5</v>
      </c>
      <c r="J447" s="25">
        <f>INDEX('Default Prob'!$C$3:$C$13, _xlfn.IFNA(MATCH(F447, 'Default Prob'!$B$3:$B$13, 1), 1))</f>
        <v>1.9099999999999999E-2</v>
      </c>
      <c r="K447" s="26">
        <f t="shared" si="81"/>
        <v>0.96879573331933688</v>
      </c>
      <c r="L447" s="27">
        <f t="shared" ca="1" si="82"/>
        <v>0</v>
      </c>
      <c r="M447" s="27">
        <f t="shared" ca="1" si="83"/>
        <v>3142.2343853281959</v>
      </c>
      <c r="N447" s="28">
        <f t="shared" ca="1" si="84"/>
        <v>0.12899659450294204</v>
      </c>
      <c r="O447" s="29">
        <f t="shared" ca="1" si="85"/>
        <v>600000</v>
      </c>
      <c r="P447" s="30">
        <f t="shared" ca="1" si="86"/>
        <v>24.63150332233452</v>
      </c>
    </row>
    <row r="448" spans="1:16" x14ac:dyDescent="0.25">
      <c r="A448" s="3">
        <f t="shared" si="87"/>
        <v>46738</v>
      </c>
      <c r="B448" s="21">
        <f t="shared" si="78"/>
        <v>36877</v>
      </c>
      <c r="C448" s="21">
        <f t="shared" si="79"/>
        <v>36880</v>
      </c>
      <c r="D448" s="1">
        <f t="shared" si="88"/>
        <v>0</v>
      </c>
      <c r="E448" s="3">
        <f t="array" ref="E448">INDEX($A$9:A447, MAX(IF($D$9:D447=1, ROW(D$9:$D447)-ROW($D$9)+1, 0)))</f>
        <v>46650</v>
      </c>
      <c r="F448" s="23">
        <f t="shared" si="80"/>
        <v>1.678302532511978</v>
      </c>
      <c r="G448" s="5">
        <f>INDEX('Default Prob'!$P$5:$P$14,MIN(1+_xlfn.IFNA(MATCH(F448,'Default Prob'!$F$5:$F$14,1),0),COUNT('Default Prob'!$P$5:$P$14)))</f>
        <v>1.6062593678540758E-2</v>
      </c>
      <c r="H448" s="5">
        <f t="shared" si="89"/>
        <v>0.96350362619808694</v>
      </c>
      <c r="I448" s="24">
        <f t="shared" si="90"/>
        <v>4.2372915981858661E-5</v>
      </c>
      <c r="J448" s="25">
        <f>INDEX('Default Prob'!$C$3:$C$13, _xlfn.IFNA(MATCH(F448, 'Default Prob'!$B$3:$B$13, 1), 1))</f>
        <v>1.9099999999999999E-2</v>
      </c>
      <c r="K448" s="26">
        <f t="shared" si="81"/>
        <v>0.96874555117287364</v>
      </c>
      <c r="L448" s="27">
        <f t="shared" ca="1" si="82"/>
        <v>0</v>
      </c>
      <c r="M448" s="27">
        <f t="shared" ca="1" si="83"/>
        <v>3178.3520219411635</v>
      </c>
      <c r="N448" s="28">
        <f t="shared" ca="1" si="84"/>
        <v>0.1304668176864717</v>
      </c>
      <c r="O448" s="29">
        <f t="shared" ca="1" si="85"/>
        <v>600000</v>
      </c>
      <c r="P448" s="30">
        <f t="shared" ca="1" si="86"/>
        <v>24.629144308588522</v>
      </c>
    </row>
    <row r="449" spans="1:16" x14ac:dyDescent="0.25">
      <c r="A449" s="3">
        <f t="shared" si="87"/>
        <v>46741</v>
      </c>
      <c r="B449" s="21">
        <f t="shared" si="78"/>
        <v>36880</v>
      </c>
      <c r="C449" s="21">
        <f t="shared" si="79"/>
        <v>36880</v>
      </c>
      <c r="D449" s="1">
        <f t="shared" si="88"/>
        <v>1</v>
      </c>
      <c r="E449" s="3">
        <f t="array" ref="E449">INDEX($A$9:A448, MAX(IF($D$9:D448=1, ROW(D$9:$D448)-ROW($D$9)+1, 0)))</f>
        <v>46650</v>
      </c>
      <c r="F449" s="23">
        <f t="shared" si="80"/>
        <v>1.6865160848733745</v>
      </c>
      <c r="G449" s="5">
        <f>INDEX('Default Prob'!$P$5:$P$14,MIN(1+_xlfn.IFNA(MATCH(F449,'Default Prob'!$F$5:$F$14,1),0),COUNT('Default Prob'!$P$5:$P$14)))</f>
        <v>1.6062593678540758E-2</v>
      </c>
      <c r="H449" s="5">
        <f t="shared" si="89"/>
        <v>0.96337651863016616</v>
      </c>
      <c r="I449" s="24">
        <f t="shared" si="90"/>
        <v>1.2710756792078115E-4</v>
      </c>
      <c r="J449" s="25">
        <f>INDEX('Default Prob'!$C$3:$C$13, _xlfn.IFNA(MATCH(F449, 'Default Prob'!$B$3:$B$13, 1), 1))</f>
        <v>1.9099999999999999E-2</v>
      </c>
      <c r="K449" s="26">
        <f t="shared" si="81"/>
        <v>0.96859502032909894</v>
      </c>
      <c r="L449" s="27">
        <f t="shared" ca="1" si="82"/>
        <v>3286.7049317800665</v>
      </c>
      <c r="M449" s="27">
        <f t="shared" ca="1" si="83"/>
        <v>3286.7049317800665</v>
      </c>
      <c r="N449" s="28">
        <f t="shared" ca="1" si="84"/>
        <v>3067.3003340614318</v>
      </c>
      <c r="O449" s="29">
        <f t="shared" ca="1" si="85"/>
        <v>600000</v>
      </c>
      <c r="P449" s="30">
        <f t="shared" ca="1" si="86"/>
        <v>73.869454400526806</v>
      </c>
    </row>
    <row r="450" spans="1:16" x14ac:dyDescent="0.25">
      <c r="A450" s="3">
        <f t="shared" si="87"/>
        <v>46742</v>
      </c>
      <c r="B450" s="21">
        <f t="shared" si="78"/>
        <v>36881</v>
      </c>
      <c r="C450" s="21">
        <f t="shared" si="79"/>
        <v>36605</v>
      </c>
      <c r="D450" s="1">
        <f t="shared" si="88"/>
        <v>0</v>
      </c>
      <c r="E450" s="3">
        <f t="array" ref="E450">INDEX($A$9:A449, MAX(IF($D$9:D449=1, ROW(D$9:$D449)-ROW($D$9)+1, 0)))</f>
        <v>46741</v>
      </c>
      <c r="F450" s="23">
        <f t="shared" si="80"/>
        <v>1.6892539356605065</v>
      </c>
      <c r="G450" s="5">
        <f>INDEX('Default Prob'!$P$5:$P$14,MIN(1+_xlfn.IFNA(MATCH(F450,'Default Prob'!$F$5:$F$14,1),0),COUNT('Default Prob'!$P$5:$P$14)))</f>
        <v>1.6062593678540758E-2</v>
      </c>
      <c r="H450" s="5">
        <f t="shared" si="89"/>
        <v>0.96333415316726101</v>
      </c>
      <c r="I450" s="24">
        <f t="shared" si="90"/>
        <v>4.2365462905147311E-5</v>
      </c>
      <c r="J450" s="25">
        <f>INDEX('Default Prob'!$C$3:$C$13, _xlfn.IFNA(MATCH(F450, 'Default Prob'!$B$3:$B$13, 1), 1))</f>
        <v>1.9099999999999999E-2</v>
      </c>
      <c r="K450" s="26">
        <f t="shared" si="81"/>
        <v>0.96854484857926348</v>
      </c>
      <c r="L450" s="27">
        <f t="shared" ca="1" si="82"/>
        <v>0</v>
      </c>
      <c r="M450" s="27">
        <f t="shared" ca="1" si="83"/>
        <v>36.117636612967765</v>
      </c>
      <c r="N450" s="28">
        <f t="shared" ca="1" si="84"/>
        <v>1.4820095963553567E-3</v>
      </c>
      <c r="O450" s="29">
        <f t="shared" ca="1" si="85"/>
        <v>600000</v>
      </c>
      <c r="P450" s="30">
        <f t="shared" ca="1" si="86"/>
        <v>24.619710512673784</v>
      </c>
    </row>
    <row r="451" spans="1:16" x14ac:dyDescent="0.25">
      <c r="A451" s="3">
        <f t="shared" si="87"/>
        <v>46743</v>
      </c>
      <c r="B451" s="21">
        <f t="shared" si="78"/>
        <v>36882</v>
      </c>
      <c r="C451" s="21">
        <f t="shared" si="79"/>
        <v>36605</v>
      </c>
      <c r="D451" s="1">
        <f t="shared" si="88"/>
        <v>0</v>
      </c>
      <c r="E451" s="3">
        <f t="array" ref="E451">INDEX($A$9:A450, MAX(IF($D$9:D450=1, ROW(D$9:$D450)-ROW($D$9)+1, 0)))</f>
        <v>46741</v>
      </c>
      <c r="F451" s="23">
        <f t="shared" si="80"/>
        <v>1.6919917864476386</v>
      </c>
      <c r="G451" s="5">
        <f>INDEX('Default Prob'!$P$5:$P$14,MIN(1+_xlfn.IFNA(MATCH(F451,'Default Prob'!$F$5:$F$14,1),0),COUNT('Default Prob'!$P$5:$P$14)))</f>
        <v>1.6062593678540758E-2</v>
      </c>
      <c r="H451" s="5">
        <f t="shared" si="89"/>
        <v>0.96329178956742023</v>
      </c>
      <c r="I451" s="24">
        <f t="shared" si="90"/>
        <v>4.2363599840777866E-5</v>
      </c>
      <c r="J451" s="25">
        <f>INDEX('Default Prob'!$C$3:$C$13, _xlfn.IFNA(MATCH(F451, 'Default Prob'!$B$3:$B$13, 1), 1))</f>
        <v>1.9099999999999999E-2</v>
      </c>
      <c r="K451" s="26">
        <f t="shared" si="81"/>
        <v>0.96849467942824852</v>
      </c>
      <c r="L451" s="27">
        <f t="shared" ca="1" si="82"/>
        <v>0</v>
      </c>
      <c r="M451" s="27">
        <f t="shared" ca="1" si="83"/>
        <v>72.235273225935529</v>
      </c>
      <c r="N451" s="28">
        <f t="shared" ca="1" si="84"/>
        <v>2.9637353220113285E-3</v>
      </c>
      <c r="O451" s="29">
        <f t="shared" ca="1" si="85"/>
        <v>600000</v>
      </c>
      <c r="P451" s="30">
        <f t="shared" ca="1" si="86"/>
        <v>24.617352628332455</v>
      </c>
    </row>
    <row r="452" spans="1:16" x14ac:dyDescent="0.25">
      <c r="A452" s="3">
        <f t="shared" si="87"/>
        <v>46744</v>
      </c>
      <c r="B452" s="21">
        <f t="shared" si="78"/>
        <v>36883</v>
      </c>
      <c r="C452" s="21">
        <f t="shared" si="79"/>
        <v>36605</v>
      </c>
      <c r="D452" s="1">
        <f t="shared" si="88"/>
        <v>0</v>
      </c>
      <c r="E452" s="3">
        <f t="array" ref="E452">INDEX($A$9:A451, MAX(IF($D$9:D451=1, ROW(D$9:$D451)-ROW($D$9)+1, 0)))</f>
        <v>46741</v>
      </c>
      <c r="F452" s="23">
        <f t="shared" si="80"/>
        <v>1.6947296372347707</v>
      </c>
      <c r="G452" s="5">
        <f>INDEX('Default Prob'!$P$5:$P$14,MIN(1+_xlfn.IFNA(MATCH(F452,'Default Prob'!$F$5:$F$14,1),0),COUNT('Default Prob'!$P$5:$P$14)))</f>
        <v>1.6062593678540758E-2</v>
      </c>
      <c r="H452" s="5">
        <f t="shared" si="89"/>
        <v>0.96324942783056189</v>
      </c>
      <c r="I452" s="24">
        <f t="shared" si="90"/>
        <v>4.236173685834288E-5</v>
      </c>
      <c r="J452" s="25">
        <f>INDEX('Default Prob'!$C$3:$C$13, _xlfn.IFNA(MATCH(F452, 'Default Prob'!$B$3:$B$13, 1), 1))</f>
        <v>1.9099999999999999E-2</v>
      </c>
      <c r="K452" s="26">
        <f t="shared" si="81"/>
        <v>0.96844451287591937</v>
      </c>
      <c r="L452" s="27">
        <f t="shared" ca="1" si="82"/>
        <v>0</v>
      </c>
      <c r="M452" s="27">
        <f t="shared" ca="1" si="83"/>
        <v>108.35290983890332</v>
      </c>
      <c r="N452" s="28">
        <f t="shared" ca="1" si="84"/>
        <v>4.4451772177487589E-3</v>
      </c>
      <c r="O452" s="29">
        <f t="shared" ca="1" si="85"/>
        <v>600000</v>
      </c>
      <c r="P452" s="30">
        <f t="shared" ca="1" si="86"/>
        <v>24.614994969813448</v>
      </c>
    </row>
    <row r="453" spans="1:16" x14ac:dyDescent="0.25">
      <c r="A453" s="3">
        <f t="shared" si="87"/>
        <v>46745</v>
      </c>
      <c r="B453" s="21">
        <f t="shared" si="78"/>
        <v>36884</v>
      </c>
      <c r="C453" s="21">
        <f t="shared" si="79"/>
        <v>36605</v>
      </c>
      <c r="D453" s="1">
        <f t="shared" si="88"/>
        <v>0</v>
      </c>
      <c r="E453" s="3">
        <f t="array" ref="E453">INDEX($A$9:A452, MAX(IF($D$9:D452=1, ROW(D$9:$D452)-ROW($D$9)+1, 0)))</f>
        <v>46741</v>
      </c>
      <c r="F453" s="23">
        <f t="shared" si="80"/>
        <v>1.6974674880219027</v>
      </c>
      <c r="G453" s="5">
        <f>INDEX('Default Prob'!$P$5:$P$14,MIN(1+_xlfn.IFNA(MATCH(F453,'Default Prob'!$F$5:$F$14,1),0),COUNT('Default Prob'!$P$5:$P$14)))</f>
        <v>1.6062593678540758E-2</v>
      </c>
      <c r="H453" s="5">
        <f t="shared" si="89"/>
        <v>0.96320706795660405</v>
      </c>
      <c r="I453" s="24">
        <f t="shared" si="90"/>
        <v>4.2359873957842353E-5</v>
      </c>
      <c r="J453" s="25">
        <f>INDEX('Default Prob'!$C$3:$C$13, _xlfn.IFNA(MATCH(F453, 'Default Prob'!$B$3:$B$13, 1), 1))</f>
        <v>1.9099999999999999E-2</v>
      </c>
      <c r="K453" s="26">
        <f t="shared" si="81"/>
        <v>0.96839434892214127</v>
      </c>
      <c r="L453" s="27">
        <f t="shared" ca="1" si="82"/>
        <v>0</v>
      </c>
      <c r="M453" s="27">
        <f t="shared" ca="1" si="83"/>
        <v>144.47054645187106</v>
      </c>
      <c r="N453" s="28">
        <f t="shared" ca="1" si="84"/>
        <v>5.9263353243437841E-3</v>
      </c>
      <c r="O453" s="29">
        <f t="shared" ca="1" si="85"/>
        <v>600000</v>
      </c>
      <c r="P453" s="30">
        <f t="shared" ca="1" si="86"/>
        <v>24.612637537097228</v>
      </c>
    </row>
    <row r="454" spans="1:16" x14ac:dyDescent="0.25">
      <c r="A454" s="3">
        <f t="shared" si="87"/>
        <v>46748</v>
      </c>
      <c r="B454" s="21">
        <f t="shared" si="78"/>
        <v>36887</v>
      </c>
      <c r="C454" s="21">
        <f t="shared" si="79"/>
        <v>36605</v>
      </c>
      <c r="D454" s="1">
        <f t="shared" si="88"/>
        <v>0</v>
      </c>
      <c r="E454" s="3">
        <f t="array" ref="E454">INDEX($A$9:A453, MAX(IF($D$9:D453=1, ROW(D$9:$D453)-ROW($D$9)+1, 0)))</f>
        <v>46741</v>
      </c>
      <c r="F454" s="23">
        <f t="shared" si="80"/>
        <v>1.7056810403832992</v>
      </c>
      <c r="G454" s="5">
        <f>INDEX('Default Prob'!$P$5:$P$14,MIN(1+_xlfn.IFNA(MATCH(F454,'Default Prob'!$F$5:$F$14,1),0),COUNT('Default Prob'!$P$5:$P$14)))</f>
        <v>1.6062593678540758E-2</v>
      </c>
      <c r="H454" s="5">
        <f t="shared" si="89"/>
        <v>0.96307999951131418</v>
      </c>
      <c r="I454" s="24">
        <f t="shared" si="90"/>
        <v>1.2706844528986849E-4</v>
      </c>
      <c r="J454" s="25">
        <f>INDEX('Default Prob'!$C$3:$C$13, _xlfn.IFNA(MATCH(F454, 'Default Prob'!$B$3:$B$13, 1), 1))</f>
        <v>1.9099999999999999E-2</v>
      </c>
      <c r="K454" s="26">
        <f t="shared" si="81"/>
        <v>0.96824387265076794</v>
      </c>
      <c r="L454" s="27">
        <f t="shared" ca="1" si="82"/>
        <v>0</v>
      </c>
      <c r="M454" s="27">
        <f t="shared" ca="1" si="83"/>
        <v>252.82345629077437</v>
      </c>
      <c r="N454" s="28">
        <f t="shared" ca="1" si="84"/>
        <v>3.1105689875295151E-2</v>
      </c>
      <c r="O454" s="29">
        <f t="shared" ca="1" si="85"/>
        <v>600000</v>
      </c>
      <c r="P454" s="30">
        <f t="shared" ca="1" si="86"/>
        <v>73.819946135504708</v>
      </c>
    </row>
    <row r="455" spans="1:16" x14ac:dyDescent="0.25">
      <c r="A455" s="3">
        <f t="shared" si="87"/>
        <v>46749</v>
      </c>
      <c r="B455" s="21">
        <f t="shared" si="78"/>
        <v>36888</v>
      </c>
      <c r="C455" s="21">
        <f t="shared" si="79"/>
        <v>36605</v>
      </c>
      <c r="D455" s="1">
        <f t="shared" si="88"/>
        <v>0</v>
      </c>
      <c r="E455" s="3">
        <f t="array" ref="E455">INDEX($A$9:A454, MAX(IF($D$9:D454=1, ROW(D$9:$D454)-ROW($D$9)+1, 0)))</f>
        <v>46741</v>
      </c>
      <c r="F455" s="23">
        <f t="shared" si="80"/>
        <v>1.7084188911704312</v>
      </c>
      <c r="G455" s="5">
        <f>INDEX('Default Prob'!$P$5:$P$14,MIN(1+_xlfn.IFNA(MATCH(F455,'Default Prob'!$F$5:$F$14,1),0),COUNT('Default Prob'!$P$5:$P$14)))</f>
        <v>1.6062593678540758E-2</v>
      </c>
      <c r="H455" s="5">
        <f t="shared" si="89"/>
        <v>0.9630376470881391</v>
      </c>
      <c r="I455" s="24">
        <f t="shared" si="90"/>
        <v>4.2352423175073817E-5</v>
      </c>
      <c r="J455" s="25">
        <f>INDEX('Default Prob'!$C$3:$C$13, _xlfn.IFNA(MATCH(F455, 'Default Prob'!$B$3:$B$13, 1), 1))</f>
        <v>1.9099999999999999E-2</v>
      </c>
      <c r="K455" s="26">
        <f t="shared" si="81"/>
        <v>0.96819371908984853</v>
      </c>
      <c r="L455" s="27">
        <f t="shared" ca="1" si="82"/>
        <v>0</v>
      </c>
      <c r="M455" s="27">
        <f t="shared" ca="1" si="83"/>
        <v>288.94109290374212</v>
      </c>
      <c r="N455" s="28">
        <f t="shared" ca="1" si="84"/>
        <v>1.1848130674626979E-2</v>
      </c>
      <c r="O455" s="29">
        <f t="shared" ca="1" si="85"/>
        <v>600000</v>
      </c>
      <c r="P455" s="30">
        <f t="shared" ca="1" si="86"/>
        <v>24.603210063805086</v>
      </c>
    </row>
    <row r="456" spans="1:16" x14ac:dyDescent="0.25">
      <c r="A456" s="3">
        <f t="shared" si="87"/>
        <v>46750</v>
      </c>
      <c r="B456" s="21">
        <f t="shared" si="78"/>
        <v>36889</v>
      </c>
      <c r="C456" s="21">
        <f t="shared" si="79"/>
        <v>36605</v>
      </c>
      <c r="D456" s="1">
        <f t="shared" si="88"/>
        <v>0</v>
      </c>
      <c r="E456" s="3">
        <f t="array" ref="E456">INDEX($A$9:A455, MAX(IF($D$9:D455=1, ROW(D$9:$D455)-ROW($D$9)+1, 0)))</f>
        <v>46741</v>
      </c>
      <c r="F456" s="23">
        <f t="shared" si="80"/>
        <v>1.7111567419575633</v>
      </c>
      <c r="G456" s="5">
        <f>INDEX('Default Prob'!$P$5:$P$14,MIN(1+_xlfn.IFNA(MATCH(F456,'Default Prob'!$F$5:$F$14,1),0),COUNT('Default Prob'!$P$5:$P$14)))</f>
        <v>1.6062593678540758E-2</v>
      </c>
      <c r="H456" s="5">
        <f t="shared" si="89"/>
        <v>0.96299529652745497</v>
      </c>
      <c r="I456" s="24">
        <f t="shared" si="90"/>
        <v>4.2350560684134564E-5</v>
      </c>
      <c r="J456" s="25">
        <f>INDEX('Default Prob'!$C$3:$C$13, _xlfn.IFNA(MATCH(F456, 'Default Prob'!$B$3:$B$13, 1), 1))</f>
        <v>1.9099999999999999E-2</v>
      </c>
      <c r="K456" s="26">
        <f t="shared" si="81"/>
        <v>0.96814356812680735</v>
      </c>
      <c r="L456" s="27">
        <f t="shared" ca="1" si="82"/>
        <v>0</v>
      </c>
      <c r="M456" s="27">
        <f t="shared" ca="1" si="83"/>
        <v>325.05872951670989</v>
      </c>
      <c r="N456" s="28">
        <f t="shared" ca="1" si="84"/>
        <v>1.3327870446948668E-2</v>
      </c>
      <c r="O456" s="29">
        <f t="shared" ca="1" si="85"/>
        <v>600000</v>
      </c>
      <c r="P456" s="30">
        <f t="shared" ca="1" si="86"/>
        <v>24.600853759745352</v>
      </c>
    </row>
    <row r="457" spans="1:16" x14ac:dyDescent="0.25">
      <c r="A457" s="3">
        <f t="shared" si="87"/>
        <v>46751</v>
      </c>
      <c r="B457" s="21">
        <f t="shared" ref="B457:B520" si="91">DATE(2000, MONTH(A457), DAY(A457))</f>
        <v>36890</v>
      </c>
      <c r="C457" s="21">
        <f t="shared" ref="C457:C520" si="92">VLOOKUP(B457, $R$9:$S$13, 2)</f>
        <v>36605</v>
      </c>
      <c r="D457" s="1">
        <f t="shared" si="88"/>
        <v>0</v>
      </c>
      <c r="E457" s="3">
        <f t="array" ref="E457">INDEX($A$9:A456, MAX(IF($D$9:D456=1, ROW(D$9:$D456)-ROW($D$9)+1, 0)))</f>
        <v>46741</v>
      </c>
      <c r="F457" s="23">
        <f t="shared" ref="F457:F520" si="93">(A457-$A$2)/365.25</f>
        <v>1.7138945927446954</v>
      </c>
      <c r="G457" s="5">
        <f>INDEX('Default Prob'!$P$5:$P$14,MIN(1+_xlfn.IFNA(MATCH(F457,'Default Prob'!$F$5:$F$14,1),0),COUNT('Default Prob'!$P$5:$P$14)))</f>
        <v>1.6062593678540758E-2</v>
      </c>
      <c r="H457" s="5">
        <f t="shared" si="89"/>
        <v>0.96295294782917984</v>
      </c>
      <c r="I457" s="24">
        <f t="shared" si="90"/>
        <v>4.234869827512977E-5</v>
      </c>
      <c r="J457" s="25">
        <f>INDEX('Default Prob'!$C$3:$C$13, _xlfn.IFNA(MATCH(F457, 'Default Prob'!$B$3:$B$13, 1), 1))</f>
        <v>1.9099999999999999E-2</v>
      </c>
      <c r="K457" s="26">
        <f t="shared" ref="K457:K520" si="94">1/((1+J457)^F457)</f>
        <v>0.96809341976150998</v>
      </c>
      <c r="L457" s="27">
        <f t="shared" ref="L457:L520" ca="1" si="95">IF(AND(D457, A457 &lt;= $G$2), $D$5*$D$2*(A457-E457)/365.25, 0)</f>
        <v>0</v>
      </c>
      <c r="M457" s="27">
        <f t="shared" ref="M457:M520" ca="1" si="96">IF(A457&lt;=$G$2, $D$5*$D$2*(A457-E457)/365.25, 0)</f>
        <v>361.17636612967766</v>
      </c>
      <c r="N457" s="28">
        <f t="shared" ref="N457:N520" ca="1" si="97">(L457*H457 + M457*I457) * K457</f>
        <v>1.4807326674678278E-2</v>
      </c>
      <c r="O457" s="29">
        <f t="shared" ref="O457:O520" ca="1" si="98">IF(A457&lt;=$G$2, $D$2*(1-$D$3), 0)</f>
        <v>600000</v>
      </c>
      <c r="P457" s="30">
        <f t="shared" ref="P457:P520" ca="1" si="99">O457*I457*K457</f>
        <v>24.598497681371242</v>
      </c>
    </row>
    <row r="458" spans="1:16" x14ac:dyDescent="0.25">
      <c r="A458" s="3">
        <f t="shared" ref="A458:A521" si="100">WORKDAY(A457, 1)</f>
        <v>46752</v>
      </c>
      <c r="B458" s="21">
        <f t="shared" si="91"/>
        <v>36891</v>
      </c>
      <c r="C458" s="21">
        <f t="shared" si="92"/>
        <v>36605</v>
      </c>
      <c r="D458" s="1">
        <f t="shared" ref="D458:D521" si="101">IF(OR(C458=B458, AND(C458&lt;&gt;C457, C457&gt;B457)), 1, 0)</f>
        <v>0</v>
      </c>
      <c r="E458" s="3">
        <f t="array" ref="E458">INDEX($A$9:A457, MAX(IF($D$9:D457=1, ROW(D$9:$D457)-ROW($D$9)+1, 0)))</f>
        <v>46741</v>
      </c>
      <c r="F458" s="23">
        <f t="shared" si="93"/>
        <v>1.7166324435318274</v>
      </c>
      <c r="G458" s="5">
        <f>INDEX('Default Prob'!$P$5:$P$14,MIN(1+_xlfn.IFNA(MATCH(F458,'Default Prob'!$F$5:$F$14,1),0),COUNT('Default Prob'!$P$5:$P$14)))</f>
        <v>1.6062593678540758E-2</v>
      </c>
      <c r="H458" s="5">
        <f t="shared" ref="H458:H521" si="102">H457*EXP(-G457*(F458-F457))</f>
        <v>0.96291060099323178</v>
      </c>
      <c r="I458" s="24">
        <f t="shared" ref="I458:I521" si="103">H457-H458</f>
        <v>4.2346835948059436E-5</v>
      </c>
      <c r="J458" s="25">
        <f>INDEX('Default Prob'!$C$3:$C$13, _xlfn.IFNA(MATCH(F458, 'Default Prob'!$B$3:$B$13, 1), 1))</f>
        <v>1.9099999999999999E-2</v>
      </c>
      <c r="K458" s="26">
        <f t="shared" si="94"/>
        <v>0.96804327399382162</v>
      </c>
      <c r="L458" s="27">
        <f t="shared" ca="1" si="95"/>
        <v>0</v>
      </c>
      <c r="M458" s="27">
        <f t="shared" ca="1" si="96"/>
        <v>397.29400274264543</v>
      </c>
      <c r="N458" s="28">
        <f t="shared" ca="1" si="97"/>
        <v>1.6286499398559039E-2</v>
      </c>
      <c r="O458" s="29">
        <f t="shared" ca="1" si="98"/>
        <v>600000</v>
      </c>
      <c r="P458" s="30">
        <f t="shared" ca="1" si="99"/>
        <v>24.596141828663228</v>
      </c>
    </row>
    <row r="459" spans="1:16" x14ac:dyDescent="0.25">
      <c r="A459" s="3">
        <f t="shared" si="100"/>
        <v>46755</v>
      </c>
      <c r="B459" s="21">
        <f t="shared" si="91"/>
        <v>36528</v>
      </c>
      <c r="C459" s="21">
        <f t="shared" si="92"/>
        <v>36605</v>
      </c>
      <c r="D459" s="1">
        <f t="shared" si="101"/>
        <v>0</v>
      </c>
      <c r="E459" s="3">
        <f t="array" ref="E459">INDEX($A$9:A458, MAX(IF($D$9:D458=1, ROW(D$9:$D458)-ROW($D$9)+1, 0)))</f>
        <v>46741</v>
      </c>
      <c r="F459" s="23">
        <f t="shared" si="93"/>
        <v>1.7248459958932238</v>
      </c>
      <c r="G459" s="5">
        <f>INDEX('Default Prob'!$P$5:$P$14,MIN(1+_xlfn.IFNA(MATCH(F459,'Default Prob'!$F$5:$F$14,1),0),COUNT('Default Prob'!$P$5:$P$14)))</f>
        <v>1.6062593678540758E-2</v>
      </c>
      <c r="H459" s="5">
        <f t="shared" si="102"/>
        <v>0.96278357165853135</v>
      </c>
      <c r="I459" s="24">
        <f t="shared" si="103"/>
        <v>1.2702933470043476E-4</v>
      </c>
      <c r="J459" s="25">
        <f>INDEX('Default Prob'!$C$3:$C$13, _xlfn.IFNA(MATCH(F459, 'Default Prob'!$B$3:$B$13, 1), 1))</f>
        <v>1.9099999999999999E-2</v>
      </c>
      <c r="K459" s="26">
        <f t="shared" si="94"/>
        <v>0.96789285227506539</v>
      </c>
      <c r="L459" s="27">
        <f t="shared" ca="1" si="95"/>
        <v>0</v>
      </c>
      <c r="M459" s="27">
        <f t="shared" ca="1" si="96"/>
        <v>505.64691258154875</v>
      </c>
      <c r="N459" s="28">
        <f t="shared" ca="1" si="97"/>
        <v>6.2169684878116215E-2</v>
      </c>
      <c r="O459" s="29">
        <f t="shared" ca="1" si="98"/>
        <v>600000</v>
      </c>
      <c r="P459" s="30">
        <f t="shared" ca="1" si="99"/>
        <v>73.770471051484648</v>
      </c>
    </row>
    <row r="460" spans="1:16" x14ac:dyDescent="0.25">
      <c r="A460" s="3">
        <f t="shared" si="100"/>
        <v>46756</v>
      </c>
      <c r="B460" s="21">
        <f t="shared" si="91"/>
        <v>36529</v>
      </c>
      <c r="C460" s="21">
        <f t="shared" si="92"/>
        <v>36605</v>
      </c>
      <c r="D460" s="1">
        <f t="shared" si="101"/>
        <v>0</v>
      </c>
      <c r="E460" s="3">
        <f t="array" ref="E460">INDEX($A$9:A459, MAX(IF($D$9:D459=1, ROW(D$9:$D459)-ROW($D$9)+1, 0)))</f>
        <v>46741</v>
      </c>
      <c r="F460" s="23">
        <f t="shared" si="93"/>
        <v>1.7275838466803559</v>
      </c>
      <c r="G460" s="5">
        <f>INDEX('Default Prob'!$P$5:$P$14,MIN(1+_xlfn.IFNA(MATCH(F460,'Default Prob'!$F$5:$F$14,1),0),COUNT('Default Prob'!$P$5:$P$14)))</f>
        <v>1.6062593678540758E-2</v>
      </c>
      <c r="H460" s="5">
        <f t="shared" si="102"/>
        <v>0.96274123227107278</v>
      </c>
      <c r="I460" s="24">
        <f t="shared" si="103"/>
        <v>4.2339387458567579E-5</v>
      </c>
      <c r="J460" s="25">
        <f>INDEX('Default Prob'!$C$3:$C$13, _xlfn.IFNA(MATCH(F460, 'Default Prob'!$B$3:$B$13, 1), 1))</f>
        <v>1.9099999999999999E-2</v>
      </c>
      <c r="K460" s="26">
        <f t="shared" si="94"/>
        <v>0.96784271689646784</v>
      </c>
      <c r="L460" s="27">
        <f t="shared" ca="1" si="95"/>
        <v>0</v>
      </c>
      <c r="M460" s="27">
        <f t="shared" ca="1" si="96"/>
        <v>541.76454919451646</v>
      </c>
      <c r="N460" s="28">
        <f t="shared" ca="1" si="97"/>
        <v>2.220035607000263E-2</v>
      </c>
      <c r="O460" s="29">
        <f t="shared" ca="1" si="98"/>
        <v>600000</v>
      </c>
      <c r="P460" s="30">
        <f t="shared" ca="1" si="99"/>
        <v>24.586720673779368</v>
      </c>
    </row>
    <row r="461" spans="1:16" x14ac:dyDescent="0.25">
      <c r="A461" s="3">
        <f t="shared" si="100"/>
        <v>46757</v>
      </c>
      <c r="B461" s="21">
        <f t="shared" si="91"/>
        <v>36530</v>
      </c>
      <c r="C461" s="21">
        <f t="shared" si="92"/>
        <v>36605</v>
      </c>
      <c r="D461" s="1">
        <f t="shared" si="101"/>
        <v>0</v>
      </c>
      <c r="E461" s="3">
        <f t="array" ref="E461">INDEX($A$9:A460, MAX(IF($D$9:D460=1, ROW(D$9:$D460)-ROW($D$9)+1, 0)))</f>
        <v>46741</v>
      </c>
      <c r="F461" s="23">
        <f t="shared" si="93"/>
        <v>1.730321697467488</v>
      </c>
      <c r="G461" s="5">
        <f>INDEX('Default Prob'!$P$5:$P$14,MIN(1+_xlfn.IFNA(MATCH(F461,'Default Prob'!$F$5:$F$14,1),0),COUNT('Default Prob'!$P$5:$P$14)))</f>
        <v>1.6062593678540758E-2</v>
      </c>
      <c r="H461" s="5">
        <f t="shared" si="102"/>
        <v>0.96269889474553194</v>
      </c>
      <c r="I461" s="24">
        <f t="shared" si="103"/>
        <v>4.2337525540836474E-5</v>
      </c>
      <c r="J461" s="25">
        <f>INDEX('Default Prob'!$C$3:$C$13, _xlfn.IFNA(MATCH(F461, 'Default Prob'!$B$3:$B$13, 1), 1))</f>
        <v>1.9099999999999999E-2</v>
      </c>
      <c r="K461" s="26">
        <f t="shared" si="94"/>
        <v>0.96779258411480684</v>
      </c>
      <c r="L461" s="27">
        <f t="shared" ca="1" si="95"/>
        <v>0</v>
      </c>
      <c r="M461" s="27">
        <f t="shared" ca="1" si="96"/>
        <v>577.88218580748423</v>
      </c>
      <c r="N461" s="28">
        <f t="shared" ca="1" si="97"/>
        <v>2.3678111885417446E-2</v>
      </c>
      <c r="O461" s="29">
        <f t="shared" ca="1" si="98"/>
        <v>600000</v>
      </c>
      <c r="P461" s="30">
        <f t="shared" ca="1" si="99"/>
        <v>24.584365948915661</v>
      </c>
    </row>
    <row r="462" spans="1:16" x14ac:dyDescent="0.25">
      <c r="A462" s="3">
        <f t="shared" si="100"/>
        <v>46758</v>
      </c>
      <c r="B462" s="21">
        <f t="shared" si="91"/>
        <v>36531</v>
      </c>
      <c r="C462" s="21">
        <f t="shared" si="92"/>
        <v>36605</v>
      </c>
      <c r="D462" s="1">
        <f t="shared" si="101"/>
        <v>0</v>
      </c>
      <c r="E462" s="3">
        <f t="array" ref="E462">INDEX($A$9:A461, MAX(IF($D$9:D461=1, ROW(D$9:$D461)-ROW($D$9)+1, 0)))</f>
        <v>46741</v>
      </c>
      <c r="F462" s="23">
        <f t="shared" si="93"/>
        <v>1.7330595482546201</v>
      </c>
      <c r="G462" s="5">
        <f>INDEX('Default Prob'!$P$5:$P$14,MIN(1+_xlfn.IFNA(MATCH(F462,'Default Prob'!$F$5:$F$14,1),0),COUNT('Default Prob'!$P$5:$P$14)))</f>
        <v>1.6062593678540758E-2</v>
      </c>
      <c r="H462" s="5">
        <f t="shared" si="102"/>
        <v>0.96265655908182679</v>
      </c>
      <c r="I462" s="24">
        <f t="shared" si="103"/>
        <v>4.233566370515085E-5</v>
      </c>
      <c r="J462" s="25">
        <f>INDEX('Default Prob'!$C$3:$C$13, _xlfn.IFNA(MATCH(F462, 'Default Prob'!$B$3:$B$13, 1), 1))</f>
        <v>1.9099999999999999E-2</v>
      </c>
      <c r="K462" s="26">
        <f t="shared" si="94"/>
        <v>0.96774245392994773</v>
      </c>
      <c r="L462" s="27">
        <f t="shared" ca="1" si="95"/>
        <v>0</v>
      </c>
      <c r="M462" s="27">
        <f t="shared" ca="1" si="96"/>
        <v>613.99982242045212</v>
      </c>
      <c r="N462" s="28">
        <f t="shared" ca="1" si="97"/>
        <v>2.5155584441386818E-2</v>
      </c>
      <c r="O462" s="29">
        <f t="shared" ca="1" si="98"/>
        <v>600000</v>
      </c>
      <c r="P462" s="30">
        <f t="shared" ca="1" si="99"/>
        <v>24.582011449665423</v>
      </c>
    </row>
    <row r="463" spans="1:16" x14ac:dyDescent="0.25">
      <c r="A463" s="3">
        <f t="shared" si="100"/>
        <v>46759</v>
      </c>
      <c r="B463" s="21">
        <f t="shared" si="91"/>
        <v>36532</v>
      </c>
      <c r="C463" s="21">
        <f t="shared" si="92"/>
        <v>36605</v>
      </c>
      <c r="D463" s="1">
        <f t="shared" si="101"/>
        <v>0</v>
      </c>
      <c r="E463" s="3">
        <f t="array" ref="E463">INDEX($A$9:A462, MAX(IF($D$9:D462=1, ROW(D$9:$D462)-ROW($D$9)+1, 0)))</f>
        <v>46741</v>
      </c>
      <c r="F463" s="23">
        <f t="shared" si="93"/>
        <v>1.7357973990417521</v>
      </c>
      <c r="G463" s="5">
        <f>INDEX('Default Prob'!$P$5:$P$14,MIN(1+_xlfn.IFNA(MATCH(F463,'Default Prob'!$F$5:$F$14,1),0),COUNT('Default Prob'!$P$5:$P$14)))</f>
        <v>1.6062593678540758E-2</v>
      </c>
      <c r="H463" s="5">
        <f t="shared" si="102"/>
        <v>0.96261422527987561</v>
      </c>
      <c r="I463" s="24">
        <f t="shared" si="103"/>
        <v>4.2333801951177641E-5</v>
      </c>
      <c r="J463" s="25">
        <f>INDEX('Default Prob'!$C$3:$C$13, _xlfn.IFNA(MATCH(F463, 'Default Prob'!$B$3:$B$13, 1), 1))</f>
        <v>1.9099999999999999E-2</v>
      </c>
      <c r="K463" s="26">
        <f t="shared" si="94"/>
        <v>0.96769232634175595</v>
      </c>
      <c r="L463" s="27">
        <f t="shared" ca="1" si="95"/>
        <v>0</v>
      </c>
      <c r="M463" s="27">
        <f t="shared" ca="1" si="96"/>
        <v>650.11745903341978</v>
      </c>
      <c r="N463" s="28">
        <f t="shared" ca="1" si="97"/>
        <v>2.6632773778423168E-2</v>
      </c>
      <c r="O463" s="29">
        <f t="shared" ca="1" si="98"/>
        <v>600000</v>
      </c>
      <c r="P463" s="30">
        <f t="shared" ca="1" si="99"/>
        <v>24.579657175815754</v>
      </c>
    </row>
    <row r="464" spans="1:16" x14ac:dyDescent="0.25">
      <c r="A464" s="3">
        <f t="shared" si="100"/>
        <v>46762</v>
      </c>
      <c r="B464" s="21">
        <f t="shared" si="91"/>
        <v>36535</v>
      </c>
      <c r="C464" s="21">
        <f t="shared" si="92"/>
        <v>36605</v>
      </c>
      <c r="D464" s="1">
        <f t="shared" si="101"/>
        <v>0</v>
      </c>
      <c r="E464" s="3">
        <f t="array" ref="E464">INDEX($A$9:A463, MAX(IF($D$9:D463=1, ROW(D$9:$D463)-ROW($D$9)+1, 0)))</f>
        <v>46741</v>
      </c>
      <c r="F464" s="23">
        <f t="shared" si="93"/>
        <v>1.7440109514031485</v>
      </c>
      <c r="G464" s="5">
        <f>INDEX('Default Prob'!$P$5:$P$14,MIN(1+_xlfn.IFNA(MATCH(F464,'Default Prob'!$F$5:$F$14,1),0),COUNT('Default Prob'!$P$5:$P$14)))</f>
        <v>1.6062593678540758E-2</v>
      </c>
      <c r="H464" s="5">
        <f t="shared" si="102"/>
        <v>0.96248723504372657</v>
      </c>
      <c r="I464" s="24">
        <f t="shared" si="103"/>
        <v>1.2699023614903826E-4</v>
      </c>
      <c r="J464" s="25">
        <f>INDEX('Default Prob'!$C$3:$C$13, _xlfn.IFNA(MATCH(F464, 'Default Prob'!$B$3:$B$13, 1), 1))</f>
        <v>1.9099999999999999E-2</v>
      </c>
      <c r="K464" s="26">
        <f t="shared" si="94"/>
        <v>0.96754195915583985</v>
      </c>
      <c r="L464" s="27">
        <f t="shared" ca="1" si="95"/>
        <v>0</v>
      </c>
      <c r="M464" s="27">
        <f t="shared" ca="1" si="96"/>
        <v>758.47036887232321</v>
      </c>
      <c r="N464" s="28">
        <f t="shared" ca="1" si="97"/>
        <v>9.3192026925223659E-2</v>
      </c>
      <c r="O464" s="29">
        <f t="shared" ca="1" si="98"/>
        <v>600000</v>
      </c>
      <c r="P464" s="30">
        <f t="shared" ca="1" si="99"/>
        <v>73.72102912638195</v>
      </c>
    </row>
    <row r="465" spans="1:16" x14ac:dyDescent="0.25">
      <c r="A465" s="3">
        <f t="shared" si="100"/>
        <v>46763</v>
      </c>
      <c r="B465" s="21">
        <f t="shared" si="91"/>
        <v>36536</v>
      </c>
      <c r="C465" s="21">
        <f t="shared" si="92"/>
        <v>36605</v>
      </c>
      <c r="D465" s="1">
        <f t="shared" si="101"/>
        <v>0</v>
      </c>
      <c r="E465" s="3">
        <f t="array" ref="E465">INDEX($A$9:A464, MAX(IF($D$9:D464=1, ROW(D$9:$D464)-ROW($D$9)+1, 0)))</f>
        <v>46741</v>
      </c>
      <c r="F465" s="23">
        <f t="shared" si="93"/>
        <v>1.7467488021902806</v>
      </c>
      <c r="G465" s="5">
        <f>INDEX('Default Prob'!$P$5:$P$14,MIN(1+_xlfn.IFNA(MATCH(F465,'Default Prob'!$F$5:$F$14,1),0),COUNT('Default Prob'!$P$5:$P$14)))</f>
        <v>1.6062593678540758E-2</v>
      </c>
      <c r="H465" s="5">
        <f t="shared" si="102"/>
        <v>0.96244490868797228</v>
      </c>
      <c r="I465" s="24">
        <f t="shared" si="103"/>
        <v>4.232635575429633E-5</v>
      </c>
      <c r="J465" s="25">
        <f>INDEX('Default Prob'!$C$3:$C$13, _xlfn.IFNA(MATCH(F465, 'Default Prob'!$B$3:$B$13, 1), 1))</f>
        <v>1.9099999999999999E-2</v>
      </c>
      <c r="K465" s="26">
        <f t="shared" si="94"/>
        <v>0.96749184195297255</v>
      </c>
      <c r="L465" s="27">
        <f t="shared" ca="1" si="95"/>
        <v>0</v>
      </c>
      <c r="M465" s="27">
        <f t="shared" ca="1" si="96"/>
        <v>794.58800548529086</v>
      </c>
      <c r="N465" s="28">
        <f t="shared" ca="1" si="97"/>
        <v>3.2538699752266781E-2</v>
      </c>
      <c r="O465" s="29">
        <f t="shared" ca="1" si="98"/>
        <v>600000</v>
      </c>
      <c r="P465" s="30">
        <f t="shared" ca="1" si="99"/>
        <v>24.570242335128572</v>
      </c>
    </row>
    <row r="466" spans="1:16" x14ac:dyDescent="0.25">
      <c r="A466" s="3">
        <f t="shared" si="100"/>
        <v>46764</v>
      </c>
      <c r="B466" s="21">
        <f t="shared" si="91"/>
        <v>36537</v>
      </c>
      <c r="C466" s="21">
        <f t="shared" si="92"/>
        <v>36605</v>
      </c>
      <c r="D466" s="1">
        <f t="shared" si="101"/>
        <v>0</v>
      </c>
      <c r="E466" s="3">
        <f t="array" ref="E466">INDEX($A$9:A465, MAX(IF($D$9:D465=1, ROW(D$9:$D465)-ROW($D$9)+1, 0)))</f>
        <v>46741</v>
      </c>
      <c r="F466" s="23">
        <f t="shared" si="93"/>
        <v>1.7494866529774127</v>
      </c>
      <c r="G466" s="5">
        <f>INDEX('Default Prob'!$P$5:$P$14,MIN(1+_xlfn.IFNA(MATCH(F466,'Default Prob'!$F$5:$F$14,1),0),COUNT('Default Prob'!$P$5:$P$14)))</f>
        <v>1.6062593678540758E-2</v>
      </c>
      <c r="H466" s="5">
        <f t="shared" si="102"/>
        <v>0.9624025841935625</v>
      </c>
      <c r="I466" s="24">
        <f t="shared" si="103"/>
        <v>4.2324494409773372E-5</v>
      </c>
      <c r="J466" s="25">
        <f>INDEX('Default Prob'!$C$3:$C$13, _xlfn.IFNA(MATCH(F466, 'Default Prob'!$B$3:$B$13, 1), 1))</f>
        <v>1.9099999999999999E-2</v>
      </c>
      <c r="K466" s="26">
        <f t="shared" si="94"/>
        <v>0.96744172734610034</v>
      </c>
      <c r="L466" s="27">
        <f t="shared" ca="1" si="95"/>
        <v>0</v>
      </c>
      <c r="M466" s="27">
        <f t="shared" ca="1" si="96"/>
        <v>830.70564209825864</v>
      </c>
      <c r="N466" s="28">
        <f t="shared" ca="1" si="97"/>
        <v>3.4014473605559731E-2</v>
      </c>
      <c r="O466" s="29">
        <f t="shared" ca="1" si="98"/>
        <v>600000</v>
      </c>
      <c r="P466" s="30">
        <f t="shared" ca="1" si="99"/>
        <v>24.56788918850491</v>
      </c>
    </row>
    <row r="467" spans="1:16" x14ac:dyDescent="0.25">
      <c r="A467" s="3">
        <f t="shared" si="100"/>
        <v>46765</v>
      </c>
      <c r="B467" s="21">
        <f t="shared" si="91"/>
        <v>36538</v>
      </c>
      <c r="C467" s="21">
        <f t="shared" si="92"/>
        <v>36605</v>
      </c>
      <c r="D467" s="1">
        <f t="shared" si="101"/>
        <v>0</v>
      </c>
      <c r="E467" s="3">
        <f t="array" ref="E467">INDEX($A$9:A466, MAX(IF($D$9:D466=1, ROW(D$9:$D466)-ROW($D$9)+1, 0)))</f>
        <v>46741</v>
      </c>
      <c r="F467" s="23">
        <f t="shared" si="93"/>
        <v>1.7522245037645447</v>
      </c>
      <c r="G467" s="5">
        <f>INDEX('Default Prob'!$P$5:$P$14,MIN(1+_xlfn.IFNA(MATCH(F467,'Default Prob'!$F$5:$F$14,1),0),COUNT('Default Prob'!$P$5:$P$14)))</f>
        <v>1.6062593678540758E-2</v>
      </c>
      <c r="H467" s="5">
        <f t="shared" si="102"/>
        <v>0.96236026156041554</v>
      </c>
      <c r="I467" s="24">
        <f t="shared" si="103"/>
        <v>4.2322633146962829E-5</v>
      </c>
      <c r="J467" s="25">
        <f>INDEX('Default Prob'!$C$3:$C$13, _xlfn.IFNA(MATCH(F467, 'Default Prob'!$B$3:$B$13, 1), 1))</f>
        <v>1.9099999999999999E-2</v>
      </c>
      <c r="K467" s="26">
        <f t="shared" si="94"/>
        <v>0.96739161533508866</v>
      </c>
      <c r="L467" s="27">
        <f t="shared" ca="1" si="95"/>
        <v>0</v>
      </c>
      <c r="M467" s="27">
        <f t="shared" ca="1" si="96"/>
        <v>866.82327871122652</v>
      </c>
      <c r="N467" s="28">
        <f t="shared" ca="1" si="97"/>
        <v>3.5489964484005619E-2</v>
      </c>
      <c r="O467" s="29">
        <f t="shared" ca="1" si="98"/>
        <v>600000</v>
      </c>
      <c r="P467" s="30">
        <f t="shared" ca="1" si="99"/>
        <v>24.565536267164841</v>
      </c>
    </row>
    <row r="468" spans="1:16" x14ac:dyDescent="0.25">
      <c r="A468" s="3">
        <f t="shared" si="100"/>
        <v>46766</v>
      </c>
      <c r="B468" s="21">
        <f t="shared" si="91"/>
        <v>36539</v>
      </c>
      <c r="C468" s="21">
        <f t="shared" si="92"/>
        <v>36605</v>
      </c>
      <c r="D468" s="1">
        <f t="shared" si="101"/>
        <v>0</v>
      </c>
      <c r="E468" s="3">
        <f t="array" ref="E468">INDEX($A$9:A467, MAX(IF($D$9:D467=1, ROW(D$9:$D467)-ROW($D$9)+1, 0)))</f>
        <v>46741</v>
      </c>
      <c r="F468" s="23">
        <f t="shared" si="93"/>
        <v>1.754962354551677</v>
      </c>
      <c r="G468" s="5">
        <f>INDEX('Default Prob'!$P$5:$P$14,MIN(1+_xlfn.IFNA(MATCH(F468,'Default Prob'!$F$5:$F$14,1),0),COUNT('Default Prob'!$P$5:$P$14)))</f>
        <v>1.6062593678540758E-2</v>
      </c>
      <c r="H468" s="5">
        <f t="shared" si="102"/>
        <v>0.96231794078844934</v>
      </c>
      <c r="I468" s="24">
        <f t="shared" si="103"/>
        <v>4.2320771966197768E-5</v>
      </c>
      <c r="J468" s="25">
        <f>INDEX('Default Prob'!$C$3:$C$13, _xlfn.IFNA(MATCH(F468, 'Default Prob'!$B$3:$B$13, 1), 1))</f>
        <v>1.9099999999999999E-2</v>
      </c>
      <c r="K468" s="26">
        <f t="shared" si="94"/>
        <v>0.96734150591980261</v>
      </c>
      <c r="L468" s="27">
        <f t="shared" ca="1" si="95"/>
        <v>0</v>
      </c>
      <c r="M468" s="27">
        <f t="shared" ca="1" si="96"/>
        <v>902.94091532419418</v>
      </c>
      <c r="N468" s="28">
        <f t="shared" ca="1" si="97"/>
        <v>3.6965172428549582E-2</v>
      </c>
      <c r="O468" s="29">
        <f t="shared" ca="1" si="98"/>
        <v>600000</v>
      </c>
      <c r="P468" s="30">
        <f t="shared" ca="1" si="99"/>
        <v>24.563183571282188</v>
      </c>
    </row>
    <row r="469" spans="1:16" x14ac:dyDescent="0.25">
      <c r="A469" s="3">
        <f t="shared" si="100"/>
        <v>46769</v>
      </c>
      <c r="B469" s="21">
        <f t="shared" si="91"/>
        <v>36542</v>
      </c>
      <c r="C469" s="21">
        <f t="shared" si="92"/>
        <v>36605</v>
      </c>
      <c r="D469" s="1">
        <f t="shared" si="101"/>
        <v>0</v>
      </c>
      <c r="E469" s="3">
        <f t="array" ref="E469">INDEX($A$9:A468, MAX(IF($D$9:D468=1, ROW(D$9:$D468)-ROW($D$9)+1, 0)))</f>
        <v>46741</v>
      </c>
      <c r="F469" s="23">
        <f t="shared" si="93"/>
        <v>1.7631759069130732</v>
      </c>
      <c r="G469" s="5">
        <f>INDEX('Default Prob'!$P$5:$P$14,MIN(1+_xlfn.IFNA(MATCH(F469,'Default Prob'!$F$5:$F$14,1),0),COUNT('Default Prob'!$P$5:$P$14)))</f>
        <v>1.6062593678540758E-2</v>
      </c>
      <c r="H469" s="5">
        <f t="shared" si="102"/>
        <v>0.96219098963881755</v>
      </c>
      <c r="I469" s="24">
        <f t="shared" si="103"/>
        <v>1.2695114963179321E-4</v>
      </c>
      <c r="J469" s="25">
        <f>INDEX('Default Prob'!$C$3:$C$13, _xlfn.IFNA(MATCH(F469, 'Default Prob'!$B$3:$B$13, 1), 1))</f>
        <v>1.9099999999999999E-2</v>
      </c>
      <c r="K469" s="26">
        <f t="shared" si="94"/>
        <v>0.96719119324695668</v>
      </c>
      <c r="L469" s="27">
        <f t="shared" ca="1" si="95"/>
        <v>0</v>
      </c>
      <c r="M469" s="27">
        <f t="shared" ca="1" si="96"/>
        <v>1011.2938251630975</v>
      </c>
      <c r="N469" s="28">
        <f t="shared" ca="1" si="97"/>
        <v>0.12417275789574367</v>
      </c>
      <c r="O469" s="29">
        <f t="shared" ca="1" si="98"/>
        <v>600000</v>
      </c>
      <c r="P469" s="30">
        <f t="shared" ca="1" si="99"/>
        <v>73.67162033786822</v>
      </c>
    </row>
    <row r="470" spans="1:16" x14ac:dyDescent="0.25">
      <c r="A470" s="3">
        <f t="shared" si="100"/>
        <v>46770</v>
      </c>
      <c r="B470" s="21">
        <f t="shared" si="91"/>
        <v>36543</v>
      </c>
      <c r="C470" s="21">
        <f t="shared" si="92"/>
        <v>36605</v>
      </c>
      <c r="D470" s="1">
        <f t="shared" si="101"/>
        <v>0</v>
      </c>
      <c r="E470" s="3">
        <f t="array" ref="E470">INDEX($A$9:A469, MAX(IF($D$9:D469=1, ROW(D$9:$D469)-ROW($D$9)+1, 0)))</f>
        <v>46741</v>
      </c>
      <c r="F470" s="23">
        <f t="shared" si="93"/>
        <v>1.7659137577002053</v>
      </c>
      <c r="G470" s="5">
        <f>INDEX('Default Prob'!$P$5:$P$14,MIN(1+_xlfn.IFNA(MATCH(F470,'Default Prob'!$F$5:$F$14,1),0),COUNT('Default Prob'!$P$5:$P$14)))</f>
        <v>1.6062593678540758E-2</v>
      </c>
      <c r="H470" s="5">
        <f t="shared" si="102"/>
        <v>0.9621486763107564</v>
      </c>
      <c r="I470" s="24">
        <f t="shared" si="103"/>
        <v>4.2313328061149846E-5</v>
      </c>
      <c r="J470" s="25">
        <f>INDEX('Default Prob'!$C$3:$C$13, _xlfn.IFNA(MATCH(F470, 'Default Prob'!$B$3:$B$13, 1), 1))</f>
        <v>1.9099999999999999E-2</v>
      </c>
      <c r="K470" s="26">
        <f t="shared" si="94"/>
        <v>0.96714109421323047</v>
      </c>
      <c r="L470" s="27">
        <f t="shared" ca="1" si="95"/>
        <v>0</v>
      </c>
      <c r="M470" s="27">
        <f t="shared" ca="1" si="96"/>
        <v>1047.4114617760652</v>
      </c>
      <c r="N470" s="28">
        <f t="shared" ca="1" si="97"/>
        <v>4.286317567884991E-2</v>
      </c>
      <c r="O470" s="29">
        <f t="shared" ca="1" si="98"/>
        <v>600000</v>
      </c>
      <c r="P470" s="30">
        <f t="shared" ca="1" si="99"/>
        <v>24.55377504051831</v>
      </c>
    </row>
    <row r="471" spans="1:16" x14ac:dyDescent="0.25">
      <c r="A471" s="3">
        <f t="shared" si="100"/>
        <v>46771</v>
      </c>
      <c r="B471" s="21">
        <f t="shared" si="91"/>
        <v>36544</v>
      </c>
      <c r="C471" s="21">
        <f t="shared" si="92"/>
        <v>36605</v>
      </c>
      <c r="D471" s="1">
        <f t="shared" si="101"/>
        <v>0</v>
      </c>
      <c r="E471" s="3">
        <f t="array" ref="E471">INDEX($A$9:A470, MAX(IF($D$9:D470=1, ROW(D$9:$D470)-ROW($D$9)+1, 0)))</f>
        <v>46741</v>
      </c>
      <c r="F471" s="23">
        <f t="shared" si="93"/>
        <v>1.7686516084873374</v>
      </c>
      <c r="G471" s="5">
        <f>INDEX('Default Prob'!$P$5:$P$14,MIN(1+_xlfn.IFNA(MATCH(F471,'Default Prob'!$F$5:$F$14,1),0),COUNT('Default Prob'!$P$5:$P$14)))</f>
        <v>1.6062593678540758E-2</v>
      </c>
      <c r="H471" s="5">
        <f t="shared" si="102"/>
        <v>0.9621063648434669</v>
      </c>
      <c r="I471" s="24">
        <f t="shared" si="103"/>
        <v>4.2311467289501969E-5</v>
      </c>
      <c r="J471" s="25">
        <f>INDEX('Default Prob'!$C$3:$C$13, _xlfn.IFNA(MATCH(F471, 'Default Prob'!$B$3:$B$13, 1), 1))</f>
        <v>1.9099999999999999E-2</v>
      </c>
      <c r="K471" s="26">
        <f t="shared" si="94"/>
        <v>0.96709099777455787</v>
      </c>
      <c r="L471" s="27">
        <f t="shared" ca="1" si="95"/>
        <v>0</v>
      </c>
      <c r="M471" s="27">
        <f t="shared" ca="1" si="96"/>
        <v>1083.5290983890329</v>
      </c>
      <c r="N471" s="28">
        <f t="shared" ca="1" si="97"/>
        <v>4.4336969562808033E-2</v>
      </c>
      <c r="O471" s="29">
        <f t="shared" ca="1" si="98"/>
        <v>600000</v>
      </c>
      <c r="P471" s="30">
        <f t="shared" ca="1" si="99"/>
        <v>24.551423470986016</v>
      </c>
    </row>
    <row r="472" spans="1:16" x14ac:dyDescent="0.25">
      <c r="A472" s="3">
        <f t="shared" si="100"/>
        <v>46772</v>
      </c>
      <c r="B472" s="21">
        <f t="shared" si="91"/>
        <v>36545</v>
      </c>
      <c r="C472" s="21">
        <f t="shared" si="92"/>
        <v>36605</v>
      </c>
      <c r="D472" s="1">
        <f t="shared" si="101"/>
        <v>0</v>
      </c>
      <c r="E472" s="3">
        <f t="array" ref="E472">INDEX($A$9:A471, MAX(IF($D$9:D471=1, ROW(D$9:$D471)-ROW($D$9)+1, 0)))</f>
        <v>46741</v>
      </c>
      <c r="F472" s="23">
        <f t="shared" si="93"/>
        <v>1.7713894592744694</v>
      </c>
      <c r="G472" s="5">
        <f>INDEX('Default Prob'!$P$5:$P$14,MIN(1+_xlfn.IFNA(MATCH(F472,'Default Prob'!$F$5:$F$14,1),0),COUNT('Default Prob'!$P$5:$P$14)))</f>
        <v>1.6062593678540758E-2</v>
      </c>
      <c r="H472" s="5">
        <f t="shared" si="102"/>
        <v>0.96206405523686733</v>
      </c>
      <c r="I472" s="24">
        <f t="shared" si="103"/>
        <v>4.2309606599566507E-5</v>
      </c>
      <c r="J472" s="25">
        <f>INDEX('Default Prob'!$C$3:$C$13, _xlfn.IFNA(MATCH(F472, 'Default Prob'!$B$3:$B$13, 1), 1))</f>
        <v>1.9099999999999999E-2</v>
      </c>
      <c r="K472" s="26">
        <f t="shared" si="94"/>
        <v>0.96704090393080477</v>
      </c>
      <c r="L472" s="27">
        <f t="shared" ca="1" si="95"/>
        <v>0</v>
      </c>
      <c r="M472" s="27">
        <f t="shared" ca="1" si="96"/>
        <v>1119.6467350020009</v>
      </c>
      <c r="N472" s="28">
        <f t="shared" ca="1" si="97"/>
        <v>4.5810480756462255E-2</v>
      </c>
      <c r="O472" s="29">
        <f t="shared" ca="1" si="98"/>
        <v>600000</v>
      </c>
      <c r="P472" s="30">
        <f t="shared" ca="1" si="99"/>
        <v>24.549072126600922</v>
      </c>
    </row>
    <row r="473" spans="1:16" x14ac:dyDescent="0.25">
      <c r="A473" s="3">
        <f t="shared" si="100"/>
        <v>46773</v>
      </c>
      <c r="B473" s="21">
        <f t="shared" si="91"/>
        <v>36546</v>
      </c>
      <c r="C473" s="21">
        <f t="shared" si="92"/>
        <v>36605</v>
      </c>
      <c r="D473" s="1">
        <f t="shared" si="101"/>
        <v>0</v>
      </c>
      <c r="E473" s="3">
        <f t="array" ref="E473">INDEX($A$9:A472, MAX(IF($D$9:D472=1, ROW(D$9:$D472)-ROW($D$9)+1, 0)))</f>
        <v>46741</v>
      </c>
      <c r="F473" s="23">
        <f t="shared" si="93"/>
        <v>1.7741273100616017</v>
      </c>
      <c r="G473" s="5">
        <f>INDEX('Default Prob'!$P$5:$P$14,MIN(1+_xlfn.IFNA(MATCH(F473,'Default Prob'!$F$5:$F$14,1),0),COUNT('Default Prob'!$P$5:$P$14)))</f>
        <v>1.6062593678540758E-2</v>
      </c>
      <c r="H473" s="5">
        <f t="shared" si="102"/>
        <v>0.96202174749087577</v>
      </c>
      <c r="I473" s="24">
        <f t="shared" si="103"/>
        <v>4.2307745991565504E-5</v>
      </c>
      <c r="J473" s="25">
        <f>INDEX('Default Prob'!$C$3:$C$13, _xlfn.IFNA(MATCH(F473, 'Default Prob'!$B$3:$B$13, 1), 1))</f>
        <v>1.9099999999999999E-2</v>
      </c>
      <c r="K473" s="26">
        <f t="shared" si="94"/>
        <v>0.96699081268183673</v>
      </c>
      <c r="L473" s="27">
        <f t="shared" ca="1" si="95"/>
        <v>0</v>
      </c>
      <c r="M473" s="27">
        <f t="shared" ca="1" si="96"/>
        <v>1155.7643716149685</v>
      </c>
      <c r="N473" s="28">
        <f t="shared" ca="1" si="97"/>
        <v>4.7283709300682118E-2</v>
      </c>
      <c r="O473" s="29">
        <f t="shared" ca="1" si="98"/>
        <v>600000</v>
      </c>
      <c r="P473" s="30">
        <f t="shared" ca="1" si="99"/>
        <v>24.546721007472389</v>
      </c>
    </row>
    <row r="474" spans="1:16" x14ac:dyDescent="0.25">
      <c r="A474" s="3">
        <f t="shared" si="100"/>
        <v>46776</v>
      </c>
      <c r="B474" s="21">
        <f t="shared" si="91"/>
        <v>36549</v>
      </c>
      <c r="C474" s="21">
        <f t="shared" si="92"/>
        <v>36605</v>
      </c>
      <c r="D474" s="1">
        <f t="shared" si="101"/>
        <v>0</v>
      </c>
      <c r="E474" s="3">
        <f t="array" ref="E474">INDEX($A$9:A473, MAX(IF($D$9:D473=1, ROW(D$9:$D473)-ROW($D$9)+1, 0)))</f>
        <v>46741</v>
      </c>
      <c r="F474" s="23">
        <f t="shared" si="93"/>
        <v>1.7823408624229979</v>
      </c>
      <c r="G474" s="5">
        <f>INDEX('Default Prob'!$P$5:$P$14,MIN(1+_xlfn.IFNA(MATCH(F474,'Default Prob'!$F$5:$F$14,1),0),COUNT('Default Prob'!$P$5:$P$14)))</f>
        <v>1.6062593678540758E-2</v>
      </c>
      <c r="H474" s="5">
        <f t="shared" si="102"/>
        <v>0.96189483541573084</v>
      </c>
      <c r="I474" s="24">
        <f t="shared" si="103"/>
        <v>1.2691207514492486E-4</v>
      </c>
      <c r="J474" s="25">
        <f>INDEX('Default Prob'!$C$3:$C$13, _xlfn.IFNA(MATCH(F474, 'Default Prob'!$B$3:$B$13, 1), 1))</f>
        <v>1.9099999999999999E-2</v>
      </c>
      <c r="K474" s="26">
        <f t="shared" si="94"/>
        <v>0.966840554502298</v>
      </c>
      <c r="L474" s="27">
        <f t="shared" ca="1" si="95"/>
        <v>0</v>
      </c>
      <c r="M474" s="27">
        <f t="shared" ca="1" si="96"/>
        <v>1264.1172814538718</v>
      </c>
      <c r="N474" s="28">
        <f t="shared" ca="1" si="97"/>
        <v>0.15511191963133419</v>
      </c>
      <c r="O474" s="29">
        <f t="shared" ca="1" si="98"/>
        <v>600000</v>
      </c>
      <c r="P474" s="30">
        <f t="shared" ca="1" si="99"/>
        <v>73.622244663693877</v>
      </c>
    </row>
    <row r="475" spans="1:16" x14ac:dyDescent="0.25">
      <c r="A475" s="3">
        <f t="shared" si="100"/>
        <v>46777</v>
      </c>
      <c r="B475" s="21">
        <f t="shared" si="91"/>
        <v>36550</v>
      </c>
      <c r="C475" s="21">
        <f t="shared" si="92"/>
        <v>36605</v>
      </c>
      <c r="D475" s="1">
        <f t="shared" si="101"/>
        <v>0</v>
      </c>
      <c r="E475" s="3">
        <f t="array" ref="E475">INDEX($A$9:A474, MAX(IF($D$9:D474=1, ROW(D$9:$D474)-ROW($D$9)+1, 0)))</f>
        <v>46741</v>
      </c>
      <c r="F475" s="23">
        <f t="shared" si="93"/>
        <v>1.78507871321013</v>
      </c>
      <c r="G475" s="5">
        <f>INDEX('Default Prob'!$P$5:$P$14,MIN(1+_xlfn.IFNA(MATCH(F475,'Default Prob'!$F$5:$F$14,1),0),COUNT('Default Prob'!$P$5:$P$14)))</f>
        <v>1.6062593678540758E-2</v>
      </c>
      <c r="H475" s="5">
        <f t="shared" si="102"/>
        <v>0.96185253511135316</v>
      </c>
      <c r="I475" s="24">
        <f t="shared" si="103"/>
        <v>4.2300304377684839E-5</v>
      </c>
      <c r="J475" s="25">
        <f>INDEX('Default Prob'!$C$3:$C$13, _xlfn.IFNA(MATCH(F475, 'Default Prob'!$B$3:$B$13, 1), 1))</f>
        <v>1.9099999999999999E-2</v>
      </c>
      <c r="K475" s="26">
        <f t="shared" si="94"/>
        <v>0.96679047363112569</v>
      </c>
      <c r="L475" s="27">
        <f t="shared" ca="1" si="95"/>
        <v>0</v>
      </c>
      <c r="M475" s="27">
        <f t="shared" ca="1" si="96"/>
        <v>1300.2349180668396</v>
      </c>
      <c r="N475" s="28">
        <f t="shared" ca="1" si="97"/>
        <v>5.3173797794411844E-2</v>
      </c>
      <c r="O475" s="29">
        <f t="shared" ca="1" si="98"/>
        <v>600000</v>
      </c>
      <c r="P475" s="30">
        <f t="shared" ca="1" si="99"/>
        <v>24.537318782425622</v>
      </c>
    </row>
    <row r="476" spans="1:16" x14ac:dyDescent="0.25">
      <c r="A476" s="3">
        <f t="shared" si="100"/>
        <v>46778</v>
      </c>
      <c r="B476" s="21">
        <f t="shared" si="91"/>
        <v>36551</v>
      </c>
      <c r="C476" s="21">
        <f t="shared" si="92"/>
        <v>36605</v>
      </c>
      <c r="D476" s="1">
        <f t="shared" si="101"/>
        <v>0</v>
      </c>
      <c r="E476" s="3">
        <f t="array" ref="E476">INDEX($A$9:A475, MAX(IF($D$9:D475=1, ROW(D$9:$D475)-ROW($D$9)+1, 0)))</f>
        <v>46741</v>
      </c>
      <c r="F476" s="23">
        <f t="shared" si="93"/>
        <v>1.7878165639972621</v>
      </c>
      <c r="G476" s="5">
        <f>INDEX('Default Prob'!$P$5:$P$14,MIN(1+_xlfn.IFNA(MATCH(F476,'Default Prob'!$F$5:$F$14,1),0),COUNT('Default Prob'!$P$5:$P$14)))</f>
        <v>1.6062593678540758E-2</v>
      </c>
      <c r="H476" s="5">
        <f t="shared" si="102"/>
        <v>0.96181023666717436</v>
      </c>
      <c r="I476" s="24">
        <f t="shared" si="103"/>
        <v>4.229844417880102E-5</v>
      </c>
      <c r="J476" s="25">
        <f>INDEX('Default Prob'!$C$3:$C$13, _xlfn.IFNA(MATCH(F476, 'Default Prob'!$B$3:$B$13, 1), 1))</f>
        <v>1.9099999999999999E-2</v>
      </c>
      <c r="K476" s="26">
        <f t="shared" si="94"/>
        <v>0.96674039535406642</v>
      </c>
      <c r="L476" s="27">
        <f t="shared" ca="1" si="95"/>
        <v>0</v>
      </c>
      <c r="M476" s="27">
        <f t="shared" ca="1" si="96"/>
        <v>1336.3525546798076</v>
      </c>
      <c r="N476" s="28">
        <f t="shared" ca="1" si="97"/>
        <v>5.4645613700205882E-2</v>
      </c>
      <c r="O476" s="29">
        <f t="shared" ca="1" si="98"/>
        <v>600000</v>
      </c>
      <c r="P476" s="30">
        <f t="shared" ca="1" si="99"/>
        <v>24.534968788965603</v>
      </c>
    </row>
    <row r="477" spans="1:16" x14ac:dyDescent="0.25">
      <c r="A477" s="3">
        <f t="shared" si="100"/>
        <v>46779</v>
      </c>
      <c r="B477" s="21">
        <f t="shared" si="91"/>
        <v>36552</v>
      </c>
      <c r="C477" s="21">
        <f t="shared" si="92"/>
        <v>36605</v>
      </c>
      <c r="D477" s="1">
        <f t="shared" si="101"/>
        <v>0</v>
      </c>
      <c r="E477" s="3">
        <f t="array" ref="E477">INDEX($A$9:A476, MAX(IF($D$9:D476=1, ROW(D$9:$D476)-ROW($D$9)+1, 0)))</f>
        <v>46741</v>
      </c>
      <c r="F477" s="23">
        <f t="shared" si="93"/>
        <v>1.7905544147843941</v>
      </c>
      <c r="G477" s="5">
        <f>INDEX('Default Prob'!$P$5:$P$14,MIN(1+_xlfn.IFNA(MATCH(F477,'Default Prob'!$F$5:$F$14,1),0),COUNT('Default Prob'!$P$5:$P$14)))</f>
        <v>1.6062593678540758E-2</v>
      </c>
      <c r="H477" s="5">
        <f t="shared" si="102"/>
        <v>0.96176794008311273</v>
      </c>
      <c r="I477" s="24">
        <f t="shared" si="103"/>
        <v>4.2296584061629616E-5</v>
      </c>
      <c r="J477" s="25">
        <f>INDEX('Default Prob'!$C$3:$C$13, _xlfn.IFNA(MATCH(F477, 'Default Prob'!$B$3:$B$13, 1), 1))</f>
        <v>1.9099999999999999E-2</v>
      </c>
      <c r="K477" s="26">
        <f t="shared" si="94"/>
        <v>0.96669031967098584</v>
      </c>
      <c r="L477" s="27">
        <f t="shared" ca="1" si="95"/>
        <v>0</v>
      </c>
      <c r="M477" s="27">
        <f t="shared" ca="1" si="96"/>
        <v>1372.4701912927751</v>
      </c>
      <c r="N477" s="28">
        <f t="shared" ca="1" si="97"/>
        <v>5.6117147200001702E-2</v>
      </c>
      <c r="O477" s="29">
        <f t="shared" ca="1" si="98"/>
        <v>600000</v>
      </c>
      <c r="P477" s="30">
        <f t="shared" ca="1" si="99"/>
        <v>24.532619020516474</v>
      </c>
    </row>
    <row r="478" spans="1:16" x14ac:dyDescent="0.25">
      <c r="A478" s="3">
        <f t="shared" si="100"/>
        <v>46780</v>
      </c>
      <c r="B478" s="21">
        <f t="shared" si="91"/>
        <v>36553</v>
      </c>
      <c r="C478" s="21">
        <f t="shared" si="92"/>
        <v>36605</v>
      </c>
      <c r="D478" s="1">
        <f t="shared" si="101"/>
        <v>0</v>
      </c>
      <c r="E478" s="3">
        <f t="array" ref="E478">INDEX($A$9:A477, MAX(IF($D$9:D477=1, ROW(D$9:$D477)-ROW($D$9)+1, 0)))</f>
        <v>46741</v>
      </c>
      <c r="F478" s="23">
        <f t="shared" si="93"/>
        <v>1.7932922655715264</v>
      </c>
      <c r="G478" s="5">
        <f>INDEX('Default Prob'!$P$5:$P$14,MIN(1+_xlfn.IFNA(MATCH(F478,'Default Prob'!$F$5:$F$14,1),0),COUNT('Default Prob'!$P$5:$P$14)))</f>
        <v>1.6062593678540758E-2</v>
      </c>
      <c r="H478" s="5">
        <f t="shared" si="102"/>
        <v>0.96172564535908645</v>
      </c>
      <c r="I478" s="24">
        <f t="shared" si="103"/>
        <v>4.2294724026281649E-5</v>
      </c>
      <c r="J478" s="25">
        <f>INDEX('Default Prob'!$C$3:$C$13, _xlfn.IFNA(MATCH(F478, 'Default Prob'!$B$3:$B$13, 1), 1))</f>
        <v>1.9099999999999999E-2</v>
      </c>
      <c r="K478" s="26">
        <f t="shared" si="94"/>
        <v>0.96664024658174941</v>
      </c>
      <c r="L478" s="27">
        <f t="shared" ca="1" si="95"/>
        <v>0</v>
      </c>
      <c r="M478" s="27">
        <f t="shared" ca="1" si="96"/>
        <v>1408.5878279057429</v>
      </c>
      <c r="N478" s="28">
        <f t="shared" ca="1" si="97"/>
        <v>5.758839833453909E-2</v>
      </c>
      <c r="O478" s="29">
        <f t="shared" ca="1" si="98"/>
        <v>600000</v>
      </c>
      <c r="P478" s="30">
        <f t="shared" ca="1" si="99"/>
        <v>24.530269477123159</v>
      </c>
    </row>
    <row r="479" spans="1:16" x14ac:dyDescent="0.25">
      <c r="A479" s="3">
        <f t="shared" si="100"/>
        <v>46783</v>
      </c>
      <c r="B479" s="21">
        <f t="shared" si="91"/>
        <v>36556</v>
      </c>
      <c r="C479" s="21">
        <f t="shared" si="92"/>
        <v>36605</v>
      </c>
      <c r="D479" s="1">
        <f t="shared" si="101"/>
        <v>0</v>
      </c>
      <c r="E479" s="3">
        <f t="array" ref="E479">INDEX($A$9:A478, MAX(IF($D$9:D478=1, ROW(D$9:$D478)-ROW($D$9)+1, 0)))</f>
        <v>46741</v>
      </c>
      <c r="F479" s="23">
        <f t="shared" si="93"/>
        <v>1.8015058179329226</v>
      </c>
      <c r="G479" s="5">
        <f>INDEX('Default Prob'!$P$5:$P$14,MIN(1+_xlfn.IFNA(MATCH(F479,'Default Prob'!$F$5:$F$14,1),0),COUNT('Default Prob'!$P$5:$P$14)))</f>
        <v>1.6062593678540758E-2</v>
      </c>
      <c r="H479" s="5">
        <f t="shared" si="102"/>
        <v>0.96159877234640145</v>
      </c>
      <c r="I479" s="24">
        <f t="shared" si="103"/>
        <v>1.2687301268499152E-4</v>
      </c>
      <c r="J479" s="25">
        <f>INDEX('Default Prob'!$C$3:$C$13, _xlfn.IFNA(MATCH(F479, 'Default Prob'!$B$3:$B$13, 1), 1))</f>
        <v>1.9099999999999999E-2</v>
      </c>
      <c r="K479" s="26">
        <f t="shared" si="94"/>
        <v>0.96649004287576235</v>
      </c>
      <c r="L479" s="27">
        <f t="shared" ca="1" si="95"/>
        <v>0</v>
      </c>
      <c r="M479" s="27">
        <f t="shared" ca="1" si="96"/>
        <v>1516.9407377446464</v>
      </c>
      <c r="N479" s="28">
        <f t="shared" ca="1" si="97"/>
        <v>0.18600955393667623</v>
      </c>
      <c r="O479" s="29">
        <f t="shared" ca="1" si="98"/>
        <v>600000</v>
      </c>
      <c r="P479" s="30">
        <f t="shared" ca="1" si="99"/>
        <v>73.57290208181675</v>
      </c>
    </row>
    <row r="480" spans="1:16" x14ac:dyDescent="0.25">
      <c r="A480" s="3">
        <f t="shared" si="100"/>
        <v>46784</v>
      </c>
      <c r="B480" s="21">
        <f t="shared" si="91"/>
        <v>36557</v>
      </c>
      <c r="C480" s="21">
        <f t="shared" si="92"/>
        <v>36605</v>
      </c>
      <c r="D480" s="1">
        <f t="shared" si="101"/>
        <v>0</v>
      </c>
      <c r="E480" s="3">
        <f t="array" ref="E480">INDEX($A$9:A479, MAX(IF($D$9:D479=1, ROW(D$9:$D479)-ROW($D$9)+1, 0)))</f>
        <v>46741</v>
      </c>
      <c r="F480" s="23">
        <f t="shared" si="93"/>
        <v>1.8042436687200547</v>
      </c>
      <c r="G480" s="5">
        <f>INDEX('Default Prob'!$P$5:$P$14,MIN(1+_xlfn.IFNA(MATCH(F480,'Default Prob'!$F$5:$F$14,1),0),COUNT('Default Prob'!$P$5:$P$14)))</f>
        <v>1.6062593678540758E-2</v>
      </c>
      <c r="H480" s="5">
        <f t="shared" si="102"/>
        <v>0.96155648506169855</v>
      </c>
      <c r="I480" s="24">
        <f t="shared" si="103"/>
        <v>4.2287284702902106E-5</v>
      </c>
      <c r="J480" s="25">
        <f>INDEX('Default Prob'!$C$3:$C$13, _xlfn.IFNA(MATCH(F480, 'Default Prob'!$B$3:$B$13, 1), 1))</f>
        <v>1.9099999999999999E-2</v>
      </c>
      <c r="K480" s="26">
        <f t="shared" si="94"/>
        <v>0.96643998016055965</v>
      </c>
      <c r="L480" s="27">
        <f t="shared" ca="1" si="95"/>
        <v>0</v>
      </c>
      <c r="M480" s="27">
        <f t="shared" ca="1" si="96"/>
        <v>1553.0583743576142</v>
      </c>
      <c r="N480" s="28">
        <f t="shared" ca="1" si="97"/>
        <v>6.3470580031611795E-2</v>
      </c>
      <c r="O480" s="29">
        <f t="shared" ca="1" si="98"/>
        <v>600000</v>
      </c>
      <c r="P480" s="30">
        <f t="shared" ca="1" si="99"/>
        <v>24.52087355358999</v>
      </c>
    </row>
    <row r="481" spans="1:16" x14ac:dyDescent="0.25">
      <c r="A481" s="3">
        <f t="shared" si="100"/>
        <v>46785</v>
      </c>
      <c r="B481" s="21">
        <f t="shared" si="91"/>
        <v>36558</v>
      </c>
      <c r="C481" s="21">
        <f t="shared" si="92"/>
        <v>36605</v>
      </c>
      <c r="D481" s="1">
        <f t="shared" si="101"/>
        <v>0</v>
      </c>
      <c r="E481" s="3">
        <f t="array" ref="E481">INDEX($A$9:A480, MAX(IF($D$9:D480=1, ROW(D$9:$D480)-ROW($D$9)+1, 0)))</f>
        <v>46741</v>
      </c>
      <c r="F481" s="23">
        <f t="shared" si="93"/>
        <v>1.8069815195071868</v>
      </c>
      <c r="G481" s="5">
        <f>INDEX('Default Prob'!$P$5:$P$14,MIN(1+_xlfn.IFNA(MATCH(F481,'Default Prob'!$F$5:$F$14,1),0),COUNT('Default Prob'!$P$5:$P$14)))</f>
        <v>1.6062593678540758E-2</v>
      </c>
      <c r="H481" s="5">
        <f t="shared" si="102"/>
        <v>0.96151419963662199</v>
      </c>
      <c r="I481" s="24">
        <f t="shared" si="103"/>
        <v>4.2285425076560301E-5</v>
      </c>
      <c r="J481" s="25">
        <f>INDEX('Default Prob'!$C$3:$C$13, _xlfn.IFNA(MATCH(F481, 'Default Prob'!$B$3:$B$13, 1), 1))</f>
        <v>1.9099999999999999E-2</v>
      </c>
      <c r="K481" s="26">
        <f t="shared" si="94"/>
        <v>0.96638992003852953</v>
      </c>
      <c r="L481" s="27">
        <f t="shared" ca="1" si="95"/>
        <v>0</v>
      </c>
      <c r="M481" s="27">
        <f t="shared" ca="1" si="96"/>
        <v>1589.1760109705817</v>
      </c>
      <c r="N481" s="28">
        <f t="shared" ca="1" si="97"/>
        <v>6.4940419948518333E-2</v>
      </c>
      <c r="O481" s="29">
        <f t="shared" ca="1" si="98"/>
        <v>600000</v>
      </c>
      <c r="P481" s="30">
        <f t="shared" ca="1" si="99"/>
        <v>24.518525135119404</v>
      </c>
    </row>
    <row r="482" spans="1:16" x14ac:dyDescent="0.25">
      <c r="A482" s="3">
        <f t="shared" si="100"/>
        <v>46786</v>
      </c>
      <c r="B482" s="21">
        <f t="shared" si="91"/>
        <v>36559</v>
      </c>
      <c r="C482" s="21">
        <f t="shared" si="92"/>
        <v>36605</v>
      </c>
      <c r="D482" s="1">
        <f t="shared" si="101"/>
        <v>0</v>
      </c>
      <c r="E482" s="3">
        <f t="array" ref="E482">INDEX($A$9:A481, MAX(IF($D$9:D481=1, ROW(D$9:$D481)-ROW($D$9)+1, 0)))</f>
        <v>46741</v>
      </c>
      <c r="F482" s="23">
        <f t="shared" si="93"/>
        <v>1.8097193702943191</v>
      </c>
      <c r="G482" s="5">
        <f>INDEX('Default Prob'!$P$5:$P$14,MIN(1+_xlfn.IFNA(MATCH(F482,'Default Prob'!$F$5:$F$14,1),0),COUNT('Default Prob'!$P$5:$P$14)))</f>
        <v>1.6062593678540758E-2</v>
      </c>
      <c r="H482" s="5">
        <f t="shared" si="102"/>
        <v>0.96147191607109006</v>
      </c>
      <c r="I482" s="24">
        <f t="shared" si="103"/>
        <v>4.2283565531930911E-5</v>
      </c>
      <c r="J482" s="25">
        <f>INDEX('Default Prob'!$C$3:$C$13, _xlfn.IFNA(MATCH(F482, 'Default Prob'!$B$3:$B$13, 1), 1))</f>
        <v>1.9099999999999999E-2</v>
      </c>
      <c r="K482" s="26">
        <f t="shared" si="94"/>
        <v>0.96633986250953741</v>
      </c>
      <c r="L482" s="27">
        <f t="shared" ca="1" si="95"/>
        <v>0</v>
      </c>
      <c r="M482" s="27">
        <f t="shared" ca="1" si="96"/>
        <v>1625.2936475835495</v>
      </c>
      <c r="N482" s="28">
        <f t="shared" ca="1" si="97"/>
        <v>6.6409977743487336E-2</v>
      </c>
      <c r="O482" s="29">
        <f t="shared" ca="1" si="98"/>
        <v>600000</v>
      </c>
      <c r="P482" s="30">
        <f t="shared" ca="1" si="99"/>
        <v>24.516176941523479</v>
      </c>
    </row>
    <row r="483" spans="1:16" x14ac:dyDescent="0.25">
      <c r="A483" s="3">
        <f t="shared" si="100"/>
        <v>46787</v>
      </c>
      <c r="B483" s="21">
        <f t="shared" si="91"/>
        <v>36560</v>
      </c>
      <c r="C483" s="21">
        <f t="shared" si="92"/>
        <v>36605</v>
      </c>
      <c r="D483" s="1">
        <f t="shared" si="101"/>
        <v>0</v>
      </c>
      <c r="E483" s="3">
        <f t="array" ref="E483">INDEX($A$9:A482, MAX(IF($D$9:D482=1, ROW(D$9:$D482)-ROW($D$9)+1, 0)))</f>
        <v>46741</v>
      </c>
      <c r="F483" s="23">
        <f t="shared" si="93"/>
        <v>1.8124572210814511</v>
      </c>
      <c r="G483" s="5">
        <f>INDEX('Default Prob'!$P$5:$P$14,MIN(1+_xlfn.IFNA(MATCH(F483,'Default Prob'!$F$5:$F$14,1),0),COUNT('Default Prob'!$P$5:$P$14)))</f>
        <v>1.6062593678540758E-2</v>
      </c>
      <c r="H483" s="5">
        <f t="shared" si="102"/>
        <v>0.96142963436502094</v>
      </c>
      <c r="I483" s="24">
        <f t="shared" si="103"/>
        <v>4.2281706069124958E-5</v>
      </c>
      <c r="J483" s="25">
        <f>INDEX('Default Prob'!$C$3:$C$13, _xlfn.IFNA(MATCH(F483, 'Default Prob'!$B$3:$B$13, 1), 1))</f>
        <v>1.9099999999999999E-2</v>
      </c>
      <c r="K483" s="26">
        <f t="shared" si="94"/>
        <v>0.9662898075734494</v>
      </c>
      <c r="L483" s="27">
        <f t="shared" ca="1" si="95"/>
        <v>0</v>
      </c>
      <c r="M483" s="27">
        <f t="shared" ca="1" si="96"/>
        <v>1661.4112841965173</v>
      </c>
      <c r="N483" s="28">
        <f t="shared" ca="1" si="97"/>
        <v>6.7879253457252944E-2</v>
      </c>
      <c r="O483" s="29">
        <f t="shared" ca="1" si="98"/>
        <v>600000</v>
      </c>
      <c r="P483" s="30">
        <f t="shared" ca="1" si="99"/>
        <v>24.513828972847143</v>
      </c>
    </row>
    <row r="484" spans="1:16" x14ac:dyDescent="0.25">
      <c r="A484" s="3">
        <f t="shared" si="100"/>
        <v>46790</v>
      </c>
      <c r="B484" s="21">
        <f t="shared" si="91"/>
        <v>36563</v>
      </c>
      <c r="C484" s="21">
        <f t="shared" si="92"/>
        <v>36605</v>
      </c>
      <c r="D484" s="1">
        <f t="shared" si="101"/>
        <v>0</v>
      </c>
      <c r="E484" s="3">
        <f t="array" ref="E484">INDEX($A$9:A483, MAX(IF($D$9:D483=1, ROW(D$9:$D483)-ROW($D$9)+1, 0)))</f>
        <v>46741</v>
      </c>
      <c r="F484" s="23">
        <f t="shared" si="93"/>
        <v>1.8206707734428473</v>
      </c>
      <c r="G484" s="5">
        <f>INDEX('Default Prob'!$P$5:$P$14,MIN(1+_xlfn.IFNA(MATCH(F484,'Default Prob'!$F$5:$F$14,1),0),COUNT('Default Prob'!$P$5:$P$14)))</f>
        <v>1.6062593678540758E-2</v>
      </c>
      <c r="H484" s="5">
        <f t="shared" si="102"/>
        <v>0.96130280040277283</v>
      </c>
      <c r="I484" s="24">
        <f t="shared" si="103"/>
        <v>1.2683396224810739E-4</v>
      </c>
      <c r="J484" s="25">
        <f>INDEX('Default Prob'!$C$3:$C$13, _xlfn.IFNA(MATCH(F484, 'Default Prob'!$B$3:$B$13, 1), 1))</f>
        <v>1.9099999999999999E-2</v>
      </c>
      <c r="K484" s="26">
        <f t="shared" si="94"/>
        <v>0.96613965832126558</v>
      </c>
      <c r="L484" s="27">
        <f t="shared" ca="1" si="95"/>
        <v>0</v>
      </c>
      <c r="M484" s="27">
        <f t="shared" ca="1" si="96"/>
        <v>1769.7641940354208</v>
      </c>
      <c r="N484" s="28">
        <f t="shared" ca="1" si="97"/>
        <v>0.21686570257858076</v>
      </c>
      <c r="O484" s="29">
        <f t="shared" ca="1" si="98"/>
        <v>600000</v>
      </c>
      <c r="P484" s="30">
        <f t="shared" ca="1" si="99"/>
        <v>73.523592569951276</v>
      </c>
    </row>
    <row r="485" spans="1:16" x14ac:dyDescent="0.25">
      <c r="A485" s="3">
        <f t="shared" si="100"/>
        <v>46791</v>
      </c>
      <c r="B485" s="21">
        <f t="shared" si="91"/>
        <v>36564</v>
      </c>
      <c r="C485" s="21">
        <f t="shared" si="92"/>
        <v>36605</v>
      </c>
      <c r="D485" s="1">
        <f t="shared" si="101"/>
        <v>0</v>
      </c>
      <c r="E485" s="3">
        <f t="array" ref="E485">INDEX($A$9:A484, MAX(IF($D$9:D484=1, ROW(D$9:$D484)-ROW($D$9)+1, 0)))</f>
        <v>46741</v>
      </c>
      <c r="F485" s="23">
        <f t="shared" si="93"/>
        <v>1.8234086242299794</v>
      </c>
      <c r="G485" s="5">
        <f>INDEX('Default Prob'!$P$5:$P$14,MIN(1+_xlfn.IFNA(MATCH(F485,'Default Prob'!$F$5:$F$14,1),0),COUNT('Default Prob'!$P$5:$P$14)))</f>
        <v>1.6062593678540758E-2</v>
      </c>
      <c r="H485" s="5">
        <f t="shared" si="102"/>
        <v>0.96126052613373736</v>
      </c>
      <c r="I485" s="24">
        <f t="shared" si="103"/>
        <v>4.2274269035469381E-5</v>
      </c>
      <c r="J485" s="25">
        <f>INDEX('Default Prob'!$C$3:$C$13, _xlfn.IFNA(MATCH(F485, 'Default Prob'!$B$3:$B$13, 1), 1))</f>
        <v>1.9099999999999999E-2</v>
      </c>
      <c r="K485" s="26">
        <f t="shared" si="94"/>
        <v>0.96608961375545022</v>
      </c>
      <c r="L485" s="27">
        <f t="shared" ca="1" si="95"/>
        <v>0</v>
      </c>
      <c r="M485" s="27">
        <f t="shared" ca="1" si="96"/>
        <v>1805.8818306483884</v>
      </c>
      <c r="N485" s="28">
        <f t="shared" ca="1" si="97"/>
        <v>7.3753536310304055E-2</v>
      </c>
      <c r="O485" s="29">
        <f t="shared" ca="1" si="98"/>
        <v>600000</v>
      </c>
      <c r="P485" s="30">
        <f t="shared" ca="1" si="99"/>
        <v>24.504439346562361</v>
      </c>
    </row>
    <row r="486" spans="1:16" x14ac:dyDescent="0.25">
      <c r="A486" s="3">
        <f t="shared" si="100"/>
        <v>46792</v>
      </c>
      <c r="B486" s="21">
        <f t="shared" si="91"/>
        <v>36565</v>
      </c>
      <c r="C486" s="21">
        <f t="shared" si="92"/>
        <v>36605</v>
      </c>
      <c r="D486" s="1">
        <f t="shared" si="101"/>
        <v>0</v>
      </c>
      <c r="E486" s="3">
        <f t="array" ref="E486">INDEX($A$9:A485, MAX(IF($D$9:D485=1, ROW(D$9:$D485)-ROW($D$9)+1, 0)))</f>
        <v>46741</v>
      </c>
      <c r="F486" s="23">
        <f t="shared" si="93"/>
        <v>1.8261464750171115</v>
      </c>
      <c r="G486" s="5">
        <f>INDEX('Default Prob'!$P$5:$P$14,MIN(1+_xlfn.IFNA(MATCH(F486,'Default Prob'!$F$5:$F$14,1),0),COUNT('Default Prob'!$P$5:$P$14)))</f>
        <v>1.6062593678540758E-2</v>
      </c>
      <c r="H486" s="5">
        <f t="shared" si="102"/>
        <v>0.96121825372375591</v>
      </c>
      <c r="I486" s="24">
        <f t="shared" si="103"/>
        <v>4.2272409981447545E-5</v>
      </c>
      <c r="J486" s="25">
        <f>INDEX('Default Prob'!$C$3:$C$13, _xlfn.IFNA(MATCH(F486, 'Default Prob'!$B$3:$B$13, 1), 1))</f>
        <v>1.9099999999999999E-2</v>
      </c>
      <c r="K486" s="26">
        <f t="shared" si="94"/>
        <v>0.96603957178186728</v>
      </c>
      <c r="L486" s="27">
        <f t="shared" ca="1" si="95"/>
        <v>0</v>
      </c>
      <c r="M486" s="27">
        <f t="shared" ca="1" si="96"/>
        <v>1841.9994672613561</v>
      </c>
      <c r="N486" s="28">
        <f t="shared" ca="1" si="97"/>
        <v>7.5221402225784592E-2</v>
      </c>
      <c r="O486" s="29">
        <f t="shared" ca="1" si="98"/>
        <v>600000</v>
      </c>
      <c r="P486" s="30">
        <f t="shared" ca="1" si="99"/>
        <v>24.502092501999073</v>
      </c>
    </row>
    <row r="487" spans="1:16" x14ac:dyDescent="0.25">
      <c r="A487" s="3">
        <f t="shared" si="100"/>
        <v>46793</v>
      </c>
      <c r="B487" s="21">
        <f t="shared" si="91"/>
        <v>36566</v>
      </c>
      <c r="C487" s="21">
        <f t="shared" si="92"/>
        <v>36605</v>
      </c>
      <c r="D487" s="1">
        <f t="shared" si="101"/>
        <v>0</v>
      </c>
      <c r="E487" s="3">
        <f t="array" ref="E487">INDEX($A$9:A486, MAX(IF($D$9:D486=1, ROW(D$9:$D486)-ROW($D$9)+1, 0)))</f>
        <v>46741</v>
      </c>
      <c r="F487" s="23">
        <f t="shared" si="93"/>
        <v>1.8288843258042438</v>
      </c>
      <c r="G487" s="5">
        <f>INDEX('Default Prob'!$P$5:$P$14,MIN(1+_xlfn.IFNA(MATCH(F487,'Default Prob'!$F$5:$F$14,1),0),COUNT('Default Prob'!$P$5:$P$14)))</f>
        <v>1.6062593678540758E-2</v>
      </c>
      <c r="H487" s="5">
        <f t="shared" si="102"/>
        <v>0.96117598317274666</v>
      </c>
      <c r="I487" s="24">
        <f t="shared" si="103"/>
        <v>4.2270551009249147E-5</v>
      </c>
      <c r="J487" s="25">
        <f>INDEX('Default Prob'!$C$3:$C$13, _xlfn.IFNA(MATCH(F487, 'Default Prob'!$B$3:$B$13, 1), 1))</f>
        <v>1.9099999999999999E-2</v>
      </c>
      <c r="K487" s="26">
        <f t="shared" si="94"/>
        <v>0.96598953240038232</v>
      </c>
      <c r="L487" s="27">
        <f t="shared" ca="1" si="95"/>
        <v>0</v>
      </c>
      <c r="M487" s="27">
        <f t="shared" ca="1" si="96"/>
        <v>1878.1171038743239</v>
      </c>
      <c r="N487" s="28">
        <f t="shared" ca="1" si="97"/>
        <v>7.6688986303344933E-2</v>
      </c>
      <c r="O487" s="29">
        <f t="shared" ca="1" si="98"/>
        <v>600000</v>
      </c>
      <c r="P487" s="30">
        <f t="shared" ca="1" si="99"/>
        <v>24.499745882238656</v>
      </c>
    </row>
    <row r="488" spans="1:16" x14ac:dyDescent="0.25">
      <c r="A488" s="3">
        <f t="shared" si="100"/>
        <v>46794</v>
      </c>
      <c r="B488" s="21">
        <f t="shared" si="91"/>
        <v>36567</v>
      </c>
      <c r="C488" s="21">
        <f t="shared" si="92"/>
        <v>36605</v>
      </c>
      <c r="D488" s="1">
        <f t="shared" si="101"/>
        <v>0</v>
      </c>
      <c r="E488" s="3">
        <f t="array" ref="E488">INDEX($A$9:A487, MAX(IF($D$9:D487=1, ROW(D$9:$D487)-ROW($D$9)+1, 0)))</f>
        <v>46741</v>
      </c>
      <c r="F488" s="23">
        <f t="shared" si="93"/>
        <v>1.8316221765913758</v>
      </c>
      <c r="G488" s="5">
        <f>INDEX('Default Prob'!$P$5:$P$14,MIN(1+_xlfn.IFNA(MATCH(F488,'Default Prob'!$F$5:$F$14,1),0),COUNT('Default Prob'!$P$5:$P$14)))</f>
        <v>1.6062593678540758E-2</v>
      </c>
      <c r="H488" s="5">
        <f t="shared" si="102"/>
        <v>0.9611337144806279</v>
      </c>
      <c r="I488" s="24">
        <f t="shared" si="103"/>
        <v>4.2268692118763163E-5</v>
      </c>
      <c r="J488" s="25">
        <f>INDEX('Default Prob'!$C$3:$C$13, _xlfn.IFNA(MATCH(F488, 'Default Prob'!$B$3:$B$13, 1), 1))</f>
        <v>1.9099999999999999E-2</v>
      </c>
      <c r="K488" s="26">
        <f t="shared" si="94"/>
        <v>0.96593949561086145</v>
      </c>
      <c r="L488" s="27">
        <f t="shared" ca="1" si="95"/>
        <v>0</v>
      </c>
      <c r="M488" s="27">
        <f t="shared" ca="1" si="96"/>
        <v>1914.2347404872917</v>
      </c>
      <c r="N488" s="28">
        <f t="shared" ca="1" si="97"/>
        <v>7.8156288583314484E-2</v>
      </c>
      <c r="O488" s="29">
        <f t="shared" ca="1" si="98"/>
        <v>600000</v>
      </c>
      <c r="P488" s="30">
        <f t="shared" ca="1" si="99"/>
        <v>24.497399487197331</v>
      </c>
    </row>
    <row r="489" spans="1:16" x14ac:dyDescent="0.25">
      <c r="A489" s="3">
        <f t="shared" si="100"/>
        <v>46797</v>
      </c>
      <c r="B489" s="21">
        <f t="shared" si="91"/>
        <v>36570</v>
      </c>
      <c r="C489" s="21">
        <f t="shared" si="92"/>
        <v>36605</v>
      </c>
      <c r="D489" s="1">
        <f t="shared" si="101"/>
        <v>0</v>
      </c>
      <c r="E489" s="3">
        <f t="array" ref="E489">INDEX($A$9:A488, MAX(IF($D$9:D488=1, ROW(D$9:$D488)-ROW($D$9)+1, 0)))</f>
        <v>46741</v>
      </c>
      <c r="F489" s="23">
        <f t="shared" si="93"/>
        <v>1.839835728952772</v>
      </c>
      <c r="G489" s="5">
        <f>INDEX('Default Prob'!$P$5:$P$14,MIN(1+_xlfn.IFNA(MATCH(F489,'Default Prob'!$F$5:$F$14,1),0),COUNT('Default Prob'!$P$5:$P$14)))</f>
        <v>1.6062593678540758E-2</v>
      </c>
      <c r="H489" s="5">
        <f t="shared" si="102"/>
        <v>0.96100691955679729</v>
      </c>
      <c r="I489" s="24">
        <f t="shared" si="103"/>
        <v>1.2679492383060875E-4</v>
      </c>
      <c r="J489" s="25">
        <f>INDEX('Default Prob'!$C$3:$C$13, _xlfn.IFNA(MATCH(F489, 'Default Prob'!$B$3:$B$13, 1), 1))</f>
        <v>1.9099999999999999E-2</v>
      </c>
      <c r="K489" s="26">
        <f t="shared" si="94"/>
        <v>0.96578940079273956</v>
      </c>
      <c r="L489" s="27">
        <f t="shared" ca="1" si="95"/>
        <v>0</v>
      </c>
      <c r="M489" s="27">
        <f t="shared" ca="1" si="96"/>
        <v>2022.587650326195</v>
      </c>
      <c r="N489" s="28">
        <f t="shared" ca="1" si="97"/>
        <v>0.24768040728677876</v>
      </c>
      <c r="O489" s="29">
        <f t="shared" ca="1" si="98"/>
        <v>600000</v>
      </c>
      <c r="P489" s="30">
        <f t="shared" ca="1" si="99"/>
        <v>73.474316105954813</v>
      </c>
    </row>
    <row r="490" spans="1:16" x14ac:dyDescent="0.25">
      <c r="A490" s="3">
        <f t="shared" si="100"/>
        <v>46798</v>
      </c>
      <c r="B490" s="21">
        <f t="shared" si="91"/>
        <v>36571</v>
      </c>
      <c r="C490" s="21">
        <f t="shared" si="92"/>
        <v>36605</v>
      </c>
      <c r="D490" s="1">
        <f t="shared" si="101"/>
        <v>0</v>
      </c>
      <c r="E490" s="3">
        <f t="array" ref="E490">INDEX($A$9:A489, MAX(IF($D$9:D489=1, ROW(D$9:$D489)-ROW($D$9)+1, 0)))</f>
        <v>46741</v>
      </c>
      <c r="F490" s="23">
        <f t="shared" si="93"/>
        <v>1.8425735797399041</v>
      </c>
      <c r="G490" s="5">
        <f>INDEX('Default Prob'!$P$5:$P$14,MIN(1+_xlfn.IFNA(MATCH(F490,'Default Prob'!$F$5:$F$14,1),0),COUNT('Default Prob'!$P$5:$P$14)))</f>
        <v>1.6062593678540758E-2</v>
      </c>
      <c r="H490" s="5">
        <f t="shared" si="102"/>
        <v>0.96096465829942312</v>
      </c>
      <c r="I490" s="24">
        <f t="shared" si="103"/>
        <v>4.2261257374165417E-5</v>
      </c>
      <c r="J490" s="25">
        <f>INDEX('Default Prob'!$C$3:$C$13, _xlfn.IFNA(MATCH(F490, 'Default Prob'!$B$3:$B$13, 1), 1))</f>
        <v>1.9099999999999999E-2</v>
      </c>
      <c r="K490" s="26">
        <f t="shared" si="94"/>
        <v>0.9657393743697319</v>
      </c>
      <c r="L490" s="27">
        <f t="shared" ca="1" si="95"/>
        <v>0</v>
      </c>
      <c r="M490" s="27">
        <f t="shared" ca="1" si="96"/>
        <v>2058.7052869391628</v>
      </c>
      <c r="N490" s="28">
        <f t="shared" ca="1" si="97"/>
        <v>8.4022680538024863E-2</v>
      </c>
      <c r="O490" s="29">
        <f t="shared" ca="1" si="98"/>
        <v>600000</v>
      </c>
      <c r="P490" s="30">
        <f t="shared" ca="1" si="99"/>
        <v>24.488016153962839</v>
      </c>
    </row>
    <row r="491" spans="1:16" x14ac:dyDescent="0.25">
      <c r="A491" s="3">
        <f t="shared" si="100"/>
        <v>46799</v>
      </c>
      <c r="B491" s="21">
        <f t="shared" si="91"/>
        <v>36572</v>
      </c>
      <c r="C491" s="21">
        <f t="shared" si="92"/>
        <v>36605</v>
      </c>
      <c r="D491" s="1">
        <f t="shared" si="101"/>
        <v>0</v>
      </c>
      <c r="E491" s="3">
        <f t="array" ref="E491">INDEX($A$9:A490, MAX(IF($D$9:D490=1, ROW(D$9:$D490)-ROW($D$9)+1, 0)))</f>
        <v>46741</v>
      </c>
      <c r="F491" s="23">
        <f t="shared" si="93"/>
        <v>1.8453114305270362</v>
      </c>
      <c r="G491" s="5">
        <f>INDEX('Default Prob'!$P$5:$P$14,MIN(1+_xlfn.IFNA(MATCH(F491,'Default Prob'!$F$5:$F$14,1),0),COUNT('Default Prob'!$P$5:$P$14)))</f>
        <v>1.6062593678540758E-2</v>
      </c>
      <c r="H491" s="5">
        <f t="shared" si="102"/>
        <v>0.96092239890053077</v>
      </c>
      <c r="I491" s="24">
        <f t="shared" si="103"/>
        <v>4.2259398892352529E-5</v>
      </c>
      <c r="J491" s="25">
        <f>INDEX('Default Prob'!$C$3:$C$13, _xlfn.IFNA(MATCH(F491, 'Default Prob'!$B$3:$B$13, 1), 1))</f>
        <v>1.9099999999999999E-2</v>
      </c>
      <c r="K491" s="26">
        <f t="shared" si="94"/>
        <v>0.96568935053801663</v>
      </c>
      <c r="L491" s="27">
        <f t="shared" ca="1" si="95"/>
        <v>0</v>
      </c>
      <c r="M491" s="27">
        <f t="shared" ca="1" si="96"/>
        <v>2094.8229235521303</v>
      </c>
      <c r="N491" s="28">
        <f t="shared" ca="1" si="97"/>
        <v>8.5488574437955753E-2</v>
      </c>
      <c r="O491" s="29">
        <f t="shared" ca="1" si="98"/>
        <v>600000</v>
      </c>
      <c r="P491" s="30">
        <f t="shared" ca="1" si="99"/>
        <v>24.485670882289735</v>
      </c>
    </row>
    <row r="492" spans="1:16" x14ac:dyDescent="0.25">
      <c r="A492" s="3">
        <f t="shared" si="100"/>
        <v>46800</v>
      </c>
      <c r="B492" s="21">
        <f t="shared" si="91"/>
        <v>36573</v>
      </c>
      <c r="C492" s="21">
        <f t="shared" si="92"/>
        <v>36605</v>
      </c>
      <c r="D492" s="1">
        <f t="shared" si="101"/>
        <v>0</v>
      </c>
      <c r="E492" s="3">
        <f t="array" ref="E492">INDEX($A$9:A491, MAX(IF($D$9:D491=1, ROW(D$9:$D491)-ROW($D$9)+1, 0)))</f>
        <v>46741</v>
      </c>
      <c r="F492" s="23">
        <f t="shared" si="93"/>
        <v>1.8480492813141685</v>
      </c>
      <c r="G492" s="5">
        <f>INDEX('Default Prob'!$P$5:$P$14,MIN(1+_xlfn.IFNA(MATCH(F492,'Default Prob'!$F$5:$F$14,1),0),COUNT('Default Prob'!$P$5:$P$14)))</f>
        <v>1.6062593678540758E-2</v>
      </c>
      <c r="H492" s="5">
        <f t="shared" si="102"/>
        <v>0.96088014136003852</v>
      </c>
      <c r="I492" s="24">
        <f t="shared" si="103"/>
        <v>4.2257540492252055E-5</v>
      </c>
      <c r="J492" s="25">
        <f>INDEX('Default Prob'!$C$3:$C$13, _xlfn.IFNA(MATCH(F492, 'Default Prob'!$B$3:$B$13, 1), 1))</f>
        <v>1.9099999999999999E-2</v>
      </c>
      <c r="K492" s="26">
        <f t="shared" si="94"/>
        <v>0.96563932929745988</v>
      </c>
      <c r="L492" s="27">
        <f t="shared" ca="1" si="95"/>
        <v>0</v>
      </c>
      <c r="M492" s="27">
        <f t="shared" ca="1" si="96"/>
        <v>2130.9405601650983</v>
      </c>
      <c r="N492" s="28">
        <f t="shared" ca="1" si="97"/>
        <v>8.6954186783344073E-2</v>
      </c>
      <c r="O492" s="29">
        <f t="shared" ca="1" si="98"/>
        <v>600000</v>
      </c>
      <c r="P492" s="30">
        <f t="shared" ca="1" si="99"/>
        <v>24.483325835219116</v>
      </c>
    </row>
    <row r="493" spans="1:16" x14ac:dyDescent="0.25">
      <c r="A493" s="3">
        <f t="shared" si="100"/>
        <v>46801</v>
      </c>
      <c r="B493" s="21">
        <f t="shared" si="91"/>
        <v>36574</v>
      </c>
      <c r="C493" s="21">
        <f t="shared" si="92"/>
        <v>36605</v>
      </c>
      <c r="D493" s="1">
        <f t="shared" si="101"/>
        <v>0</v>
      </c>
      <c r="E493" s="3">
        <f t="array" ref="E493">INDEX($A$9:A492, MAX(IF($D$9:D492=1, ROW(D$9:$D492)-ROW($D$9)+1, 0)))</f>
        <v>46741</v>
      </c>
      <c r="F493" s="23">
        <f t="shared" si="93"/>
        <v>1.8507871321013005</v>
      </c>
      <c r="G493" s="5">
        <f>INDEX('Default Prob'!$P$5:$P$14,MIN(1+_xlfn.IFNA(MATCH(F493,'Default Prob'!$F$5:$F$14,1),0),COUNT('Default Prob'!$P$5:$P$14)))</f>
        <v>1.6062593678540758E-2</v>
      </c>
      <c r="H493" s="5">
        <f t="shared" si="102"/>
        <v>0.96083788567786466</v>
      </c>
      <c r="I493" s="24">
        <f t="shared" si="103"/>
        <v>4.2255682173863995E-5</v>
      </c>
      <c r="J493" s="25">
        <f>INDEX('Default Prob'!$C$3:$C$13, _xlfn.IFNA(MATCH(F493, 'Default Prob'!$B$3:$B$13, 1), 1))</f>
        <v>1.9099999999999999E-2</v>
      </c>
      <c r="K493" s="26">
        <f t="shared" si="94"/>
        <v>0.96558931064792741</v>
      </c>
      <c r="L493" s="27">
        <f t="shared" ca="1" si="95"/>
        <v>0</v>
      </c>
      <c r="M493" s="27">
        <f t="shared" ca="1" si="96"/>
        <v>2167.0581967780658</v>
      </c>
      <c r="N493" s="28">
        <f t="shared" ca="1" si="97"/>
        <v>8.8419517614680157E-2</v>
      </c>
      <c r="O493" s="29">
        <f t="shared" ca="1" si="98"/>
        <v>600000</v>
      </c>
      <c r="P493" s="30">
        <f t="shared" ca="1" si="99"/>
        <v>24.480981012731551</v>
      </c>
    </row>
    <row r="494" spans="1:16" x14ac:dyDescent="0.25">
      <c r="A494" s="3">
        <f t="shared" si="100"/>
        <v>46804</v>
      </c>
      <c r="B494" s="21">
        <f t="shared" si="91"/>
        <v>36577</v>
      </c>
      <c r="C494" s="21">
        <f t="shared" si="92"/>
        <v>36605</v>
      </c>
      <c r="D494" s="1">
        <f t="shared" si="101"/>
        <v>0</v>
      </c>
      <c r="E494" s="3">
        <f t="array" ref="E494">INDEX($A$9:A493, MAX(IF($D$9:D493=1, ROW(D$9:$D493)-ROW($D$9)+1, 0)))</f>
        <v>46741</v>
      </c>
      <c r="F494" s="23">
        <f t="shared" si="93"/>
        <v>1.8590006844626967</v>
      </c>
      <c r="G494" s="5">
        <f>INDEX('Default Prob'!$P$5:$P$14,MIN(1+_xlfn.IFNA(MATCH(F494,'Default Prob'!$F$5:$F$14,1),0),COUNT('Default Prob'!$P$5:$P$14)))</f>
        <v>1.6062593678540758E-2</v>
      </c>
      <c r="H494" s="5">
        <f t="shared" si="102"/>
        <v>0.96071112978043582</v>
      </c>
      <c r="I494" s="24">
        <f t="shared" si="103"/>
        <v>1.2675589742883187E-4</v>
      </c>
      <c r="J494" s="25">
        <f>INDEX('Default Prob'!$C$3:$C$13, _xlfn.IFNA(MATCH(F494, 'Default Prob'!$B$3:$B$13, 1), 1))</f>
        <v>1.9099999999999999E-2</v>
      </c>
      <c r="K494" s="26">
        <f t="shared" si="94"/>
        <v>0.96543927024413334</v>
      </c>
      <c r="L494" s="27">
        <f t="shared" ca="1" si="95"/>
        <v>0</v>
      </c>
      <c r="M494" s="27">
        <f t="shared" ca="1" si="96"/>
        <v>2275.4111066169694</v>
      </c>
      <c r="N494" s="28">
        <f t="shared" ca="1" si="97"/>
        <v>0.2784537097537339</v>
      </c>
      <c r="O494" s="29">
        <f t="shared" ca="1" si="98"/>
        <v>600000</v>
      </c>
      <c r="P494" s="30">
        <f t="shared" ca="1" si="99"/>
        <v>73.425072667698984</v>
      </c>
    </row>
    <row r="495" spans="1:16" x14ac:dyDescent="0.25">
      <c r="A495" s="3">
        <f t="shared" si="100"/>
        <v>46805</v>
      </c>
      <c r="B495" s="21">
        <f t="shared" si="91"/>
        <v>36578</v>
      </c>
      <c r="C495" s="21">
        <f t="shared" si="92"/>
        <v>36605</v>
      </c>
      <c r="D495" s="1">
        <f t="shared" si="101"/>
        <v>0</v>
      </c>
      <c r="E495" s="3">
        <f t="array" ref="E495">INDEX($A$9:A494, MAX(IF($D$9:D494=1, ROW(D$9:$D494)-ROW($D$9)+1, 0)))</f>
        <v>46741</v>
      </c>
      <c r="F495" s="23">
        <f t="shared" si="93"/>
        <v>1.8617385352498288</v>
      </c>
      <c r="G495" s="5">
        <f>INDEX('Default Prob'!$P$5:$P$14,MIN(1+_xlfn.IFNA(MATCH(F495,'Default Prob'!$F$5:$F$14,1),0),COUNT('Default Prob'!$P$5:$P$14)))</f>
        <v>1.6062593678540758E-2</v>
      </c>
      <c r="H495" s="5">
        <f t="shared" si="102"/>
        <v>0.96066888153071817</v>
      </c>
      <c r="I495" s="24">
        <f t="shared" si="103"/>
        <v>4.2248249717657949E-5</v>
      </c>
      <c r="J495" s="25">
        <f>INDEX('Default Prob'!$C$3:$C$13, _xlfn.IFNA(MATCH(F495, 'Default Prob'!$B$3:$B$13, 1), 1))</f>
        <v>1.9099999999999999E-2</v>
      </c>
      <c r="K495" s="26">
        <f t="shared" si="94"/>
        <v>0.96538926195735564</v>
      </c>
      <c r="L495" s="27">
        <f t="shared" ca="1" si="95"/>
        <v>0</v>
      </c>
      <c r="M495" s="27">
        <f t="shared" ca="1" si="96"/>
        <v>2311.5287432299369</v>
      </c>
      <c r="N495" s="28">
        <f t="shared" ca="1" si="97"/>
        <v>9.4278026609642074E-2</v>
      </c>
      <c r="O495" s="29">
        <f t="shared" ca="1" si="98"/>
        <v>600000</v>
      </c>
      <c r="P495" s="30">
        <f t="shared" ca="1" si="99"/>
        <v>24.471603968351918</v>
      </c>
    </row>
    <row r="496" spans="1:16" x14ac:dyDescent="0.25">
      <c r="A496" s="3">
        <f t="shared" si="100"/>
        <v>46806</v>
      </c>
      <c r="B496" s="21">
        <f t="shared" si="91"/>
        <v>36579</v>
      </c>
      <c r="C496" s="21">
        <f t="shared" si="92"/>
        <v>36605</v>
      </c>
      <c r="D496" s="1">
        <f t="shared" si="101"/>
        <v>0</v>
      </c>
      <c r="E496" s="3">
        <f t="array" ref="E496">INDEX($A$9:A495, MAX(IF($D$9:D495=1, ROW(D$9:$D495)-ROW($D$9)+1, 0)))</f>
        <v>46741</v>
      </c>
      <c r="F496" s="23">
        <f t="shared" si="93"/>
        <v>1.8644763860369611</v>
      </c>
      <c r="G496" s="5">
        <f>INDEX('Default Prob'!$P$5:$P$14,MIN(1+_xlfn.IFNA(MATCH(F496,'Default Prob'!$F$5:$F$14,1),0),COUNT('Default Prob'!$P$5:$P$14)))</f>
        <v>1.6062593678540758E-2</v>
      </c>
      <c r="H496" s="5">
        <f t="shared" si="102"/>
        <v>0.96062663513891022</v>
      </c>
      <c r="I496" s="24">
        <f t="shared" si="103"/>
        <v>4.2246391807942985E-5</v>
      </c>
      <c r="J496" s="25">
        <f>INDEX('Default Prob'!$C$3:$C$13, _xlfn.IFNA(MATCH(F496, 'Default Prob'!$B$3:$B$13, 1), 1))</f>
        <v>1.9099999999999999E-2</v>
      </c>
      <c r="K496" s="26">
        <f t="shared" si="94"/>
        <v>0.96533925626093142</v>
      </c>
      <c r="L496" s="27">
        <f t="shared" ca="1" si="95"/>
        <v>0</v>
      </c>
      <c r="M496" s="27">
        <f t="shared" ca="1" si="96"/>
        <v>2347.6463798429049</v>
      </c>
      <c r="N496" s="28">
        <f t="shared" ca="1" si="97"/>
        <v>9.5741950478168705E-2</v>
      </c>
      <c r="O496" s="29">
        <f t="shared" ca="1" si="98"/>
        <v>600000</v>
      </c>
      <c r="P496" s="30">
        <f t="shared" ca="1" si="99"/>
        <v>24.469260268552553</v>
      </c>
    </row>
    <row r="497" spans="1:16" x14ac:dyDescent="0.25">
      <c r="A497" s="3">
        <f t="shared" si="100"/>
        <v>46807</v>
      </c>
      <c r="B497" s="21">
        <f t="shared" si="91"/>
        <v>36580</v>
      </c>
      <c r="C497" s="21">
        <f t="shared" si="92"/>
        <v>36605</v>
      </c>
      <c r="D497" s="1">
        <f t="shared" si="101"/>
        <v>0</v>
      </c>
      <c r="E497" s="3">
        <f t="array" ref="E497">INDEX($A$9:A496, MAX(IF($D$9:D496=1, ROW(D$9:$D496)-ROW($D$9)+1, 0)))</f>
        <v>46741</v>
      </c>
      <c r="F497" s="23">
        <f t="shared" si="93"/>
        <v>1.8672142368240932</v>
      </c>
      <c r="G497" s="5">
        <f>INDEX('Default Prob'!$P$5:$P$14,MIN(1+_xlfn.IFNA(MATCH(F497,'Default Prob'!$F$5:$F$14,1),0),COUNT('Default Prob'!$P$5:$P$14)))</f>
        <v>1.6062593678540758E-2</v>
      </c>
      <c r="H497" s="5">
        <f t="shared" si="102"/>
        <v>0.96058439060493039</v>
      </c>
      <c r="I497" s="24">
        <f t="shared" si="103"/>
        <v>4.2244533979829413E-5</v>
      </c>
      <c r="J497" s="25">
        <f>INDEX('Default Prob'!$C$3:$C$13, _xlfn.IFNA(MATCH(F497, 'Default Prob'!$B$3:$B$13, 1), 1))</f>
        <v>1.9099999999999999E-2</v>
      </c>
      <c r="K497" s="26">
        <f t="shared" si="94"/>
        <v>0.96528925315472625</v>
      </c>
      <c r="L497" s="27">
        <f t="shared" ca="1" si="95"/>
        <v>0</v>
      </c>
      <c r="M497" s="27">
        <f t="shared" ca="1" si="96"/>
        <v>2383.7640164558725</v>
      </c>
      <c r="N497" s="28">
        <f t="shared" ca="1" si="97"/>
        <v>9.7205593075239557E-2</v>
      </c>
      <c r="O497" s="29">
        <f t="shared" ca="1" si="98"/>
        <v>600000</v>
      </c>
      <c r="P497" s="30">
        <f t="shared" ca="1" si="99"/>
        <v>24.466916793155395</v>
      </c>
    </row>
    <row r="498" spans="1:16" x14ac:dyDescent="0.25">
      <c r="A498" s="3">
        <f t="shared" si="100"/>
        <v>46808</v>
      </c>
      <c r="B498" s="21">
        <f t="shared" si="91"/>
        <v>36581</v>
      </c>
      <c r="C498" s="21">
        <f t="shared" si="92"/>
        <v>36605</v>
      </c>
      <c r="D498" s="1">
        <f t="shared" si="101"/>
        <v>0</v>
      </c>
      <c r="E498" s="3">
        <f t="array" ref="E498">INDEX($A$9:A497, MAX(IF($D$9:D497=1, ROW(D$9:$D497)-ROW($D$9)+1, 0)))</f>
        <v>46741</v>
      </c>
      <c r="F498" s="23">
        <f t="shared" si="93"/>
        <v>1.8699520876112252</v>
      </c>
      <c r="G498" s="5">
        <f>INDEX('Default Prob'!$P$5:$P$14,MIN(1+_xlfn.IFNA(MATCH(F498,'Default Prob'!$F$5:$F$14,1),0),COUNT('Default Prob'!$P$5:$P$14)))</f>
        <v>1.6062593678540758E-2</v>
      </c>
      <c r="H498" s="5">
        <f t="shared" si="102"/>
        <v>0.96054214792869697</v>
      </c>
      <c r="I498" s="24">
        <f t="shared" si="103"/>
        <v>4.2242676233428256E-5</v>
      </c>
      <c r="J498" s="25">
        <f>INDEX('Default Prob'!$C$3:$C$13, _xlfn.IFNA(MATCH(F498, 'Default Prob'!$B$3:$B$13, 1), 1))</f>
        <v>1.9099999999999999E-2</v>
      </c>
      <c r="K498" s="26">
        <f t="shared" si="94"/>
        <v>0.96523925263860577</v>
      </c>
      <c r="L498" s="27">
        <f t="shared" ca="1" si="95"/>
        <v>0</v>
      </c>
      <c r="M498" s="27">
        <f t="shared" ca="1" si="96"/>
        <v>2419.8816530688405</v>
      </c>
      <c r="N498" s="28">
        <f t="shared" ca="1" si="97"/>
        <v>9.8668954441560083E-2</v>
      </c>
      <c r="O498" s="29">
        <f t="shared" ca="1" si="98"/>
        <v>600000</v>
      </c>
      <c r="P498" s="30">
        <f t="shared" ca="1" si="99"/>
        <v>24.464573542205329</v>
      </c>
    </row>
    <row r="499" spans="1:16" x14ac:dyDescent="0.25">
      <c r="A499" s="3">
        <f t="shared" si="100"/>
        <v>46811</v>
      </c>
      <c r="B499" s="21">
        <f t="shared" si="91"/>
        <v>36584</v>
      </c>
      <c r="C499" s="21">
        <f t="shared" si="92"/>
        <v>36605</v>
      </c>
      <c r="D499" s="1">
        <f t="shared" si="101"/>
        <v>0</v>
      </c>
      <c r="E499" s="3">
        <f t="array" ref="E499">INDEX($A$9:A498, MAX(IF($D$9:D498=1, ROW(D$9:$D498)-ROW($D$9)+1, 0)))</f>
        <v>46741</v>
      </c>
      <c r="F499" s="23">
        <f t="shared" si="93"/>
        <v>1.8781656399726214</v>
      </c>
      <c r="G499" s="5">
        <f>INDEX('Default Prob'!$P$5:$P$14,MIN(1+_xlfn.IFNA(MATCH(F499,'Default Prob'!$F$5:$F$14,1),0),COUNT('Default Prob'!$P$5:$P$14)))</f>
        <v>1.6062593678540758E-2</v>
      </c>
      <c r="H499" s="5">
        <f t="shared" si="102"/>
        <v>0.96041543104565785</v>
      </c>
      <c r="I499" s="24">
        <f t="shared" si="103"/>
        <v>1.2671688303911299E-4</v>
      </c>
      <c r="J499" s="25">
        <f>INDEX('Default Prob'!$C$3:$C$13, _xlfn.IFNA(MATCH(F499, 'Default Prob'!$B$3:$B$13, 1), 1))</f>
        <v>1.9099999999999999E-2</v>
      </c>
      <c r="K499" s="26">
        <f t="shared" si="94"/>
        <v>0.96508926662941252</v>
      </c>
      <c r="L499" s="27">
        <f t="shared" ca="1" si="95"/>
        <v>0</v>
      </c>
      <c r="M499" s="27">
        <f t="shared" ca="1" si="96"/>
        <v>2528.2345629077436</v>
      </c>
      <c r="N499" s="28">
        <f t="shared" ca="1" si="97"/>
        <v>0.30918565163467238</v>
      </c>
      <c r="O499" s="29">
        <f t="shared" ca="1" si="98"/>
        <v>600000</v>
      </c>
      <c r="P499" s="30">
        <f t="shared" ca="1" si="99"/>
        <v>73.375862233069569</v>
      </c>
    </row>
    <row r="500" spans="1:16" x14ac:dyDescent="0.25">
      <c r="A500" s="3">
        <f t="shared" si="100"/>
        <v>46812</v>
      </c>
      <c r="B500" s="21">
        <f t="shared" si="91"/>
        <v>36585</v>
      </c>
      <c r="C500" s="21">
        <f t="shared" si="92"/>
        <v>36605</v>
      </c>
      <c r="D500" s="1">
        <f t="shared" si="101"/>
        <v>0</v>
      </c>
      <c r="E500" s="3">
        <f t="array" ref="E500">INDEX($A$9:A499, MAX(IF($D$9:D499=1, ROW(D$9:$D499)-ROW($D$9)+1, 0)))</f>
        <v>46741</v>
      </c>
      <c r="F500" s="23">
        <f t="shared" si="93"/>
        <v>1.8809034907597535</v>
      </c>
      <c r="G500" s="5">
        <f>INDEX('Default Prob'!$P$5:$P$14,MIN(1+_xlfn.IFNA(MATCH(F500,'Default Prob'!$F$5:$F$14,1),0),COUNT('Default Prob'!$P$5:$P$14)))</f>
        <v>1.6062593678540758E-2</v>
      </c>
      <c r="H500" s="5">
        <f t="shared" si="102"/>
        <v>0.96037319579959302</v>
      </c>
      <c r="I500" s="24">
        <f t="shared" si="103"/>
        <v>4.2235246064836751E-5</v>
      </c>
      <c r="J500" s="25">
        <f>INDEX('Default Prob'!$C$3:$C$13, _xlfn.IFNA(MATCH(F500, 'Default Prob'!$B$3:$B$13, 1), 1))</f>
        <v>1.9099999999999999E-2</v>
      </c>
      <c r="K500" s="26">
        <f t="shared" si="94"/>
        <v>0.96503927647229015</v>
      </c>
      <c r="L500" s="27">
        <f t="shared" ca="1" si="95"/>
        <v>0</v>
      </c>
      <c r="M500" s="27">
        <f t="shared" ca="1" si="96"/>
        <v>2564.3521995207116</v>
      </c>
      <c r="N500" s="28">
        <f t="shared" ca="1" si="97"/>
        <v>0.10451958840805463</v>
      </c>
      <c r="O500" s="29">
        <f t="shared" ca="1" si="98"/>
        <v>600000</v>
      </c>
      <c r="P500" s="30">
        <f t="shared" ca="1" si="99"/>
        <v>24.45520278242352</v>
      </c>
    </row>
    <row r="501" spans="1:16" x14ac:dyDescent="0.25">
      <c r="A501" s="3">
        <f t="shared" si="100"/>
        <v>46813</v>
      </c>
      <c r="B501" s="21">
        <f t="shared" si="91"/>
        <v>36586</v>
      </c>
      <c r="C501" s="21">
        <f t="shared" si="92"/>
        <v>36605</v>
      </c>
      <c r="D501" s="1">
        <f t="shared" si="101"/>
        <v>0</v>
      </c>
      <c r="E501" s="3">
        <f t="array" ref="E501">INDEX($A$9:A500, MAX(IF($D$9:D500=1, ROW(D$9:$D500)-ROW($D$9)+1, 0)))</f>
        <v>46741</v>
      </c>
      <c r="F501" s="23">
        <f t="shared" si="93"/>
        <v>1.8836413415468858</v>
      </c>
      <c r="G501" s="5">
        <f>INDEX('Default Prob'!$P$5:$P$14,MIN(1+_xlfn.IFNA(MATCH(F501,'Default Prob'!$F$5:$F$14,1),0),COUNT('Default Prob'!$P$5:$P$14)))</f>
        <v>1.6062593678540758E-2</v>
      </c>
      <c r="H501" s="5">
        <f t="shared" si="102"/>
        <v>0.96033096241086613</v>
      </c>
      <c r="I501" s="24">
        <f t="shared" si="103"/>
        <v>4.2233388726886645E-5</v>
      </c>
      <c r="J501" s="25">
        <f>INDEX('Default Prob'!$C$3:$C$13, _xlfn.IFNA(MATCH(F501, 'Default Prob'!$B$3:$B$13, 1), 1))</f>
        <v>1.9099999999999999E-2</v>
      </c>
      <c r="K501" s="26">
        <f t="shared" si="94"/>
        <v>0.96498928890458202</v>
      </c>
      <c r="L501" s="27">
        <f t="shared" ca="1" si="95"/>
        <v>0</v>
      </c>
      <c r="M501" s="27">
        <f t="shared" ca="1" si="96"/>
        <v>2600.4698361336791</v>
      </c>
      <c r="N501" s="28">
        <f t="shared" ca="1" si="97"/>
        <v>0.10598154422704302</v>
      </c>
      <c r="O501" s="29">
        <f t="shared" ca="1" si="98"/>
        <v>600000</v>
      </c>
      <c r="P501" s="30">
        <f t="shared" ca="1" si="99"/>
        <v>24.452860653353479</v>
      </c>
    </row>
    <row r="502" spans="1:16" x14ac:dyDescent="0.25">
      <c r="A502" s="3">
        <f t="shared" si="100"/>
        <v>46814</v>
      </c>
      <c r="B502" s="21">
        <f t="shared" si="91"/>
        <v>36587</v>
      </c>
      <c r="C502" s="21">
        <f t="shared" si="92"/>
        <v>36605</v>
      </c>
      <c r="D502" s="1">
        <f t="shared" si="101"/>
        <v>0</v>
      </c>
      <c r="E502" s="3">
        <f t="array" ref="E502">INDEX($A$9:A501, MAX(IF($D$9:D501=1, ROW(D$9:$D501)-ROW($D$9)+1, 0)))</f>
        <v>46741</v>
      </c>
      <c r="F502" s="23">
        <f t="shared" si="93"/>
        <v>1.8863791923340179</v>
      </c>
      <c r="G502" s="5">
        <f>INDEX('Default Prob'!$P$5:$P$14,MIN(1+_xlfn.IFNA(MATCH(F502,'Default Prob'!$F$5:$F$14,1),0),COUNT('Default Prob'!$P$5:$P$14)))</f>
        <v>1.6062593678540758E-2</v>
      </c>
      <c r="H502" s="5">
        <f t="shared" si="102"/>
        <v>0.96028873087939548</v>
      </c>
      <c r="I502" s="24">
        <f t="shared" si="103"/>
        <v>4.2231531470648953E-5</v>
      </c>
      <c r="J502" s="25">
        <f>INDEX('Default Prob'!$C$3:$C$13, _xlfn.IFNA(MATCH(F502, 'Default Prob'!$B$3:$B$13, 1), 1))</f>
        <v>1.9099999999999999E-2</v>
      </c>
      <c r="K502" s="26">
        <f t="shared" si="94"/>
        <v>0.9649393039261539</v>
      </c>
      <c r="L502" s="27">
        <f t="shared" ca="1" si="95"/>
        <v>0</v>
      </c>
      <c r="M502" s="27">
        <f t="shared" ca="1" si="96"/>
        <v>2636.5874727466467</v>
      </c>
      <c r="N502" s="28">
        <f t="shared" ca="1" si="97"/>
        <v>0.10744321905792148</v>
      </c>
      <c r="O502" s="29">
        <f t="shared" ca="1" si="98"/>
        <v>600000</v>
      </c>
      <c r="P502" s="30">
        <f t="shared" ca="1" si="99"/>
        <v>24.450518748614076</v>
      </c>
    </row>
    <row r="503" spans="1:16" x14ac:dyDescent="0.25">
      <c r="A503" s="3">
        <f t="shared" si="100"/>
        <v>46815</v>
      </c>
      <c r="B503" s="21">
        <f t="shared" si="91"/>
        <v>36588</v>
      </c>
      <c r="C503" s="21">
        <f t="shared" si="92"/>
        <v>36605</v>
      </c>
      <c r="D503" s="1">
        <f t="shared" si="101"/>
        <v>0</v>
      </c>
      <c r="E503" s="3">
        <f t="array" ref="E503">INDEX($A$9:A502, MAX(IF($D$9:D502=1, ROW(D$9:$D502)-ROW($D$9)+1, 0)))</f>
        <v>46741</v>
      </c>
      <c r="F503" s="23">
        <f t="shared" si="93"/>
        <v>1.8891170431211499</v>
      </c>
      <c r="G503" s="5">
        <f>INDEX('Default Prob'!$P$5:$P$14,MIN(1+_xlfn.IFNA(MATCH(F503,'Default Prob'!$F$5:$F$14,1),0),COUNT('Default Prob'!$P$5:$P$14)))</f>
        <v>1.6062593678540758E-2</v>
      </c>
      <c r="H503" s="5">
        <f t="shared" si="102"/>
        <v>0.96024650120509936</v>
      </c>
      <c r="I503" s="24">
        <f t="shared" si="103"/>
        <v>4.2229674296123676E-5</v>
      </c>
      <c r="J503" s="25">
        <f>INDEX('Default Prob'!$C$3:$C$13, _xlfn.IFNA(MATCH(F503, 'Default Prob'!$B$3:$B$13, 1), 1))</f>
        <v>1.9099999999999999E-2</v>
      </c>
      <c r="K503" s="26">
        <f t="shared" si="94"/>
        <v>0.96488932153687157</v>
      </c>
      <c r="L503" s="27">
        <f t="shared" ca="1" si="95"/>
        <v>0</v>
      </c>
      <c r="M503" s="27">
        <f t="shared" ca="1" si="96"/>
        <v>2672.7051093596151</v>
      </c>
      <c r="N503" s="28">
        <f t="shared" ca="1" si="97"/>
        <v>0.10890461294111506</v>
      </c>
      <c r="O503" s="29">
        <f t="shared" ca="1" si="98"/>
        <v>600000</v>
      </c>
      <c r="P503" s="30">
        <f t="shared" ca="1" si="99"/>
        <v>24.448177068185903</v>
      </c>
    </row>
    <row r="504" spans="1:16" x14ac:dyDescent="0.25">
      <c r="A504" s="3">
        <f t="shared" si="100"/>
        <v>46818</v>
      </c>
      <c r="B504" s="21">
        <f t="shared" si="91"/>
        <v>36591</v>
      </c>
      <c r="C504" s="21">
        <f t="shared" si="92"/>
        <v>36605</v>
      </c>
      <c r="D504" s="1">
        <f t="shared" si="101"/>
        <v>0</v>
      </c>
      <c r="E504" s="3">
        <f t="array" ref="E504">INDEX($A$9:A503, MAX(IF($D$9:D503=1, ROW(D$9:$D503)-ROW($D$9)+1, 0)))</f>
        <v>46741</v>
      </c>
      <c r="F504" s="23">
        <f t="shared" si="93"/>
        <v>1.8973305954825461</v>
      </c>
      <c r="G504" s="5">
        <f>INDEX('Default Prob'!$P$5:$P$14,MIN(1+_xlfn.IFNA(MATCH(F504,'Default Prob'!$F$5:$F$14,1),0),COUNT('Default Prob'!$P$5:$P$14)))</f>
        <v>1.6062593678540758E-2</v>
      </c>
      <c r="H504" s="5">
        <f t="shared" si="102"/>
        <v>0.96011982332444179</v>
      </c>
      <c r="I504" s="24">
        <f t="shared" si="103"/>
        <v>1.2667788065756636E-4</v>
      </c>
      <c r="J504" s="25">
        <f>INDEX('Default Prob'!$C$3:$C$13, _xlfn.IFNA(MATCH(F504, 'Default Prob'!$B$3:$B$13, 1), 1))</f>
        <v>1.9099999999999999E-2</v>
      </c>
      <c r="K504" s="26">
        <f t="shared" si="94"/>
        <v>0.96473938990255925</v>
      </c>
      <c r="L504" s="27">
        <f t="shared" ca="1" si="95"/>
        <v>0</v>
      </c>
      <c r="M504" s="27">
        <f t="shared" ca="1" si="96"/>
        <v>2781.0580191985182</v>
      </c>
      <c r="N504" s="28">
        <f t="shared" ca="1" si="97"/>
        <v>0.33987627454701669</v>
      </c>
      <c r="O504" s="29">
        <f t="shared" ca="1" si="98"/>
        <v>600000</v>
      </c>
      <c r="P504" s="30">
        <f t="shared" ca="1" si="99"/>
        <v>73.326684779837862</v>
      </c>
    </row>
    <row r="505" spans="1:16" x14ac:dyDescent="0.25">
      <c r="A505" s="3">
        <f t="shared" si="100"/>
        <v>46819</v>
      </c>
      <c r="B505" s="21">
        <f t="shared" si="91"/>
        <v>36592</v>
      </c>
      <c r="C505" s="21">
        <f t="shared" si="92"/>
        <v>36605</v>
      </c>
      <c r="D505" s="1">
        <f t="shared" si="101"/>
        <v>0</v>
      </c>
      <c r="E505" s="3">
        <f t="array" ref="E505">INDEX($A$9:A504, MAX(IF($D$9:D504=1, ROW(D$9:$D504)-ROW($D$9)+1, 0)))</f>
        <v>46741</v>
      </c>
      <c r="F505" s="23">
        <f t="shared" si="93"/>
        <v>1.9000684462696784</v>
      </c>
      <c r="G505" s="5">
        <f>INDEX('Default Prob'!$P$5:$P$14,MIN(1+_xlfn.IFNA(MATCH(F505,'Default Prob'!$F$5:$F$14,1),0),COUNT('Default Prob'!$P$5:$P$14)))</f>
        <v>1.6062593678540758E-2</v>
      </c>
      <c r="H505" s="5">
        <f t="shared" si="102"/>
        <v>0.96007760107802731</v>
      </c>
      <c r="I505" s="24">
        <f t="shared" si="103"/>
        <v>4.222224641448058E-5</v>
      </c>
      <c r="J505" s="25">
        <f>INDEX('Default Prob'!$C$3:$C$13, _xlfn.IFNA(MATCH(F505, 'Default Prob'!$B$3:$B$13, 1), 1))</f>
        <v>1.9099999999999999E-2</v>
      </c>
      <c r="K505" s="26">
        <f t="shared" si="94"/>
        <v>0.96468941786851958</v>
      </c>
      <c r="L505" s="27">
        <f t="shared" ca="1" si="95"/>
        <v>0</v>
      </c>
      <c r="M505" s="27">
        <f t="shared" ca="1" si="96"/>
        <v>2817.1756558114857</v>
      </c>
      <c r="N505" s="28">
        <f t="shared" ca="1" si="97"/>
        <v>0.11474737980356682</v>
      </c>
      <c r="O505" s="29">
        <f t="shared" ca="1" si="98"/>
        <v>600000</v>
      </c>
      <c r="P505" s="30">
        <f t="shared" ca="1" si="99"/>
        <v>24.438812588811874</v>
      </c>
    </row>
    <row r="506" spans="1:16" x14ac:dyDescent="0.25">
      <c r="A506" s="3">
        <f t="shared" si="100"/>
        <v>46820</v>
      </c>
      <c r="B506" s="21">
        <f t="shared" si="91"/>
        <v>36593</v>
      </c>
      <c r="C506" s="21">
        <f t="shared" si="92"/>
        <v>36605</v>
      </c>
      <c r="D506" s="1">
        <f t="shared" si="101"/>
        <v>0</v>
      </c>
      <c r="E506" s="3">
        <f t="array" ref="E506">INDEX($A$9:A505, MAX(IF($D$9:D505=1, ROW(D$9:$D505)-ROW($D$9)+1, 0)))</f>
        <v>46741</v>
      </c>
      <c r="F506" s="23">
        <f t="shared" si="93"/>
        <v>1.9028062970568105</v>
      </c>
      <c r="G506" s="5">
        <f>INDEX('Default Prob'!$P$5:$P$14,MIN(1+_xlfn.IFNA(MATCH(F506,'Default Prob'!$F$5:$F$14,1),0),COUNT('Default Prob'!$P$5:$P$14)))</f>
        <v>1.6062593678540758E-2</v>
      </c>
      <c r="H506" s="5">
        <f t="shared" si="102"/>
        <v>0.96003538068837913</v>
      </c>
      <c r="I506" s="24">
        <f t="shared" si="103"/>
        <v>4.2220389648184309E-5</v>
      </c>
      <c r="J506" s="25">
        <f>INDEX('Default Prob'!$C$3:$C$13, _xlfn.IFNA(MATCH(F506, 'Default Prob'!$B$3:$B$13, 1), 1))</f>
        <v>1.9099999999999999E-2</v>
      </c>
      <c r="K506" s="26">
        <f t="shared" si="94"/>
        <v>0.96463944842295524</v>
      </c>
      <c r="L506" s="27">
        <f t="shared" ca="1" si="95"/>
        <v>0</v>
      </c>
      <c r="M506" s="27">
        <f t="shared" ca="1" si="96"/>
        <v>2853.2932924244533</v>
      </c>
      <c r="N506" s="28">
        <f t="shared" ca="1" si="97"/>
        <v>0.1162073695536079</v>
      </c>
      <c r="O506" s="29">
        <f t="shared" ca="1" si="98"/>
        <v>600000</v>
      </c>
      <c r="P506" s="30">
        <f t="shared" ca="1" si="99"/>
        <v>24.436472029456056</v>
      </c>
    </row>
    <row r="507" spans="1:16" x14ac:dyDescent="0.25">
      <c r="A507" s="3">
        <f t="shared" si="100"/>
        <v>46821</v>
      </c>
      <c r="B507" s="21">
        <f t="shared" si="91"/>
        <v>36594</v>
      </c>
      <c r="C507" s="21">
        <f t="shared" si="92"/>
        <v>36605</v>
      </c>
      <c r="D507" s="1">
        <f t="shared" si="101"/>
        <v>0</v>
      </c>
      <c r="E507" s="3">
        <f t="array" ref="E507">INDEX($A$9:A506, MAX(IF($D$9:D506=1, ROW(D$9:$D506)-ROW($D$9)+1, 0)))</f>
        <v>46741</v>
      </c>
      <c r="F507" s="23">
        <f t="shared" si="93"/>
        <v>1.9055441478439425</v>
      </c>
      <c r="G507" s="5">
        <f>INDEX('Default Prob'!$P$5:$P$14,MIN(1+_xlfn.IFNA(MATCH(F507,'Default Prob'!$F$5:$F$14,1),0),COUNT('Default Prob'!$P$5:$P$14)))</f>
        <v>1.6062593678540758E-2</v>
      </c>
      <c r="H507" s="5">
        <f t="shared" si="102"/>
        <v>0.95999316215541552</v>
      </c>
      <c r="I507" s="24">
        <f t="shared" si="103"/>
        <v>4.2218532963600452E-5</v>
      </c>
      <c r="J507" s="25">
        <f>INDEX('Default Prob'!$C$3:$C$13, _xlfn.IFNA(MATCH(F507, 'Default Prob'!$B$3:$B$13, 1), 1))</f>
        <v>1.9099999999999999E-2</v>
      </c>
      <c r="K507" s="26">
        <f t="shared" si="94"/>
        <v>0.96458948156573232</v>
      </c>
      <c r="L507" s="27">
        <f t="shared" ca="1" si="95"/>
        <v>0</v>
      </c>
      <c r="M507" s="27">
        <f t="shared" ca="1" si="96"/>
        <v>2889.4109290374213</v>
      </c>
      <c r="N507" s="28">
        <f t="shared" ca="1" si="97"/>
        <v>0.11766707859839309</v>
      </c>
      <c r="O507" s="29">
        <f t="shared" ca="1" si="98"/>
        <v>600000</v>
      </c>
      <c r="P507" s="30">
        <f t="shared" ca="1" si="99"/>
        <v>24.434131694295086</v>
      </c>
    </row>
    <row r="508" spans="1:16" x14ac:dyDescent="0.25">
      <c r="A508" s="3">
        <f t="shared" si="100"/>
        <v>46822</v>
      </c>
      <c r="B508" s="21">
        <f t="shared" si="91"/>
        <v>36595</v>
      </c>
      <c r="C508" s="21">
        <f t="shared" si="92"/>
        <v>36605</v>
      </c>
      <c r="D508" s="1">
        <f t="shared" si="101"/>
        <v>0</v>
      </c>
      <c r="E508" s="3">
        <f t="array" ref="E508">INDEX($A$9:A507, MAX(IF($D$9:D507=1, ROW(D$9:$D507)-ROW($D$9)+1, 0)))</f>
        <v>46741</v>
      </c>
      <c r="F508" s="23">
        <f t="shared" si="93"/>
        <v>1.9082819986310746</v>
      </c>
      <c r="G508" s="5">
        <f>INDEX('Default Prob'!$P$5:$P$14,MIN(1+_xlfn.IFNA(MATCH(F508,'Default Prob'!$F$5:$F$14,1),0),COUNT('Default Prob'!$P$5:$P$14)))</f>
        <v>1.6062593678540758E-2</v>
      </c>
      <c r="H508" s="5">
        <f t="shared" si="102"/>
        <v>0.95995094547905491</v>
      </c>
      <c r="I508" s="24">
        <f t="shared" si="103"/>
        <v>4.2216676360617988E-5</v>
      </c>
      <c r="J508" s="25">
        <f>INDEX('Default Prob'!$C$3:$C$13, _xlfn.IFNA(MATCH(F508, 'Default Prob'!$B$3:$B$13, 1), 1))</f>
        <v>1.9099999999999999E-2</v>
      </c>
      <c r="K508" s="26">
        <f t="shared" si="94"/>
        <v>0.96453951729671661</v>
      </c>
      <c r="L508" s="27">
        <f t="shared" ca="1" si="95"/>
        <v>0</v>
      </c>
      <c r="M508" s="27">
        <f t="shared" ca="1" si="96"/>
        <v>2925.5285656503888</v>
      </c>
      <c r="N508" s="28">
        <f t="shared" ca="1" si="97"/>
        <v>0.11912650697800148</v>
      </c>
      <c r="O508" s="29">
        <f t="shared" ca="1" si="98"/>
        <v>600000</v>
      </c>
      <c r="P508" s="30">
        <f t="shared" ca="1" si="99"/>
        <v>24.43179158324531</v>
      </c>
    </row>
    <row r="509" spans="1:16" x14ac:dyDescent="0.25">
      <c r="A509" s="3">
        <f t="shared" si="100"/>
        <v>46825</v>
      </c>
      <c r="B509" s="21">
        <f t="shared" si="91"/>
        <v>36598</v>
      </c>
      <c r="C509" s="21">
        <f t="shared" si="92"/>
        <v>36605</v>
      </c>
      <c r="D509" s="1">
        <f t="shared" si="101"/>
        <v>0</v>
      </c>
      <c r="E509" s="3">
        <f t="array" ref="E509">INDEX($A$9:A508, MAX(IF($D$9:D508=1, ROW(D$9:$D508)-ROW($D$9)+1, 0)))</f>
        <v>46741</v>
      </c>
      <c r="F509" s="23">
        <f t="shared" si="93"/>
        <v>1.9164955509924708</v>
      </c>
      <c r="G509" s="5">
        <f>INDEX('Default Prob'!$P$5:$P$14,MIN(1+_xlfn.IFNA(MATCH(F509,'Default Prob'!$F$5:$F$14,1),0),COUNT('Default Prob'!$P$5:$P$14)))</f>
        <v>1.6062593678540758E-2</v>
      </c>
      <c r="H509" s="5">
        <f t="shared" si="102"/>
        <v>0.95982430658877427</v>
      </c>
      <c r="I509" s="24">
        <f t="shared" si="103"/>
        <v>1.2663889028063924E-4</v>
      </c>
      <c r="J509" s="25">
        <f>INDEX('Default Prob'!$C$3:$C$13, _xlfn.IFNA(MATCH(F509, 'Default Prob'!$B$3:$B$13, 1), 1))</f>
        <v>1.9099999999999999E-2</v>
      </c>
      <c r="K509" s="26">
        <f t="shared" si="94"/>
        <v>0.96438964001757255</v>
      </c>
      <c r="L509" s="27">
        <f t="shared" ca="1" si="95"/>
        <v>0</v>
      </c>
      <c r="M509" s="27">
        <f t="shared" ca="1" si="96"/>
        <v>3033.8814754892928</v>
      </c>
      <c r="N509" s="28">
        <f t="shared" ca="1" si="97"/>
        <v>0.37052562007177026</v>
      </c>
      <c r="O509" s="29">
        <f t="shared" ca="1" si="98"/>
        <v>600000</v>
      </c>
      <c r="P509" s="30">
        <f t="shared" ca="1" si="99"/>
        <v>73.277540285982326</v>
      </c>
    </row>
    <row r="510" spans="1:16" x14ac:dyDescent="0.25">
      <c r="A510" s="3">
        <f t="shared" si="100"/>
        <v>46826</v>
      </c>
      <c r="B510" s="21">
        <f t="shared" si="91"/>
        <v>36599</v>
      </c>
      <c r="C510" s="21">
        <f t="shared" si="92"/>
        <v>36605</v>
      </c>
      <c r="D510" s="1">
        <f t="shared" si="101"/>
        <v>0</v>
      </c>
      <c r="E510" s="3">
        <f t="array" ref="E510">INDEX($A$9:A509, MAX(IF($D$9:D509=1, ROW(D$9:$D509)-ROW($D$9)+1, 0)))</f>
        <v>46741</v>
      </c>
      <c r="F510" s="23">
        <f t="shared" si="93"/>
        <v>1.9192334017796031</v>
      </c>
      <c r="G510" s="5">
        <f>INDEX('Default Prob'!$P$5:$P$14,MIN(1+_xlfn.IFNA(MATCH(F510,'Default Prob'!$F$5:$F$14,1),0),COUNT('Default Prob'!$P$5:$P$14)))</f>
        <v>1.6062593678540758E-2</v>
      </c>
      <c r="H510" s="5">
        <f t="shared" si="102"/>
        <v>0.95978209733800901</v>
      </c>
      <c r="I510" s="24">
        <f t="shared" si="103"/>
        <v>4.2209250765257167E-5</v>
      </c>
      <c r="J510" s="25">
        <f>INDEX('Default Prob'!$C$3:$C$13, _xlfn.IFNA(MATCH(F510, 'Default Prob'!$B$3:$B$13, 1), 1))</f>
        <v>1.9099999999999999E-2</v>
      </c>
      <c r="K510" s="26">
        <f t="shared" si="94"/>
        <v>0.96433968610004528</v>
      </c>
      <c r="L510" s="27">
        <f t="shared" ca="1" si="95"/>
        <v>0</v>
      </c>
      <c r="M510" s="27">
        <f t="shared" ca="1" si="96"/>
        <v>3069.9991121022604</v>
      </c>
      <c r="N510" s="28">
        <f t="shared" ca="1" si="97"/>
        <v>0.12496141465376361</v>
      </c>
      <c r="O510" s="29">
        <f t="shared" ca="1" si="98"/>
        <v>600000</v>
      </c>
      <c r="P510" s="30">
        <f t="shared" ca="1" si="99"/>
        <v>24.422433380091714</v>
      </c>
    </row>
    <row r="511" spans="1:16" x14ac:dyDescent="0.25">
      <c r="A511" s="3">
        <f t="shared" si="100"/>
        <v>46827</v>
      </c>
      <c r="B511" s="21">
        <f t="shared" si="91"/>
        <v>36600</v>
      </c>
      <c r="C511" s="21">
        <f t="shared" si="92"/>
        <v>36605</v>
      </c>
      <c r="D511" s="1">
        <f t="shared" si="101"/>
        <v>0</v>
      </c>
      <c r="E511" s="3">
        <f t="array" ref="E511">INDEX($A$9:A510, MAX(IF($D$9:D510=1, ROW(D$9:$D510)-ROW($D$9)+1, 0)))</f>
        <v>46741</v>
      </c>
      <c r="F511" s="23">
        <f t="shared" si="93"/>
        <v>1.9219712525667352</v>
      </c>
      <c r="G511" s="5">
        <f>INDEX('Default Prob'!$P$5:$P$14,MIN(1+_xlfn.IFNA(MATCH(F511,'Default Prob'!$F$5:$F$14,1),0),COUNT('Default Prob'!$P$5:$P$14)))</f>
        <v>1.6062593678540758E-2</v>
      </c>
      <c r="H511" s="5">
        <f t="shared" si="102"/>
        <v>0.95973988994343851</v>
      </c>
      <c r="I511" s="24">
        <f t="shared" si="103"/>
        <v>4.2207394570503709E-5</v>
      </c>
      <c r="J511" s="25">
        <f>INDEX('Default Prob'!$C$3:$C$13, _xlfn.IFNA(MATCH(F511, 'Default Prob'!$B$3:$B$13, 1), 1))</f>
        <v>1.9099999999999999E-2</v>
      </c>
      <c r="K511" s="26">
        <f t="shared" si="94"/>
        <v>0.9642897347700552</v>
      </c>
      <c r="L511" s="27">
        <f t="shared" ca="1" si="95"/>
        <v>0</v>
      </c>
      <c r="M511" s="27">
        <f t="shared" ca="1" si="96"/>
        <v>3106.1167487152284</v>
      </c>
      <c r="N511" s="28">
        <f t="shared" ca="1" si="97"/>
        <v>0.12641944031372143</v>
      </c>
      <c r="O511" s="29">
        <f t="shared" ca="1" si="98"/>
        <v>600000</v>
      </c>
      <c r="P511" s="30">
        <f t="shared" ca="1" si="99"/>
        <v>24.420094389435654</v>
      </c>
    </row>
    <row r="512" spans="1:16" x14ac:dyDescent="0.25">
      <c r="A512" s="3">
        <f t="shared" si="100"/>
        <v>46828</v>
      </c>
      <c r="B512" s="21">
        <f t="shared" si="91"/>
        <v>36601</v>
      </c>
      <c r="C512" s="21">
        <f t="shared" si="92"/>
        <v>36605</v>
      </c>
      <c r="D512" s="1">
        <f t="shared" si="101"/>
        <v>0</v>
      </c>
      <c r="E512" s="3">
        <f t="array" ref="E512">INDEX($A$9:A511, MAX(IF($D$9:D511=1, ROW(D$9:$D511)-ROW($D$9)+1, 0)))</f>
        <v>46741</v>
      </c>
      <c r="F512" s="23">
        <f t="shared" si="93"/>
        <v>1.9247091033538672</v>
      </c>
      <c r="G512" s="5">
        <f>INDEX('Default Prob'!$P$5:$P$14,MIN(1+_xlfn.IFNA(MATCH(F512,'Default Prob'!$F$5:$F$14,1),0),COUNT('Default Prob'!$P$5:$P$14)))</f>
        <v>1.6062593678540758E-2</v>
      </c>
      <c r="H512" s="5">
        <f t="shared" si="102"/>
        <v>0.95969768440498116</v>
      </c>
      <c r="I512" s="24">
        <f t="shared" si="103"/>
        <v>4.2205538457351643E-5</v>
      </c>
      <c r="J512" s="25">
        <f>INDEX('Default Prob'!$C$3:$C$13, _xlfn.IFNA(MATCH(F512, 'Default Prob'!$B$3:$B$13, 1), 1))</f>
        <v>1.9099999999999999E-2</v>
      </c>
      <c r="K512" s="26">
        <f t="shared" si="94"/>
        <v>0.96423978602746774</v>
      </c>
      <c r="L512" s="27">
        <f t="shared" ca="1" si="95"/>
        <v>0</v>
      </c>
      <c r="M512" s="27">
        <f t="shared" ca="1" si="96"/>
        <v>3142.2343853281959</v>
      </c>
      <c r="N512" s="28">
        <f t="shared" ca="1" si="97"/>
        <v>0.12787718555070482</v>
      </c>
      <c r="O512" s="29">
        <f t="shared" ca="1" si="98"/>
        <v>600000</v>
      </c>
      <c r="P512" s="30">
        <f t="shared" ca="1" si="99"/>
        <v>24.417755622774486</v>
      </c>
    </row>
    <row r="513" spans="1:16" x14ac:dyDescent="0.25">
      <c r="A513" s="3">
        <f t="shared" si="100"/>
        <v>46829</v>
      </c>
      <c r="B513" s="21">
        <f t="shared" si="91"/>
        <v>36602</v>
      </c>
      <c r="C513" s="21">
        <f t="shared" si="92"/>
        <v>36605</v>
      </c>
      <c r="D513" s="1">
        <f t="shared" si="101"/>
        <v>0</v>
      </c>
      <c r="E513" s="3">
        <f t="array" ref="E513">INDEX($A$9:A512, MAX(IF($D$9:D512=1, ROW(D$9:$D512)-ROW($D$9)+1, 0)))</f>
        <v>46741</v>
      </c>
      <c r="F513" s="23">
        <f t="shared" si="93"/>
        <v>1.9274469541409993</v>
      </c>
      <c r="G513" s="5">
        <f>INDEX('Default Prob'!$P$5:$P$14,MIN(1+_xlfn.IFNA(MATCH(F513,'Default Prob'!$F$5:$F$14,1),0),COUNT('Default Prob'!$P$5:$P$14)))</f>
        <v>1.6062593678540758E-2</v>
      </c>
      <c r="H513" s="5">
        <f t="shared" si="102"/>
        <v>0.95965548072255535</v>
      </c>
      <c r="I513" s="24">
        <f t="shared" si="103"/>
        <v>4.220368242580097E-5</v>
      </c>
      <c r="J513" s="25">
        <f>INDEX('Default Prob'!$C$3:$C$13, _xlfn.IFNA(MATCH(F513, 'Default Prob'!$B$3:$B$13, 1), 1))</f>
        <v>1.9099999999999999E-2</v>
      </c>
      <c r="K513" s="26">
        <f t="shared" si="94"/>
        <v>0.96418983987214946</v>
      </c>
      <c r="L513" s="27">
        <f t="shared" ca="1" si="95"/>
        <v>0</v>
      </c>
      <c r="M513" s="27">
        <f t="shared" ca="1" si="96"/>
        <v>3178.3520219411635</v>
      </c>
      <c r="N513" s="28">
        <f t="shared" ca="1" si="97"/>
        <v>0.12933465040506203</v>
      </c>
      <c r="O513" s="29">
        <f t="shared" ca="1" si="98"/>
        <v>600000</v>
      </c>
      <c r="P513" s="30">
        <f t="shared" ca="1" si="99"/>
        <v>24.415417080088851</v>
      </c>
    </row>
    <row r="514" spans="1:16" x14ac:dyDescent="0.25">
      <c r="A514" s="3">
        <f t="shared" si="100"/>
        <v>46832</v>
      </c>
      <c r="B514" s="21">
        <f t="shared" si="91"/>
        <v>36605</v>
      </c>
      <c r="C514" s="21">
        <f t="shared" si="92"/>
        <v>36605</v>
      </c>
      <c r="D514" s="1">
        <f t="shared" si="101"/>
        <v>1</v>
      </c>
      <c r="E514" s="3">
        <f t="array" ref="E514">INDEX($A$9:A513, MAX(IF($D$9:D513=1, ROW(D$9:$D513)-ROW($D$9)+1, 0)))</f>
        <v>46741</v>
      </c>
      <c r="F514" s="23">
        <f t="shared" si="93"/>
        <v>1.9356605065023955</v>
      </c>
      <c r="G514" s="5">
        <f>INDEX('Default Prob'!$P$5:$P$14,MIN(1+_xlfn.IFNA(MATCH(F514,'Default Prob'!$F$5:$F$14,1),0),COUNT('Default Prob'!$P$5:$P$14)))</f>
        <v>1.6062593678540758E-2</v>
      </c>
      <c r="H514" s="5">
        <f t="shared" si="102"/>
        <v>0.95952888081065069</v>
      </c>
      <c r="I514" s="24">
        <f t="shared" si="103"/>
        <v>1.2659991190466791E-4</v>
      </c>
      <c r="J514" s="25">
        <f>INDEX('Default Prob'!$C$3:$C$13, _xlfn.IFNA(MATCH(F514, 'Default Prob'!$B$3:$B$13, 1), 1))</f>
        <v>1.9099999999999999E-2</v>
      </c>
      <c r="K514" s="26">
        <f t="shared" si="94"/>
        <v>0.96404001692846808</v>
      </c>
      <c r="L514" s="27">
        <f t="shared" ca="1" si="95"/>
        <v>3286.7049317800665</v>
      </c>
      <c r="M514" s="27">
        <f t="shared" ca="1" si="96"/>
        <v>3286.7049317800665</v>
      </c>
      <c r="N514" s="28">
        <f t="shared" ca="1" si="97"/>
        <v>3040.6828604239795</v>
      </c>
      <c r="O514" s="29">
        <f t="shared" ca="1" si="98"/>
        <v>600000</v>
      </c>
      <c r="P514" s="30">
        <f t="shared" ca="1" si="99"/>
        <v>73.228428729431172</v>
      </c>
    </row>
    <row r="515" spans="1:16" x14ac:dyDescent="0.25">
      <c r="A515" s="3">
        <f t="shared" si="100"/>
        <v>46833</v>
      </c>
      <c r="B515" s="21">
        <f t="shared" si="91"/>
        <v>36606</v>
      </c>
      <c r="C515" s="21">
        <f t="shared" si="92"/>
        <v>36697</v>
      </c>
      <c r="D515" s="1">
        <f t="shared" si="101"/>
        <v>0</v>
      </c>
      <c r="E515" s="3">
        <f t="array" ref="E515">INDEX($A$9:A514, MAX(IF($D$9:D514=1, ROW(D$9:$D514)-ROW($D$9)+1, 0)))</f>
        <v>46832</v>
      </c>
      <c r="F515" s="23">
        <f t="shared" si="93"/>
        <v>1.9383983572895278</v>
      </c>
      <c r="G515" s="5">
        <f>INDEX('Default Prob'!$P$5:$P$14,MIN(1+_xlfn.IFNA(MATCH(F515,'Default Prob'!$F$5:$F$14,1),0),COUNT('Default Prob'!$P$5:$P$14)))</f>
        <v>1.6062593678540758E-2</v>
      </c>
      <c r="H515" s="5">
        <f t="shared" si="102"/>
        <v>0.95948668455153474</v>
      </c>
      <c r="I515" s="24">
        <f t="shared" si="103"/>
        <v>4.2196259115945267E-5</v>
      </c>
      <c r="J515" s="25">
        <f>INDEX('Default Prob'!$C$3:$C$13, _xlfn.IFNA(MATCH(F515, 'Default Prob'!$B$3:$B$13, 1), 1))</f>
        <v>1.9099999999999999E-2</v>
      </c>
      <c r="K515" s="26">
        <f t="shared" si="94"/>
        <v>0.96399008112088536</v>
      </c>
      <c r="L515" s="27">
        <f t="shared" ca="1" si="95"/>
        <v>0</v>
      </c>
      <c r="M515" s="27">
        <f t="shared" ca="1" si="96"/>
        <v>36.117636612967765</v>
      </c>
      <c r="N515" s="28">
        <f t="shared" ca="1" si="97"/>
        <v>1.4691489870010538E-3</v>
      </c>
      <c r="O515" s="29">
        <f t="shared" ca="1" si="98"/>
        <v>600000</v>
      </c>
      <c r="P515" s="30">
        <f t="shared" ca="1" si="99"/>
        <v>24.406065148906787</v>
      </c>
    </row>
    <row r="516" spans="1:16" x14ac:dyDescent="0.25">
      <c r="A516" s="3">
        <f t="shared" si="100"/>
        <v>46834</v>
      </c>
      <c r="B516" s="21">
        <f t="shared" si="91"/>
        <v>36607</v>
      </c>
      <c r="C516" s="21">
        <f t="shared" si="92"/>
        <v>36697</v>
      </c>
      <c r="D516" s="1">
        <f t="shared" si="101"/>
        <v>0</v>
      </c>
      <c r="E516" s="3">
        <f t="array" ref="E516">INDEX($A$9:A515, MAX(IF($D$9:D515=1, ROW(D$9:$D515)-ROW($D$9)+1, 0)))</f>
        <v>46832</v>
      </c>
      <c r="F516" s="23">
        <f t="shared" si="93"/>
        <v>1.9411362080766599</v>
      </c>
      <c r="G516" s="5">
        <f>INDEX('Default Prob'!$P$5:$P$14,MIN(1+_xlfn.IFNA(MATCH(F516,'Default Prob'!$F$5:$F$14,1),0),COUNT('Default Prob'!$P$5:$P$14)))</f>
        <v>1.6062593678540758E-2</v>
      </c>
      <c r="H516" s="5">
        <f t="shared" si="102"/>
        <v>0.95944449014804223</v>
      </c>
      <c r="I516" s="24">
        <f t="shared" si="103"/>
        <v>4.2194403492512578E-5</v>
      </c>
      <c r="J516" s="25">
        <f>INDEX('Default Prob'!$C$3:$C$13, _xlfn.IFNA(MATCH(F516, 'Default Prob'!$B$3:$B$13, 1), 1))</f>
        <v>1.9099999999999999E-2</v>
      </c>
      <c r="K516" s="26">
        <f t="shared" si="94"/>
        <v>0.96394014789990179</v>
      </c>
      <c r="L516" s="27">
        <f t="shared" ca="1" si="95"/>
        <v>0</v>
      </c>
      <c r="M516" s="27">
        <f t="shared" ca="1" si="96"/>
        <v>72.235273225935529</v>
      </c>
      <c r="N516" s="28">
        <f t="shared" ca="1" si="97"/>
        <v>2.938016566682888E-3</v>
      </c>
      <c r="O516" s="29">
        <f t="shared" ca="1" si="98"/>
        <v>600000</v>
      </c>
      <c r="P516" s="30">
        <f t="shared" ca="1" si="99"/>
        <v>24.403727725872425</v>
      </c>
    </row>
    <row r="517" spans="1:16" x14ac:dyDescent="0.25">
      <c r="A517" s="3">
        <f t="shared" si="100"/>
        <v>46835</v>
      </c>
      <c r="B517" s="21">
        <f t="shared" si="91"/>
        <v>36608</v>
      </c>
      <c r="C517" s="21">
        <f t="shared" si="92"/>
        <v>36697</v>
      </c>
      <c r="D517" s="1">
        <f t="shared" si="101"/>
        <v>0</v>
      </c>
      <c r="E517" s="3">
        <f t="array" ref="E517">INDEX($A$9:A516, MAX(IF($D$9:D516=1, ROW(D$9:$D516)-ROW($D$9)+1, 0)))</f>
        <v>46832</v>
      </c>
      <c r="F517" s="23">
        <f t="shared" si="93"/>
        <v>1.9438740588637919</v>
      </c>
      <c r="G517" s="5">
        <f>INDEX('Default Prob'!$P$5:$P$14,MIN(1+_xlfn.IFNA(MATCH(F517,'Default Prob'!$F$5:$F$14,1),0),COUNT('Default Prob'!$P$5:$P$14)))</f>
        <v>1.6062593678540758E-2</v>
      </c>
      <c r="H517" s="5">
        <f t="shared" si="102"/>
        <v>0.95940229760009155</v>
      </c>
      <c r="I517" s="24">
        <f t="shared" si="103"/>
        <v>4.2192547950681281E-5</v>
      </c>
      <c r="J517" s="25">
        <f>INDEX('Default Prob'!$C$3:$C$13, _xlfn.IFNA(MATCH(F517, 'Default Prob'!$B$3:$B$13, 1), 1))</f>
        <v>1.9099999999999999E-2</v>
      </c>
      <c r="K517" s="26">
        <f t="shared" si="94"/>
        <v>0.96389021726538293</v>
      </c>
      <c r="L517" s="27">
        <f t="shared" ca="1" si="95"/>
        <v>0</v>
      </c>
      <c r="M517" s="27">
        <f t="shared" ca="1" si="96"/>
        <v>108.35290983890332</v>
      </c>
      <c r="N517" s="28">
        <f t="shared" ca="1" si="97"/>
        <v>4.4066027794718481E-3</v>
      </c>
      <c r="O517" s="29">
        <f t="shared" ca="1" si="98"/>
        <v>600000</v>
      </c>
      <c r="P517" s="30">
        <f t="shared" ca="1" si="99"/>
        <v>24.401390526697359</v>
      </c>
    </row>
    <row r="518" spans="1:16" x14ac:dyDescent="0.25">
      <c r="A518" s="3">
        <f t="shared" si="100"/>
        <v>46836</v>
      </c>
      <c r="B518" s="21">
        <f t="shared" si="91"/>
        <v>36609</v>
      </c>
      <c r="C518" s="21">
        <f t="shared" si="92"/>
        <v>36697</v>
      </c>
      <c r="D518" s="1">
        <f t="shared" si="101"/>
        <v>0</v>
      </c>
      <c r="E518" s="3">
        <f t="array" ref="E518">INDEX($A$9:A517, MAX(IF($D$9:D517=1, ROW(D$9:$D517)-ROW($D$9)+1, 0)))</f>
        <v>46832</v>
      </c>
      <c r="F518" s="23">
        <f t="shared" si="93"/>
        <v>1.946611909650924</v>
      </c>
      <c r="G518" s="5">
        <f>INDEX('Default Prob'!$P$5:$P$14,MIN(1+_xlfn.IFNA(MATCH(F518,'Default Prob'!$F$5:$F$14,1),0),COUNT('Default Prob'!$P$5:$P$14)))</f>
        <v>1.6062593678540758E-2</v>
      </c>
      <c r="H518" s="5">
        <f t="shared" si="102"/>
        <v>0.9593601069076011</v>
      </c>
      <c r="I518" s="24">
        <f t="shared" si="103"/>
        <v>4.2190692490451376E-5</v>
      </c>
      <c r="J518" s="25">
        <f>INDEX('Default Prob'!$C$3:$C$13, _xlfn.IFNA(MATCH(F518, 'Default Prob'!$B$3:$B$13, 1), 1))</f>
        <v>1.9099999999999999E-2</v>
      </c>
      <c r="K518" s="26">
        <f t="shared" si="94"/>
        <v>0.96384028921719533</v>
      </c>
      <c r="L518" s="27">
        <f t="shared" ca="1" si="95"/>
        <v>0</v>
      </c>
      <c r="M518" s="27">
        <f t="shared" ca="1" si="96"/>
        <v>144.47054645187106</v>
      </c>
      <c r="N518" s="28">
        <f t="shared" ca="1" si="97"/>
        <v>5.8749076657896148E-3</v>
      </c>
      <c r="O518" s="29">
        <f t="shared" ca="1" si="98"/>
        <v>600000</v>
      </c>
      <c r="P518" s="30">
        <f t="shared" ca="1" si="99"/>
        <v>24.399053551362243</v>
      </c>
    </row>
    <row r="519" spans="1:16" x14ac:dyDescent="0.25">
      <c r="A519" s="3">
        <f t="shared" si="100"/>
        <v>46839</v>
      </c>
      <c r="B519" s="21">
        <f t="shared" si="91"/>
        <v>36612</v>
      </c>
      <c r="C519" s="21">
        <f t="shared" si="92"/>
        <v>36697</v>
      </c>
      <c r="D519" s="1">
        <f t="shared" si="101"/>
        <v>0</v>
      </c>
      <c r="E519" s="3">
        <f t="array" ref="E519">INDEX($A$9:A518, MAX(IF($D$9:D518=1, ROW(D$9:$D518)-ROW($D$9)+1, 0)))</f>
        <v>46832</v>
      </c>
      <c r="F519" s="23">
        <f t="shared" si="93"/>
        <v>1.9548254620123204</v>
      </c>
      <c r="G519" s="5">
        <f>INDEX('Default Prob'!$P$5:$P$14,MIN(1+_xlfn.IFNA(MATCH(F519,'Default Prob'!$F$5:$F$14,1),0),COUNT('Default Prob'!$P$5:$P$14)))</f>
        <v>1.6062593678540758E-2</v>
      </c>
      <c r="H519" s="5">
        <f t="shared" si="102"/>
        <v>0.95923354596207522</v>
      </c>
      <c r="I519" s="24">
        <f t="shared" si="103"/>
        <v>1.265609455258776E-4</v>
      </c>
      <c r="J519" s="25">
        <f>INDEX('Default Prob'!$C$3:$C$13, _xlfn.IFNA(MATCH(F519, 'Default Prob'!$B$3:$B$13, 1), 1))</f>
        <v>1.9099999999999999E-2</v>
      </c>
      <c r="K519" s="26">
        <f t="shared" si="94"/>
        <v>0.96369052058927818</v>
      </c>
      <c r="L519" s="27">
        <f t="shared" ca="1" si="95"/>
        <v>0</v>
      </c>
      <c r="M519" s="27">
        <f t="shared" ca="1" si="96"/>
        <v>252.82345629077437</v>
      </c>
      <c r="N519" s="28">
        <f t="shared" ca="1" si="97"/>
        <v>3.0835760363960931E-2</v>
      </c>
      <c r="O519" s="29">
        <f t="shared" ca="1" si="98"/>
        <v>600000</v>
      </c>
      <c r="P519" s="30">
        <f t="shared" ca="1" si="99"/>
        <v>73.179350088062563</v>
      </c>
    </row>
    <row r="520" spans="1:16" x14ac:dyDescent="0.25">
      <c r="A520" s="3">
        <f t="shared" si="100"/>
        <v>46840</v>
      </c>
      <c r="B520" s="21">
        <f t="shared" si="91"/>
        <v>36613</v>
      </c>
      <c r="C520" s="21">
        <f t="shared" si="92"/>
        <v>36697</v>
      </c>
      <c r="D520" s="1">
        <f t="shared" si="101"/>
        <v>0</v>
      </c>
      <c r="E520" s="3">
        <f t="array" ref="E520">INDEX($A$9:A519, MAX(IF($D$9:D519=1, ROW(D$9:$D519)-ROW($D$9)+1, 0)))</f>
        <v>46832</v>
      </c>
      <c r="F520" s="23">
        <f t="shared" si="93"/>
        <v>1.9575633127994525</v>
      </c>
      <c r="G520" s="5">
        <f>INDEX('Default Prob'!$P$5:$P$14,MIN(1+_xlfn.IFNA(MATCH(F520,'Default Prob'!$F$5:$F$14,1),0),COUNT('Default Prob'!$P$5:$P$14)))</f>
        <v>1.6062593678540758E-2</v>
      </c>
      <c r="H520" s="5">
        <f t="shared" si="102"/>
        <v>0.95919136269060978</v>
      </c>
      <c r="I520" s="24">
        <f t="shared" si="103"/>
        <v>4.2183271465434657E-5</v>
      </c>
      <c r="J520" s="25">
        <f>INDEX('Default Prob'!$C$3:$C$13, _xlfn.IFNA(MATCH(F520, 'Default Prob'!$B$3:$B$13, 1), 1))</f>
        <v>1.9099999999999999E-2</v>
      </c>
      <c r="K520" s="26">
        <f t="shared" si="94"/>
        <v>0.96364060288507458</v>
      </c>
      <c r="L520" s="27">
        <f t="shared" ca="1" si="95"/>
        <v>0</v>
      </c>
      <c r="M520" s="27">
        <f t="shared" ca="1" si="96"/>
        <v>288.94109290374212</v>
      </c>
      <c r="N520" s="28">
        <f t="shared" ca="1" si="97"/>
        <v>1.1745314754588322E-2</v>
      </c>
      <c r="O520" s="29">
        <f t="shared" ca="1" si="98"/>
        <v>600000</v>
      </c>
      <c r="P520" s="30">
        <f t="shared" ca="1" si="99"/>
        <v>24.389707887969731</v>
      </c>
    </row>
    <row r="521" spans="1:16" x14ac:dyDescent="0.25">
      <c r="A521" s="3">
        <f t="shared" si="100"/>
        <v>46841</v>
      </c>
      <c r="B521" s="21">
        <f t="shared" ref="B521:B584" si="104">DATE(2000, MONTH(A521), DAY(A521))</f>
        <v>36614</v>
      </c>
      <c r="C521" s="21">
        <f t="shared" ref="C521:C584" si="105">VLOOKUP(B521, $R$9:$S$13, 2)</f>
        <v>36697</v>
      </c>
      <c r="D521" s="1">
        <f t="shared" si="101"/>
        <v>0</v>
      </c>
      <c r="E521" s="3">
        <f t="array" ref="E521">INDEX($A$9:A520, MAX(IF($D$9:D520=1, ROW(D$9:$D520)-ROW($D$9)+1, 0)))</f>
        <v>46832</v>
      </c>
      <c r="F521" s="23">
        <f t="shared" ref="F521:F584" si="106">(A521-$A$2)/365.25</f>
        <v>1.9603011635865846</v>
      </c>
      <c r="G521" s="5">
        <f>INDEX('Default Prob'!$P$5:$P$14,MIN(1+_xlfn.IFNA(MATCH(F521,'Default Prob'!$F$5:$F$14,1),0),COUNT('Default Prob'!$P$5:$P$14)))</f>
        <v>1.6062593678540758E-2</v>
      </c>
      <c r="H521" s="5">
        <f t="shared" si="102"/>
        <v>0.95914918127419668</v>
      </c>
      <c r="I521" s="24">
        <f t="shared" si="103"/>
        <v>4.2181416413100692E-5</v>
      </c>
      <c r="J521" s="25">
        <f>INDEX('Default Prob'!$C$3:$C$13, _xlfn.IFNA(MATCH(F521, 'Default Prob'!$B$3:$B$13, 1), 1))</f>
        <v>1.9099999999999999E-2</v>
      </c>
      <c r="K521" s="26">
        <f t="shared" ref="K521:K584" si="107">1/((1+J521)^F521)</f>
        <v>0.96359068776653234</v>
      </c>
      <c r="L521" s="27">
        <f t="shared" ref="L521:L584" ca="1" si="108">IF(AND(D521, A521 &lt;= $G$2), $D$5*$D$2*(A521-E521)/365.25, 0)</f>
        <v>0</v>
      </c>
      <c r="M521" s="27">
        <f t="shared" ref="M521:M584" ca="1" si="109">IF(A521&lt;=$G$2, $D$5*$D$2*(A521-E521)/365.25, 0)</f>
        <v>325.05872951670989</v>
      </c>
      <c r="N521" s="28">
        <f t="shared" ref="N521:N584" ca="1" si="110">(L521*H521 + M521*I521) * K521</f>
        <v>1.3212213614673568E-2</v>
      </c>
      <c r="O521" s="29">
        <f t="shared" ref="O521:O584" ca="1" si="111">IF(A521&lt;=$G$2, $D$2*(1-$D$3), 0)</f>
        <v>600000</v>
      </c>
      <c r="P521" s="30">
        <f t="shared" ref="P521:P584" ca="1" si="112">O521*I521*K521</f>
        <v>24.387372031479714</v>
      </c>
    </row>
    <row r="522" spans="1:16" x14ac:dyDescent="0.25">
      <c r="A522" s="3">
        <f t="shared" ref="A522:A585" si="113">WORKDAY(A521, 1)</f>
        <v>46842</v>
      </c>
      <c r="B522" s="21">
        <f t="shared" si="104"/>
        <v>36615</v>
      </c>
      <c r="C522" s="21">
        <f t="shared" si="105"/>
        <v>36697</v>
      </c>
      <c r="D522" s="1">
        <f t="shared" ref="D522:D585" si="114">IF(OR(C522=B522, AND(C522&lt;&gt;C521, C521&gt;B521)), 1, 0)</f>
        <v>0</v>
      </c>
      <c r="E522" s="3">
        <f t="array" ref="E522">INDEX($A$9:A521, MAX(IF($D$9:D521=1, ROW(D$9:$D521)-ROW($D$9)+1, 0)))</f>
        <v>46832</v>
      </c>
      <c r="F522" s="23">
        <f t="shared" si="106"/>
        <v>1.9630390143737166</v>
      </c>
      <c r="G522" s="5">
        <f>INDEX('Default Prob'!$P$5:$P$14,MIN(1+_xlfn.IFNA(MATCH(F522,'Default Prob'!$F$5:$F$14,1),0),COUNT('Default Prob'!$P$5:$P$14)))</f>
        <v>1.6062593678540758E-2</v>
      </c>
      <c r="H522" s="5">
        <f t="shared" ref="H522:H585" si="115">H521*EXP(-G521*(F522-F521))</f>
        <v>0.95910700171275431</v>
      </c>
      <c r="I522" s="24">
        <f t="shared" ref="I522:I585" si="116">H521-H522</f>
        <v>4.2179561442368119E-5</v>
      </c>
      <c r="J522" s="25">
        <f>INDEX('Default Prob'!$C$3:$C$13, _xlfn.IFNA(MATCH(F522, 'Default Prob'!$B$3:$B$13, 1), 1))</f>
        <v>1.9099999999999999E-2</v>
      </c>
      <c r="K522" s="26">
        <f t="shared" si="107"/>
        <v>0.96354077523351733</v>
      </c>
      <c r="L522" s="27">
        <f t="shared" ca="1" si="108"/>
        <v>0</v>
      </c>
      <c r="M522" s="27">
        <f t="shared" ca="1" si="109"/>
        <v>361.17636612967766</v>
      </c>
      <c r="N522" s="28">
        <f t="shared" ca="1" si="110"/>
        <v>1.4678831390712101E-2</v>
      </c>
      <c r="O522" s="29">
        <f t="shared" ca="1" si="111"/>
        <v>600000</v>
      </c>
      <c r="P522" s="30">
        <f t="shared" ca="1" si="112"/>
        <v>24.385036398713492</v>
      </c>
    </row>
    <row r="523" spans="1:16" x14ac:dyDescent="0.25">
      <c r="A523" s="3">
        <f t="shared" si="113"/>
        <v>46843</v>
      </c>
      <c r="B523" s="21">
        <f t="shared" si="104"/>
        <v>36616</v>
      </c>
      <c r="C523" s="21">
        <f t="shared" si="105"/>
        <v>36697</v>
      </c>
      <c r="D523" s="1">
        <f t="shared" si="114"/>
        <v>0</v>
      </c>
      <c r="E523" s="3">
        <f t="array" ref="E523">INDEX($A$9:A522, MAX(IF($D$9:D522=1, ROW(D$9:$D522)-ROW($D$9)+1, 0)))</f>
        <v>46832</v>
      </c>
      <c r="F523" s="23">
        <f t="shared" si="106"/>
        <v>1.9657768651608487</v>
      </c>
      <c r="G523" s="5">
        <f>INDEX('Default Prob'!$P$5:$P$14,MIN(1+_xlfn.IFNA(MATCH(F523,'Default Prob'!$F$5:$F$14,1),0),COUNT('Default Prob'!$P$5:$P$14)))</f>
        <v>1.6062593678540758E-2</v>
      </c>
      <c r="H523" s="5">
        <f t="shared" si="115"/>
        <v>0.95906482400620108</v>
      </c>
      <c r="I523" s="24">
        <f t="shared" si="116"/>
        <v>4.2177706553236938E-5</v>
      </c>
      <c r="J523" s="25">
        <f>INDEX('Default Prob'!$C$3:$C$13, _xlfn.IFNA(MATCH(F523, 'Default Prob'!$B$3:$B$13, 1), 1))</f>
        <v>1.9099999999999999E-2</v>
      </c>
      <c r="K523" s="26">
        <f t="shared" si="107"/>
        <v>0.96349086528589578</v>
      </c>
      <c r="L523" s="27">
        <f t="shared" ca="1" si="108"/>
        <v>0</v>
      </c>
      <c r="M523" s="27">
        <f t="shared" ca="1" si="109"/>
        <v>397.29400274264543</v>
      </c>
      <c r="N523" s="28">
        <f t="shared" ca="1" si="110"/>
        <v>1.6145168123092985E-2</v>
      </c>
      <c r="O523" s="29">
        <f t="shared" ca="1" si="111"/>
        <v>600000</v>
      </c>
      <c r="P523" s="30">
        <f t="shared" ca="1" si="112"/>
        <v>24.382700989651713</v>
      </c>
    </row>
    <row r="524" spans="1:16" x14ac:dyDescent="0.25">
      <c r="A524" s="3">
        <f t="shared" si="113"/>
        <v>46846</v>
      </c>
      <c r="B524" s="21">
        <f t="shared" si="104"/>
        <v>36619</v>
      </c>
      <c r="C524" s="21">
        <f t="shared" si="105"/>
        <v>36697</v>
      </c>
      <c r="D524" s="1">
        <f t="shared" si="114"/>
        <v>0</v>
      </c>
      <c r="E524" s="3">
        <f t="array" ref="E524">INDEX($A$9:A523, MAX(IF($D$9:D523=1, ROW(D$9:$D523)-ROW($D$9)+1, 0)))</f>
        <v>46832</v>
      </c>
      <c r="F524" s="23">
        <f t="shared" si="106"/>
        <v>1.9739904175222451</v>
      </c>
      <c r="G524" s="5">
        <f>INDEX('Default Prob'!$P$5:$P$14,MIN(1+_xlfn.IFNA(MATCH(F524,'Default Prob'!$F$5:$F$14,1),0),COUNT('Default Prob'!$P$5:$P$14)))</f>
        <v>1.6062593678540758E-2</v>
      </c>
      <c r="H524" s="5">
        <f t="shared" si="115"/>
        <v>0.95893830201506036</v>
      </c>
      <c r="I524" s="24">
        <f t="shared" si="116"/>
        <v>1.2652199114071561E-4</v>
      </c>
      <c r="J524" s="25">
        <f>INDEX('Default Prob'!$C$3:$C$13, _xlfn.IFNA(MATCH(F524, 'Default Prob'!$B$3:$B$13, 1), 1))</f>
        <v>1.9099999999999999E-2</v>
      </c>
      <c r="K524" s="26">
        <f t="shared" si="107"/>
        <v>0.96334115095405171</v>
      </c>
      <c r="L524" s="27">
        <f t="shared" ca="1" si="108"/>
        <v>0</v>
      </c>
      <c r="M524" s="27">
        <f t="shared" ca="1" si="109"/>
        <v>505.64691258154875</v>
      </c>
      <c r="N524" s="28">
        <f t="shared" ca="1" si="110"/>
        <v>6.1630187676030075E-2</v>
      </c>
      <c r="O524" s="29">
        <f t="shared" ca="1" si="111"/>
        <v>600000</v>
      </c>
      <c r="P524" s="30">
        <f t="shared" ca="1" si="112"/>
        <v>73.130304339897179</v>
      </c>
    </row>
    <row r="525" spans="1:16" x14ac:dyDescent="0.25">
      <c r="A525" s="3">
        <f t="shared" si="113"/>
        <v>46847</v>
      </c>
      <c r="B525" s="21">
        <f t="shared" si="104"/>
        <v>36620</v>
      </c>
      <c r="C525" s="21">
        <f t="shared" si="105"/>
        <v>36697</v>
      </c>
      <c r="D525" s="1">
        <f t="shared" si="114"/>
        <v>0</v>
      </c>
      <c r="E525" s="3">
        <f t="array" ref="E525">INDEX($A$9:A524, MAX(IF($D$9:D524=1, ROW(D$9:$D524)-ROW($D$9)+1, 0)))</f>
        <v>46832</v>
      </c>
      <c r="F525" s="23">
        <f t="shared" si="106"/>
        <v>1.9767282683093772</v>
      </c>
      <c r="G525" s="5">
        <f>INDEX('Default Prob'!$P$5:$P$14,MIN(1+_xlfn.IFNA(MATCH(F525,'Default Prob'!$F$5:$F$14,1),0),COUNT('Default Prob'!$P$5:$P$14)))</f>
        <v>1.6062593678540758E-2</v>
      </c>
      <c r="H525" s="5">
        <f t="shared" si="115"/>
        <v>0.95889613172724797</v>
      </c>
      <c r="I525" s="24">
        <f t="shared" si="116"/>
        <v>4.217028781239307E-5</v>
      </c>
      <c r="J525" s="25">
        <f>INDEX('Default Prob'!$C$3:$C$13, _xlfn.IFNA(MATCH(F525, 'Default Prob'!$B$3:$B$13, 1), 1))</f>
        <v>1.9099999999999999E-2</v>
      </c>
      <c r="K525" s="26">
        <f t="shared" si="107"/>
        <v>0.96329125134666427</v>
      </c>
      <c r="L525" s="27">
        <f t="shared" ca="1" si="108"/>
        <v>0</v>
      </c>
      <c r="M525" s="27">
        <f t="shared" ca="1" si="109"/>
        <v>541.76454919451646</v>
      </c>
      <c r="N525" s="28">
        <f t="shared" ca="1" si="110"/>
        <v>2.2007705423484288E-2</v>
      </c>
      <c r="O525" s="29">
        <f t="shared" ca="1" si="111"/>
        <v>600000</v>
      </c>
      <c r="P525" s="30">
        <f t="shared" ca="1" si="112"/>
        <v>24.373361589869464</v>
      </c>
    </row>
    <row r="526" spans="1:16" x14ac:dyDescent="0.25">
      <c r="A526" s="3">
        <f t="shared" si="113"/>
        <v>46848</v>
      </c>
      <c r="B526" s="21">
        <f t="shared" si="104"/>
        <v>36621</v>
      </c>
      <c r="C526" s="21">
        <f t="shared" si="105"/>
        <v>36697</v>
      </c>
      <c r="D526" s="1">
        <f t="shared" si="114"/>
        <v>0</v>
      </c>
      <c r="E526" s="3">
        <f t="array" ref="E526">INDEX($A$9:A525, MAX(IF($D$9:D525=1, ROW(D$9:$D525)-ROW($D$9)+1, 0)))</f>
        <v>46832</v>
      </c>
      <c r="F526" s="23">
        <f t="shared" si="106"/>
        <v>1.9794661190965093</v>
      </c>
      <c r="G526" s="5">
        <f>INDEX('Default Prob'!$P$5:$P$14,MIN(1+_xlfn.IFNA(MATCH(F526,'Default Prob'!$F$5:$F$14,1),0),COUNT('Default Prob'!$P$5:$P$14)))</f>
        <v>1.6062593678540758E-2</v>
      </c>
      <c r="H526" s="5">
        <f t="shared" si="115"/>
        <v>0.95885396329391692</v>
      </c>
      <c r="I526" s="24">
        <f t="shared" si="116"/>
        <v>4.2168433331046806E-5</v>
      </c>
      <c r="J526" s="25">
        <f>INDEX('Default Prob'!$C$3:$C$13, _xlfn.IFNA(MATCH(F526, 'Default Prob'!$B$3:$B$13, 1), 1))</f>
        <v>1.9099999999999999E-2</v>
      </c>
      <c r="K526" s="26">
        <f t="shared" si="107"/>
        <v>0.96324135432400071</v>
      </c>
      <c r="L526" s="27">
        <f t="shared" ca="1" si="108"/>
        <v>0</v>
      </c>
      <c r="M526" s="27">
        <f t="shared" ca="1" si="109"/>
        <v>577.88218580748423</v>
      </c>
      <c r="N526" s="28">
        <f t="shared" ca="1" si="110"/>
        <v>2.3472637543114565E-2</v>
      </c>
      <c r="O526" s="29">
        <f t="shared" ca="1" si="111"/>
        <v>600000</v>
      </c>
      <c r="P526" s="30">
        <f t="shared" ca="1" si="112"/>
        <v>24.371027298911315</v>
      </c>
    </row>
    <row r="527" spans="1:16" x14ac:dyDescent="0.25">
      <c r="A527" s="3">
        <f t="shared" si="113"/>
        <v>46849</v>
      </c>
      <c r="B527" s="21">
        <f t="shared" si="104"/>
        <v>36622</v>
      </c>
      <c r="C527" s="21">
        <f t="shared" si="105"/>
        <v>36697</v>
      </c>
      <c r="D527" s="1">
        <f t="shared" si="114"/>
        <v>0</v>
      </c>
      <c r="E527" s="3">
        <f t="array" ref="E527">INDEX($A$9:A526, MAX(IF($D$9:D526=1, ROW(D$9:$D526)-ROW($D$9)+1, 0)))</f>
        <v>46832</v>
      </c>
      <c r="F527" s="23">
        <f t="shared" si="106"/>
        <v>1.9822039698836413</v>
      </c>
      <c r="G527" s="5">
        <f>INDEX('Default Prob'!$P$5:$P$14,MIN(1+_xlfn.IFNA(MATCH(F527,'Default Prob'!$F$5:$F$14,1),0),COUNT('Default Prob'!$P$5:$P$14)))</f>
        <v>1.6062593678540758E-2</v>
      </c>
      <c r="H527" s="5">
        <f t="shared" si="115"/>
        <v>0.95881179671498562</v>
      </c>
      <c r="I527" s="24">
        <f t="shared" si="116"/>
        <v>4.2166578931301935E-5</v>
      </c>
      <c r="J527" s="25">
        <f>INDEX('Default Prob'!$C$3:$C$13, _xlfn.IFNA(MATCH(F527, 'Default Prob'!$B$3:$B$13, 1), 1))</f>
        <v>1.9099999999999999E-2</v>
      </c>
      <c r="K527" s="26">
        <f t="shared" si="107"/>
        <v>0.96319145988592691</v>
      </c>
      <c r="L527" s="27">
        <f t="shared" ca="1" si="108"/>
        <v>0</v>
      </c>
      <c r="M527" s="27">
        <f t="shared" ca="1" si="109"/>
        <v>613.99982242045212</v>
      </c>
      <c r="N527" s="28">
        <f t="shared" ca="1" si="110"/>
        <v>2.4937288861308287E-2</v>
      </c>
      <c r="O527" s="29">
        <f t="shared" ca="1" si="111"/>
        <v>600000</v>
      </c>
      <c r="P527" s="30">
        <f t="shared" ca="1" si="112"/>
        <v>24.368693231541528</v>
      </c>
    </row>
    <row r="528" spans="1:16" x14ac:dyDescent="0.25">
      <c r="A528" s="3">
        <f t="shared" si="113"/>
        <v>46850</v>
      </c>
      <c r="B528" s="21">
        <f t="shared" si="104"/>
        <v>36623</v>
      </c>
      <c r="C528" s="21">
        <f t="shared" si="105"/>
        <v>36697</v>
      </c>
      <c r="D528" s="1">
        <f t="shared" si="114"/>
        <v>0</v>
      </c>
      <c r="E528" s="3">
        <f t="array" ref="E528">INDEX($A$9:A527, MAX(IF($D$9:D527=1, ROW(D$9:$D527)-ROW($D$9)+1, 0)))</f>
        <v>46832</v>
      </c>
      <c r="F528" s="23">
        <f t="shared" si="106"/>
        <v>1.9849418206707734</v>
      </c>
      <c r="G528" s="5">
        <f>INDEX('Default Prob'!$P$5:$P$14,MIN(1+_xlfn.IFNA(MATCH(F528,'Default Prob'!$F$5:$F$14,1),0),COUNT('Default Prob'!$P$5:$P$14)))</f>
        <v>1.6062593678540758E-2</v>
      </c>
      <c r="H528" s="5">
        <f t="shared" si="115"/>
        <v>0.95876963199037257</v>
      </c>
      <c r="I528" s="24">
        <f t="shared" si="116"/>
        <v>4.2164724613047433E-5</v>
      </c>
      <c r="J528" s="25">
        <f>INDEX('Default Prob'!$C$3:$C$13, _xlfn.IFNA(MATCH(F528, 'Default Prob'!$B$3:$B$13, 1), 1))</f>
        <v>1.9099999999999999E-2</v>
      </c>
      <c r="K528" s="26">
        <f t="shared" si="107"/>
        <v>0.96314156803230944</v>
      </c>
      <c r="L528" s="27">
        <f t="shared" ca="1" si="108"/>
        <v>0</v>
      </c>
      <c r="M528" s="27">
        <f t="shared" ca="1" si="109"/>
        <v>650.11745903341978</v>
      </c>
      <c r="N528" s="28">
        <f t="shared" ca="1" si="110"/>
        <v>2.6401659418352385E-2</v>
      </c>
      <c r="O528" s="29">
        <f t="shared" ca="1" si="111"/>
        <v>600000</v>
      </c>
      <c r="P528" s="30">
        <f t="shared" ca="1" si="112"/>
        <v>24.36635938767661</v>
      </c>
    </row>
    <row r="529" spans="1:16" x14ac:dyDescent="0.25">
      <c r="A529" s="3">
        <f t="shared" si="113"/>
        <v>46853</v>
      </c>
      <c r="B529" s="21">
        <f t="shared" si="104"/>
        <v>36626</v>
      </c>
      <c r="C529" s="21">
        <f t="shared" si="105"/>
        <v>36697</v>
      </c>
      <c r="D529" s="1">
        <f t="shared" si="114"/>
        <v>0</v>
      </c>
      <c r="E529" s="3">
        <f t="array" ref="E529">INDEX($A$9:A528, MAX(IF($D$9:D528=1, ROW(D$9:$D528)-ROW($D$9)+1, 0)))</f>
        <v>46832</v>
      </c>
      <c r="F529" s="23">
        <f t="shared" si="106"/>
        <v>1.9931553730321698</v>
      </c>
      <c r="G529" s="5">
        <f>INDEX('Default Prob'!$P$5:$P$14,MIN(1+_xlfn.IFNA(MATCH(F529,'Default Prob'!$F$5:$F$14,1),0),COUNT('Default Prob'!$P$5:$P$14)))</f>
        <v>1.6062593678540758E-2</v>
      </c>
      <c r="H529" s="5">
        <f t="shared" si="115"/>
        <v>0.95864314894162728</v>
      </c>
      <c r="I529" s="24">
        <f t="shared" si="116"/>
        <v>1.2648304874529614E-4</v>
      </c>
      <c r="J529" s="25">
        <f>INDEX('Default Prob'!$C$3:$C$13, _xlfn.IFNA(MATCH(F529, 'Default Prob'!$B$3:$B$13, 1), 1))</f>
        <v>1.9099999999999999E-2</v>
      </c>
      <c r="K529" s="26">
        <f t="shared" si="107"/>
        <v>0.9629919079768543</v>
      </c>
      <c r="L529" s="27">
        <f t="shared" ca="1" si="108"/>
        <v>0</v>
      </c>
      <c r="M529" s="27">
        <f t="shared" ca="1" si="109"/>
        <v>758.47036887232321</v>
      </c>
      <c r="N529" s="28">
        <f t="shared" ca="1" si="110"/>
        <v>9.238332348906414E-2</v>
      </c>
      <c r="O529" s="29">
        <f t="shared" ca="1" si="111"/>
        <v>600000</v>
      </c>
      <c r="P529" s="30">
        <f t="shared" ca="1" si="112"/>
        <v>73.081291462777315</v>
      </c>
    </row>
    <row r="530" spans="1:16" x14ac:dyDescent="0.25">
      <c r="A530" s="3">
        <f t="shared" si="113"/>
        <v>46854</v>
      </c>
      <c r="B530" s="21">
        <f t="shared" si="104"/>
        <v>36627</v>
      </c>
      <c r="C530" s="21">
        <f t="shared" si="105"/>
        <v>36697</v>
      </c>
      <c r="D530" s="1">
        <f t="shared" si="114"/>
        <v>0</v>
      </c>
      <c r="E530" s="3">
        <f t="array" ref="E530">INDEX($A$9:A529, MAX(IF($D$9:D529=1, ROW(D$9:$D529)-ROW($D$9)+1, 0)))</f>
        <v>46832</v>
      </c>
      <c r="F530" s="23">
        <f t="shared" si="106"/>
        <v>1.9958932238193019</v>
      </c>
      <c r="G530" s="5">
        <f>INDEX('Default Prob'!$P$5:$P$14,MIN(1+_xlfn.IFNA(MATCH(F530,'Default Prob'!$F$5:$F$14,1),0),COUNT('Default Prob'!$P$5:$P$14)))</f>
        <v>1.6062593678540758E-2</v>
      </c>
      <c r="H530" s="5">
        <f t="shared" si="115"/>
        <v>0.95860099163347168</v>
      </c>
      <c r="I530" s="24">
        <f t="shared" si="116"/>
        <v>4.215730815559926E-5</v>
      </c>
      <c r="J530" s="25">
        <f>INDEX('Default Prob'!$C$3:$C$13, _xlfn.IFNA(MATCH(F530, 'Default Prob'!$B$3:$B$13, 1), 1))</f>
        <v>1.9099999999999999E-2</v>
      </c>
      <c r="K530" s="26">
        <f t="shared" si="107"/>
        <v>0.96294202645972238</v>
      </c>
      <c r="L530" s="27">
        <f t="shared" ca="1" si="108"/>
        <v>0</v>
      </c>
      <c r="M530" s="27">
        <f t="shared" ca="1" si="109"/>
        <v>794.58800548529086</v>
      </c>
      <c r="N530" s="28">
        <f t="shared" ca="1" si="110"/>
        <v>3.2256334842277093E-2</v>
      </c>
      <c r="O530" s="29">
        <f t="shared" ca="1" si="111"/>
        <v>600000</v>
      </c>
      <c r="P530" s="30">
        <f t="shared" ca="1" si="112"/>
        <v>24.357026247263839</v>
      </c>
    </row>
    <row r="531" spans="1:16" x14ac:dyDescent="0.25">
      <c r="A531" s="3">
        <f t="shared" si="113"/>
        <v>46855</v>
      </c>
      <c r="B531" s="21">
        <f t="shared" si="104"/>
        <v>36628</v>
      </c>
      <c r="C531" s="21">
        <f t="shared" si="105"/>
        <v>36697</v>
      </c>
      <c r="D531" s="1">
        <f t="shared" si="114"/>
        <v>0</v>
      </c>
      <c r="E531" s="3">
        <f t="array" ref="E531">INDEX($A$9:A530, MAX(IF($D$9:D530=1, ROW(D$9:$D530)-ROW($D$9)+1, 0)))</f>
        <v>46832</v>
      </c>
      <c r="F531" s="23">
        <f t="shared" si="106"/>
        <v>1.998631074606434</v>
      </c>
      <c r="G531" s="5">
        <f>INDEX('Default Prob'!$P$5:$P$14,MIN(1+_xlfn.IFNA(MATCH(F531,'Default Prob'!$F$5:$F$14,1),0),COUNT('Default Prob'!$P$5:$P$14)))</f>
        <v>1.6062593678540758E-2</v>
      </c>
      <c r="H531" s="5">
        <f t="shared" si="115"/>
        <v>0.95855883617922666</v>
      </c>
      <c r="I531" s="24">
        <f t="shared" si="116"/>
        <v>4.2155454245018653E-5</v>
      </c>
      <c r="J531" s="25">
        <f>INDEX('Default Prob'!$C$3:$C$13, _xlfn.IFNA(MATCH(F531, 'Default Prob'!$B$3:$B$13, 1), 1))</f>
        <v>1.9099999999999999E-2</v>
      </c>
      <c r="K531" s="26">
        <f t="shared" si="107"/>
        <v>0.96289214752637708</v>
      </c>
      <c r="L531" s="27">
        <f t="shared" ca="1" si="108"/>
        <v>0</v>
      </c>
      <c r="M531" s="27">
        <f t="shared" ca="1" si="109"/>
        <v>830.70564209825864</v>
      </c>
      <c r="N531" s="28">
        <f t="shared" ca="1" si="110"/>
        <v>3.3719302198784225E-2</v>
      </c>
      <c r="O531" s="29">
        <f t="shared" ca="1" si="111"/>
        <v>600000</v>
      </c>
      <c r="P531" s="30">
        <f t="shared" ca="1" si="112"/>
        <v>24.354693520761565</v>
      </c>
    </row>
    <row r="532" spans="1:16" x14ac:dyDescent="0.25">
      <c r="A532" s="3">
        <f t="shared" si="113"/>
        <v>46856</v>
      </c>
      <c r="B532" s="21">
        <f t="shared" si="104"/>
        <v>36629</v>
      </c>
      <c r="C532" s="21">
        <f t="shared" si="105"/>
        <v>36697</v>
      </c>
      <c r="D532" s="1">
        <f t="shared" si="114"/>
        <v>0</v>
      </c>
      <c r="E532" s="3">
        <f t="array" ref="E532">INDEX($A$9:A531, MAX(IF($D$9:D531=1, ROW(D$9:$D531)-ROW($D$9)+1, 0)))</f>
        <v>46832</v>
      </c>
      <c r="F532" s="23">
        <f t="shared" si="106"/>
        <v>2.001368925393566</v>
      </c>
      <c r="G532" s="5">
        <f>INDEX('Default Prob'!$P$5:$P$14,MIN(1+_xlfn.IFNA(MATCH(F532,'Default Prob'!$F$5:$F$14,1),0),COUNT('Default Prob'!$P$5:$P$14)))</f>
        <v>2.1918982658777085E-2</v>
      </c>
      <c r="H532" s="5">
        <f t="shared" si="115"/>
        <v>0.95851668257881062</v>
      </c>
      <c r="I532" s="24">
        <f t="shared" si="116"/>
        <v>4.2153600416039438E-5</v>
      </c>
      <c r="J532" s="25">
        <f>INDEX('Default Prob'!$C$3:$C$13, _xlfn.IFNA(MATCH(F532, 'Default Prob'!$B$3:$B$13, 1), 1))</f>
        <v>1.8200000000000001E-2</v>
      </c>
      <c r="K532" s="26">
        <f t="shared" si="107"/>
        <v>0.96454632723346068</v>
      </c>
      <c r="L532" s="27">
        <f t="shared" ca="1" si="108"/>
        <v>0</v>
      </c>
      <c r="M532" s="27">
        <f t="shared" ca="1" si="109"/>
        <v>866.82327871122652</v>
      </c>
      <c r="N532" s="28">
        <f t="shared" ca="1" si="110"/>
        <v>3.524425477101651E-2</v>
      </c>
      <c r="O532" s="29">
        <f t="shared" ca="1" si="111"/>
        <v>600000</v>
      </c>
      <c r="P532" s="30">
        <f t="shared" ca="1" si="112"/>
        <v>24.395460276574632</v>
      </c>
    </row>
    <row r="533" spans="1:16" x14ac:dyDescent="0.25">
      <c r="A533" s="3">
        <f t="shared" si="113"/>
        <v>46857</v>
      </c>
      <c r="B533" s="21">
        <f t="shared" si="104"/>
        <v>36630</v>
      </c>
      <c r="C533" s="21">
        <f t="shared" si="105"/>
        <v>36697</v>
      </c>
      <c r="D533" s="1">
        <f t="shared" si="114"/>
        <v>0</v>
      </c>
      <c r="E533" s="3">
        <f t="array" ref="E533">INDEX($A$9:A532, MAX(IF($D$9:D532=1, ROW(D$9:$D532)-ROW($D$9)+1, 0)))</f>
        <v>46832</v>
      </c>
      <c r="F533" s="23">
        <f t="shared" si="106"/>
        <v>2.0041067761806981</v>
      </c>
      <c r="G533" s="5">
        <f>INDEX('Default Prob'!$P$5:$P$14,MIN(1+_xlfn.IFNA(MATCH(F533,'Default Prob'!$F$5:$F$14,1),0),COUNT('Default Prob'!$P$5:$P$14)))</f>
        <v>2.1918982658777085E-2</v>
      </c>
      <c r="H533" s="5">
        <f t="shared" si="115"/>
        <v>0.95845916285218413</v>
      </c>
      <c r="I533" s="24">
        <f t="shared" si="116"/>
        <v>5.7519726626487078E-5</v>
      </c>
      <c r="J533" s="25">
        <f>INDEX('Default Prob'!$C$3:$C$13, _xlfn.IFNA(MATCH(F533, 'Default Prob'!$B$3:$B$13, 1), 1))</f>
        <v>1.8200000000000001E-2</v>
      </c>
      <c r="K533" s="26">
        <f t="shared" si="107"/>
        <v>0.96449869827339918</v>
      </c>
      <c r="L533" s="27">
        <f t="shared" ca="1" si="108"/>
        <v>0</v>
      </c>
      <c r="M533" s="27">
        <f t="shared" ca="1" si="109"/>
        <v>902.94091532419418</v>
      </c>
      <c r="N533" s="28">
        <f t="shared" ca="1" si="110"/>
        <v>5.0093086533023579E-2</v>
      </c>
      <c r="O533" s="29">
        <f t="shared" ca="1" si="111"/>
        <v>600000</v>
      </c>
      <c r="P533" s="30">
        <f t="shared" ca="1" si="112"/>
        <v>33.286620873773138</v>
      </c>
    </row>
    <row r="534" spans="1:16" x14ac:dyDescent="0.25">
      <c r="A534" s="3">
        <f t="shared" si="113"/>
        <v>46860</v>
      </c>
      <c r="B534" s="21">
        <f t="shared" si="104"/>
        <v>36633</v>
      </c>
      <c r="C534" s="21">
        <f t="shared" si="105"/>
        <v>36697</v>
      </c>
      <c r="D534" s="1">
        <f t="shared" si="114"/>
        <v>0</v>
      </c>
      <c r="E534" s="3">
        <f t="array" ref="E534">INDEX($A$9:A533, MAX(IF($D$9:D533=1, ROW(D$9:$D533)-ROW($D$9)+1, 0)))</f>
        <v>46832</v>
      </c>
      <c r="F534" s="23">
        <f t="shared" si="106"/>
        <v>2.0123203285420943</v>
      </c>
      <c r="G534" s="5">
        <f>INDEX('Default Prob'!$P$5:$P$14,MIN(1+_xlfn.IFNA(MATCH(F534,'Default Prob'!$F$5:$F$14,1),0),COUNT('Default Prob'!$P$5:$P$14)))</f>
        <v>2.1918982658777085E-2</v>
      </c>
      <c r="H534" s="5">
        <f t="shared" si="115"/>
        <v>0.9582866243817193</v>
      </c>
      <c r="I534" s="24">
        <f t="shared" si="116"/>
        <v>1.7253847046483362E-4</v>
      </c>
      <c r="J534" s="25">
        <f>INDEX('Default Prob'!$C$3:$C$13, _xlfn.IFNA(MATCH(F534, 'Default Prob'!$B$3:$B$13, 1), 1))</f>
        <v>1.8200000000000001E-2</v>
      </c>
      <c r="K534" s="26">
        <f t="shared" si="107"/>
        <v>0.9643558255041581</v>
      </c>
      <c r="L534" s="27">
        <f t="shared" ca="1" si="108"/>
        <v>0</v>
      </c>
      <c r="M534" s="27">
        <f t="shared" ca="1" si="109"/>
        <v>1011.2938251630975</v>
      </c>
      <c r="N534" s="28">
        <f t="shared" ca="1" si="110"/>
        <v>0.16826764150863308</v>
      </c>
      <c r="O534" s="29">
        <f t="shared" ca="1" si="111"/>
        <v>600000</v>
      </c>
      <c r="P534" s="30">
        <f t="shared" ca="1" si="112"/>
        <v>99.833087469803658</v>
      </c>
    </row>
    <row r="535" spans="1:16" x14ac:dyDescent="0.25">
      <c r="A535" s="3">
        <f t="shared" si="113"/>
        <v>46861</v>
      </c>
      <c r="B535" s="21">
        <f t="shared" si="104"/>
        <v>36634</v>
      </c>
      <c r="C535" s="21">
        <f t="shared" si="105"/>
        <v>36697</v>
      </c>
      <c r="D535" s="1">
        <f t="shared" si="114"/>
        <v>0</v>
      </c>
      <c r="E535" s="3">
        <f t="array" ref="E535">INDEX($A$9:A534, MAX(IF($D$9:D534=1, ROW(D$9:$D534)-ROW($D$9)+1, 0)))</f>
        <v>46832</v>
      </c>
      <c r="F535" s="23">
        <f t="shared" si="106"/>
        <v>2.0150581793292264</v>
      </c>
      <c r="G535" s="5">
        <f>INDEX('Default Prob'!$P$5:$P$14,MIN(1+_xlfn.IFNA(MATCH(F535,'Default Prob'!$F$5:$F$14,1),0),COUNT('Default Prob'!$P$5:$P$14)))</f>
        <v>2.1918982658777085E-2</v>
      </c>
      <c r="H535" s="5">
        <f t="shared" si="115"/>
        <v>0.95822911846067893</v>
      </c>
      <c r="I535" s="24">
        <f t="shared" si="116"/>
        <v>5.7505921040368335E-5</v>
      </c>
      <c r="J535" s="25">
        <f>INDEX('Default Prob'!$C$3:$C$13, _xlfn.IFNA(MATCH(F535, 'Default Prob'!$B$3:$B$13, 1), 1))</f>
        <v>1.8200000000000001E-2</v>
      </c>
      <c r="K535" s="26">
        <f t="shared" si="107"/>
        <v>0.9643082059510053</v>
      </c>
      <c r="L535" s="27">
        <f t="shared" ca="1" si="108"/>
        <v>0</v>
      </c>
      <c r="M535" s="27">
        <f t="shared" ca="1" si="109"/>
        <v>1047.4114617760652</v>
      </c>
      <c r="N535" s="28">
        <f t="shared" ca="1" si="110"/>
        <v>5.8082559800282124E-2</v>
      </c>
      <c r="O535" s="29">
        <f t="shared" ca="1" si="111"/>
        <v>600000</v>
      </c>
      <c r="P535" s="30">
        <f t="shared" ca="1" si="112"/>
        <v>33.272058929998657</v>
      </c>
    </row>
    <row r="536" spans="1:16" x14ac:dyDescent="0.25">
      <c r="A536" s="3">
        <f t="shared" si="113"/>
        <v>46862</v>
      </c>
      <c r="B536" s="21">
        <f t="shared" si="104"/>
        <v>36635</v>
      </c>
      <c r="C536" s="21">
        <f t="shared" si="105"/>
        <v>36697</v>
      </c>
      <c r="D536" s="1">
        <f t="shared" si="114"/>
        <v>0</v>
      </c>
      <c r="E536" s="3">
        <f t="array" ref="E536">INDEX($A$9:A535, MAX(IF($D$9:D535=1, ROW(D$9:$D535)-ROW($D$9)+1, 0)))</f>
        <v>46832</v>
      </c>
      <c r="F536" s="23">
        <f t="shared" si="106"/>
        <v>2.0177960301163584</v>
      </c>
      <c r="G536" s="5">
        <f>INDEX('Default Prob'!$P$5:$P$14,MIN(1+_xlfn.IFNA(MATCH(F536,'Default Prob'!$F$5:$F$14,1),0),COUNT('Default Prob'!$P$5:$P$14)))</f>
        <v>2.1918982658777085E-2</v>
      </c>
      <c r="H536" s="5">
        <f t="shared" si="115"/>
        <v>0.95817161599051726</v>
      </c>
      <c r="I536" s="24">
        <f t="shared" si="116"/>
        <v>5.7502470161674424E-5</v>
      </c>
      <c r="J536" s="25">
        <f>INDEX('Default Prob'!$C$3:$C$13, _xlfn.IFNA(MATCH(F536, 'Default Prob'!$B$3:$B$13, 1), 1))</f>
        <v>1.8200000000000001E-2</v>
      </c>
      <c r="K536" s="26">
        <f t="shared" si="107"/>
        <v>0.96426058874928922</v>
      </c>
      <c r="L536" s="27">
        <f t="shared" ca="1" si="108"/>
        <v>0</v>
      </c>
      <c r="M536" s="27">
        <f t="shared" ca="1" si="109"/>
        <v>1083.5290983890329</v>
      </c>
      <c r="N536" s="28">
        <f t="shared" ca="1" si="110"/>
        <v>6.007883420032855E-2</v>
      </c>
      <c r="O536" s="29">
        <f t="shared" ca="1" si="111"/>
        <v>600000</v>
      </c>
      <c r="P536" s="30">
        <f t="shared" ca="1" si="112"/>
        <v>33.268419439580768</v>
      </c>
    </row>
    <row r="537" spans="1:16" x14ac:dyDescent="0.25">
      <c r="A537" s="3">
        <f t="shared" si="113"/>
        <v>46863</v>
      </c>
      <c r="B537" s="21">
        <f t="shared" si="104"/>
        <v>36636</v>
      </c>
      <c r="C537" s="21">
        <f t="shared" si="105"/>
        <v>36697</v>
      </c>
      <c r="D537" s="1">
        <f t="shared" si="114"/>
        <v>0</v>
      </c>
      <c r="E537" s="3">
        <f t="array" ref="E537">INDEX($A$9:A536, MAX(IF($D$9:D536=1, ROW(D$9:$D536)-ROW($D$9)+1, 0)))</f>
        <v>46832</v>
      </c>
      <c r="F537" s="23">
        <f t="shared" si="106"/>
        <v>2.020533880903491</v>
      </c>
      <c r="G537" s="5">
        <f>INDEX('Default Prob'!$P$5:$P$14,MIN(1+_xlfn.IFNA(MATCH(F537,'Default Prob'!$F$5:$F$14,1),0),COUNT('Default Prob'!$P$5:$P$14)))</f>
        <v>2.1918982658777085E-2</v>
      </c>
      <c r="H537" s="5">
        <f t="shared" si="115"/>
        <v>0.95811411697102733</v>
      </c>
      <c r="I537" s="24">
        <f t="shared" si="116"/>
        <v>5.7499019489926084E-5</v>
      </c>
      <c r="J537" s="25">
        <f>INDEX('Default Prob'!$C$3:$C$13, _xlfn.IFNA(MATCH(F537, 'Default Prob'!$B$3:$B$13, 1), 1))</f>
        <v>1.8200000000000001E-2</v>
      </c>
      <c r="K537" s="26">
        <f t="shared" si="107"/>
        <v>0.96421297389889415</v>
      </c>
      <c r="L537" s="27">
        <f t="shared" ca="1" si="108"/>
        <v>0</v>
      </c>
      <c r="M537" s="27">
        <f t="shared" ca="1" si="109"/>
        <v>1119.6467350020009</v>
      </c>
      <c r="N537" s="28">
        <f t="shared" ca="1" si="110"/>
        <v>6.2074671177152374E-2</v>
      </c>
      <c r="O537" s="29">
        <f t="shared" ca="1" si="111"/>
        <v>600000</v>
      </c>
      <c r="P537" s="30">
        <f t="shared" ca="1" si="112"/>
        <v>33.264780347191262</v>
      </c>
    </row>
    <row r="538" spans="1:16" x14ac:dyDescent="0.25">
      <c r="A538" s="3">
        <f t="shared" si="113"/>
        <v>46864</v>
      </c>
      <c r="B538" s="21">
        <f t="shared" si="104"/>
        <v>36637</v>
      </c>
      <c r="C538" s="21">
        <f t="shared" si="105"/>
        <v>36697</v>
      </c>
      <c r="D538" s="1">
        <f t="shared" si="114"/>
        <v>0</v>
      </c>
      <c r="E538" s="3">
        <f t="array" ref="E538">INDEX($A$9:A537, MAX(IF($D$9:D537=1, ROW(D$9:$D537)-ROW($D$9)+1, 0)))</f>
        <v>46832</v>
      </c>
      <c r="F538" s="23">
        <f t="shared" si="106"/>
        <v>2.023271731690623</v>
      </c>
      <c r="G538" s="5">
        <f>INDEX('Default Prob'!$P$5:$P$14,MIN(1+_xlfn.IFNA(MATCH(F538,'Default Prob'!$F$5:$F$14,1),0),COUNT('Default Prob'!$P$5:$P$14)))</f>
        <v>2.1918982658777085E-2</v>
      </c>
      <c r="H538" s="5">
        <f t="shared" si="115"/>
        <v>0.95805662140200198</v>
      </c>
      <c r="I538" s="24">
        <f t="shared" si="116"/>
        <v>5.7495569025345361E-5</v>
      </c>
      <c r="J538" s="25">
        <f>INDEX('Default Prob'!$C$3:$C$13, _xlfn.IFNA(MATCH(F538, 'Default Prob'!$B$3:$B$13, 1), 1))</f>
        <v>1.8200000000000001E-2</v>
      </c>
      <c r="K538" s="26">
        <f t="shared" si="107"/>
        <v>0.96416536139970366</v>
      </c>
      <c r="L538" s="27">
        <f t="shared" ca="1" si="108"/>
        <v>0</v>
      </c>
      <c r="M538" s="27">
        <f t="shared" ca="1" si="109"/>
        <v>1155.7643716149685</v>
      </c>
      <c r="N538" s="28">
        <f t="shared" ca="1" si="110"/>
        <v>6.40700708028102E-2</v>
      </c>
      <c r="O538" s="29">
        <f t="shared" ca="1" si="111"/>
        <v>600000</v>
      </c>
      <c r="P538" s="30">
        <f t="shared" ca="1" si="112"/>
        <v>33.261141652922234</v>
      </c>
    </row>
    <row r="539" spans="1:16" x14ac:dyDescent="0.25">
      <c r="A539" s="3">
        <f t="shared" si="113"/>
        <v>46867</v>
      </c>
      <c r="B539" s="21">
        <f t="shared" si="104"/>
        <v>36640</v>
      </c>
      <c r="C539" s="21">
        <f t="shared" si="105"/>
        <v>36697</v>
      </c>
      <c r="D539" s="1">
        <f t="shared" si="114"/>
        <v>0</v>
      </c>
      <c r="E539" s="3">
        <f t="array" ref="E539">INDEX($A$9:A538, MAX(IF($D$9:D538=1, ROW(D$9:$D538)-ROW($D$9)+1, 0)))</f>
        <v>46832</v>
      </c>
      <c r="F539" s="23">
        <f t="shared" si="106"/>
        <v>2.0314852840520192</v>
      </c>
      <c r="G539" s="5">
        <f>INDEX('Default Prob'!$P$5:$P$14,MIN(1+_xlfn.IFNA(MATCH(F539,'Default Prob'!$F$5:$F$14,1),0),COUNT('Default Prob'!$P$5:$P$14)))</f>
        <v>2.1918982658777085E-2</v>
      </c>
      <c r="H539" s="5">
        <f t="shared" si="115"/>
        <v>0.95788415539564287</v>
      </c>
      <c r="I539" s="24">
        <f t="shared" si="116"/>
        <v>1.7246600635911769E-4</v>
      </c>
      <c r="J539" s="25">
        <f>INDEX('Default Prob'!$C$3:$C$13, _xlfn.IFNA(MATCH(F539, 'Default Prob'!$B$3:$B$13, 1), 1))</f>
        <v>1.8200000000000001E-2</v>
      </c>
      <c r="K539" s="26">
        <f t="shared" si="107"/>
        <v>0.96402253800819859</v>
      </c>
      <c r="L539" s="27">
        <f t="shared" ca="1" si="108"/>
        <v>0</v>
      </c>
      <c r="M539" s="27">
        <f t="shared" ca="1" si="109"/>
        <v>1264.1172814538718</v>
      </c>
      <c r="N539" s="28">
        <f t="shared" ca="1" si="110"/>
        <v>0.21017355144899891</v>
      </c>
      <c r="O539" s="29">
        <f t="shared" ca="1" si="111"/>
        <v>600000</v>
      </c>
      <c r="P539" s="30">
        <f t="shared" ca="1" si="112"/>
        <v>99.756670302272852</v>
      </c>
    </row>
    <row r="540" spans="1:16" x14ac:dyDescent="0.25">
      <c r="A540" s="3">
        <f t="shared" si="113"/>
        <v>46868</v>
      </c>
      <c r="B540" s="21">
        <f t="shared" si="104"/>
        <v>36641</v>
      </c>
      <c r="C540" s="21">
        <f t="shared" si="105"/>
        <v>36697</v>
      </c>
      <c r="D540" s="1">
        <f t="shared" si="114"/>
        <v>0</v>
      </c>
      <c r="E540" s="3">
        <f t="array" ref="E540">INDEX($A$9:A539, MAX(IF($D$9:D539=1, ROW(D$9:$D539)-ROW($D$9)+1, 0)))</f>
        <v>46832</v>
      </c>
      <c r="F540" s="23">
        <f t="shared" si="106"/>
        <v>2.0342231348391513</v>
      </c>
      <c r="G540" s="5">
        <f>INDEX('Default Prob'!$P$5:$P$14,MIN(1+_xlfn.IFNA(MATCH(F540,'Default Prob'!$F$5:$F$14,1),0),COUNT('Default Prob'!$P$5:$P$14)))</f>
        <v>2.1918982658777085E-2</v>
      </c>
      <c r="H540" s="5">
        <f t="shared" si="115"/>
        <v>0.95782667362640539</v>
      </c>
      <c r="I540" s="24">
        <f t="shared" si="116"/>
        <v>5.7481769237477387E-5</v>
      </c>
      <c r="J540" s="25">
        <f>INDEX('Default Prob'!$C$3:$C$13, _xlfn.IFNA(MATCH(F540, 'Default Prob'!$B$3:$B$13, 1), 1))</f>
        <v>1.8200000000000001E-2</v>
      </c>
      <c r="K540" s="26">
        <f t="shared" si="107"/>
        <v>0.96397493491266584</v>
      </c>
      <c r="L540" s="27">
        <f t="shared" ca="1" si="108"/>
        <v>0</v>
      </c>
      <c r="M540" s="27">
        <f t="shared" ca="1" si="109"/>
        <v>1300.2349180668396</v>
      </c>
      <c r="N540" s="28">
        <f t="shared" ca="1" si="110"/>
        <v>7.2047297228592128E-2</v>
      </c>
      <c r="O540" s="29">
        <f t="shared" ca="1" si="111"/>
        <v>600000</v>
      </c>
      <c r="P540" s="30">
        <f t="shared" ca="1" si="112"/>
        <v>33.246590855617285</v>
      </c>
    </row>
    <row r="541" spans="1:16" x14ac:dyDescent="0.25">
      <c r="A541" s="3">
        <f t="shared" si="113"/>
        <v>46869</v>
      </c>
      <c r="B541" s="21">
        <f t="shared" si="104"/>
        <v>36642</v>
      </c>
      <c r="C541" s="21">
        <f t="shared" si="105"/>
        <v>36697</v>
      </c>
      <c r="D541" s="1">
        <f t="shared" si="114"/>
        <v>0</v>
      </c>
      <c r="E541" s="3">
        <f t="array" ref="E541">INDEX($A$9:A540, MAX(IF($D$9:D540=1, ROW(D$9:$D540)-ROW($D$9)+1, 0)))</f>
        <v>46832</v>
      </c>
      <c r="F541" s="23">
        <f t="shared" si="106"/>
        <v>2.0369609856262834</v>
      </c>
      <c r="G541" s="5">
        <f>INDEX('Default Prob'!$P$5:$P$14,MIN(1+_xlfn.IFNA(MATCH(F541,'Default Prob'!$F$5:$F$14,1),0),COUNT('Default Prob'!$P$5:$P$14)))</f>
        <v>2.1918982658777085E-2</v>
      </c>
      <c r="H541" s="5">
        <f t="shared" si="115"/>
        <v>0.95776919530659743</v>
      </c>
      <c r="I541" s="24">
        <f t="shared" si="116"/>
        <v>5.747831980795759E-5</v>
      </c>
      <c r="J541" s="25">
        <f>INDEX('Default Prob'!$C$3:$C$13, _xlfn.IFNA(MATCH(F541, 'Default Prob'!$B$3:$B$13, 1), 1))</f>
        <v>1.8200000000000001E-2</v>
      </c>
      <c r="K541" s="26">
        <f t="shared" si="107"/>
        <v>0.963927334167757</v>
      </c>
      <c r="L541" s="27">
        <f t="shared" ca="1" si="108"/>
        <v>0</v>
      </c>
      <c r="M541" s="27">
        <f t="shared" ca="1" si="109"/>
        <v>1336.3525546798076</v>
      </c>
      <c r="N541" s="28">
        <f t="shared" ca="1" si="110"/>
        <v>7.4040511174555831E-2</v>
      </c>
      <c r="O541" s="29">
        <f t="shared" ca="1" si="111"/>
        <v>600000</v>
      </c>
      <c r="P541" s="30">
        <f t="shared" ca="1" si="112"/>
        <v>33.242954150955804</v>
      </c>
    </row>
    <row r="542" spans="1:16" x14ac:dyDescent="0.25">
      <c r="A542" s="3">
        <f t="shared" si="113"/>
        <v>46870</v>
      </c>
      <c r="B542" s="21">
        <f t="shared" si="104"/>
        <v>36643</v>
      </c>
      <c r="C542" s="21">
        <f t="shared" si="105"/>
        <v>36697</v>
      </c>
      <c r="D542" s="1">
        <f t="shared" si="114"/>
        <v>0</v>
      </c>
      <c r="E542" s="3">
        <f t="array" ref="E542">INDEX($A$9:A541, MAX(IF($D$9:D541=1, ROW(D$9:$D541)-ROW($D$9)+1, 0)))</f>
        <v>46832</v>
      </c>
      <c r="F542" s="23">
        <f t="shared" si="106"/>
        <v>2.0396988364134154</v>
      </c>
      <c r="G542" s="5">
        <f>INDEX('Default Prob'!$P$5:$P$14,MIN(1+_xlfn.IFNA(MATCH(F542,'Default Prob'!$F$5:$F$14,1),0),COUNT('Default Prob'!$P$5:$P$14)))</f>
        <v>2.1918982658777085E-2</v>
      </c>
      <c r="H542" s="5">
        <f t="shared" si="115"/>
        <v>0.95771172043601183</v>
      </c>
      <c r="I542" s="24">
        <f t="shared" si="116"/>
        <v>5.7474870585605409E-5</v>
      </c>
      <c r="J542" s="25">
        <f>INDEX('Default Prob'!$C$3:$C$13, _xlfn.IFNA(MATCH(F542, 'Default Prob'!$B$3:$B$13, 1), 1))</f>
        <v>1.8200000000000001E-2</v>
      </c>
      <c r="K542" s="26">
        <f t="shared" si="107"/>
        <v>0.96387973577335639</v>
      </c>
      <c r="L542" s="27">
        <f t="shared" ca="1" si="108"/>
        <v>0</v>
      </c>
      <c r="M542" s="27">
        <f t="shared" ca="1" si="109"/>
        <v>1372.4701912927751</v>
      </c>
      <c r="N542" s="28">
        <f t="shared" ca="1" si="110"/>
        <v>7.6033288200110044E-2</v>
      </c>
      <c r="O542" s="29">
        <f t="shared" ca="1" si="111"/>
        <v>600000</v>
      </c>
      <c r="P542" s="30">
        <f t="shared" ca="1" si="112"/>
        <v>33.239317844196719</v>
      </c>
    </row>
    <row r="543" spans="1:16" x14ac:dyDescent="0.25">
      <c r="A543" s="3">
        <f t="shared" si="113"/>
        <v>46871</v>
      </c>
      <c r="B543" s="21">
        <f t="shared" si="104"/>
        <v>36644</v>
      </c>
      <c r="C543" s="21">
        <f t="shared" si="105"/>
        <v>36697</v>
      </c>
      <c r="D543" s="1">
        <f t="shared" si="114"/>
        <v>0</v>
      </c>
      <c r="E543" s="3">
        <f t="array" ref="E543">INDEX($A$9:A542, MAX(IF($D$9:D542=1, ROW(D$9:$D542)-ROW($D$9)+1, 0)))</f>
        <v>46832</v>
      </c>
      <c r="F543" s="23">
        <f t="shared" si="106"/>
        <v>2.0424366872005475</v>
      </c>
      <c r="G543" s="5">
        <f>INDEX('Default Prob'!$P$5:$P$14,MIN(1+_xlfn.IFNA(MATCH(F543,'Default Prob'!$F$5:$F$14,1),0),COUNT('Default Prob'!$P$5:$P$14)))</f>
        <v>2.1918982658777085E-2</v>
      </c>
      <c r="H543" s="5">
        <f t="shared" si="115"/>
        <v>0.95765424901444174</v>
      </c>
      <c r="I543" s="24">
        <f t="shared" si="116"/>
        <v>5.7471421570087777E-5</v>
      </c>
      <c r="J543" s="25">
        <f>INDEX('Default Prob'!$C$3:$C$13, _xlfn.IFNA(MATCH(F543, 'Default Prob'!$B$3:$B$13, 1), 1))</f>
        <v>1.8200000000000001E-2</v>
      </c>
      <c r="K543" s="26">
        <f t="shared" si="107"/>
        <v>0.96383213972934778</v>
      </c>
      <c r="L543" s="27">
        <f t="shared" ca="1" si="108"/>
        <v>0</v>
      </c>
      <c r="M543" s="27">
        <f t="shared" ca="1" si="109"/>
        <v>1408.5878279057429</v>
      </c>
      <c r="N543" s="28">
        <f t="shared" ca="1" si="110"/>
        <v>7.8025628376573689E-2</v>
      </c>
      <c r="O543" s="29">
        <f t="shared" ca="1" si="111"/>
        <v>600000</v>
      </c>
      <c r="P543" s="30">
        <f t="shared" ca="1" si="112"/>
        <v>33.23568193511106</v>
      </c>
    </row>
    <row r="544" spans="1:16" x14ac:dyDescent="0.25">
      <c r="A544" s="3">
        <f t="shared" si="113"/>
        <v>46874</v>
      </c>
      <c r="B544" s="21">
        <f t="shared" si="104"/>
        <v>36647</v>
      </c>
      <c r="C544" s="21">
        <f t="shared" si="105"/>
        <v>36697</v>
      </c>
      <c r="D544" s="1">
        <f t="shared" si="114"/>
        <v>0</v>
      </c>
      <c r="E544" s="3">
        <f t="array" ref="E544">INDEX($A$9:A543, MAX(IF($D$9:D543=1, ROW(D$9:$D543)-ROW($D$9)+1, 0)))</f>
        <v>46832</v>
      </c>
      <c r="F544" s="23">
        <f t="shared" si="106"/>
        <v>2.0506502395619437</v>
      </c>
      <c r="G544" s="5">
        <f>INDEX('Default Prob'!$P$5:$P$14,MIN(1+_xlfn.IFNA(MATCH(F544,'Default Prob'!$F$5:$F$14,1),0),COUNT('Default Prob'!$P$5:$P$14)))</f>
        <v>2.1918982658777085E-2</v>
      </c>
      <c r="H544" s="5">
        <f t="shared" si="115"/>
        <v>0.95748185544175424</v>
      </c>
      <c r="I544" s="24">
        <f t="shared" si="116"/>
        <v>1.7239357268750144E-4</v>
      </c>
      <c r="J544" s="25">
        <f>INDEX('Default Prob'!$C$3:$C$13, _xlfn.IFNA(MATCH(F544, 'Default Prob'!$B$3:$B$13, 1), 1))</f>
        <v>1.8200000000000001E-2</v>
      </c>
      <c r="K544" s="26">
        <f t="shared" si="107"/>
        <v>0.96368936569851393</v>
      </c>
      <c r="L544" s="27">
        <f t="shared" ca="1" si="108"/>
        <v>0</v>
      </c>
      <c r="M544" s="27">
        <f t="shared" ca="1" si="109"/>
        <v>1516.9407377446464</v>
      </c>
      <c r="N544" s="28">
        <f t="shared" ca="1" si="110"/>
        <v>0.25201520909990915</v>
      </c>
      <c r="O544" s="29">
        <f t="shared" ca="1" si="111"/>
        <v>600000</v>
      </c>
      <c r="P544" s="30">
        <f t="shared" ca="1" si="112"/>
        <v>99.680311628231351</v>
      </c>
    </row>
    <row r="545" spans="1:16" x14ac:dyDescent="0.25">
      <c r="A545" s="3">
        <f t="shared" si="113"/>
        <v>46875</v>
      </c>
      <c r="B545" s="21">
        <f t="shared" si="104"/>
        <v>36648</v>
      </c>
      <c r="C545" s="21">
        <f t="shared" si="105"/>
        <v>36697</v>
      </c>
      <c r="D545" s="1">
        <f t="shared" si="114"/>
        <v>0</v>
      </c>
      <c r="E545" s="3">
        <f t="array" ref="E545">INDEX($A$9:A544, MAX(IF($D$9:D544=1, ROW(D$9:$D544)-ROW($D$9)+1, 0)))</f>
        <v>46832</v>
      </c>
      <c r="F545" s="23">
        <f t="shared" si="106"/>
        <v>2.0533880903490758</v>
      </c>
      <c r="G545" s="5">
        <f>INDEX('Default Prob'!$P$5:$P$14,MIN(1+_xlfn.IFNA(MATCH(F545,'Default Prob'!$F$5:$F$14,1),0),COUNT('Default Prob'!$P$5:$P$14)))</f>
        <v>2.1918982658777085E-2</v>
      </c>
      <c r="H545" s="5">
        <f t="shared" si="115"/>
        <v>0.95742439781417632</v>
      </c>
      <c r="I545" s="24">
        <f t="shared" si="116"/>
        <v>5.7457627577917059E-5</v>
      </c>
      <c r="J545" s="25">
        <f>INDEX('Default Prob'!$C$3:$C$13, _xlfn.IFNA(MATCH(F545, 'Default Prob'!$B$3:$B$13, 1), 1))</f>
        <v>1.8200000000000001E-2</v>
      </c>
      <c r="K545" s="26">
        <f t="shared" si="107"/>
        <v>0.96364177905491311</v>
      </c>
      <c r="L545" s="27">
        <f t="shared" ca="1" si="108"/>
        <v>0</v>
      </c>
      <c r="M545" s="27">
        <f t="shared" ca="1" si="109"/>
        <v>1553.0583743576142</v>
      </c>
      <c r="N545" s="28">
        <f t="shared" ca="1" si="110"/>
        <v>8.5990622028271832E-2</v>
      </c>
      <c r="O545" s="29">
        <f t="shared" ca="1" si="111"/>
        <v>600000</v>
      </c>
      <c r="P545" s="30">
        <f t="shared" ca="1" si="112"/>
        <v>33.221142275675177</v>
      </c>
    </row>
    <row r="546" spans="1:16" x14ac:dyDescent="0.25">
      <c r="A546" s="3">
        <f t="shared" si="113"/>
        <v>46876</v>
      </c>
      <c r="B546" s="21">
        <f t="shared" si="104"/>
        <v>36649</v>
      </c>
      <c r="C546" s="21">
        <f t="shared" si="105"/>
        <v>36697</v>
      </c>
      <c r="D546" s="1">
        <f t="shared" si="114"/>
        <v>0</v>
      </c>
      <c r="E546" s="3">
        <f t="array" ref="E546">INDEX($A$9:A545, MAX(IF($D$9:D545=1, ROW(D$9:$D545)-ROW($D$9)+1, 0)))</f>
        <v>46832</v>
      </c>
      <c r="F546" s="23">
        <f t="shared" si="106"/>
        <v>2.0561259411362083</v>
      </c>
      <c r="G546" s="5">
        <f>INDEX('Default Prob'!$P$5:$P$14,MIN(1+_xlfn.IFNA(MATCH(F546,'Default Prob'!$F$5:$F$14,1),0),COUNT('Default Prob'!$P$5:$P$14)))</f>
        <v>2.1918982658777085E-2</v>
      </c>
      <c r="H546" s="5">
        <f t="shared" si="115"/>
        <v>0.95736694363457908</v>
      </c>
      <c r="I546" s="24">
        <f t="shared" si="116"/>
        <v>5.7454179597238308E-5</v>
      </c>
      <c r="J546" s="25">
        <f>INDEX('Default Prob'!$C$3:$C$13, _xlfn.IFNA(MATCH(F546, 'Default Prob'!$B$3:$B$13, 1), 1))</f>
        <v>1.8200000000000001E-2</v>
      </c>
      <c r="K546" s="26">
        <f t="shared" si="107"/>
        <v>0.96359419476112385</v>
      </c>
      <c r="L546" s="27">
        <f t="shared" ca="1" si="108"/>
        <v>0</v>
      </c>
      <c r="M546" s="27">
        <f t="shared" ca="1" si="109"/>
        <v>1589.1760109705817</v>
      </c>
      <c r="N546" s="28">
        <f t="shared" ca="1" si="110"/>
        <v>8.7980779036097384E-2</v>
      </c>
      <c r="O546" s="29">
        <f t="shared" ca="1" si="111"/>
        <v>600000</v>
      </c>
      <c r="P546" s="30">
        <f t="shared" ca="1" si="112"/>
        <v>33.217508354797104</v>
      </c>
    </row>
    <row r="547" spans="1:16" x14ac:dyDescent="0.25">
      <c r="A547" s="3">
        <f t="shared" si="113"/>
        <v>46877</v>
      </c>
      <c r="B547" s="21">
        <f t="shared" si="104"/>
        <v>36650</v>
      </c>
      <c r="C547" s="21">
        <f t="shared" si="105"/>
        <v>36697</v>
      </c>
      <c r="D547" s="1">
        <f t="shared" si="114"/>
        <v>0</v>
      </c>
      <c r="E547" s="3">
        <f t="array" ref="E547">INDEX($A$9:A546, MAX(IF($D$9:D546=1, ROW(D$9:$D546)-ROW($D$9)+1, 0)))</f>
        <v>46832</v>
      </c>
      <c r="F547" s="23">
        <f t="shared" si="106"/>
        <v>2.0588637919233403</v>
      </c>
      <c r="G547" s="5">
        <f>INDEX('Default Prob'!$P$5:$P$14,MIN(1+_xlfn.IFNA(MATCH(F547,'Default Prob'!$F$5:$F$14,1),0),COUNT('Default Prob'!$P$5:$P$14)))</f>
        <v>2.1918982658777085E-2</v>
      </c>
      <c r="H547" s="5">
        <f t="shared" si="115"/>
        <v>0.95730949290275569</v>
      </c>
      <c r="I547" s="24">
        <f t="shared" si="116"/>
        <v>5.7450731823394108E-5</v>
      </c>
      <c r="J547" s="25">
        <f>INDEX('Default Prob'!$C$3:$C$13, _xlfn.IFNA(MATCH(F547, 'Default Prob'!$B$3:$B$13, 1), 1))</f>
        <v>1.8200000000000001E-2</v>
      </c>
      <c r="K547" s="26">
        <f t="shared" si="107"/>
        <v>0.96354661281703058</v>
      </c>
      <c r="L547" s="27">
        <f t="shared" ca="1" si="108"/>
        <v>0</v>
      </c>
      <c r="M547" s="27">
        <f t="shared" ca="1" si="109"/>
        <v>1625.2936475835495</v>
      </c>
      <c r="N547" s="28">
        <f t="shared" ca="1" si="110"/>
        <v>8.9970499625113762E-2</v>
      </c>
      <c r="O547" s="29">
        <f t="shared" ca="1" si="111"/>
        <v>600000</v>
      </c>
      <c r="P547" s="30">
        <f t="shared" ca="1" si="112"/>
        <v>33.213874831374589</v>
      </c>
    </row>
    <row r="548" spans="1:16" x14ac:dyDescent="0.25">
      <c r="A548" s="3">
        <f t="shared" si="113"/>
        <v>46878</v>
      </c>
      <c r="B548" s="21">
        <f t="shared" si="104"/>
        <v>36651</v>
      </c>
      <c r="C548" s="21">
        <f t="shared" si="105"/>
        <v>36697</v>
      </c>
      <c r="D548" s="1">
        <f t="shared" si="114"/>
        <v>0</v>
      </c>
      <c r="E548" s="3">
        <f t="array" ref="E548">INDEX($A$9:A547, MAX(IF($D$9:D547=1, ROW(D$9:$D547)-ROW($D$9)+1, 0)))</f>
        <v>46832</v>
      </c>
      <c r="F548" s="23">
        <f t="shared" si="106"/>
        <v>2.0616016427104724</v>
      </c>
      <c r="G548" s="5">
        <f>INDEX('Default Prob'!$P$5:$P$14,MIN(1+_xlfn.IFNA(MATCH(F548,'Default Prob'!$F$5:$F$14,1),0),COUNT('Default Prob'!$P$5:$P$14)))</f>
        <v>2.1918982658777085E-2</v>
      </c>
      <c r="H548" s="5">
        <f t="shared" si="115"/>
        <v>0.95725204561849919</v>
      </c>
      <c r="I548" s="24">
        <f t="shared" si="116"/>
        <v>5.7447284256495479E-5</v>
      </c>
      <c r="J548" s="25">
        <f>INDEX('Default Prob'!$C$3:$C$13, _xlfn.IFNA(MATCH(F548, 'Default Prob'!$B$3:$B$13, 1), 1))</f>
        <v>1.8200000000000001E-2</v>
      </c>
      <c r="K548" s="26">
        <f t="shared" si="107"/>
        <v>0.96349903322251707</v>
      </c>
      <c r="L548" s="27">
        <f t="shared" ca="1" si="108"/>
        <v>0</v>
      </c>
      <c r="M548" s="27">
        <f t="shared" ca="1" si="109"/>
        <v>1661.4112841965173</v>
      </c>
      <c r="N548" s="28">
        <f t="shared" ca="1" si="110"/>
        <v>9.1959783867173919E-2</v>
      </c>
      <c r="O548" s="29">
        <f t="shared" ca="1" si="111"/>
        <v>600000</v>
      </c>
      <c r="P548" s="30">
        <f t="shared" ca="1" si="112"/>
        <v>33.210241705435514</v>
      </c>
    </row>
    <row r="549" spans="1:16" x14ac:dyDescent="0.25">
      <c r="A549" s="3">
        <f t="shared" si="113"/>
        <v>46881</v>
      </c>
      <c r="B549" s="21">
        <f t="shared" si="104"/>
        <v>36654</v>
      </c>
      <c r="C549" s="21">
        <f t="shared" si="105"/>
        <v>36697</v>
      </c>
      <c r="D549" s="1">
        <f t="shared" si="114"/>
        <v>0</v>
      </c>
      <c r="E549" s="3">
        <f t="array" ref="E549">INDEX($A$9:A548, MAX(IF($D$9:D548=1, ROW(D$9:$D548)-ROW($D$9)+1, 0)))</f>
        <v>46832</v>
      </c>
      <c r="F549" s="23">
        <f t="shared" si="106"/>
        <v>2.0698151950718686</v>
      </c>
      <c r="G549" s="5">
        <f>INDEX('Default Prob'!$P$5:$P$14,MIN(1+_xlfn.IFNA(MATCH(F549,'Default Prob'!$F$5:$F$14,1),0),COUNT('Default Prob'!$P$5:$P$14)))</f>
        <v>2.1918982658777085E-2</v>
      </c>
      <c r="H549" s="5">
        <f t="shared" si="115"/>
        <v>0.95707972444906209</v>
      </c>
      <c r="I549" s="24">
        <f t="shared" si="116"/>
        <v>1.7232116943710629E-4</v>
      </c>
      <c r="J549" s="25">
        <f>INDEX('Default Prob'!$C$3:$C$13, _xlfn.IFNA(MATCH(F549, 'Default Prob'!$B$3:$B$13, 1), 1))</f>
        <v>1.8200000000000001E-2</v>
      </c>
      <c r="K549" s="26">
        <f t="shared" si="107"/>
        <v>0.96335630853529464</v>
      </c>
      <c r="L549" s="27">
        <f t="shared" ca="1" si="108"/>
        <v>0</v>
      </c>
      <c r="M549" s="27">
        <f t="shared" ca="1" si="109"/>
        <v>1769.7641940354208</v>
      </c>
      <c r="N549" s="28">
        <f t="shared" ca="1" si="110"/>
        <v>0.29379268827176458</v>
      </c>
      <c r="O549" s="29">
        <f t="shared" ca="1" si="111"/>
        <v>600000</v>
      </c>
      <c r="P549" s="30">
        <f t="shared" ca="1" si="112"/>
        <v>99.604011402849451</v>
      </c>
    </row>
    <row r="550" spans="1:16" x14ac:dyDescent="0.25">
      <c r="A550" s="3">
        <f t="shared" si="113"/>
        <v>46882</v>
      </c>
      <c r="B550" s="21">
        <f t="shared" si="104"/>
        <v>36655</v>
      </c>
      <c r="C550" s="21">
        <f t="shared" si="105"/>
        <v>36697</v>
      </c>
      <c r="D550" s="1">
        <f t="shared" si="114"/>
        <v>0</v>
      </c>
      <c r="E550" s="3">
        <f t="array" ref="E550">INDEX($A$9:A549, MAX(IF($D$9:D549=1, ROW(D$9:$D549)-ROW($D$9)+1, 0)))</f>
        <v>46832</v>
      </c>
      <c r="F550" s="23">
        <f t="shared" si="106"/>
        <v>2.0725530458590007</v>
      </c>
      <c r="G550" s="5">
        <f>INDEX('Default Prob'!$P$5:$P$14,MIN(1+_xlfn.IFNA(MATCH(F550,'Default Prob'!$F$5:$F$14,1),0),COUNT('Default Prob'!$P$5:$P$14)))</f>
        <v>2.1918982658777085E-2</v>
      </c>
      <c r="H550" s="5">
        <f t="shared" si="115"/>
        <v>0.9570222909530044</v>
      </c>
      <c r="I550" s="24">
        <f t="shared" si="116"/>
        <v>5.7433496057690547E-5</v>
      </c>
      <c r="J550" s="25">
        <f>INDEX('Default Prob'!$C$3:$C$13, _xlfn.IFNA(MATCH(F550, 'Default Prob'!$B$3:$B$13, 1), 1))</f>
        <v>1.8200000000000001E-2</v>
      </c>
      <c r="K550" s="26">
        <f t="shared" si="107"/>
        <v>0.96330873833793984</v>
      </c>
      <c r="L550" s="27">
        <f t="shared" ca="1" si="108"/>
        <v>0</v>
      </c>
      <c r="M550" s="27">
        <f t="shared" ca="1" si="109"/>
        <v>1805.8818306483884</v>
      </c>
      <c r="N550" s="28">
        <f t="shared" ca="1" si="110"/>
        <v>9.9912558798124648E-2</v>
      </c>
      <c r="O550" s="29">
        <f t="shared" ca="1" si="111"/>
        <v>600000</v>
      </c>
      <c r="P550" s="30">
        <f t="shared" ca="1" si="112"/>
        <v>33.195713175402553</v>
      </c>
    </row>
    <row r="551" spans="1:16" x14ac:dyDescent="0.25">
      <c r="A551" s="3">
        <f t="shared" si="113"/>
        <v>46883</v>
      </c>
      <c r="B551" s="21">
        <f t="shared" si="104"/>
        <v>36656</v>
      </c>
      <c r="C551" s="21">
        <f t="shared" si="105"/>
        <v>36697</v>
      </c>
      <c r="D551" s="1">
        <f t="shared" si="114"/>
        <v>0</v>
      </c>
      <c r="E551" s="3">
        <f t="array" ref="E551">INDEX($A$9:A550, MAX(IF($D$9:D550=1, ROW(D$9:$D550)-ROW($D$9)+1, 0)))</f>
        <v>46832</v>
      </c>
      <c r="F551" s="23">
        <f t="shared" si="106"/>
        <v>2.0752908966461328</v>
      </c>
      <c r="G551" s="5">
        <f>INDEX('Default Prob'!$P$5:$P$14,MIN(1+_xlfn.IFNA(MATCH(F551,'Default Prob'!$F$5:$F$14,1),0),COUNT('Default Prob'!$P$5:$P$14)))</f>
        <v>2.1918982658777085E-2</v>
      </c>
      <c r="H551" s="5">
        <f t="shared" si="115"/>
        <v>0.95696486090347932</v>
      </c>
      <c r="I551" s="24">
        <f t="shared" si="116"/>
        <v>5.7430049525075688E-5</v>
      </c>
      <c r="J551" s="25">
        <f>INDEX('Default Prob'!$C$3:$C$13, _xlfn.IFNA(MATCH(F551, 'Default Prob'!$B$3:$B$13, 1), 1))</f>
        <v>1.8200000000000001E-2</v>
      </c>
      <c r="K551" s="26">
        <f t="shared" si="107"/>
        <v>0.96326117048958482</v>
      </c>
      <c r="L551" s="27">
        <f t="shared" ca="1" si="108"/>
        <v>0</v>
      </c>
      <c r="M551" s="27">
        <f t="shared" ca="1" si="109"/>
        <v>1841.9994672613561</v>
      </c>
      <c r="N551" s="28">
        <f t="shared" ca="1" si="110"/>
        <v>0.10189966237958957</v>
      </c>
      <c r="O551" s="29">
        <f t="shared" ca="1" si="111"/>
        <v>600000</v>
      </c>
      <c r="P551" s="30">
        <f t="shared" ca="1" si="112"/>
        <v>33.19208203607954</v>
      </c>
    </row>
    <row r="552" spans="1:16" x14ac:dyDescent="0.25">
      <c r="A552" s="3">
        <f t="shared" si="113"/>
        <v>46884</v>
      </c>
      <c r="B552" s="21">
        <f t="shared" si="104"/>
        <v>36657</v>
      </c>
      <c r="C552" s="21">
        <f t="shared" si="105"/>
        <v>36697</v>
      </c>
      <c r="D552" s="1">
        <f t="shared" si="114"/>
        <v>0</v>
      </c>
      <c r="E552" s="3">
        <f t="array" ref="E552">INDEX($A$9:A551, MAX(IF($D$9:D551=1, ROW(D$9:$D551)-ROW($D$9)+1, 0)))</f>
        <v>46832</v>
      </c>
      <c r="F552" s="23">
        <f t="shared" si="106"/>
        <v>2.0780287474332648</v>
      </c>
      <c r="G552" s="5">
        <f>INDEX('Default Prob'!$P$5:$P$14,MIN(1+_xlfn.IFNA(MATCH(F552,'Default Prob'!$F$5:$F$14,1),0),COUNT('Default Prob'!$P$5:$P$14)))</f>
        <v>2.1918982658777085E-2</v>
      </c>
      <c r="H552" s="5">
        <f t="shared" si="115"/>
        <v>0.95690743430028002</v>
      </c>
      <c r="I552" s="24">
        <f t="shared" si="116"/>
        <v>5.7426603199295378E-5</v>
      </c>
      <c r="J552" s="25">
        <f>INDEX('Default Prob'!$C$3:$C$13, _xlfn.IFNA(MATCH(F552, 'Default Prob'!$B$3:$B$13, 1), 1))</f>
        <v>1.8200000000000001E-2</v>
      </c>
      <c r="K552" s="26">
        <f t="shared" si="107"/>
        <v>0.96321360499011355</v>
      </c>
      <c r="L552" s="27">
        <f t="shared" ca="1" si="108"/>
        <v>0</v>
      </c>
      <c r="M552" s="27">
        <f t="shared" ca="1" si="109"/>
        <v>1878.1171038743239</v>
      </c>
      <c r="N552" s="28">
        <f t="shared" ca="1" si="110"/>
        <v>0.10388633004380425</v>
      </c>
      <c r="O552" s="29">
        <f t="shared" ca="1" si="111"/>
        <v>600000</v>
      </c>
      <c r="P552" s="30">
        <f t="shared" ca="1" si="112"/>
        <v>33.188451293958053</v>
      </c>
    </row>
    <row r="553" spans="1:16" x14ac:dyDescent="0.25">
      <c r="A553" s="3">
        <f t="shared" si="113"/>
        <v>46885</v>
      </c>
      <c r="B553" s="21">
        <f t="shared" si="104"/>
        <v>36658</v>
      </c>
      <c r="C553" s="21">
        <f t="shared" si="105"/>
        <v>36697</v>
      </c>
      <c r="D553" s="1">
        <f t="shared" si="114"/>
        <v>0</v>
      </c>
      <c r="E553" s="3">
        <f t="array" ref="E553">INDEX($A$9:A552, MAX(IF($D$9:D552=1, ROW(D$9:$D552)-ROW($D$9)+1, 0)))</f>
        <v>46832</v>
      </c>
      <c r="F553" s="23">
        <f t="shared" si="106"/>
        <v>2.0807665982203969</v>
      </c>
      <c r="G553" s="5">
        <f>INDEX('Default Prob'!$P$5:$P$14,MIN(1+_xlfn.IFNA(MATCH(F553,'Default Prob'!$F$5:$F$14,1),0),COUNT('Default Prob'!$P$5:$P$14)))</f>
        <v>2.1918982658777085E-2</v>
      </c>
      <c r="H553" s="5">
        <f t="shared" si="115"/>
        <v>0.95685001114319967</v>
      </c>
      <c r="I553" s="24">
        <f t="shared" si="116"/>
        <v>5.7423157080349618E-5</v>
      </c>
      <c r="J553" s="25">
        <f>INDEX('Default Prob'!$C$3:$C$13, _xlfn.IFNA(MATCH(F553, 'Default Prob'!$B$3:$B$13, 1), 1))</f>
        <v>1.8200000000000001E-2</v>
      </c>
      <c r="K553" s="26">
        <f t="shared" si="107"/>
        <v>0.9631660418394099</v>
      </c>
      <c r="L553" s="27">
        <f t="shared" ca="1" si="108"/>
        <v>0</v>
      </c>
      <c r="M553" s="27">
        <f t="shared" ca="1" si="109"/>
        <v>1914.2347404872917</v>
      </c>
      <c r="N553" s="28">
        <f t="shared" ca="1" si="110"/>
        <v>0.10587256186238288</v>
      </c>
      <c r="O553" s="29">
        <f t="shared" ca="1" si="111"/>
        <v>600000</v>
      </c>
      <c r="P553" s="30">
        <f t="shared" ca="1" si="112"/>
        <v>33.184820949001818</v>
      </c>
    </row>
    <row r="554" spans="1:16" x14ac:dyDescent="0.25">
      <c r="A554" s="3">
        <f t="shared" si="113"/>
        <v>46888</v>
      </c>
      <c r="B554" s="21">
        <f t="shared" si="104"/>
        <v>36661</v>
      </c>
      <c r="C554" s="21">
        <f t="shared" si="105"/>
        <v>36697</v>
      </c>
      <c r="D554" s="1">
        <f t="shared" si="114"/>
        <v>0</v>
      </c>
      <c r="E554" s="3">
        <f t="array" ref="E554">INDEX($A$9:A553, MAX(IF($D$9:D553=1, ROW(D$9:$D553)-ROW($D$9)+1, 0)))</f>
        <v>46832</v>
      </c>
      <c r="F554" s="23">
        <f t="shared" si="106"/>
        <v>2.0889801505817931</v>
      </c>
      <c r="G554" s="5">
        <f>INDEX('Default Prob'!$P$5:$P$14,MIN(1+_xlfn.IFNA(MATCH(F554,'Default Prob'!$F$5:$F$14,1),0),COUNT('Default Prob'!$P$5:$P$14)))</f>
        <v>2.1918982658777085E-2</v>
      </c>
      <c r="H554" s="5">
        <f t="shared" si="115"/>
        <v>0.95667776234660451</v>
      </c>
      <c r="I554" s="24">
        <f t="shared" si="116"/>
        <v>1.7224879659516468E-4</v>
      </c>
      <c r="J554" s="25">
        <f>INDEX('Default Prob'!$C$3:$C$13, _xlfn.IFNA(MATCH(F554, 'Default Prob'!$B$3:$B$13, 1), 1))</f>
        <v>1.8200000000000001E-2</v>
      </c>
      <c r="K554" s="26">
        <f t="shared" si="107"/>
        <v>0.96302336647874542</v>
      </c>
      <c r="L554" s="27">
        <f t="shared" ca="1" si="108"/>
        <v>0</v>
      </c>
      <c r="M554" s="27">
        <f t="shared" ca="1" si="109"/>
        <v>2022.587650326195</v>
      </c>
      <c r="N554" s="28">
        <f t="shared" ca="1" si="110"/>
        <v>0.33550606269972733</v>
      </c>
      <c r="O554" s="29">
        <f t="shared" ca="1" si="111"/>
        <v>600000</v>
      </c>
      <c r="P554" s="30">
        <f t="shared" ca="1" si="112"/>
        <v>99.527769581392889</v>
      </c>
    </row>
    <row r="555" spans="1:16" x14ac:dyDescent="0.25">
      <c r="A555" s="3">
        <f t="shared" si="113"/>
        <v>46889</v>
      </c>
      <c r="B555" s="21">
        <f t="shared" si="104"/>
        <v>36662</v>
      </c>
      <c r="C555" s="21">
        <f t="shared" si="105"/>
        <v>36697</v>
      </c>
      <c r="D555" s="1">
        <f t="shared" si="114"/>
        <v>0</v>
      </c>
      <c r="E555" s="3">
        <f t="array" ref="E555">INDEX($A$9:A554, MAX(IF($D$9:D554=1, ROW(D$9:$D554)-ROW($D$9)+1, 0)))</f>
        <v>46832</v>
      </c>
      <c r="F555" s="23">
        <f t="shared" si="106"/>
        <v>2.0917180013689256</v>
      </c>
      <c r="G555" s="5">
        <f>INDEX('Default Prob'!$P$5:$P$14,MIN(1+_xlfn.IFNA(MATCH(F555,'Default Prob'!$F$5:$F$14,1),0),COUNT('Default Prob'!$P$5:$P$14)))</f>
        <v>2.1918982658777085E-2</v>
      </c>
      <c r="H555" s="5">
        <f t="shared" si="115"/>
        <v>0.95662035297193215</v>
      </c>
      <c r="I555" s="24">
        <f t="shared" si="116"/>
        <v>5.7409374672356961E-5</v>
      </c>
      <c r="J555" s="25">
        <f>INDEX('Default Prob'!$C$3:$C$13, _xlfn.IFNA(MATCH(F555, 'Default Prob'!$B$3:$B$13, 1), 1))</f>
        <v>1.8200000000000001E-2</v>
      </c>
      <c r="K555" s="26">
        <f t="shared" si="107"/>
        <v>0.96297581272195287</v>
      </c>
      <c r="L555" s="27">
        <f t="shared" ca="1" si="108"/>
        <v>0</v>
      </c>
      <c r="M555" s="27">
        <f t="shared" ca="1" si="109"/>
        <v>2058.7052869391628</v>
      </c>
      <c r="N555" s="28">
        <f t="shared" ca="1" si="110"/>
        <v>0.11381313211121424</v>
      </c>
      <c r="O555" s="29">
        <f t="shared" ca="1" si="111"/>
        <v>600000</v>
      </c>
      <c r="P555" s="30">
        <f t="shared" ca="1" si="112"/>
        <v>33.170303539783227</v>
      </c>
    </row>
    <row r="556" spans="1:16" x14ac:dyDescent="0.25">
      <c r="A556" s="3">
        <f t="shared" si="113"/>
        <v>46890</v>
      </c>
      <c r="B556" s="21">
        <f t="shared" si="104"/>
        <v>36663</v>
      </c>
      <c r="C556" s="21">
        <f t="shared" si="105"/>
        <v>36697</v>
      </c>
      <c r="D556" s="1">
        <f t="shared" si="114"/>
        <v>0</v>
      </c>
      <c r="E556" s="3">
        <f t="array" ref="E556">INDEX($A$9:A555, MAX(IF($D$9:D555=1, ROW(D$9:$D555)-ROW($D$9)+1, 0)))</f>
        <v>46832</v>
      </c>
      <c r="F556" s="23">
        <f t="shared" si="106"/>
        <v>2.0944558521560577</v>
      </c>
      <c r="G556" s="5">
        <f>INDEX('Default Prob'!$P$5:$P$14,MIN(1+_xlfn.IFNA(MATCH(F556,'Default Prob'!$F$5:$F$14,1),0),COUNT('Default Prob'!$P$5:$P$14)))</f>
        <v>2.1918982658777085E-2</v>
      </c>
      <c r="H556" s="5">
        <f t="shared" si="115"/>
        <v>0.9565629470423449</v>
      </c>
      <c r="I556" s="24">
        <f t="shared" si="116"/>
        <v>5.7405929587250881E-5</v>
      </c>
      <c r="J556" s="25">
        <f>INDEX('Default Prob'!$C$3:$C$13, _xlfn.IFNA(MATCH(F556, 'Default Prob'!$B$3:$B$13, 1), 1))</f>
        <v>1.8200000000000001E-2</v>
      </c>
      <c r="K556" s="26">
        <f t="shared" si="107"/>
        <v>0.96292826131334819</v>
      </c>
      <c r="L556" s="27">
        <f t="shared" ca="1" si="108"/>
        <v>0</v>
      </c>
      <c r="M556" s="27">
        <f t="shared" ca="1" si="109"/>
        <v>2094.8229235521303</v>
      </c>
      <c r="N556" s="28">
        <f t="shared" ca="1" si="110"/>
        <v>0.11579718577482861</v>
      </c>
      <c r="O556" s="29">
        <f t="shared" ca="1" si="111"/>
        <v>600000</v>
      </c>
      <c r="P556" s="30">
        <f t="shared" ca="1" si="112"/>
        <v>33.166675179916787</v>
      </c>
    </row>
    <row r="557" spans="1:16" x14ac:dyDescent="0.25">
      <c r="A557" s="3">
        <f t="shared" si="113"/>
        <v>46891</v>
      </c>
      <c r="B557" s="21">
        <f t="shared" si="104"/>
        <v>36664</v>
      </c>
      <c r="C557" s="21">
        <f t="shared" si="105"/>
        <v>36697</v>
      </c>
      <c r="D557" s="1">
        <f t="shared" si="114"/>
        <v>0</v>
      </c>
      <c r="E557" s="3">
        <f t="array" ref="E557">INDEX($A$9:A556, MAX(IF($D$9:D556=1, ROW(D$9:$D556)-ROW($D$9)+1, 0)))</f>
        <v>46832</v>
      </c>
      <c r="F557" s="23">
        <f t="shared" si="106"/>
        <v>2.0971937029431897</v>
      </c>
      <c r="G557" s="5">
        <f>INDEX('Default Prob'!$P$5:$P$14,MIN(1+_xlfn.IFNA(MATCH(F557,'Default Prob'!$F$5:$F$14,1),0),COUNT('Default Prob'!$P$5:$P$14)))</f>
        <v>2.1918982658777085E-2</v>
      </c>
      <c r="H557" s="5">
        <f t="shared" si="115"/>
        <v>0.95650554455763603</v>
      </c>
      <c r="I557" s="24">
        <f t="shared" si="116"/>
        <v>5.7402484708868329E-5</v>
      </c>
      <c r="J557" s="25">
        <f>INDEX('Default Prob'!$C$3:$C$13, _xlfn.IFNA(MATCH(F557, 'Default Prob'!$B$3:$B$13, 1), 1))</f>
        <v>1.8200000000000001E-2</v>
      </c>
      <c r="K557" s="26">
        <f t="shared" si="107"/>
        <v>0.96288071225281546</v>
      </c>
      <c r="L557" s="27">
        <f t="shared" ca="1" si="108"/>
        <v>0</v>
      </c>
      <c r="M557" s="27">
        <f t="shared" ca="1" si="109"/>
        <v>2130.9405601650983</v>
      </c>
      <c r="N557" s="28">
        <f t="shared" ca="1" si="110"/>
        <v>0.11778080402205786</v>
      </c>
      <c r="O557" s="29">
        <f t="shared" ca="1" si="111"/>
        <v>600000</v>
      </c>
      <c r="P557" s="30">
        <f t="shared" ca="1" si="112"/>
        <v>33.16304721693389</v>
      </c>
    </row>
    <row r="558" spans="1:16" x14ac:dyDescent="0.25">
      <c r="A558" s="3">
        <f t="shared" si="113"/>
        <v>46892</v>
      </c>
      <c r="B558" s="21">
        <f t="shared" si="104"/>
        <v>36665</v>
      </c>
      <c r="C558" s="21">
        <f t="shared" si="105"/>
        <v>36697</v>
      </c>
      <c r="D558" s="1">
        <f t="shared" si="114"/>
        <v>0</v>
      </c>
      <c r="E558" s="3">
        <f t="array" ref="E558">INDEX($A$9:A557, MAX(IF($D$9:D557=1, ROW(D$9:$D557)-ROW($D$9)+1, 0)))</f>
        <v>46832</v>
      </c>
      <c r="F558" s="23">
        <f t="shared" si="106"/>
        <v>2.0999315537303218</v>
      </c>
      <c r="G558" s="5">
        <f>INDEX('Default Prob'!$P$5:$P$14,MIN(1+_xlfn.IFNA(MATCH(F558,'Default Prob'!$F$5:$F$14,1),0),COUNT('Default Prob'!$P$5:$P$14)))</f>
        <v>2.1918982658777085E-2</v>
      </c>
      <c r="H558" s="5">
        <f t="shared" si="115"/>
        <v>0.95644814551759882</v>
      </c>
      <c r="I558" s="24">
        <f t="shared" si="116"/>
        <v>5.7399040037209303E-5</v>
      </c>
      <c r="J558" s="25">
        <f>INDEX('Default Prob'!$C$3:$C$13, _xlfn.IFNA(MATCH(F558, 'Default Prob'!$B$3:$B$13, 1), 1))</f>
        <v>1.8200000000000001E-2</v>
      </c>
      <c r="K558" s="26">
        <f t="shared" si="107"/>
        <v>0.96283316554023879</v>
      </c>
      <c r="L558" s="27">
        <f t="shared" ca="1" si="108"/>
        <v>0</v>
      </c>
      <c r="M558" s="27">
        <f t="shared" ca="1" si="109"/>
        <v>2167.0581967780658</v>
      </c>
      <c r="N558" s="28">
        <f t="shared" ca="1" si="110"/>
        <v>0.11976398692444348</v>
      </c>
      <c r="O558" s="29">
        <f t="shared" ca="1" si="111"/>
        <v>600000</v>
      </c>
      <c r="P558" s="30">
        <f t="shared" ca="1" si="112"/>
        <v>33.159419650798284</v>
      </c>
    </row>
    <row r="559" spans="1:16" x14ac:dyDescent="0.25">
      <c r="A559" s="3">
        <f t="shared" si="113"/>
        <v>46895</v>
      </c>
      <c r="B559" s="21">
        <f t="shared" si="104"/>
        <v>36668</v>
      </c>
      <c r="C559" s="21">
        <f t="shared" si="105"/>
        <v>36697</v>
      </c>
      <c r="D559" s="1">
        <f t="shared" si="114"/>
        <v>0</v>
      </c>
      <c r="E559" s="3">
        <f t="array" ref="E559">INDEX($A$9:A558, MAX(IF($D$9:D558=1, ROW(D$9:$D558)-ROW($D$9)+1, 0)))</f>
        <v>46832</v>
      </c>
      <c r="F559" s="23">
        <f t="shared" si="106"/>
        <v>2.108145106091718</v>
      </c>
      <c r="G559" s="5">
        <f>INDEX('Default Prob'!$P$5:$P$14,MIN(1+_xlfn.IFNA(MATCH(F559,'Default Prob'!$F$5:$F$14,1),0),COUNT('Default Prob'!$P$5:$P$14)))</f>
        <v>2.1918982658777085E-2</v>
      </c>
      <c r="H559" s="5">
        <f t="shared" si="115"/>
        <v>0.9562759690634498</v>
      </c>
      <c r="I559" s="24">
        <f t="shared" si="116"/>
        <v>1.7217645414902005E-4</v>
      </c>
      <c r="J559" s="25">
        <f>INDEX('Default Prob'!$C$3:$C$13, _xlfn.IFNA(MATCH(F559, 'Default Prob'!$B$3:$B$13, 1), 1))</f>
        <v>1.8200000000000001E-2</v>
      </c>
      <c r="K559" s="26">
        <f t="shared" si="107"/>
        <v>0.96269053948908501</v>
      </c>
      <c r="L559" s="27">
        <f t="shared" ca="1" si="108"/>
        <v>0</v>
      </c>
      <c r="M559" s="27">
        <f t="shared" ca="1" si="109"/>
        <v>2275.4111066169694</v>
      </c>
      <c r="N559" s="28">
        <f t="shared" ca="1" si="110"/>
        <v>0.37715540604392228</v>
      </c>
      <c r="O559" s="29">
        <f t="shared" ca="1" si="111"/>
        <v>600000</v>
      </c>
      <c r="P559" s="30">
        <f t="shared" ca="1" si="112"/>
        <v>99.451586119222682</v>
      </c>
    </row>
    <row r="560" spans="1:16" x14ac:dyDescent="0.25">
      <c r="A560" s="3">
        <f t="shared" si="113"/>
        <v>46896</v>
      </c>
      <c r="B560" s="21">
        <f t="shared" si="104"/>
        <v>36669</v>
      </c>
      <c r="C560" s="21">
        <f t="shared" si="105"/>
        <v>36697</v>
      </c>
      <c r="D560" s="1">
        <f t="shared" si="114"/>
        <v>0</v>
      </c>
      <c r="E560" s="3">
        <f t="array" ref="E560">INDEX($A$9:A559, MAX(IF($D$9:D559=1, ROW(D$9:$D559)-ROW($D$9)+1, 0)))</f>
        <v>46832</v>
      </c>
      <c r="F560" s="23">
        <f t="shared" si="106"/>
        <v>2.1108829568788501</v>
      </c>
      <c r="G560" s="5">
        <f>INDEX('Default Prob'!$P$5:$P$14,MIN(1+_xlfn.IFNA(MATCH(F560,'Default Prob'!$F$5:$F$14,1),0),COUNT('Default Prob'!$P$5:$P$14)))</f>
        <v>2.1918982658777085E-2</v>
      </c>
      <c r="H560" s="5">
        <f t="shared" si="115"/>
        <v>0.95621858380003211</v>
      </c>
      <c r="I560" s="24">
        <f t="shared" si="116"/>
        <v>5.7385263417697452E-5</v>
      </c>
      <c r="J560" s="25">
        <f>INDEX('Default Prob'!$C$3:$C$13, _xlfn.IFNA(MATCH(F560, 'Default Prob'!$B$3:$B$13, 1), 1))</f>
        <v>1.8200000000000001E-2</v>
      </c>
      <c r="K560" s="26">
        <f t="shared" si="107"/>
        <v>0.96264300216717258</v>
      </c>
      <c r="L560" s="27">
        <f t="shared" ca="1" si="108"/>
        <v>0</v>
      </c>
      <c r="M560" s="27">
        <f t="shared" ca="1" si="109"/>
        <v>2311.5287432299369</v>
      </c>
      <c r="N560" s="28">
        <f t="shared" ca="1" si="110"/>
        <v>0.1276923665158293</v>
      </c>
      <c r="O560" s="29">
        <f t="shared" ca="1" si="111"/>
        <v>600000</v>
      </c>
      <c r="P560" s="30">
        <f t="shared" ca="1" si="112"/>
        <v>33.144913353939778</v>
      </c>
    </row>
    <row r="561" spans="1:16" x14ac:dyDescent="0.25">
      <c r="A561" s="3">
        <f t="shared" si="113"/>
        <v>46897</v>
      </c>
      <c r="B561" s="21">
        <f t="shared" si="104"/>
        <v>36670</v>
      </c>
      <c r="C561" s="21">
        <f t="shared" si="105"/>
        <v>36697</v>
      </c>
      <c r="D561" s="1">
        <f t="shared" si="114"/>
        <v>0</v>
      </c>
      <c r="E561" s="3">
        <f t="array" ref="E561">INDEX($A$9:A560, MAX(IF($D$9:D560=1, ROW(D$9:$D560)-ROW($D$9)+1, 0)))</f>
        <v>46832</v>
      </c>
      <c r="F561" s="23">
        <f t="shared" si="106"/>
        <v>2.1136208076659821</v>
      </c>
      <c r="G561" s="5">
        <f>INDEX('Default Prob'!$P$5:$P$14,MIN(1+_xlfn.IFNA(MATCH(F561,'Default Prob'!$F$5:$F$14,1),0),COUNT('Default Prob'!$P$5:$P$14)))</f>
        <v>2.1918982658777085E-2</v>
      </c>
      <c r="H561" s="5">
        <f t="shared" si="115"/>
        <v>0.95616120198025256</v>
      </c>
      <c r="I561" s="24">
        <f t="shared" si="116"/>
        <v>5.738181977954504E-5</v>
      </c>
      <c r="J561" s="25">
        <f>INDEX('Default Prob'!$C$3:$C$13, _xlfn.IFNA(MATCH(F561, 'Default Prob'!$B$3:$B$13, 1), 1))</f>
        <v>1.8200000000000001E-2</v>
      </c>
      <c r="K561" s="26">
        <f t="shared" si="107"/>
        <v>0.96259546719263667</v>
      </c>
      <c r="L561" s="27">
        <f t="shared" ca="1" si="108"/>
        <v>0</v>
      </c>
      <c r="M561" s="27">
        <f t="shared" ca="1" si="109"/>
        <v>2347.6463798429049</v>
      </c>
      <c r="N561" s="28">
        <f t="shared" ca="1" si="110"/>
        <v>0.12967337376656066</v>
      </c>
      <c r="O561" s="29">
        <f t="shared" ca="1" si="111"/>
        <v>600000</v>
      </c>
      <c r="P561" s="30">
        <f t="shared" ca="1" si="112"/>
        <v>33.1412877714329</v>
      </c>
    </row>
    <row r="562" spans="1:16" x14ac:dyDescent="0.25">
      <c r="A562" s="3">
        <f t="shared" si="113"/>
        <v>46898</v>
      </c>
      <c r="B562" s="21">
        <f t="shared" si="104"/>
        <v>36671</v>
      </c>
      <c r="C562" s="21">
        <f t="shared" si="105"/>
        <v>36697</v>
      </c>
      <c r="D562" s="1">
        <f t="shared" si="114"/>
        <v>0</v>
      </c>
      <c r="E562" s="3">
        <f t="array" ref="E562">INDEX($A$9:A561, MAX(IF($D$9:D561=1, ROW(D$9:$D561)-ROW($D$9)+1, 0)))</f>
        <v>46832</v>
      </c>
      <c r="F562" s="23">
        <f t="shared" si="106"/>
        <v>2.1163586584531142</v>
      </c>
      <c r="G562" s="5">
        <f>INDEX('Default Prob'!$P$5:$P$14,MIN(1+_xlfn.IFNA(MATCH(F562,'Default Prob'!$F$5:$F$14,1),0),COUNT('Default Prob'!$P$5:$P$14)))</f>
        <v>2.1918982658777085E-2</v>
      </c>
      <c r="H562" s="5">
        <f t="shared" si="115"/>
        <v>0.95610382360390467</v>
      </c>
      <c r="I562" s="24">
        <f t="shared" si="116"/>
        <v>5.7378376347894111E-5</v>
      </c>
      <c r="J562" s="25">
        <f>INDEX('Default Prob'!$C$3:$C$13, _xlfn.IFNA(MATCH(F562, 'Default Prob'!$B$3:$B$13, 1), 1))</f>
        <v>1.8200000000000001E-2</v>
      </c>
      <c r="K562" s="26">
        <f t="shared" si="107"/>
        <v>0.96254793456536125</v>
      </c>
      <c r="L562" s="27">
        <f t="shared" ca="1" si="108"/>
        <v>0</v>
      </c>
      <c r="M562" s="27">
        <f t="shared" ca="1" si="109"/>
        <v>2383.7640164558725</v>
      </c>
      <c r="N562" s="28">
        <f t="shared" ca="1" si="110"/>
        <v>0.13165394610099759</v>
      </c>
      <c r="O562" s="29">
        <f t="shared" ca="1" si="111"/>
        <v>600000</v>
      </c>
      <c r="P562" s="30">
        <f t="shared" ca="1" si="112"/>
        <v>33.13766258542767</v>
      </c>
    </row>
    <row r="563" spans="1:16" x14ac:dyDescent="0.25">
      <c r="A563" s="3">
        <f t="shared" si="113"/>
        <v>46899</v>
      </c>
      <c r="B563" s="21">
        <f t="shared" si="104"/>
        <v>36672</v>
      </c>
      <c r="C563" s="21">
        <f t="shared" si="105"/>
        <v>36697</v>
      </c>
      <c r="D563" s="1">
        <f t="shared" si="114"/>
        <v>0</v>
      </c>
      <c r="E563" s="3">
        <f t="array" ref="E563">INDEX($A$9:A562, MAX(IF($D$9:D562=1, ROW(D$9:$D562)-ROW($D$9)+1, 0)))</f>
        <v>46832</v>
      </c>
      <c r="F563" s="23">
        <f t="shared" si="106"/>
        <v>2.1190965092402463</v>
      </c>
      <c r="G563" s="5">
        <f>INDEX('Default Prob'!$P$5:$P$14,MIN(1+_xlfn.IFNA(MATCH(F563,'Default Prob'!$F$5:$F$14,1),0),COUNT('Default Prob'!$P$5:$P$14)))</f>
        <v>2.1918982658777085E-2</v>
      </c>
      <c r="H563" s="5">
        <f t="shared" si="115"/>
        <v>0.95604644867078159</v>
      </c>
      <c r="I563" s="24">
        <f t="shared" si="116"/>
        <v>5.7374933123077732E-5</v>
      </c>
      <c r="J563" s="25">
        <f>INDEX('Default Prob'!$C$3:$C$13, _xlfn.IFNA(MATCH(F563, 'Default Prob'!$B$3:$B$13, 1), 1))</f>
        <v>1.8200000000000001E-2</v>
      </c>
      <c r="K563" s="26">
        <f t="shared" si="107"/>
        <v>0.9625004042852302</v>
      </c>
      <c r="L563" s="27">
        <f t="shared" ca="1" si="108"/>
        <v>0</v>
      </c>
      <c r="M563" s="27">
        <f t="shared" ca="1" si="109"/>
        <v>2419.8816530688405</v>
      </c>
      <c r="N563" s="28">
        <f t="shared" ca="1" si="110"/>
        <v>0.13363408359137338</v>
      </c>
      <c r="O563" s="29">
        <f t="shared" ca="1" si="111"/>
        <v>600000</v>
      </c>
      <c r="P563" s="30">
        <f t="shared" ca="1" si="112"/>
        <v>33.134037796080214</v>
      </c>
    </row>
    <row r="564" spans="1:16" x14ac:dyDescent="0.25">
      <c r="A564" s="3">
        <f t="shared" si="113"/>
        <v>46902</v>
      </c>
      <c r="B564" s="21">
        <f t="shared" si="104"/>
        <v>36675</v>
      </c>
      <c r="C564" s="21">
        <f t="shared" si="105"/>
        <v>36697</v>
      </c>
      <c r="D564" s="1">
        <f t="shared" si="114"/>
        <v>0</v>
      </c>
      <c r="E564" s="3">
        <f t="array" ref="E564">INDEX($A$9:A563, MAX(IF($D$9:D563=1, ROW(D$9:$D563)-ROW($D$9)+1, 0)))</f>
        <v>46832</v>
      </c>
      <c r="F564" s="23">
        <f t="shared" si="106"/>
        <v>2.1273100616016429</v>
      </c>
      <c r="G564" s="5">
        <f>INDEX('Default Prob'!$P$5:$P$14,MIN(1+_xlfn.IFNA(MATCH(F564,'Default Prob'!$F$5:$F$14,1),0),COUNT('Default Prob'!$P$5:$P$14)))</f>
        <v>2.1918982658777085E-2</v>
      </c>
      <c r="H564" s="5">
        <f t="shared" si="115"/>
        <v>0.95587434452869569</v>
      </c>
      <c r="I564" s="24">
        <f t="shared" si="116"/>
        <v>1.7210414208590485E-4</v>
      </c>
      <c r="J564" s="25">
        <f>INDEX('Default Prob'!$C$3:$C$13, _xlfn.IFNA(MATCH(F564, 'Default Prob'!$B$3:$B$13, 1), 1))</f>
        <v>1.8200000000000001E-2</v>
      </c>
      <c r="K564" s="26">
        <f t="shared" si="107"/>
        <v>0.96235782752654497</v>
      </c>
      <c r="L564" s="27">
        <f t="shared" ca="1" si="108"/>
        <v>0</v>
      </c>
      <c r="M564" s="27">
        <f t="shared" ca="1" si="109"/>
        <v>2528.2345629077436</v>
      </c>
      <c r="N564" s="28">
        <f t="shared" ca="1" si="110"/>
        <v>0.41874079188909558</v>
      </c>
      <c r="O564" s="29">
        <f t="shared" ca="1" si="111"/>
        <v>600000</v>
      </c>
      <c r="P564" s="30">
        <f t="shared" ca="1" si="112"/>
        <v>99.375460971666726</v>
      </c>
    </row>
    <row r="565" spans="1:16" x14ac:dyDescent="0.25">
      <c r="A565" s="3">
        <f t="shared" si="113"/>
        <v>46903</v>
      </c>
      <c r="B565" s="21">
        <f t="shared" si="104"/>
        <v>36676</v>
      </c>
      <c r="C565" s="21">
        <f t="shared" si="105"/>
        <v>36697</v>
      </c>
      <c r="D565" s="1">
        <f t="shared" si="114"/>
        <v>0</v>
      </c>
      <c r="E565" s="3">
        <f t="array" ref="E565">INDEX($A$9:A564, MAX(IF($D$9:D564=1, ROW(D$9:$D564)-ROW($D$9)+1, 0)))</f>
        <v>46832</v>
      </c>
      <c r="F565" s="23">
        <f t="shared" si="106"/>
        <v>2.130047912388775</v>
      </c>
      <c r="G565" s="5">
        <f>INDEX('Default Prob'!$P$5:$P$14,MIN(1+_xlfn.IFNA(MATCH(F565,'Default Prob'!$F$5:$F$14,1),0),COUNT('Default Prob'!$P$5:$P$14)))</f>
        <v>2.1918982658777085E-2</v>
      </c>
      <c r="H565" s="5">
        <f t="shared" si="115"/>
        <v>0.95581698336640619</v>
      </c>
      <c r="I565" s="24">
        <f t="shared" si="116"/>
        <v>5.7361162289493173E-5</v>
      </c>
      <c r="J565" s="25">
        <f>INDEX('Default Prob'!$C$3:$C$13, _xlfn.IFNA(MATCH(F565, 'Default Prob'!$B$3:$B$13, 1), 1))</f>
        <v>1.8200000000000001E-2</v>
      </c>
      <c r="K565" s="26">
        <f t="shared" si="107"/>
        <v>0.9623103066338331</v>
      </c>
      <c r="L565" s="27">
        <f t="shared" ca="1" si="108"/>
        <v>0</v>
      </c>
      <c r="M565" s="27">
        <f t="shared" ca="1" si="109"/>
        <v>2564.3521995207116</v>
      </c>
      <c r="N565" s="28">
        <f t="shared" ca="1" si="110"/>
        <v>0.14155028653522692</v>
      </c>
      <c r="O565" s="29">
        <f t="shared" ca="1" si="111"/>
        <v>600000</v>
      </c>
      <c r="P565" s="30">
        <f t="shared" ca="1" si="112"/>
        <v>33.119542603005144</v>
      </c>
    </row>
    <row r="566" spans="1:16" x14ac:dyDescent="0.25">
      <c r="A566" s="3">
        <f t="shared" si="113"/>
        <v>46904</v>
      </c>
      <c r="B566" s="21">
        <f t="shared" si="104"/>
        <v>36677</v>
      </c>
      <c r="C566" s="21">
        <f t="shared" si="105"/>
        <v>36697</v>
      </c>
      <c r="D566" s="1">
        <f t="shared" si="114"/>
        <v>0</v>
      </c>
      <c r="E566" s="3">
        <f t="array" ref="E566">INDEX($A$9:A565, MAX(IF($D$9:D565=1, ROW(D$9:$D565)-ROW($D$9)+1, 0)))</f>
        <v>46832</v>
      </c>
      <c r="F566" s="23">
        <f t="shared" si="106"/>
        <v>2.1327857631759071</v>
      </c>
      <c r="G566" s="5">
        <f>INDEX('Default Prob'!$P$5:$P$14,MIN(1+_xlfn.IFNA(MATCH(F566,'Default Prob'!$F$5:$F$14,1),0),COUNT('Default Prob'!$P$5:$P$14)))</f>
        <v>2.1918982658777085E-2</v>
      </c>
      <c r="H566" s="5">
        <f t="shared" si="115"/>
        <v>0.95575962564630856</v>
      </c>
      <c r="I566" s="24">
        <f t="shared" si="116"/>
        <v>5.7357720097628295E-5</v>
      </c>
      <c r="J566" s="25">
        <f>INDEX('Default Prob'!$C$3:$C$13, _xlfn.IFNA(MATCH(F566, 'Default Prob'!$B$3:$B$13, 1), 1))</f>
        <v>1.8200000000000001E-2</v>
      </c>
      <c r="K566" s="26">
        <f t="shared" si="107"/>
        <v>0.96226278808768606</v>
      </c>
      <c r="L566" s="27">
        <f t="shared" ca="1" si="108"/>
        <v>0</v>
      </c>
      <c r="M566" s="27">
        <f t="shared" ca="1" si="109"/>
        <v>2600.4698361336791</v>
      </c>
      <c r="N566" s="28">
        <f t="shared" ca="1" si="110"/>
        <v>0.14352825087422535</v>
      </c>
      <c r="O566" s="29">
        <f t="shared" ca="1" si="111"/>
        <v>600000</v>
      </c>
      <c r="P566" s="30">
        <f t="shared" ca="1" si="112"/>
        <v>33.115919795698147</v>
      </c>
    </row>
    <row r="567" spans="1:16" x14ac:dyDescent="0.25">
      <c r="A567" s="3">
        <f t="shared" si="113"/>
        <v>46905</v>
      </c>
      <c r="B567" s="21">
        <f t="shared" si="104"/>
        <v>36678</v>
      </c>
      <c r="C567" s="21">
        <f t="shared" si="105"/>
        <v>36697</v>
      </c>
      <c r="D567" s="1">
        <f t="shared" si="114"/>
        <v>0</v>
      </c>
      <c r="E567" s="3">
        <f t="array" ref="E567">INDEX($A$9:A566, MAX(IF($D$9:D566=1, ROW(D$9:$D566)-ROW($D$9)+1, 0)))</f>
        <v>46832</v>
      </c>
      <c r="F567" s="23">
        <f t="shared" si="106"/>
        <v>2.1355236139630391</v>
      </c>
      <c r="G567" s="5">
        <f>INDEX('Default Prob'!$P$5:$P$14,MIN(1+_xlfn.IFNA(MATCH(F567,'Default Prob'!$F$5:$F$14,1),0),COUNT('Default Prob'!$P$5:$P$14)))</f>
        <v>2.1918982658777085E-2</v>
      </c>
      <c r="H567" s="5">
        <f t="shared" si="115"/>
        <v>0.9557022713681963</v>
      </c>
      <c r="I567" s="24">
        <f t="shared" si="116"/>
        <v>5.73542781122649E-5</v>
      </c>
      <c r="J567" s="25">
        <f>INDEX('Default Prob'!$C$3:$C$13, _xlfn.IFNA(MATCH(F567, 'Default Prob'!$B$3:$B$13, 1), 1))</f>
        <v>1.8200000000000001E-2</v>
      </c>
      <c r="K567" s="26">
        <f t="shared" si="107"/>
        <v>0.96221527188798839</v>
      </c>
      <c r="L567" s="27">
        <f t="shared" ca="1" si="108"/>
        <v>0</v>
      </c>
      <c r="M567" s="27">
        <f t="shared" ca="1" si="109"/>
        <v>2636.5874727466467</v>
      </c>
      <c r="N567" s="28">
        <f t="shared" ca="1" si="110"/>
        <v>0.14550578079700283</v>
      </c>
      <c r="O567" s="29">
        <f t="shared" ca="1" si="111"/>
        <v>600000</v>
      </c>
      <c r="P567" s="30">
        <f t="shared" ca="1" si="112"/>
        <v>33.112297384639362</v>
      </c>
    </row>
    <row r="568" spans="1:16" x14ac:dyDescent="0.25">
      <c r="A568" s="3">
        <f t="shared" si="113"/>
        <v>46906</v>
      </c>
      <c r="B568" s="21">
        <f t="shared" si="104"/>
        <v>36679</v>
      </c>
      <c r="C568" s="21">
        <f t="shared" si="105"/>
        <v>36697</v>
      </c>
      <c r="D568" s="1">
        <f t="shared" si="114"/>
        <v>0</v>
      </c>
      <c r="E568" s="3">
        <f t="array" ref="E568">INDEX($A$9:A567, MAX(IF($D$9:D567=1, ROW(D$9:$D567)-ROW($D$9)+1, 0)))</f>
        <v>46832</v>
      </c>
      <c r="F568" s="23">
        <f t="shared" si="106"/>
        <v>2.1382614647501712</v>
      </c>
      <c r="G568" s="5">
        <f>INDEX('Default Prob'!$P$5:$P$14,MIN(1+_xlfn.IFNA(MATCH(F568,'Default Prob'!$F$5:$F$14,1),0),COUNT('Default Prob'!$P$5:$P$14)))</f>
        <v>2.1918982658777085E-2</v>
      </c>
      <c r="H568" s="5">
        <f t="shared" si="115"/>
        <v>0.9556449205318629</v>
      </c>
      <c r="I568" s="24">
        <f t="shared" si="116"/>
        <v>5.7350836333402988E-5</v>
      </c>
      <c r="J568" s="25">
        <f>INDEX('Default Prob'!$C$3:$C$13, _xlfn.IFNA(MATCH(F568, 'Default Prob'!$B$3:$B$13, 1), 1))</f>
        <v>1.8200000000000001E-2</v>
      </c>
      <c r="K568" s="26">
        <f t="shared" si="107"/>
        <v>0.96216775803462395</v>
      </c>
      <c r="L568" s="27">
        <f t="shared" ca="1" si="108"/>
        <v>0</v>
      </c>
      <c r="M568" s="27">
        <f t="shared" ca="1" si="109"/>
        <v>2672.7051093596151</v>
      </c>
      <c r="N568" s="28">
        <f t="shared" ca="1" si="110"/>
        <v>0.14748287637495588</v>
      </c>
      <c r="O568" s="29">
        <f t="shared" ca="1" si="111"/>
        <v>600000</v>
      </c>
      <c r="P568" s="30">
        <f t="shared" ca="1" si="112"/>
        <v>33.108675369792607</v>
      </c>
    </row>
    <row r="569" spans="1:16" x14ac:dyDescent="0.25">
      <c r="A569" s="3">
        <f t="shared" si="113"/>
        <v>46909</v>
      </c>
      <c r="B569" s="21">
        <f t="shared" si="104"/>
        <v>36682</v>
      </c>
      <c r="C569" s="21">
        <f t="shared" si="105"/>
        <v>36697</v>
      </c>
      <c r="D569" s="1">
        <f t="shared" si="114"/>
        <v>0</v>
      </c>
      <c r="E569" s="3">
        <f t="array" ref="E569">INDEX($A$9:A568, MAX(IF($D$9:D568=1, ROW(D$9:$D568)-ROW($D$9)+1, 0)))</f>
        <v>46832</v>
      </c>
      <c r="F569" s="23">
        <f t="shared" si="106"/>
        <v>2.1464750171115674</v>
      </c>
      <c r="G569" s="5">
        <f>INDEX('Default Prob'!$P$5:$P$14,MIN(1+_xlfn.IFNA(MATCH(F569,'Default Prob'!$F$5:$F$14,1),0),COUNT('Default Prob'!$P$5:$P$14)))</f>
        <v>2.1918982658777085E-2</v>
      </c>
      <c r="H569" s="5">
        <f t="shared" si="115"/>
        <v>0.95547288867146996</v>
      </c>
      <c r="I569" s="24">
        <f t="shared" si="116"/>
        <v>1.7203186039294049E-4</v>
      </c>
      <c r="J569" s="25">
        <f>INDEX('Default Prob'!$C$3:$C$13, _xlfn.IFNA(MATCH(F569, 'Default Prob'!$B$3:$B$13, 1), 1))</f>
        <v>1.8200000000000001E-2</v>
      </c>
      <c r="K569" s="26">
        <f t="shared" si="107"/>
        <v>0.96202523055137179</v>
      </c>
      <c r="L569" s="27">
        <f t="shared" ca="1" si="108"/>
        <v>0</v>
      </c>
      <c r="M569" s="27">
        <f t="shared" ca="1" si="109"/>
        <v>2781.0580191985182</v>
      </c>
      <c r="N569" s="28">
        <f t="shared" ca="1" si="110"/>
        <v>0.46026229374454714</v>
      </c>
      <c r="O569" s="29">
        <f t="shared" ca="1" si="111"/>
        <v>600000</v>
      </c>
      <c r="P569" s="30">
        <f t="shared" ca="1" si="112"/>
        <v>99.299394094019988</v>
      </c>
    </row>
    <row r="570" spans="1:16" x14ac:dyDescent="0.25">
      <c r="A570" s="3">
        <f t="shared" si="113"/>
        <v>46910</v>
      </c>
      <c r="B570" s="21">
        <f t="shared" si="104"/>
        <v>36683</v>
      </c>
      <c r="C570" s="21">
        <f t="shared" si="105"/>
        <v>36697</v>
      </c>
      <c r="D570" s="1">
        <f t="shared" si="114"/>
        <v>0</v>
      </c>
      <c r="E570" s="3">
        <f t="array" ref="E570">INDEX($A$9:A569, MAX(IF($D$9:D569=1, ROW(D$9:$D569)-ROW($D$9)+1, 0)))</f>
        <v>46832</v>
      </c>
      <c r="F570" s="23">
        <f t="shared" si="106"/>
        <v>2.1492128678986995</v>
      </c>
      <c r="G570" s="5">
        <f>INDEX('Default Prob'!$P$5:$P$14,MIN(1+_xlfn.IFNA(MATCH(F570,'Default Prob'!$F$5:$F$14,1),0),COUNT('Default Prob'!$P$5:$P$14)))</f>
        <v>2.1918982658777085E-2</v>
      </c>
      <c r="H570" s="5">
        <f t="shared" si="115"/>
        <v>0.95541555160018643</v>
      </c>
      <c r="I570" s="24">
        <f t="shared" si="116"/>
        <v>5.7337071283525276E-5</v>
      </c>
      <c r="J570" s="25">
        <f>INDEX('Default Prob'!$C$3:$C$13, _xlfn.IFNA(MATCH(F570, 'Default Prob'!$B$3:$B$13, 1), 1))</f>
        <v>1.8200000000000001E-2</v>
      </c>
      <c r="K570" s="26">
        <f t="shared" si="107"/>
        <v>0.96197772608218213</v>
      </c>
      <c r="L570" s="27">
        <f t="shared" ca="1" si="108"/>
        <v>0</v>
      </c>
      <c r="M570" s="27">
        <f t="shared" ca="1" si="109"/>
        <v>2817.1756558114857</v>
      </c>
      <c r="N570" s="28">
        <f t="shared" ca="1" si="110"/>
        <v>0.15538691666765445</v>
      </c>
      <c r="O570" s="29">
        <f t="shared" ca="1" si="111"/>
        <v>600000</v>
      </c>
      <c r="P570" s="30">
        <f t="shared" ca="1" si="112"/>
        <v>33.094191272122579</v>
      </c>
    </row>
    <row r="571" spans="1:16" x14ac:dyDescent="0.25">
      <c r="A571" s="3">
        <f t="shared" si="113"/>
        <v>46911</v>
      </c>
      <c r="B571" s="21">
        <f t="shared" si="104"/>
        <v>36684</v>
      </c>
      <c r="C571" s="21">
        <f t="shared" si="105"/>
        <v>36697</v>
      </c>
      <c r="D571" s="1">
        <f t="shared" si="114"/>
        <v>0</v>
      </c>
      <c r="E571" s="3">
        <f t="array" ref="E571">INDEX($A$9:A570, MAX(IF($D$9:D570=1, ROW(D$9:$D570)-ROW($D$9)+1, 0)))</f>
        <v>46832</v>
      </c>
      <c r="F571" s="23">
        <f t="shared" si="106"/>
        <v>2.1519507186858315</v>
      </c>
      <c r="G571" s="5">
        <f>INDEX('Default Prob'!$P$5:$P$14,MIN(1+_xlfn.IFNA(MATCH(F571,'Default Prob'!$F$5:$F$14,1),0),COUNT('Default Prob'!$P$5:$P$14)))</f>
        <v>2.1918982658777085E-2</v>
      </c>
      <c r="H571" s="5">
        <f t="shared" si="115"/>
        <v>0.95535821796964915</v>
      </c>
      <c r="I571" s="24">
        <f t="shared" si="116"/>
        <v>5.7333630537281799E-5</v>
      </c>
      <c r="J571" s="25">
        <f>INDEX('Default Prob'!$C$3:$C$13, _xlfn.IFNA(MATCH(F571, 'Default Prob'!$B$3:$B$13, 1), 1))</f>
        <v>1.8200000000000001E-2</v>
      </c>
      <c r="K571" s="26">
        <f t="shared" si="107"/>
        <v>0.9619302239587465</v>
      </c>
      <c r="L571" s="27">
        <f t="shared" ca="1" si="108"/>
        <v>0</v>
      </c>
      <c r="M571" s="27">
        <f t="shared" ca="1" si="109"/>
        <v>2853.2932924244533</v>
      </c>
      <c r="N571" s="28">
        <f t="shared" ca="1" si="110"/>
        <v>0.15736184159245298</v>
      </c>
      <c r="O571" s="29">
        <f t="shared" ca="1" si="111"/>
        <v>600000</v>
      </c>
      <c r="P571" s="30">
        <f t="shared" ca="1" si="112"/>
        <v>33.090571237857304</v>
      </c>
    </row>
    <row r="572" spans="1:16" x14ac:dyDescent="0.25">
      <c r="A572" s="3">
        <f t="shared" si="113"/>
        <v>46912</v>
      </c>
      <c r="B572" s="21">
        <f t="shared" si="104"/>
        <v>36685</v>
      </c>
      <c r="C572" s="21">
        <f t="shared" si="105"/>
        <v>36697</v>
      </c>
      <c r="D572" s="1">
        <f t="shared" si="114"/>
        <v>0</v>
      </c>
      <c r="E572" s="3">
        <f t="array" ref="E572">INDEX($A$9:A571, MAX(IF($D$9:D571=1, ROW(D$9:$D571)-ROW($D$9)+1, 0)))</f>
        <v>46832</v>
      </c>
      <c r="F572" s="23">
        <f t="shared" si="106"/>
        <v>2.1546885694729636</v>
      </c>
      <c r="G572" s="5">
        <f>INDEX('Default Prob'!$P$5:$P$14,MIN(1+_xlfn.IFNA(MATCH(F572,'Default Prob'!$F$5:$F$14,1),0),COUNT('Default Prob'!$P$5:$P$14)))</f>
        <v>2.1918982658777085E-2</v>
      </c>
      <c r="H572" s="5">
        <f t="shared" si="115"/>
        <v>0.95530088777965161</v>
      </c>
      <c r="I572" s="24">
        <f t="shared" si="116"/>
        <v>5.7330189997539804E-5</v>
      </c>
      <c r="J572" s="25">
        <f>INDEX('Default Prob'!$C$3:$C$13, _xlfn.IFNA(MATCH(F572, 'Default Prob'!$B$3:$B$13, 1), 1))</f>
        <v>1.8200000000000001E-2</v>
      </c>
      <c r="K572" s="26">
        <f t="shared" si="107"/>
        <v>0.96188272418094889</v>
      </c>
      <c r="L572" s="27">
        <f t="shared" ca="1" si="108"/>
        <v>0</v>
      </c>
      <c r="M572" s="27">
        <f t="shared" ca="1" si="109"/>
        <v>2889.4109290374213</v>
      </c>
      <c r="N572" s="28">
        <f t="shared" ca="1" si="110"/>
        <v>0.15933633260063138</v>
      </c>
      <c r="O572" s="29">
        <f t="shared" ca="1" si="111"/>
        <v>600000</v>
      </c>
      <c r="P572" s="30">
        <f t="shared" ca="1" si="112"/>
        <v>33.086951599586982</v>
      </c>
    </row>
    <row r="573" spans="1:16" x14ac:dyDescent="0.25">
      <c r="A573" s="3">
        <f t="shared" si="113"/>
        <v>46913</v>
      </c>
      <c r="B573" s="21">
        <f t="shared" si="104"/>
        <v>36686</v>
      </c>
      <c r="C573" s="21">
        <f t="shared" si="105"/>
        <v>36697</v>
      </c>
      <c r="D573" s="1">
        <f t="shared" si="114"/>
        <v>0</v>
      </c>
      <c r="E573" s="3">
        <f t="array" ref="E573">INDEX($A$9:A572, MAX(IF($D$9:D572=1, ROW(D$9:$D572)-ROW($D$9)+1, 0)))</f>
        <v>46832</v>
      </c>
      <c r="F573" s="23">
        <f t="shared" si="106"/>
        <v>2.1574264202600957</v>
      </c>
      <c r="G573" s="5">
        <f>INDEX('Default Prob'!$P$5:$P$14,MIN(1+_xlfn.IFNA(MATCH(F573,'Default Prob'!$F$5:$F$14,1),0),COUNT('Default Prob'!$P$5:$P$14)))</f>
        <v>2.1918982658777085E-2</v>
      </c>
      <c r="H573" s="5">
        <f t="shared" si="115"/>
        <v>0.95524356102998742</v>
      </c>
      <c r="I573" s="24">
        <f t="shared" si="116"/>
        <v>5.732674966418827E-5</v>
      </c>
      <c r="J573" s="25">
        <f>INDEX('Default Prob'!$C$3:$C$13, _xlfn.IFNA(MATCH(F573, 'Default Prob'!$B$3:$B$13, 1), 1))</f>
        <v>1.8200000000000001E-2</v>
      </c>
      <c r="K573" s="26">
        <f t="shared" si="107"/>
        <v>0.96183522674867394</v>
      </c>
      <c r="L573" s="27">
        <f t="shared" ca="1" si="108"/>
        <v>0</v>
      </c>
      <c r="M573" s="27">
        <f t="shared" ca="1" si="109"/>
        <v>2925.5285656503888</v>
      </c>
      <c r="N573" s="28">
        <f t="shared" ca="1" si="110"/>
        <v>0.16131038976321291</v>
      </c>
      <c r="O573" s="29">
        <f t="shared" ca="1" si="111"/>
        <v>600000</v>
      </c>
      <c r="P573" s="30">
        <f t="shared" ca="1" si="112"/>
        <v>33.083332357211397</v>
      </c>
    </row>
    <row r="574" spans="1:16" x14ac:dyDescent="0.25">
      <c r="A574" s="3">
        <f t="shared" si="113"/>
        <v>46916</v>
      </c>
      <c r="B574" s="21">
        <f t="shared" si="104"/>
        <v>36689</v>
      </c>
      <c r="C574" s="21">
        <f t="shared" si="105"/>
        <v>36697</v>
      </c>
      <c r="D574" s="1">
        <f t="shared" si="114"/>
        <v>0</v>
      </c>
      <c r="E574" s="3">
        <f t="array" ref="E574">INDEX($A$9:A573, MAX(IF($D$9:D573=1, ROW(D$9:$D573)-ROW($D$9)+1, 0)))</f>
        <v>46832</v>
      </c>
      <c r="F574" s="23">
        <f t="shared" si="106"/>
        <v>2.1656399726214923</v>
      </c>
      <c r="G574" s="5">
        <f>INDEX('Default Prob'!$P$5:$P$14,MIN(1+_xlfn.IFNA(MATCH(F574,'Default Prob'!$F$5:$F$14,1),0),COUNT('Default Prob'!$P$5:$P$14)))</f>
        <v>2.1918982658777085E-2</v>
      </c>
      <c r="H574" s="5">
        <f t="shared" si="115"/>
        <v>0.95507160142093006</v>
      </c>
      <c r="I574" s="24">
        <f t="shared" si="116"/>
        <v>1.7195960905735941E-4</v>
      </c>
      <c r="J574" s="25">
        <f>INDEX('Default Prob'!$C$3:$C$13, _xlfn.IFNA(MATCH(F574, 'Default Prob'!$B$3:$B$13, 1), 1))</f>
        <v>1.8200000000000001E-2</v>
      </c>
      <c r="K574" s="26">
        <f t="shared" si="107"/>
        <v>0.96169274852382503</v>
      </c>
      <c r="L574" s="27">
        <f t="shared" ca="1" si="108"/>
        <v>0</v>
      </c>
      <c r="M574" s="27">
        <f t="shared" ca="1" si="109"/>
        <v>3033.8814754892928</v>
      </c>
      <c r="N574" s="28">
        <f t="shared" ca="1" si="110"/>
        <v>0.50171998504470772</v>
      </c>
      <c r="O574" s="29">
        <f t="shared" ca="1" si="111"/>
        <v>600000</v>
      </c>
      <c r="P574" s="30">
        <f t="shared" ca="1" si="112"/>
        <v>99.223385441672633</v>
      </c>
    </row>
    <row r="575" spans="1:16" x14ac:dyDescent="0.25">
      <c r="A575" s="3">
        <f t="shared" si="113"/>
        <v>46917</v>
      </c>
      <c r="B575" s="21">
        <f t="shared" si="104"/>
        <v>36690</v>
      </c>
      <c r="C575" s="21">
        <f t="shared" si="105"/>
        <v>36697</v>
      </c>
      <c r="D575" s="1">
        <f t="shared" si="114"/>
        <v>0</v>
      </c>
      <c r="E575" s="3">
        <f t="array" ref="E575">INDEX($A$9:A574, MAX(IF($D$9:D574=1, ROW(D$9:$D574)-ROW($D$9)+1, 0)))</f>
        <v>46832</v>
      </c>
      <c r="F575" s="23">
        <f t="shared" si="106"/>
        <v>2.1683778234086244</v>
      </c>
      <c r="G575" s="5">
        <f>INDEX('Default Prob'!$P$5:$P$14,MIN(1+_xlfn.IFNA(MATCH(F575,'Default Prob'!$F$5:$F$14,1),0),COUNT('Default Prob'!$P$5:$P$14)))</f>
        <v>2.1918982658777085E-2</v>
      </c>
      <c r="H575" s="5">
        <f t="shared" si="115"/>
        <v>0.9550142884305346</v>
      </c>
      <c r="I575" s="24">
        <f t="shared" si="116"/>
        <v>5.7312990395463892E-5</v>
      </c>
      <c r="J575" s="25">
        <f>INDEX('Default Prob'!$C$3:$C$13, _xlfn.IFNA(MATCH(F575, 'Default Prob'!$B$3:$B$13, 1), 1))</f>
        <v>1.8200000000000001E-2</v>
      </c>
      <c r="K575" s="26">
        <f t="shared" si="107"/>
        <v>0.96164526047248133</v>
      </c>
      <c r="L575" s="27">
        <f t="shared" ca="1" si="108"/>
        <v>0</v>
      </c>
      <c r="M575" s="27">
        <f t="shared" ca="1" si="109"/>
        <v>3069.9991121022604</v>
      </c>
      <c r="N575" s="28">
        <f t="shared" ca="1" si="110"/>
        <v>0.16920228138604351</v>
      </c>
      <c r="O575" s="29">
        <f t="shared" ca="1" si="111"/>
        <v>600000</v>
      </c>
      <c r="P575" s="30">
        <f t="shared" ca="1" si="112"/>
        <v>33.068859346381615</v>
      </c>
    </row>
    <row r="576" spans="1:16" x14ac:dyDescent="0.25">
      <c r="A576" s="3">
        <f t="shared" si="113"/>
        <v>46918</v>
      </c>
      <c r="B576" s="21">
        <f t="shared" si="104"/>
        <v>36691</v>
      </c>
      <c r="C576" s="21">
        <f t="shared" si="105"/>
        <v>36697</v>
      </c>
      <c r="D576" s="1">
        <f t="shared" si="114"/>
        <v>0</v>
      </c>
      <c r="E576" s="3">
        <f t="array" ref="E576">INDEX($A$9:A575, MAX(IF($D$9:D575=1, ROW(D$9:$D575)-ROW($D$9)+1, 0)))</f>
        <v>46832</v>
      </c>
      <c r="F576" s="23">
        <f t="shared" si="106"/>
        <v>2.1711156741957565</v>
      </c>
      <c r="G576" s="5">
        <f>INDEX('Default Prob'!$P$5:$P$14,MIN(1+_xlfn.IFNA(MATCH(F576,'Default Prob'!$F$5:$F$14,1),0),COUNT('Default Prob'!$P$5:$P$14)))</f>
        <v>2.1918982658777085E-2</v>
      </c>
      <c r="H576" s="5">
        <f t="shared" si="115"/>
        <v>0.95495697887944031</v>
      </c>
      <c r="I576" s="24">
        <f t="shared" si="116"/>
        <v>5.7309551094286704E-5</v>
      </c>
      <c r="J576" s="25">
        <f>INDEX('Default Prob'!$C$3:$C$13, _xlfn.IFNA(MATCH(F576, 'Default Prob'!$B$3:$B$13, 1), 1))</f>
        <v>1.8200000000000001E-2</v>
      </c>
      <c r="K576" s="26">
        <f t="shared" si="107"/>
        <v>0.9615977747660811</v>
      </c>
      <c r="L576" s="27">
        <f t="shared" ca="1" si="108"/>
        <v>0</v>
      </c>
      <c r="M576" s="27">
        <f t="shared" ca="1" si="109"/>
        <v>3106.1167487152284</v>
      </c>
      <c r="N576" s="28">
        <f t="shared" ca="1" si="110"/>
        <v>0.17117417039088878</v>
      </c>
      <c r="O576" s="29">
        <f t="shared" ca="1" si="111"/>
        <v>600000</v>
      </c>
      <c r="P576" s="30">
        <f t="shared" ca="1" si="112"/>
        <v>33.065242083065471</v>
      </c>
    </row>
    <row r="577" spans="1:16" x14ac:dyDescent="0.25">
      <c r="A577" s="3">
        <f t="shared" si="113"/>
        <v>46919</v>
      </c>
      <c r="B577" s="21">
        <f t="shared" si="104"/>
        <v>36692</v>
      </c>
      <c r="C577" s="21">
        <f t="shared" si="105"/>
        <v>36697</v>
      </c>
      <c r="D577" s="1">
        <f t="shared" si="114"/>
        <v>0</v>
      </c>
      <c r="E577" s="3">
        <f t="array" ref="E577">INDEX($A$9:A576, MAX(IF($D$9:D576=1, ROW(D$9:$D576)-ROW($D$9)+1, 0)))</f>
        <v>46832</v>
      </c>
      <c r="F577" s="23">
        <f t="shared" si="106"/>
        <v>2.1738535249828885</v>
      </c>
      <c r="G577" s="5">
        <f>INDEX('Default Prob'!$P$5:$P$14,MIN(1+_xlfn.IFNA(MATCH(F577,'Default Prob'!$F$5:$F$14,1),0),COUNT('Default Prob'!$P$5:$P$14)))</f>
        <v>2.1918982658777085E-2</v>
      </c>
      <c r="H577" s="5">
        <f t="shared" si="115"/>
        <v>0.95489967276744081</v>
      </c>
      <c r="I577" s="24">
        <f t="shared" si="116"/>
        <v>5.7306111999499976E-5</v>
      </c>
      <c r="J577" s="25">
        <f>INDEX('Default Prob'!$C$3:$C$13, _xlfn.IFNA(MATCH(F577, 'Default Prob'!$B$3:$B$13, 1), 1))</f>
        <v>1.8200000000000001E-2</v>
      </c>
      <c r="K577" s="26">
        <f t="shared" si="107"/>
        <v>0.96155029140450854</v>
      </c>
      <c r="L577" s="27">
        <f t="shared" ca="1" si="108"/>
        <v>0</v>
      </c>
      <c r="M577" s="27">
        <f t="shared" ca="1" si="109"/>
        <v>3142.2343853281959</v>
      </c>
      <c r="N577" s="28">
        <f t="shared" ca="1" si="110"/>
        <v>0.17314562597791491</v>
      </c>
      <c r="O577" s="29">
        <f t="shared" ca="1" si="111"/>
        <v>600000</v>
      </c>
      <c r="P577" s="30">
        <f t="shared" ca="1" si="112"/>
        <v>33.061625215427163</v>
      </c>
    </row>
    <row r="578" spans="1:16" x14ac:dyDescent="0.25">
      <c r="A578" s="3">
        <f t="shared" si="113"/>
        <v>46920</v>
      </c>
      <c r="B578" s="21">
        <f t="shared" si="104"/>
        <v>36693</v>
      </c>
      <c r="C578" s="21">
        <f t="shared" si="105"/>
        <v>36697</v>
      </c>
      <c r="D578" s="1">
        <f t="shared" si="114"/>
        <v>0</v>
      </c>
      <c r="E578" s="3">
        <f t="array" ref="E578">INDEX($A$9:A577, MAX(IF($D$9:D577=1, ROW(D$9:$D577)-ROW($D$9)+1, 0)))</f>
        <v>46832</v>
      </c>
      <c r="F578" s="23">
        <f t="shared" si="106"/>
        <v>2.1765913757700206</v>
      </c>
      <c r="G578" s="5">
        <f>INDEX('Default Prob'!$P$5:$P$14,MIN(1+_xlfn.IFNA(MATCH(F578,'Default Prob'!$F$5:$F$14,1),0),COUNT('Default Prob'!$P$5:$P$14)))</f>
        <v>2.1918982658777085E-2</v>
      </c>
      <c r="H578" s="5">
        <f t="shared" si="115"/>
        <v>0.95484237009432971</v>
      </c>
      <c r="I578" s="24">
        <f t="shared" si="116"/>
        <v>5.7302673111103708E-5</v>
      </c>
      <c r="J578" s="25">
        <f>INDEX('Default Prob'!$C$3:$C$13, _xlfn.IFNA(MATCH(F578, 'Default Prob'!$B$3:$B$13, 1), 1))</f>
        <v>1.8200000000000001E-2</v>
      </c>
      <c r="K578" s="26">
        <f t="shared" si="107"/>
        <v>0.96150281038764751</v>
      </c>
      <c r="L578" s="27">
        <f t="shared" ca="1" si="108"/>
        <v>0</v>
      </c>
      <c r="M578" s="27">
        <f t="shared" ca="1" si="109"/>
        <v>3178.3520219411635</v>
      </c>
      <c r="N578" s="28">
        <f t="shared" ca="1" si="110"/>
        <v>0.17511664821838518</v>
      </c>
      <c r="O578" s="29">
        <f t="shared" ca="1" si="111"/>
        <v>600000</v>
      </c>
      <c r="P578" s="30">
        <f t="shared" ca="1" si="112"/>
        <v>33.058008743430534</v>
      </c>
    </row>
    <row r="579" spans="1:16" x14ac:dyDescent="0.25">
      <c r="A579" s="3">
        <f t="shared" si="113"/>
        <v>46923</v>
      </c>
      <c r="B579" s="21">
        <f t="shared" si="104"/>
        <v>36696</v>
      </c>
      <c r="C579" s="21">
        <f t="shared" si="105"/>
        <v>36697</v>
      </c>
      <c r="D579" s="1">
        <f t="shared" si="114"/>
        <v>0</v>
      </c>
      <c r="E579" s="3">
        <f t="array" ref="E579">INDEX($A$9:A578, MAX(IF($D$9:D578=1, ROW(D$9:$D578)-ROW($D$9)+1, 0)))</f>
        <v>46832</v>
      </c>
      <c r="F579" s="23">
        <f t="shared" si="106"/>
        <v>2.1848049281314168</v>
      </c>
      <c r="G579" s="5">
        <f>INDEX('Default Prob'!$P$5:$P$14,MIN(1+_xlfn.IFNA(MATCH(F579,'Default Prob'!$F$5:$F$14,1),0),COUNT('Default Prob'!$P$5:$P$14)))</f>
        <v>2.1918982658777085E-2</v>
      </c>
      <c r="H579" s="5">
        <f t="shared" si="115"/>
        <v>0.95467048270626309</v>
      </c>
      <c r="I579" s="24">
        <f t="shared" si="116"/>
        <v>1.7188738806661608E-4</v>
      </c>
      <c r="J579" s="25">
        <f>INDEX('Default Prob'!$C$3:$C$13, _xlfn.IFNA(MATCH(F579, 'Default Prob'!$B$3:$B$13, 1), 1))</f>
        <v>1.8200000000000001E-2</v>
      </c>
      <c r="K579" s="26">
        <f t="shared" si="107"/>
        <v>0.96136038140417779</v>
      </c>
      <c r="L579" s="27">
        <f t="shared" ca="1" si="108"/>
        <v>0</v>
      </c>
      <c r="M579" s="27">
        <f t="shared" ca="1" si="109"/>
        <v>3286.7049317800665</v>
      </c>
      <c r="N579" s="28">
        <f t="shared" ca="1" si="110"/>
        <v>0.54311393914969031</v>
      </c>
      <c r="O579" s="29">
        <f t="shared" ca="1" si="111"/>
        <v>600000</v>
      </c>
      <c r="P579" s="30">
        <f t="shared" ca="1" si="112"/>
        <v>99.147434970173975</v>
      </c>
    </row>
    <row r="580" spans="1:16" x14ac:dyDescent="0.25">
      <c r="A580" s="3">
        <f t="shared" si="113"/>
        <v>46924</v>
      </c>
      <c r="B580" s="21">
        <f t="shared" si="104"/>
        <v>36697</v>
      </c>
      <c r="C580" s="21">
        <f t="shared" si="105"/>
        <v>36697</v>
      </c>
      <c r="D580" s="1">
        <f t="shared" si="114"/>
        <v>1</v>
      </c>
      <c r="E580" s="3">
        <f t="array" ref="E580">INDEX($A$9:A579, MAX(IF($D$9:D579=1, ROW(D$9:$D579)-ROW($D$9)+1, 0)))</f>
        <v>46832</v>
      </c>
      <c r="F580" s="23">
        <f t="shared" si="106"/>
        <v>2.1875427789185489</v>
      </c>
      <c r="G580" s="5">
        <f>INDEX('Default Prob'!$P$5:$P$14,MIN(1+_xlfn.IFNA(MATCH(F580,'Default Prob'!$F$5:$F$14,1),0),COUNT('Default Prob'!$P$5:$P$14)))</f>
        <v>2.1918982658777085E-2</v>
      </c>
      <c r="H580" s="5">
        <f t="shared" si="115"/>
        <v>0.95461319378664211</v>
      </c>
      <c r="I580" s="24">
        <f t="shared" si="116"/>
        <v>5.7288919620979151E-5</v>
      </c>
      <c r="J580" s="25">
        <f>INDEX('Default Prob'!$C$3:$C$13, _xlfn.IFNA(MATCH(F580, 'Default Prob'!$B$3:$B$13, 1), 1))</f>
        <v>1.8200000000000001E-2</v>
      </c>
      <c r="K580" s="26">
        <f t="shared" si="107"/>
        <v>0.96131290976500616</v>
      </c>
      <c r="L580" s="27">
        <f t="shared" ca="1" si="108"/>
        <v>3322.8225683930345</v>
      </c>
      <c r="M580" s="27">
        <f t="shared" ca="1" si="109"/>
        <v>3322.8225683930345</v>
      </c>
      <c r="N580" s="28">
        <f t="shared" ca="1" si="110"/>
        <v>3049.4774134799759</v>
      </c>
      <c r="O580" s="29">
        <f t="shared" ca="1" si="111"/>
        <v>600000</v>
      </c>
      <c r="P580" s="30">
        <f t="shared" ca="1" si="112"/>
        <v>33.043546810882212</v>
      </c>
    </row>
    <row r="581" spans="1:16" x14ac:dyDescent="0.25">
      <c r="A581" s="3">
        <f t="shared" si="113"/>
        <v>46925</v>
      </c>
      <c r="B581" s="21">
        <f t="shared" si="104"/>
        <v>36698</v>
      </c>
      <c r="C581" s="21">
        <f t="shared" si="105"/>
        <v>36789</v>
      </c>
      <c r="D581" s="1">
        <f t="shared" si="114"/>
        <v>0</v>
      </c>
      <c r="E581" s="3">
        <f t="array" ref="E581">INDEX($A$9:A580, MAX(IF($D$9:D580=1, ROW(D$9:$D580)-ROW($D$9)+1, 0)))</f>
        <v>46924</v>
      </c>
      <c r="F581" s="23">
        <f t="shared" si="106"/>
        <v>2.1902806297056809</v>
      </c>
      <c r="G581" s="5">
        <f>INDEX('Default Prob'!$P$5:$P$14,MIN(1+_xlfn.IFNA(MATCH(F581,'Default Prob'!$F$5:$F$14,1),0),COUNT('Default Prob'!$P$5:$P$14)))</f>
        <v>2.1918982658777085E-2</v>
      </c>
      <c r="H581" s="5">
        <f t="shared" si="115"/>
        <v>0.9545559083048778</v>
      </c>
      <c r="I581" s="24">
        <f t="shared" si="116"/>
        <v>5.728548176431314E-5</v>
      </c>
      <c r="J581" s="25">
        <f>INDEX('Default Prob'!$C$3:$C$13, _xlfn.IFNA(MATCH(F581, 'Default Prob'!$B$3:$B$13, 1), 1))</f>
        <v>1.8200000000000001E-2</v>
      </c>
      <c r="K581" s="26">
        <f t="shared" si="107"/>
        <v>0.96126544046996754</v>
      </c>
      <c r="L581" s="27">
        <f t="shared" ca="1" si="108"/>
        <v>0</v>
      </c>
      <c r="M581" s="27">
        <f t="shared" ca="1" si="109"/>
        <v>36.117636612967765</v>
      </c>
      <c r="N581" s="28">
        <f t="shared" ca="1" si="110"/>
        <v>1.9888737818694237E-3</v>
      </c>
      <c r="O581" s="29">
        <f t="shared" ca="1" si="111"/>
        <v>600000</v>
      </c>
      <c r="P581" s="30">
        <f t="shared" ca="1" si="112"/>
        <v>33.039932316424057</v>
      </c>
    </row>
    <row r="582" spans="1:16" x14ac:dyDescent="0.25">
      <c r="A582" s="3">
        <f t="shared" si="113"/>
        <v>46926</v>
      </c>
      <c r="B582" s="21">
        <f t="shared" si="104"/>
        <v>36699</v>
      </c>
      <c r="C582" s="21">
        <f t="shared" si="105"/>
        <v>36789</v>
      </c>
      <c r="D582" s="1">
        <f t="shared" si="114"/>
        <v>0</v>
      </c>
      <c r="E582" s="3">
        <f t="array" ref="E582">INDEX($A$9:A581, MAX(IF($D$9:D581=1, ROW(D$9:$D581)-ROW($D$9)+1, 0)))</f>
        <v>46924</v>
      </c>
      <c r="F582" s="23">
        <f t="shared" si="106"/>
        <v>2.193018480492813</v>
      </c>
      <c r="G582" s="5">
        <f>INDEX('Default Prob'!$P$5:$P$14,MIN(1+_xlfn.IFNA(MATCH(F582,'Default Prob'!$F$5:$F$14,1),0),COUNT('Default Prob'!$P$5:$P$14)))</f>
        <v>2.1918982658777085E-2</v>
      </c>
      <c r="H582" s="5">
        <f t="shared" si="115"/>
        <v>0.95449862626076387</v>
      </c>
      <c r="I582" s="24">
        <f t="shared" si="116"/>
        <v>5.7282044113926567E-5</v>
      </c>
      <c r="J582" s="25">
        <f>INDEX('Default Prob'!$C$3:$C$13, _xlfn.IFNA(MATCH(F582, 'Default Prob'!$B$3:$B$13, 1), 1))</f>
        <v>1.8200000000000001E-2</v>
      </c>
      <c r="K582" s="26">
        <f t="shared" si="107"/>
        <v>0.96121797351894611</v>
      </c>
      <c r="L582" s="27">
        <f t="shared" ca="1" si="108"/>
        <v>0</v>
      </c>
      <c r="M582" s="27">
        <f t="shared" ca="1" si="109"/>
        <v>72.235273225935529</v>
      </c>
      <c r="N582" s="28">
        <f t="shared" ca="1" si="110"/>
        <v>3.9773124546792571E-3</v>
      </c>
      <c r="O582" s="29">
        <f t="shared" ca="1" si="111"/>
        <v>600000</v>
      </c>
      <c r="P582" s="30">
        <f t="shared" ca="1" si="112"/>
        <v>33.036318217326823</v>
      </c>
    </row>
    <row r="583" spans="1:16" x14ac:dyDescent="0.25">
      <c r="A583" s="3">
        <f t="shared" si="113"/>
        <v>46927</v>
      </c>
      <c r="B583" s="21">
        <f t="shared" si="104"/>
        <v>36700</v>
      </c>
      <c r="C583" s="21">
        <f t="shared" si="105"/>
        <v>36789</v>
      </c>
      <c r="D583" s="1">
        <f t="shared" si="114"/>
        <v>0</v>
      </c>
      <c r="E583" s="3">
        <f t="array" ref="E583">INDEX($A$9:A582, MAX(IF($D$9:D582=1, ROW(D$9:$D582)-ROW($D$9)+1, 0)))</f>
        <v>46924</v>
      </c>
      <c r="F583" s="23">
        <f t="shared" si="106"/>
        <v>2.1957563312799451</v>
      </c>
      <c r="G583" s="5">
        <f>INDEX('Default Prob'!$P$5:$P$14,MIN(1+_xlfn.IFNA(MATCH(F583,'Default Prob'!$F$5:$F$14,1),0),COUNT('Default Prob'!$P$5:$P$14)))</f>
        <v>2.1918982658777085E-2</v>
      </c>
      <c r="H583" s="5">
        <f t="shared" si="115"/>
        <v>0.95444134765409405</v>
      </c>
      <c r="I583" s="24">
        <f t="shared" si="116"/>
        <v>5.7278606669819432E-5</v>
      </c>
      <c r="J583" s="25">
        <f>INDEX('Default Prob'!$C$3:$C$13, _xlfn.IFNA(MATCH(F583, 'Default Prob'!$B$3:$B$13, 1), 1))</f>
        <v>1.8200000000000001E-2</v>
      </c>
      <c r="K583" s="26">
        <f t="shared" si="107"/>
        <v>0.96117050891182609</v>
      </c>
      <c r="L583" s="27">
        <f t="shared" ca="1" si="108"/>
        <v>0</v>
      </c>
      <c r="M583" s="27">
        <f t="shared" ca="1" si="109"/>
        <v>108.35290983890332</v>
      </c>
      <c r="N583" s="28">
        <f t="shared" ca="1" si="110"/>
        <v>5.9653160898204905E-3</v>
      </c>
      <c r="O583" s="29">
        <f t="shared" ca="1" si="111"/>
        <v>600000</v>
      </c>
      <c r="P583" s="30">
        <f t="shared" ca="1" si="112"/>
        <v>33.032704513554393</v>
      </c>
    </row>
    <row r="584" spans="1:16" x14ac:dyDescent="0.25">
      <c r="A584" s="3">
        <f t="shared" si="113"/>
        <v>46930</v>
      </c>
      <c r="B584" s="21">
        <f t="shared" si="104"/>
        <v>36703</v>
      </c>
      <c r="C584" s="21">
        <f t="shared" si="105"/>
        <v>36789</v>
      </c>
      <c r="D584" s="1">
        <f t="shared" si="114"/>
        <v>0</v>
      </c>
      <c r="E584" s="3">
        <f t="array" ref="E584">INDEX($A$9:A583, MAX(IF($D$9:D583=1, ROW(D$9:$D583)-ROW($D$9)+1, 0)))</f>
        <v>46924</v>
      </c>
      <c r="F584" s="23">
        <f t="shared" si="106"/>
        <v>2.2039698836413417</v>
      </c>
      <c r="G584" s="5">
        <f>INDEX('Default Prob'!$P$5:$P$14,MIN(1+_xlfn.IFNA(MATCH(F584,'Default Prob'!$F$5:$F$14,1),0),COUNT('Default Prob'!$P$5:$P$14)))</f>
        <v>2.1918982658777085E-2</v>
      </c>
      <c r="H584" s="5">
        <f t="shared" si="115"/>
        <v>0.95426953245668633</v>
      </c>
      <c r="I584" s="24">
        <f t="shared" si="116"/>
        <v>1.7181519740772089E-4</v>
      </c>
      <c r="J584" s="25">
        <f>INDEX('Default Prob'!$C$3:$C$13, _xlfn.IFNA(MATCH(F584, 'Default Prob'!$B$3:$B$13, 1), 1))</f>
        <v>1.8200000000000001E-2</v>
      </c>
      <c r="K584" s="26">
        <f t="shared" si="107"/>
        <v>0.96102812915271718</v>
      </c>
      <c r="L584" s="27">
        <f t="shared" ca="1" si="108"/>
        <v>0</v>
      </c>
      <c r="M584" s="27">
        <f t="shared" ca="1" si="109"/>
        <v>216.70581967780663</v>
      </c>
      <c r="N584" s="28">
        <f t="shared" ca="1" si="110"/>
        <v>3.5782299755715861E-2</v>
      </c>
      <c r="O584" s="29">
        <f t="shared" ca="1" si="111"/>
        <v>600000</v>
      </c>
      <c r="P584" s="30">
        <f t="shared" ca="1" si="112"/>
        <v>99.071542634848072</v>
      </c>
    </row>
    <row r="585" spans="1:16" x14ac:dyDescent="0.25">
      <c r="A585" s="3">
        <f t="shared" si="113"/>
        <v>46931</v>
      </c>
      <c r="B585" s="21">
        <f t="shared" ref="B585:B648" si="117">DATE(2000, MONTH(A585), DAY(A585))</f>
        <v>36704</v>
      </c>
      <c r="C585" s="21">
        <f t="shared" ref="C585:C648" si="118">VLOOKUP(B585, $R$9:$S$13, 2)</f>
        <v>36789</v>
      </c>
      <c r="D585" s="1">
        <f t="shared" si="114"/>
        <v>0</v>
      </c>
      <c r="E585" s="3">
        <f t="array" ref="E585">INDEX($A$9:A584, MAX(IF($D$9:D584=1, ROW(D$9:$D584)-ROW($D$9)+1, 0)))</f>
        <v>46924</v>
      </c>
      <c r="F585" s="23">
        <f t="shared" ref="F585:F648" si="119">(A585-$A$2)/365.25</f>
        <v>2.2067077344284738</v>
      </c>
      <c r="G585" s="5">
        <f>INDEX('Default Prob'!$P$5:$P$14,MIN(1+_xlfn.IFNA(MATCH(F585,'Default Prob'!$F$5:$F$14,1),0),COUNT('Default Prob'!$P$5:$P$14)))</f>
        <v>2.1918982658777085E-2</v>
      </c>
      <c r="H585" s="5">
        <f t="shared" si="115"/>
        <v>0.95421226759773026</v>
      </c>
      <c r="I585" s="24">
        <f t="shared" si="116"/>
        <v>5.7264858956074249E-5</v>
      </c>
      <c r="J585" s="25">
        <f>INDEX('Default Prob'!$C$3:$C$13, _xlfn.IFNA(MATCH(F585, 'Default Prob'!$B$3:$B$13, 1), 1))</f>
        <v>1.8200000000000001E-2</v>
      </c>
      <c r="K585" s="26">
        <f t="shared" ref="K585:K648" si="120">1/((1+J585)^F585)</f>
        <v>0.9609806739200456</v>
      </c>
      <c r="L585" s="27">
        <f t="shared" ref="L585:L648" ca="1" si="121">IF(AND(D585, A585 &lt;= $G$2), $D$5*$D$2*(A585-E585)/365.25, 0)</f>
        <v>0</v>
      </c>
      <c r="M585" s="27">
        <f t="shared" ref="M585:M648" ca="1" si="122">IF(A585&lt;=$G$2, $D$5*$D$2*(A585-E585)/365.25, 0)</f>
        <v>252.82345629077437</v>
      </c>
      <c r="N585" s="28">
        <f t="shared" ref="N585:N648" ca="1" si="123">(L585*H585 + M585*I585) * K585</f>
        <v>1.391298168118797E-2</v>
      </c>
      <c r="O585" s="29">
        <f t="shared" ref="O585:O648" ca="1" si="124">IF(A585&lt;=$G$2, $D$2*(1-$D$3), 0)</f>
        <v>600000</v>
      </c>
      <c r="P585" s="30">
        <f t="shared" ref="P585:P648" ca="1" si="125">O585*I585*K585</f>
        <v>33.018253650926752</v>
      </c>
    </row>
    <row r="586" spans="1:16" x14ac:dyDescent="0.25">
      <c r="A586" s="3">
        <f t="shared" ref="A586:A649" si="126">WORKDAY(A585, 1)</f>
        <v>46932</v>
      </c>
      <c r="B586" s="21">
        <f t="shared" si="117"/>
        <v>36705</v>
      </c>
      <c r="C586" s="21">
        <f t="shared" si="118"/>
        <v>36789</v>
      </c>
      <c r="D586" s="1">
        <f t="shared" ref="D586:D649" si="127">IF(OR(C586=B586, AND(C586&lt;&gt;C585, C585&gt;B585)), 1, 0)</f>
        <v>0</v>
      </c>
      <c r="E586" s="3">
        <f t="array" ref="E586">INDEX($A$9:A585, MAX(IF($D$9:D585=1, ROW(D$9:$D585)-ROW($D$9)+1, 0)))</f>
        <v>46924</v>
      </c>
      <c r="F586" s="23">
        <f t="shared" si="119"/>
        <v>2.2094455852156059</v>
      </c>
      <c r="G586" s="5">
        <f>INDEX('Default Prob'!$P$5:$P$14,MIN(1+_xlfn.IFNA(MATCH(F586,'Default Prob'!$F$5:$F$14,1),0),COUNT('Default Prob'!$P$5:$P$14)))</f>
        <v>2.1918982658777085E-2</v>
      </c>
      <c r="H586" s="5">
        <f t="shared" ref="H586:H649" si="128">H585*EXP(-G585*(F586-F585))</f>
        <v>0.954155006175187</v>
      </c>
      <c r="I586" s="24">
        <f t="shared" ref="I586:I649" si="129">H585-H586</f>
        <v>5.7261422543253282E-5</v>
      </c>
      <c r="J586" s="25">
        <f>INDEX('Default Prob'!$C$3:$C$13, _xlfn.IFNA(MATCH(F586, 'Default Prob'!$B$3:$B$13, 1), 1))</f>
        <v>1.8200000000000001E-2</v>
      </c>
      <c r="K586" s="26">
        <f t="shared" si="120"/>
        <v>0.96093322103069667</v>
      </c>
      <c r="L586" s="27">
        <f t="shared" ca="1" si="121"/>
        <v>0</v>
      </c>
      <c r="M586" s="27">
        <f t="shared" ca="1" si="122"/>
        <v>288.94109290374212</v>
      </c>
      <c r="N586" s="28">
        <f t="shared" ca="1" si="123"/>
        <v>1.5898811198512122E-2</v>
      </c>
      <c r="O586" s="29">
        <f t="shared" ca="1" si="124"/>
        <v>600000</v>
      </c>
      <c r="P586" s="30">
        <f t="shared" ca="1" si="125"/>
        <v>33.014641923172874</v>
      </c>
    </row>
    <row r="587" spans="1:16" x14ac:dyDescent="0.25">
      <c r="A587" s="3">
        <f t="shared" si="126"/>
        <v>46933</v>
      </c>
      <c r="B587" s="21">
        <f t="shared" si="117"/>
        <v>36706</v>
      </c>
      <c r="C587" s="21">
        <f t="shared" si="118"/>
        <v>36789</v>
      </c>
      <c r="D587" s="1">
        <f t="shared" si="127"/>
        <v>0</v>
      </c>
      <c r="E587" s="3">
        <f t="array" ref="E587">INDEX($A$9:A586, MAX(IF($D$9:D586=1, ROW(D$9:$D586)-ROW($D$9)+1, 0)))</f>
        <v>46924</v>
      </c>
      <c r="F587" s="23">
        <f t="shared" si="119"/>
        <v>2.2121834360027379</v>
      </c>
      <c r="G587" s="5">
        <f>INDEX('Default Prob'!$P$5:$P$14,MIN(1+_xlfn.IFNA(MATCH(F587,'Default Prob'!$F$5:$F$14,1),0),COUNT('Default Prob'!$P$5:$P$14)))</f>
        <v>2.1918982658777085E-2</v>
      </c>
      <c r="H587" s="5">
        <f t="shared" si="128"/>
        <v>0.9540977481888504</v>
      </c>
      <c r="I587" s="24">
        <f t="shared" si="129"/>
        <v>5.725798633660073E-5</v>
      </c>
      <c r="J587" s="25">
        <f>INDEX('Default Prob'!$C$3:$C$13, _xlfn.IFNA(MATCH(F587, 'Default Prob'!$B$3:$B$13, 1), 1))</f>
        <v>1.8200000000000001E-2</v>
      </c>
      <c r="K587" s="26">
        <f t="shared" si="120"/>
        <v>0.96088577048455492</v>
      </c>
      <c r="L587" s="27">
        <f t="shared" ca="1" si="121"/>
        <v>0</v>
      </c>
      <c r="M587" s="27">
        <f t="shared" ca="1" si="122"/>
        <v>325.05872951670989</v>
      </c>
      <c r="N587" s="28">
        <f t="shared" ca="1" si="123"/>
        <v>1.7884206106288703E-2</v>
      </c>
      <c r="O587" s="29">
        <f t="shared" ca="1" si="124"/>
        <v>600000</v>
      </c>
      <c r="P587" s="30">
        <f t="shared" ca="1" si="125"/>
        <v>33.011030590463228</v>
      </c>
    </row>
    <row r="588" spans="1:16" x14ac:dyDescent="0.25">
      <c r="A588" s="3">
        <f t="shared" si="126"/>
        <v>46934</v>
      </c>
      <c r="B588" s="21">
        <f t="shared" si="117"/>
        <v>36707</v>
      </c>
      <c r="C588" s="21">
        <f t="shared" si="118"/>
        <v>36789</v>
      </c>
      <c r="D588" s="1">
        <f t="shared" si="127"/>
        <v>0</v>
      </c>
      <c r="E588" s="3">
        <f t="array" ref="E588">INDEX($A$9:A587, MAX(IF($D$9:D587=1, ROW(D$9:$D587)-ROW($D$9)+1, 0)))</f>
        <v>46924</v>
      </c>
      <c r="F588" s="23">
        <f t="shared" si="119"/>
        <v>2.21492128678987</v>
      </c>
      <c r="G588" s="5">
        <f>INDEX('Default Prob'!$P$5:$P$14,MIN(1+_xlfn.IFNA(MATCH(F588,'Default Prob'!$F$5:$F$14,1),0),COUNT('Default Prob'!$P$5:$P$14)))</f>
        <v>2.1918982658777085E-2</v>
      </c>
      <c r="H588" s="5">
        <f t="shared" si="128"/>
        <v>0.95404049363851418</v>
      </c>
      <c r="I588" s="24">
        <f t="shared" si="129"/>
        <v>5.7254550336227616E-5</v>
      </c>
      <c r="J588" s="25">
        <f>INDEX('Default Prob'!$C$3:$C$13, _xlfn.IFNA(MATCH(F588, 'Default Prob'!$B$3:$B$13, 1), 1))</f>
        <v>1.8200000000000001E-2</v>
      </c>
      <c r="K588" s="26">
        <f t="shared" si="120"/>
        <v>0.96083832228150434</v>
      </c>
      <c r="L588" s="27">
        <f t="shared" ca="1" si="121"/>
        <v>0</v>
      </c>
      <c r="M588" s="27">
        <f t="shared" ca="1" si="122"/>
        <v>361.17636612967766</v>
      </c>
      <c r="N588" s="28">
        <f t="shared" ca="1" si="123"/>
        <v>1.986916647587484E-2</v>
      </c>
      <c r="O588" s="29">
        <f t="shared" ca="1" si="124"/>
        <v>600000</v>
      </c>
      <c r="P588" s="30">
        <f t="shared" ca="1" si="125"/>
        <v>33.007419652825732</v>
      </c>
    </row>
    <row r="589" spans="1:16" x14ac:dyDescent="0.25">
      <c r="A589" s="3">
        <f t="shared" si="126"/>
        <v>46937</v>
      </c>
      <c r="B589" s="21">
        <f t="shared" si="117"/>
        <v>36710</v>
      </c>
      <c r="C589" s="21">
        <f t="shared" si="118"/>
        <v>36789</v>
      </c>
      <c r="D589" s="1">
        <f t="shared" si="127"/>
        <v>0</v>
      </c>
      <c r="E589" s="3">
        <f t="array" ref="E589">INDEX($A$9:A588, MAX(IF($D$9:D588=1, ROW(D$9:$D588)-ROW($D$9)+1, 0)))</f>
        <v>46924</v>
      </c>
      <c r="F589" s="23">
        <f t="shared" si="119"/>
        <v>2.2231348391512662</v>
      </c>
      <c r="G589" s="5">
        <f>INDEX('Default Prob'!$P$5:$P$14,MIN(1+_xlfn.IFNA(MATCH(F589,'Default Prob'!$F$5:$F$14,1),0),COUNT('Default Prob'!$P$5:$P$14)))</f>
        <v>2.1918982658777085E-2</v>
      </c>
      <c r="H589" s="5">
        <f t="shared" si="128"/>
        <v>0.95386875060144616</v>
      </c>
      <c r="I589" s="24">
        <f t="shared" si="129"/>
        <v>1.717430370680173E-4</v>
      </c>
      <c r="J589" s="25">
        <f>INDEX('Default Prob'!$C$3:$C$13, _xlfn.IFNA(MATCH(F589, 'Default Prob'!$B$3:$B$13, 1), 1))</f>
        <v>1.8200000000000001E-2</v>
      </c>
      <c r="K589" s="26">
        <f t="shared" si="120"/>
        <v>0.96069599172974429</v>
      </c>
      <c r="L589" s="27">
        <f t="shared" ca="1" si="121"/>
        <v>0</v>
      </c>
      <c r="M589" s="27">
        <f t="shared" ca="1" si="122"/>
        <v>469.52927596858098</v>
      </c>
      <c r="N589" s="28">
        <f t="shared" ca="1" si="123"/>
        <v>7.746897214156126E-2</v>
      </c>
      <c r="O589" s="29">
        <f t="shared" ca="1" si="124"/>
        <v>600000</v>
      </c>
      <c r="P589" s="30">
        <f t="shared" ca="1" si="125"/>
        <v>98.995708391242275</v>
      </c>
    </row>
    <row r="590" spans="1:16" x14ac:dyDescent="0.25">
      <c r="A590" s="3">
        <f t="shared" si="126"/>
        <v>46938</v>
      </c>
      <c r="B590" s="21">
        <f t="shared" si="117"/>
        <v>36711</v>
      </c>
      <c r="C590" s="21">
        <f t="shared" si="118"/>
        <v>36789</v>
      </c>
      <c r="D590" s="1">
        <f t="shared" si="127"/>
        <v>0</v>
      </c>
      <c r="E590" s="3">
        <f t="array" ref="E590">INDEX($A$9:A589, MAX(IF($D$9:D589=1, ROW(D$9:$D589)-ROW($D$9)+1, 0)))</f>
        <v>46924</v>
      </c>
      <c r="F590" s="23">
        <f t="shared" si="119"/>
        <v>2.2258726899383983</v>
      </c>
      <c r="G590" s="5">
        <f>INDEX('Default Prob'!$P$5:$P$14,MIN(1+_xlfn.IFNA(MATCH(F590,'Default Prob'!$F$5:$F$14,1),0),COUNT('Default Prob'!$P$5:$P$14)))</f>
        <v>2.1918982658777085E-2</v>
      </c>
      <c r="H590" s="5">
        <f t="shared" si="128"/>
        <v>0.95381150979304985</v>
      </c>
      <c r="I590" s="24">
        <f t="shared" si="129"/>
        <v>5.7240808396308296E-5</v>
      </c>
      <c r="J590" s="25">
        <f>INDEX('Default Prob'!$C$3:$C$13, _xlfn.IFNA(MATCH(F590, 'Default Prob'!$B$3:$B$13, 1), 1))</f>
        <v>1.8200000000000001E-2</v>
      </c>
      <c r="K590" s="26">
        <f t="shared" si="120"/>
        <v>0.9606485528979023</v>
      </c>
      <c r="L590" s="27">
        <f t="shared" ca="1" si="121"/>
        <v>0</v>
      </c>
      <c r="M590" s="27">
        <f t="shared" ca="1" si="122"/>
        <v>505.64691258154875</v>
      </c>
      <c r="N590" s="28">
        <f t="shared" ca="1" si="123"/>
        <v>2.7804663998020871E-2</v>
      </c>
      <c r="O590" s="29">
        <f t="shared" ca="1" si="124"/>
        <v>600000</v>
      </c>
      <c r="P590" s="30">
        <f t="shared" ca="1" si="125"/>
        <v>32.992979851571796</v>
      </c>
    </row>
    <row r="591" spans="1:16" x14ac:dyDescent="0.25">
      <c r="A591" s="3">
        <f t="shared" si="126"/>
        <v>46939</v>
      </c>
      <c r="B591" s="21">
        <f t="shared" si="117"/>
        <v>36712</v>
      </c>
      <c r="C591" s="21">
        <f t="shared" si="118"/>
        <v>36789</v>
      </c>
      <c r="D591" s="1">
        <f t="shared" si="127"/>
        <v>0</v>
      </c>
      <c r="E591" s="3">
        <f t="array" ref="E591">INDEX($A$9:A590, MAX(IF($D$9:D590=1, ROW(D$9:$D590)-ROW($D$9)+1, 0)))</f>
        <v>46924</v>
      </c>
      <c r="F591" s="23">
        <f t="shared" si="119"/>
        <v>2.2286105407255303</v>
      </c>
      <c r="G591" s="5">
        <f>INDEX('Default Prob'!$P$5:$P$14,MIN(1+_xlfn.IFNA(MATCH(F591,'Default Prob'!$F$5:$F$14,1),0),COUNT('Default Prob'!$P$5:$P$14)))</f>
        <v>2.1918982658777085E-2</v>
      </c>
      <c r="H591" s="5">
        <f t="shared" si="128"/>
        <v>0.95375427241962307</v>
      </c>
      <c r="I591" s="24">
        <f t="shared" si="129"/>
        <v>5.723737342677726E-5</v>
      </c>
      <c r="J591" s="25">
        <f>INDEX('Default Prob'!$C$3:$C$13, _xlfn.IFNA(MATCH(F591, 'Default Prob'!$B$3:$B$13, 1), 1))</f>
        <v>1.8200000000000001E-2</v>
      </c>
      <c r="K591" s="26">
        <f t="shared" si="120"/>
        <v>0.96060111640857315</v>
      </c>
      <c r="L591" s="27">
        <f t="shared" ca="1" si="121"/>
        <v>0</v>
      </c>
      <c r="M591" s="27">
        <f t="shared" ca="1" si="122"/>
        <v>541.76454919451646</v>
      </c>
      <c r="N591" s="28">
        <f t="shared" ca="1" si="123"/>
        <v>2.9787452745971901E-2</v>
      </c>
      <c r="O591" s="29">
        <f t="shared" ca="1" si="124"/>
        <v>600000</v>
      </c>
      <c r="P591" s="30">
        <f t="shared" ca="1" si="125"/>
        <v>32.989370888433982</v>
      </c>
    </row>
    <row r="592" spans="1:16" x14ac:dyDescent="0.25">
      <c r="A592" s="3">
        <f t="shared" si="126"/>
        <v>46940</v>
      </c>
      <c r="B592" s="21">
        <f t="shared" si="117"/>
        <v>36713</v>
      </c>
      <c r="C592" s="21">
        <f t="shared" si="118"/>
        <v>36789</v>
      </c>
      <c r="D592" s="1">
        <f t="shared" si="127"/>
        <v>0</v>
      </c>
      <c r="E592" s="3">
        <f t="array" ref="E592">INDEX($A$9:A591, MAX(IF($D$9:D591=1, ROW(D$9:$D591)-ROW($D$9)+1, 0)))</f>
        <v>46924</v>
      </c>
      <c r="F592" s="23">
        <f t="shared" si="119"/>
        <v>2.2313483915126624</v>
      </c>
      <c r="G592" s="5">
        <f>INDEX('Default Prob'!$P$5:$P$14,MIN(1+_xlfn.IFNA(MATCH(F592,'Default Prob'!$F$5:$F$14,1),0),COUNT('Default Prob'!$P$5:$P$14)))</f>
        <v>2.1918982658777085E-2</v>
      </c>
      <c r="H592" s="5">
        <f t="shared" si="128"/>
        <v>0.95369703848095977</v>
      </c>
      <c r="I592" s="24">
        <f t="shared" si="129"/>
        <v>5.7233938663303618E-5</v>
      </c>
      <c r="J592" s="25">
        <f>INDEX('Default Prob'!$C$3:$C$13, _xlfn.IFNA(MATCH(F592, 'Default Prob'!$B$3:$B$13, 1), 1))</f>
        <v>1.8200000000000001E-2</v>
      </c>
      <c r="K592" s="26">
        <f t="shared" si="120"/>
        <v>0.96055368226164128</v>
      </c>
      <c r="L592" s="27">
        <f t="shared" ca="1" si="121"/>
        <v>0</v>
      </c>
      <c r="M592" s="27">
        <f t="shared" ca="1" si="122"/>
        <v>577.88218580748423</v>
      </c>
      <c r="N592" s="28">
        <f t="shared" ca="1" si="123"/>
        <v>3.1769807383369299E-2</v>
      </c>
      <c r="O592" s="29">
        <f t="shared" ca="1" si="124"/>
        <v>600000</v>
      </c>
      <c r="P592" s="30">
        <f t="shared" ca="1" si="125"/>
        <v>32.985762320023923</v>
      </c>
    </row>
    <row r="593" spans="1:16" x14ac:dyDescent="0.25">
      <c r="A593" s="3">
        <f t="shared" si="126"/>
        <v>46941</v>
      </c>
      <c r="B593" s="21">
        <f t="shared" si="117"/>
        <v>36714</v>
      </c>
      <c r="C593" s="21">
        <f t="shared" si="118"/>
        <v>36789</v>
      </c>
      <c r="D593" s="1">
        <f t="shared" si="127"/>
        <v>0</v>
      </c>
      <c r="E593" s="3">
        <f t="array" ref="E593">INDEX($A$9:A592, MAX(IF($D$9:D592=1, ROW(D$9:$D592)-ROW($D$9)+1, 0)))</f>
        <v>46924</v>
      </c>
      <c r="F593" s="23">
        <f t="shared" si="119"/>
        <v>2.2340862422997945</v>
      </c>
      <c r="G593" s="5">
        <f>INDEX('Default Prob'!$P$5:$P$14,MIN(1+_xlfn.IFNA(MATCH(F593,'Default Prob'!$F$5:$F$14,1),0),COUNT('Default Prob'!$P$5:$P$14)))</f>
        <v>2.1918982658777085E-2</v>
      </c>
      <c r="H593" s="5">
        <f t="shared" si="128"/>
        <v>0.95363980797685377</v>
      </c>
      <c r="I593" s="24">
        <f t="shared" si="129"/>
        <v>5.7230504105998392E-5</v>
      </c>
      <c r="J593" s="25">
        <f>INDEX('Default Prob'!$C$3:$C$13, _xlfn.IFNA(MATCH(F593, 'Default Prob'!$B$3:$B$13, 1), 1))</f>
        <v>1.8200000000000001E-2</v>
      </c>
      <c r="K593" s="26">
        <f t="shared" si="120"/>
        <v>0.96050625045699123</v>
      </c>
      <c r="L593" s="27">
        <f t="shared" ca="1" si="121"/>
        <v>0</v>
      </c>
      <c r="M593" s="27">
        <f t="shared" ca="1" si="122"/>
        <v>613.99982242045212</v>
      </c>
      <c r="N593" s="28">
        <f t="shared" ca="1" si="123"/>
        <v>3.3751727981524829E-2</v>
      </c>
      <c r="O593" s="29">
        <f t="shared" ca="1" si="124"/>
        <v>600000</v>
      </c>
      <c r="P593" s="30">
        <f t="shared" ca="1" si="125"/>
        <v>32.982154146369574</v>
      </c>
    </row>
    <row r="594" spans="1:16" x14ac:dyDescent="0.25">
      <c r="A594" s="3">
        <f t="shared" si="126"/>
        <v>46944</v>
      </c>
      <c r="B594" s="21">
        <f t="shared" si="117"/>
        <v>36717</v>
      </c>
      <c r="C594" s="21">
        <f t="shared" si="118"/>
        <v>36789</v>
      </c>
      <c r="D594" s="1">
        <f t="shared" si="127"/>
        <v>0</v>
      </c>
      <c r="E594" s="3">
        <f t="array" ref="E594">INDEX($A$9:A593, MAX(IF($D$9:D593=1, ROW(D$9:$D593)-ROW($D$9)+1, 0)))</f>
        <v>46924</v>
      </c>
      <c r="F594" s="23">
        <f t="shared" si="119"/>
        <v>2.2422997946611911</v>
      </c>
      <c r="G594" s="5">
        <f>INDEX('Default Prob'!$P$5:$P$14,MIN(1+_xlfn.IFNA(MATCH(F594,'Default Prob'!$F$5:$F$14,1),0),COUNT('Default Prob'!$P$5:$P$14)))</f>
        <v>2.1918982658777085E-2</v>
      </c>
      <c r="H594" s="5">
        <f t="shared" si="128"/>
        <v>0.95346813706981892</v>
      </c>
      <c r="I594" s="24">
        <f t="shared" si="129"/>
        <v>1.7167090703484877E-4</v>
      </c>
      <c r="J594" s="25">
        <f>INDEX('Default Prob'!$C$3:$C$13, _xlfn.IFNA(MATCH(F594, 'Default Prob'!$B$3:$B$13, 1), 1))</f>
        <v>1.8200000000000001E-2</v>
      </c>
      <c r="K594" s="26">
        <f t="shared" si="120"/>
        <v>0.96036396909557342</v>
      </c>
      <c r="L594" s="27">
        <f t="shared" ca="1" si="121"/>
        <v>0</v>
      </c>
      <c r="M594" s="27">
        <f t="shared" ca="1" si="122"/>
        <v>722.35273225935532</v>
      </c>
      <c r="N594" s="28">
        <f t="shared" ca="1" si="123"/>
        <v>0.11909180549320213</v>
      </c>
      <c r="O594" s="29">
        <f t="shared" ca="1" si="124"/>
        <v>600000</v>
      </c>
      <c r="P594" s="30">
        <f t="shared" ca="1" si="125"/>
        <v>98.919932194934745</v>
      </c>
    </row>
    <row r="595" spans="1:16" x14ac:dyDescent="0.25">
      <c r="A595" s="3">
        <f t="shared" si="126"/>
        <v>46945</v>
      </c>
      <c r="B595" s="21">
        <f t="shared" si="117"/>
        <v>36718</v>
      </c>
      <c r="C595" s="21">
        <f t="shared" si="118"/>
        <v>36789</v>
      </c>
      <c r="D595" s="1">
        <f t="shared" si="127"/>
        <v>0</v>
      </c>
      <c r="E595" s="3">
        <f t="array" ref="E595">INDEX($A$9:A594, MAX(IF($D$9:D594=1, ROW(D$9:$D594)-ROW($D$9)+1, 0)))</f>
        <v>46924</v>
      </c>
      <c r="F595" s="23">
        <f t="shared" si="119"/>
        <v>2.2450376454483232</v>
      </c>
      <c r="G595" s="5">
        <f>INDEX('Default Prob'!$P$5:$P$14,MIN(1+_xlfn.IFNA(MATCH(F595,'Default Prob'!$F$5:$F$14,1),0),COUNT('Default Prob'!$P$5:$P$14)))</f>
        <v>2.1918982658777085E-2</v>
      </c>
      <c r="H595" s="5">
        <f t="shared" si="128"/>
        <v>0.95341092030188146</v>
      </c>
      <c r="I595" s="24">
        <f t="shared" si="129"/>
        <v>5.7216767937462443E-5</v>
      </c>
      <c r="J595" s="25">
        <f>INDEX('Default Prob'!$C$3:$C$13, _xlfn.IFNA(MATCH(F595, 'Default Prob'!$B$3:$B$13, 1), 1))</f>
        <v>1.8200000000000001E-2</v>
      </c>
      <c r="K595" s="26">
        <f t="shared" si="120"/>
        <v>0.96031654665889288</v>
      </c>
      <c r="L595" s="27">
        <f t="shared" ca="1" si="121"/>
        <v>0</v>
      </c>
      <c r="M595" s="27">
        <f t="shared" ca="1" si="122"/>
        <v>758.47036887232321</v>
      </c>
      <c r="N595" s="28">
        <f t="shared" ca="1" si="123"/>
        <v>4.1675071405853109E-2</v>
      </c>
      <c r="O595" s="29">
        <f t="shared" ca="1" si="124"/>
        <v>600000</v>
      </c>
      <c r="P595" s="30">
        <f t="shared" ca="1" si="125"/>
        <v>32.96772539801232</v>
      </c>
    </row>
    <row r="596" spans="1:16" x14ac:dyDescent="0.25">
      <c r="A596" s="3">
        <f t="shared" si="126"/>
        <v>46946</v>
      </c>
      <c r="B596" s="21">
        <f t="shared" si="117"/>
        <v>36719</v>
      </c>
      <c r="C596" s="21">
        <f t="shared" si="118"/>
        <v>36789</v>
      </c>
      <c r="D596" s="1">
        <f t="shared" si="127"/>
        <v>0</v>
      </c>
      <c r="E596" s="3">
        <f t="array" ref="E596">INDEX($A$9:A595, MAX(IF($D$9:D595=1, ROW(D$9:$D595)-ROW($D$9)+1, 0)))</f>
        <v>46924</v>
      </c>
      <c r="F596" s="23">
        <f t="shared" si="119"/>
        <v>2.2477754962354553</v>
      </c>
      <c r="G596" s="5">
        <f>INDEX('Default Prob'!$P$5:$P$14,MIN(1+_xlfn.IFNA(MATCH(F596,'Default Prob'!$F$5:$F$14,1),0),COUNT('Default Prob'!$P$5:$P$14)))</f>
        <v>2.1918982658777085E-2</v>
      </c>
      <c r="H596" s="5">
        <f t="shared" si="128"/>
        <v>0.9533537069674709</v>
      </c>
      <c r="I596" s="24">
        <f t="shared" si="129"/>
        <v>5.7213334410555206E-5</v>
      </c>
      <c r="J596" s="25">
        <f>INDEX('Default Prob'!$C$3:$C$13, _xlfn.IFNA(MATCH(F596, 'Default Prob'!$B$3:$B$13, 1), 1))</f>
        <v>1.8200000000000001E-2</v>
      </c>
      <c r="K596" s="26">
        <f t="shared" si="120"/>
        <v>0.96026912656391572</v>
      </c>
      <c r="L596" s="27">
        <f t="shared" ca="1" si="121"/>
        <v>0</v>
      </c>
      <c r="M596" s="27">
        <f t="shared" ca="1" si="122"/>
        <v>794.58800548529086</v>
      </c>
      <c r="N596" s="28">
        <f t="shared" ca="1" si="123"/>
        <v>4.3654822875989423E-2</v>
      </c>
      <c r="O596" s="29">
        <f t="shared" ca="1" si="124"/>
        <v>600000</v>
      </c>
      <c r="P596" s="30">
        <f t="shared" ca="1" si="125"/>
        <v>32.964119197339841</v>
      </c>
    </row>
    <row r="597" spans="1:16" x14ac:dyDescent="0.25">
      <c r="A597" s="3">
        <f t="shared" si="126"/>
        <v>46947</v>
      </c>
      <c r="B597" s="21">
        <f t="shared" si="117"/>
        <v>36720</v>
      </c>
      <c r="C597" s="21">
        <f t="shared" si="118"/>
        <v>36789</v>
      </c>
      <c r="D597" s="1">
        <f t="shared" si="127"/>
        <v>0</v>
      </c>
      <c r="E597" s="3">
        <f t="array" ref="E597">INDEX($A$9:A596, MAX(IF($D$9:D596=1, ROW(D$9:$D596)-ROW($D$9)+1, 0)))</f>
        <v>46924</v>
      </c>
      <c r="F597" s="23">
        <f t="shared" si="119"/>
        <v>2.2505133470225873</v>
      </c>
      <c r="G597" s="5">
        <f>INDEX('Default Prob'!$P$5:$P$14,MIN(1+_xlfn.IFNA(MATCH(F597,'Default Prob'!$F$5:$F$14,1),0),COUNT('Default Prob'!$P$5:$P$14)))</f>
        <v>2.1918982658777085E-2</v>
      </c>
      <c r="H597" s="5">
        <f t="shared" si="128"/>
        <v>0.9532964970663812</v>
      </c>
      <c r="I597" s="24">
        <f t="shared" si="129"/>
        <v>5.7209901089705362E-5</v>
      </c>
      <c r="J597" s="25">
        <f>INDEX('Default Prob'!$C$3:$C$13, _xlfn.IFNA(MATCH(F597, 'Default Prob'!$B$3:$B$13, 1), 1))</f>
        <v>1.8200000000000001E-2</v>
      </c>
      <c r="K597" s="26">
        <f t="shared" si="120"/>
        <v>0.96022170881052615</v>
      </c>
      <c r="L597" s="27">
        <f t="shared" ca="1" si="121"/>
        <v>0</v>
      </c>
      <c r="M597" s="27">
        <f t="shared" ca="1" si="122"/>
        <v>830.70564209825864</v>
      </c>
      <c r="N597" s="28">
        <f t="shared" ca="1" si="123"/>
        <v>4.5634140734129275E-2</v>
      </c>
      <c r="O597" s="29">
        <f t="shared" ca="1" si="124"/>
        <v>600000</v>
      </c>
      <c r="P597" s="30">
        <f t="shared" ca="1" si="125"/>
        <v>32.96051339114284</v>
      </c>
    </row>
    <row r="598" spans="1:16" x14ac:dyDescent="0.25">
      <c r="A598" s="3">
        <f t="shared" si="126"/>
        <v>46948</v>
      </c>
      <c r="B598" s="21">
        <f t="shared" si="117"/>
        <v>36721</v>
      </c>
      <c r="C598" s="21">
        <f t="shared" si="118"/>
        <v>36789</v>
      </c>
      <c r="D598" s="1">
        <f t="shared" si="127"/>
        <v>0</v>
      </c>
      <c r="E598" s="3">
        <f t="array" ref="E598">INDEX($A$9:A597, MAX(IF($D$9:D597=1, ROW(D$9:$D597)-ROW($D$9)+1, 0)))</f>
        <v>46924</v>
      </c>
      <c r="F598" s="23">
        <f t="shared" si="119"/>
        <v>2.2532511978097194</v>
      </c>
      <c r="G598" s="5">
        <f>INDEX('Default Prob'!$P$5:$P$14,MIN(1+_xlfn.IFNA(MATCH(F598,'Default Prob'!$F$5:$F$14,1),0),COUNT('Default Prob'!$P$5:$P$14)))</f>
        <v>2.1918982658777085E-2</v>
      </c>
      <c r="H598" s="5">
        <f t="shared" si="128"/>
        <v>0.9532392905984064</v>
      </c>
      <c r="I598" s="24">
        <f t="shared" si="129"/>
        <v>5.7206467974801889E-5</v>
      </c>
      <c r="J598" s="25">
        <f>INDEX('Default Prob'!$C$3:$C$13, _xlfn.IFNA(MATCH(F598, 'Default Prob'!$B$3:$B$13, 1), 1))</f>
        <v>1.8200000000000001E-2</v>
      </c>
      <c r="K598" s="26">
        <f t="shared" si="120"/>
        <v>0.96017429339860894</v>
      </c>
      <c r="L598" s="27">
        <f t="shared" ca="1" si="121"/>
        <v>0</v>
      </c>
      <c r="M598" s="27">
        <f t="shared" ca="1" si="122"/>
        <v>866.82327871122652</v>
      </c>
      <c r="N598" s="28">
        <f t="shared" ca="1" si="123"/>
        <v>4.7613025051365838E-2</v>
      </c>
      <c r="O598" s="29">
        <f t="shared" ca="1" si="124"/>
        <v>600000</v>
      </c>
      <c r="P598" s="30">
        <f t="shared" ca="1" si="125"/>
        <v>32.956907979321336</v>
      </c>
    </row>
    <row r="599" spans="1:16" x14ac:dyDescent="0.25">
      <c r="A599" s="3">
        <f t="shared" si="126"/>
        <v>46951</v>
      </c>
      <c r="B599" s="21">
        <f t="shared" si="117"/>
        <v>36724</v>
      </c>
      <c r="C599" s="21">
        <f t="shared" si="118"/>
        <v>36789</v>
      </c>
      <c r="D599" s="1">
        <f t="shared" si="127"/>
        <v>0</v>
      </c>
      <c r="E599" s="3">
        <f t="array" ref="E599">INDEX($A$9:A598, MAX(IF($D$9:D598=1, ROW(D$9:$D598)-ROW($D$9)+1, 0)))</f>
        <v>46924</v>
      </c>
      <c r="F599" s="23">
        <f t="shared" si="119"/>
        <v>2.2614647501711156</v>
      </c>
      <c r="G599" s="5">
        <f>INDEX('Default Prob'!$P$5:$P$14,MIN(1+_xlfn.IFNA(MATCH(F599,'Default Prob'!$F$5:$F$14,1),0),COUNT('Default Prob'!$P$5:$P$14)))</f>
        <v>2.1918982658777085E-2</v>
      </c>
      <c r="H599" s="5">
        <f t="shared" si="128"/>
        <v>0.95306769179111095</v>
      </c>
      <c r="I599" s="24">
        <f t="shared" si="129"/>
        <v>1.7159880729544774E-4</v>
      </c>
      <c r="J599" s="25">
        <f>INDEX('Default Prob'!$C$3:$C$13, _xlfn.IFNA(MATCH(F599, 'Default Prob'!$B$3:$B$13, 1), 1))</f>
        <v>1.8200000000000001E-2</v>
      </c>
      <c r="K599" s="26">
        <f t="shared" si="120"/>
        <v>0.96003206121053297</v>
      </c>
      <c r="L599" s="27">
        <f t="shared" ca="1" si="121"/>
        <v>0</v>
      </c>
      <c r="M599" s="27">
        <f t="shared" ca="1" si="122"/>
        <v>975.17618855012961</v>
      </c>
      <c r="N599" s="28">
        <f t="shared" ca="1" si="123"/>
        <v>0.16065087311697918</v>
      </c>
      <c r="O599" s="29">
        <f t="shared" ca="1" si="124"/>
        <v>600000</v>
      </c>
      <c r="P599" s="30">
        <f t="shared" ca="1" si="125"/>
        <v>98.844214001470647</v>
      </c>
    </row>
    <row r="600" spans="1:16" x14ac:dyDescent="0.25">
      <c r="A600" s="3">
        <f t="shared" si="126"/>
        <v>46952</v>
      </c>
      <c r="B600" s="21">
        <f t="shared" si="117"/>
        <v>36725</v>
      </c>
      <c r="C600" s="21">
        <f t="shared" si="118"/>
        <v>36789</v>
      </c>
      <c r="D600" s="1">
        <f t="shared" si="127"/>
        <v>0</v>
      </c>
      <c r="E600" s="3">
        <f t="array" ref="E600">INDEX($A$9:A599, MAX(IF($D$9:D599=1, ROW(D$9:$D599)-ROW($D$9)+1, 0)))</f>
        <v>46924</v>
      </c>
      <c r="F600" s="23">
        <f t="shared" si="119"/>
        <v>2.2642026009582477</v>
      </c>
      <c r="G600" s="5">
        <f>INDEX('Default Prob'!$P$5:$P$14,MIN(1+_xlfn.IFNA(MATCH(F600,'Default Prob'!$F$5:$F$14,1),0),COUNT('Default Prob'!$P$5:$P$14)))</f>
        <v>2.1918982658777085E-2</v>
      </c>
      <c r="H600" s="5">
        <f t="shared" si="128"/>
        <v>0.95301049905353552</v>
      </c>
      <c r="I600" s="24">
        <f t="shared" si="129"/>
        <v>5.7192737575428865E-5</v>
      </c>
      <c r="J600" s="25">
        <f>INDEX('Default Prob'!$C$3:$C$13, _xlfn.IFNA(MATCH(F600, 'Default Prob'!$B$3:$B$13, 1), 1))</f>
        <v>1.8200000000000001E-2</v>
      </c>
      <c r="K600" s="26">
        <f t="shared" si="120"/>
        <v>0.95998465516334763</v>
      </c>
      <c r="L600" s="27">
        <f t="shared" ca="1" si="121"/>
        <v>0</v>
      </c>
      <c r="M600" s="27">
        <f t="shared" ca="1" si="122"/>
        <v>1011.2938251630975</v>
      </c>
      <c r="N600" s="28">
        <f t="shared" ca="1" si="123"/>
        <v>5.5524228335210465E-2</v>
      </c>
      <c r="O600" s="29">
        <f t="shared" ca="1" si="124"/>
        <v>600000</v>
      </c>
      <c r="P600" s="30">
        <f t="shared" ca="1" si="125"/>
        <v>32.942490275517549</v>
      </c>
    </row>
    <row r="601" spans="1:16" x14ac:dyDescent="0.25">
      <c r="A601" s="3">
        <f t="shared" si="126"/>
        <v>46953</v>
      </c>
      <c r="B601" s="21">
        <f t="shared" si="117"/>
        <v>36726</v>
      </c>
      <c r="C601" s="21">
        <f t="shared" si="118"/>
        <v>36789</v>
      </c>
      <c r="D601" s="1">
        <f t="shared" si="127"/>
        <v>0</v>
      </c>
      <c r="E601" s="3">
        <f t="array" ref="E601">INDEX($A$9:A600, MAX(IF($D$9:D600=1, ROW(D$9:$D600)-ROW($D$9)+1, 0)))</f>
        <v>46924</v>
      </c>
      <c r="F601" s="23">
        <f t="shared" si="119"/>
        <v>2.2669404517453797</v>
      </c>
      <c r="G601" s="5">
        <f>INDEX('Default Prob'!$P$5:$P$14,MIN(1+_xlfn.IFNA(MATCH(F601,'Default Prob'!$F$5:$F$14,1),0),COUNT('Default Prob'!$P$5:$P$14)))</f>
        <v>2.1918982658777085E-2</v>
      </c>
      <c r="H601" s="5">
        <f t="shared" si="128"/>
        <v>0.95295330974804504</v>
      </c>
      <c r="I601" s="24">
        <f t="shared" si="129"/>
        <v>5.7189305490479292E-5</v>
      </c>
      <c r="J601" s="25">
        <f>INDEX('Default Prob'!$C$3:$C$13, _xlfn.IFNA(MATCH(F601, 'Default Prob'!$B$3:$B$13, 1), 1))</f>
        <v>1.8200000000000001E-2</v>
      </c>
      <c r="K601" s="26">
        <f t="shared" si="120"/>
        <v>0.95993725145705633</v>
      </c>
      <c r="L601" s="27">
        <f t="shared" ca="1" si="121"/>
        <v>0</v>
      </c>
      <c r="M601" s="27">
        <f t="shared" ca="1" si="122"/>
        <v>1047.4114617760652</v>
      </c>
      <c r="N601" s="28">
        <f t="shared" ca="1" si="123"/>
        <v>5.7500946015487601E-2</v>
      </c>
      <c r="O601" s="29">
        <f t="shared" ca="1" si="124"/>
        <v>600000</v>
      </c>
      <c r="P601" s="30">
        <f t="shared" ca="1" si="125"/>
        <v>32.938886835161178</v>
      </c>
    </row>
    <row r="602" spans="1:16" x14ac:dyDescent="0.25">
      <c r="A602" s="3">
        <f t="shared" si="126"/>
        <v>46954</v>
      </c>
      <c r="B602" s="21">
        <f t="shared" si="117"/>
        <v>36727</v>
      </c>
      <c r="C602" s="21">
        <f t="shared" si="118"/>
        <v>36789</v>
      </c>
      <c r="D602" s="1">
        <f t="shared" si="127"/>
        <v>0</v>
      </c>
      <c r="E602" s="3">
        <f t="array" ref="E602">INDEX($A$9:A601, MAX(IF($D$9:D601=1, ROW(D$9:$D601)-ROW($D$9)+1, 0)))</f>
        <v>46924</v>
      </c>
      <c r="F602" s="23">
        <f t="shared" si="119"/>
        <v>2.2696783025325118</v>
      </c>
      <c r="G602" s="5">
        <f>INDEX('Default Prob'!$P$5:$P$14,MIN(1+_xlfn.IFNA(MATCH(F602,'Default Prob'!$F$5:$F$14,1),0),COUNT('Default Prob'!$P$5:$P$14)))</f>
        <v>2.1918982658777085E-2</v>
      </c>
      <c r="H602" s="5">
        <f t="shared" si="128"/>
        <v>0.95289612387443345</v>
      </c>
      <c r="I602" s="24">
        <f t="shared" si="129"/>
        <v>5.7185873611587112E-5</v>
      </c>
      <c r="J602" s="25">
        <f>INDEX('Default Prob'!$C$3:$C$13, _xlfn.IFNA(MATCH(F602, 'Default Prob'!$B$3:$B$13, 1), 1))</f>
        <v>1.8200000000000001E-2</v>
      </c>
      <c r="K602" s="26">
        <f t="shared" si="120"/>
        <v>0.95988985009154337</v>
      </c>
      <c r="L602" s="27">
        <f t="shared" ca="1" si="121"/>
        <v>0</v>
      </c>
      <c r="M602" s="27">
        <f t="shared" ca="1" si="122"/>
        <v>1083.5290983890329</v>
      </c>
      <c r="N602" s="28">
        <f t="shared" ca="1" si="123"/>
        <v>5.9477230581854397E-2</v>
      </c>
      <c r="O602" s="29">
        <f t="shared" ca="1" si="124"/>
        <v>600000</v>
      </c>
      <c r="P602" s="30">
        <f t="shared" ca="1" si="125"/>
        <v>32.935283789028176</v>
      </c>
    </row>
    <row r="603" spans="1:16" x14ac:dyDescent="0.25">
      <c r="A603" s="3">
        <f t="shared" si="126"/>
        <v>46955</v>
      </c>
      <c r="B603" s="21">
        <f t="shared" si="117"/>
        <v>36728</v>
      </c>
      <c r="C603" s="21">
        <f t="shared" si="118"/>
        <v>36789</v>
      </c>
      <c r="D603" s="1">
        <f t="shared" si="127"/>
        <v>0</v>
      </c>
      <c r="E603" s="3">
        <f t="array" ref="E603">INDEX($A$9:A602, MAX(IF($D$9:D602=1, ROW(D$9:$D602)-ROW($D$9)+1, 0)))</f>
        <v>46924</v>
      </c>
      <c r="F603" s="23">
        <f t="shared" si="119"/>
        <v>2.2724161533196439</v>
      </c>
      <c r="G603" s="5">
        <f>INDEX('Default Prob'!$P$5:$P$14,MIN(1+_xlfn.IFNA(MATCH(F603,'Default Prob'!$F$5:$F$14,1),0),COUNT('Default Prob'!$P$5:$P$14)))</f>
        <v>2.1918982658777085E-2</v>
      </c>
      <c r="H603" s="5">
        <f t="shared" si="128"/>
        <v>0.95283894143249492</v>
      </c>
      <c r="I603" s="24">
        <f t="shared" si="129"/>
        <v>5.7182441938530282E-5</v>
      </c>
      <c r="J603" s="25">
        <f>INDEX('Default Prob'!$C$3:$C$13, _xlfn.IFNA(MATCH(F603, 'Default Prob'!$B$3:$B$13, 1), 1))</f>
        <v>1.8200000000000001E-2</v>
      </c>
      <c r="K603" s="26">
        <f t="shared" si="120"/>
        <v>0.95984245106669341</v>
      </c>
      <c r="L603" s="27">
        <f t="shared" ca="1" si="121"/>
        <v>0</v>
      </c>
      <c r="M603" s="27">
        <f t="shared" ca="1" si="122"/>
        <v>1119.6467350020009</v>
      </c>
      <c r="N603" s="28">
        <f t="shared" ca="1" si="123"/>
        <v>6.1453082105197142E-2</v>
      </c>
      <c r="O603" s="29">
        <f t="shared" ca="1" si="124"/>
        <v>600000</v>
      </c>
      <c r="P603" s="30">
        <f t="shared" ca="1" si="125"/>
        <v>32.931681136954673</v>
      </c>
    </row>
    <row r="604" spans="1:16" x14ac:dyDescent="0.25">
      <c r="A604" s="3">
        <f t="shared" si="126"/>
        <v>46958</v>
      </c>
      <c r="B604" s="21">
        <f t="shared" si="117"/>
        <v>36731</v>
      </c>
      <c r="C604" s="21">
        <f t="shared" si="118"/>
        <v>36789</v>
      </c>
      <c r="D604" s="1">
        <f t="shared" si="127"/>
        <v>0</v>
      </c>
      <c r="E604" s="3">
        <f t="array" ref="E604">INDEX($A$9:A603, MAX(IF($D$9:D603=1, ROW(D$9:$D603)-ROW($D$9)+1, 0)))</f>
        <v>46924</v>
      </c>
      <c r="F604" s="23">
        <f t="shared" si="119"/>
        <v>2.2806297056810405</v>
      </c>
      <c r="G604" s="5">
        <f>INDEX('Default Prob'!$P$5:$P$14,MIN(1+_xlfn.IFNA(MATCH(F604,'Default Prob'!$F$5:$F$14,1),0),COUNT('Default Prob'!$P$5:$P$14)))</f>
        <v>2.1918982658777085E-2</v>
      </c>
      <c r="H604" s="5">
        <f t="shared" si="128"/>
        <v>0.95266741469465777</v>
      </c>
      <c r="I604" s="24">
        <f t="shared" si="129"/>
        <v>1.7152673783715766E-4</v>
      </c>
      <c r="J604" s="25">
        <f>INDEX('Default Prob'!$C$3:$C$13, _xlfn.IFNA(MATCH(F604, 'Default Prob'!$B$3:$B$13, 1), 1))</f>
        <v>1.8200000000000001E-2</v>
      </c>
      <c r="K604" s="26">
        <f t="shared" si="120"/>
        <v>0.95970026803496467</v>
      </c>
      <c r="L604" s="27">
        <f t="shared" ca="1" si="121"/>
        <v>0</v>
      </c>
      <c r="M604" s="27">
        <f t="shared" ca="1" si="122"/>
        <v>1227.9996448409042</v>
      </c>
      <c r="N604" s="28">
        <f t="shared" ca="1" si="123"/>
        <v>0.20214624824449909</v>
      </c>
      <c r="O604" s="29">
        <f t="shared" ca="1" si="124"/>
        <v>600000</v>
      </c>
      <c r="P604" s="30">
        <f t="shared" ca="1" si="125"/>
        <v>98.768553766489987</v>
      </c>
    </row>
    <row r="605" spans="1:16" x14ac:dyDescent="0.25">
      <c r="A605" s="3">
        <f t="shared" si="126"/>
        <v>46959</v>
      </c>
      <c r="B605" s="21">
        <f t="shared" si="117"/>
        <v>36732</v>
      </c>
      <c r="C605" s="21">
        <f t="shared" si="118"/>
        <v>36789</v>
      </c>
      <c r="D605" s="1">
        <f t="shared" si="127"/>
        <v>0</v>
      </c>
      <c r="E605" s="3">
        <f t="array" ref="E605">INDEX($A$9:A604, MAX(IF($D$9:D604=1, ROW(D$9:$D604)-ROW($D$9)+1, 0)))</f>
        <v>46924</v>
      </c>
      <c r="F605" s="23">
        <f t="shared" si="119"/>
        <v>2.2833675564681726</v>
      </c>
      <c r="G605" s="5">
        <f>INDEX('Default Prob'!$P$5:$P$14,MIN(1+_xlfn.IFNA(MATCH(F605,'Default Prob'!$F$5:$F$14,1),0),COUNT('Default Prob'!$P$5:$P$14)))</f>
        <v>2.1918982658777085E-2</v>
      </c>
      <c r="H605" s="5">
        <f t="shared" si="128"/>
        <v>0.952610245977352</v>
      </c>
      <c r="I605" s="24">
        <f t="shared" si="129"/>
        <v>5.716871730576667E-5</v>
      </c>
      <c r="J605" s="25">
        <f>INDEX('Default Prob'!$C$3:$C$13, _xlfn.IFNA(MATCH(F605, 'Default Prob'!$B$3:$B$13, 1), 1))</f>
        <v>1.8200000000000001E-2</v>
      </c>
      <c r="K605" s="26">
        <f t="shared" si="120"/>
        <v>0.9596528783716104</v>
      </c>
      <c r="L605" s="27">
        <f t="shared" ca="1" si="121"/>
        <v>0</v>
      </c>
      <c r="M605" s="27">
        <f t="shared" ca="1" si="122"/>
        <v>1264.1172814538718</v>
      </c>
      <c r="N605" s="28">
        <f t="shared" ca="1" si="123"/>
        <v>6.9352159191407664E-2</v>
      </c>
      <c r="O605" s="29">
        <f t="shared" ca="1" si="124"/>
        <v>600000</v>
      </c>
      <c r="P605" s="30">
        <f t="shared" ca="1" si="125"/>
        <v>32.917274469175126</v>
      </c>
    </row>
    <row r="606" spans="1:16" x14ac:dyDescent="0.25">
      <c r="A606" s="3">
        <f t="shared" si="126"/>
        <v>46960</v>
      </c>
      <c r="B606" s="21">
        <f t="shared" si="117"/>
        <v>36733</v>
      </c>
      <c r="C606" s="21">
        <f t="shared" si="118"/>
        <v>36789</v>
      </c>
      <c r="D606" s="1">
        <f t="shared" si="127"/>
        <v>0</v>
      </c>
      <c r="E606" s="3">
        <f t="array" ref="E606">INDEX($A$9:A605, MAX(IF($D$9:D605=1, ROW(D$9:$D605)-ROW($D$9)+1, 0)))</f>
        <v>46924</v>
      </c>
      <c r="F606" s="23">
        <f t="shared" si="119"/>
        <v>2.2861054072553046</v>
      </c>
      <c r="G606" s="5">
        <f>INDEX('Default Prob'!$P$5:$P$14,MIN(1+_xlfn.IFNA(MATCH(F606,'Default Prob'!$F$5:$F$14,1),0),COUNT('Default Prob'!$P$5:$P$14)))</f>
        <v>2.1918982658777085E-2</v>
      </c>
      <c r="H606" s="5">
        <f t="shared" si="128"/>
        <v>0.95255308069068967</v>
      </c>
      <c r="I606" s="24">
        <f t="shared" si="129"/>
        <v>5.7165286662330672E-5</v>
      </c>
      <c r="J606" s="25">
        <f>INDEX('Default Prob'!$C$3:$C$13, _xlfn.IFNA(MATCH(F606, 'Default Prob'!$B$3:$B$13, 1), 1))</f>
        <v>1.8200000000000001E-2</v>
      </c>
      <c r="K606" s="26">
        <f t="shared" si="120"/>
        <v>0.95960549104834092</v>
      </c>
      <c r="L606" s="27">
        <f t="shared" ca="1" si="121"/>
        <v>0</v>
      </c>
      <c r="M606" s="27">
        <f t="shared" ca="1" si="122"/>
        <v>1300.2349180668396</v>
      </c>
      <c r="N606" s="28">
        <f t="shared" ca="1" si="123"/>
        <v>7.1325846566446929E-2</v>
      </c>
      <c r="O606" s="29">
        <f t="shared" ca="1" si="124"/>
        <v>600000</v>
      </c>
      <c r="P606" s="30">
        <f t="shared" ca="1" si="125"/>
        <v>32.913673787115002</v>
      </c>
    </row>
    <row r="607" spans="1:16" x14ac:dyDescent="0.25">
      <c r="A607" s="3">
        <f t="shared" si="126"/>
        <v>46961</v>
      </c>
      <c r="B607" s="21">
        <f t="shared" si="117"/>
        <v>36734</v>
      </c>
      <c r="C607" s="21">
        <f t="shared" si="118"/>
        <v>36789</v>
      </c>
      <c r="D607" s="1">
        <f t="shared" si="127"/>
        <v>0</v>
      </c>
      <c r="E607" s="3">
        <f t="array" ref="E607">INDEX($A$9:A606, MAX(IF($D$9:D606=1, ROW(D$9:$D606)-ROW($D$9)+1, 0)))</f>
        <v>46924</v>
      </c>
      <c r="F607" s="23">
        <f t="shared" si="119"/>
        <v>2.2888432580424367</v>
      </c>
      <c r="G607" s="5">
        <f>INDEX('Default Prob'!$P$5:$P$14,MIN(1+_xlfn.IFNA(MATCH(F607,'Default Prob'!$F$5:$F$14,1),0),COUNT('Default Prob'!$P$5:$P$14)))</f>
        <v>2.1918982658777085E-2</v>
      </c>
      <c r="H607" s="5">
        <f t="shared" si="128"/>
        <v>0.95249591883446494</v>
      </c>
      <c r="I607" s="24">
        <f t="shared" si="129"/>
        <v>5.7161856224730023E-5</v>
      </c>
      <c r="J607" s="25">
        <f>INDEX('Default Prob'!$C$3:$C$13, _xlfn.IFNA(MATCH(F607, 'Default Prob'!$B$3:$B$13, 1), 1))</f>
        <v>1.8200000000000001E-2</v>
      </c>
      <c r="K607" s="26">
        <f t="shared" si="120"/>
        <v>0.95955810606504099</v>
      </c>
      <c r="L607" s="27">
        <f t="shared" ca="1" si="121"/>
        <v>0</v>
      </c>
      <c r="M607" s="27">
        <f t="shared" ca="1" si="122"/>
        <v>1336.3525546798076</v>
      </c>
      <c r="N607" s="28">
        <f t="shared" ca="1" si="123"/>
        <v>7.3299101324922011E-2</v>
      </c>
      <c r="O607" s="29">
        <f t="shared" ca="1" si="124"/>
        <v>600000</v>
      </c>
      <c r="P607" s="30">
        <f t="shared" ca="1" si="125"/>
        <v>32.91007349889847</v>
      </c>
    </row>
    <row r="608" spans="1:16" x14ac:dyDescent="0.25">
      <c r="A608" s="3">
        <f t="shared" si="126"/>
        <v>46962</v>
      </c>
      <c r="B608" s="21">
        <f t="shared" si="117"/>
        <v>36735</v>
      </c>
      <c r="C608" s="21">
        <f t="shared" si="118"/>
        <v>36789</v>
      </c>
      <c r="D608" s="1">
        <f t="shared" si="127"/>
        <v>0</v>
      </c>
      <c r="E608" s="3">
        <f t="array" ref="E608">INDEX($A$9:A607, MAX(IF($D$9:D607=1, ROW(D$9:$D607)-ROW($D$9)+1, 0)))</f>
        <v>46924</v>
      </c>
      <c r="F608" s="23">
        <f t="shared" si="119"/>
        <v>2.2915811088295688</v>
      </c>
      <c r="G608" s="5">
        <f>INDEX('Default Prob'!$P$5:$P$14,MIN(1+_xlfn.IFNA(MATCH(F608,'Default Prob'!$F$5:$F$14,1),0),COUNT('Default Prob'!$P$5:$P$14)))</f>
        <v>2.1918982658777085E-2</v>
      </c>
      <c r="H608" s="5">
        <f t="shared" si="128"/>
        <v>0.95243876040847197</v>
      </c>
      <c r="I608" s="24">
        <f t="shared" si="129"/>
        <v>5.7158425992964723E-5</v>
      </c>
      <c r="J608" s="25">
        <f>INDEX('Default Prob'!$C$3:$C$13, _xlfn.IFNA(MATCH(F608, 'Default Prob'!$B$3:$B$13, 1), 1))</f>
        <v>1.8200000000000001E-2</v>
      </c>
      <c r="K608" s="26">
        <f t="shared" si="120"/>
        <v>0.95951072342159494</v>
      </c>
      <c r="L608" s="27">
        <f t="shared" ca="1" si="121"/>
        <v>0</v>
      </c>
      <c r="M608" s="27">
        <f t="shared" ca="1" si="122"/>
        <v>1372.4701912927751</v>
      </c>
      <c r="N608" s="28">
        <f t="shared" ca="1" si="123"/>
        <v>7.5271923537874083E-2</v>
      </c>
      <c r="O608" s="29">
        <f t="shared" ca="1" si="124"/>
        <v>600000</v>
      </c>
      <c r="P608" s="30">
        <f t="shared" ca="1" si="125"/>
        <v>32.90647360448957</v>
      </c>
    </row>
    <row r="609" spans="1:16" x14ac:dyDescent="0.25">
      <c r="A609" s="3">
        <f t="shared" si="126"/>
        <v>46965</v>
      </c>
      <c r="B609" s="21">
        <f t="shared" si="117"/>
        <v>36738</v>
      </c>
      <c r="C609" s="21">
        <f t="shared" si="118"/>
        <v>36789</v>
      </c>
      <c r="D609" s="1">
        <f t="shared" si="127"/>
        <v>0</v>
      </c>
      <c r="E609" s="3">
        <f t="array" ref="E609">INDEX($A$9:A608, MAX(IF($D$9:D608=1, ROW(D$9:$D608)-ROW($D$9)+1, 0)))</f>
        <v>46924</v>
      </c>
      <c r="F609" s="23">
        <f t="shared" si="119"/>
        <v>2.299794661190965</v>
      </c>
      <c r="G609" s="5">
        <f>INDEX('Default Prob'!$P$5:$P$14,MIN(1+_xlfn.IFNA(MATCH(F609,'Default Prob'!$F$5:$F$14,1),0),COUNT('Default Prob'!$P$5:$P$14)))</f>
        <v>2.1918982658777085E-2</v>
      </c>
      <c r="H609" s="5">
        <f t="shared" si="128"/>
        <v>0.95226730570982487</v>
      </c>
      <c r="I609" s="24">
        <f t="shared" si="129"/>
        <v>1.7145469864709995E-4</v>
      </c>
      <c r="J609" s="25">
        <f>INDEX('Default Prob'!$C$3:$C$13, _xlfn.IFNA(MATCH(F609, 'Default Prob'!$B$3:$B$13, 1), 1))</f>
        <v>1.8200000000000001E-2</v>
      </c>
      <c r="K609" s="26">
        <f t="shared" si="120"/>
        <v>0.95936858952922466</v>
      </c>
      <c r="L609" s="27">
        <f t="shared" ca="1" si="121"/>
        <v>0</v>
      </c>
      <c r="M609" s="27">
        <f t="shared" ca="1" si="122"/>
        <v>1480.8231011316784</v>
      </c>
      <c r="N609" s="28">
        <f t="shared" ca="1" si="123"/>
        <v>0.24357800403236113</v>
      </c>
      <c r="O609" s="29">
        <f t="shared" ca="1" si="124"/>
        <v>600000</v>
      </c>
      <c r="P609" s="30">
        <f t="shared" ca="1" si="125"/>
        <v>98.692951445535925</v>
      </c>
    </row>
    <row r="610" spans="1:16" x14ac:dyDescent="0.25">
      <c r="A610" s="3">
        <f t="shared" si="126"/>
        <v>46966</v>
      </c>
      <c r="B610" s="21">
        <f t="shared" si="117"/>
        <v>36739</v>
      </c>
      <c r="C610" s="21">
        <f t="shared" si="118"/>
        <v>36789</v>
      </c>
      <c r="D610" s="1">
        <f t="shared" si="127"/>
        <v>0</v>
      </c>
      <c r="E610" s="3">
        <f t="array" ref="E610">INDEX($A$9:A609, MAX(IF($D$9:D609=1, ROW(D$9:$D609)-ROW($D$9)+1, 0)))</f>
        <v>46924</v>
      </c>
      <c r="F610" s="23">
        <f t="shared" si="119"/>
        <v>2.3025325119780971</v>
      </c>
      <c r="G610" s="5">
        <f>INDEX('Default Prob'!$P$5:$P$14,MIN(1+_xlfn.IFNA(MATCH(F610,'Default Prob'!$F$5:$F$14,1),0),COUNT('Default Prob'!$P$5:$P$14)))</f>
        <v>2.1918982658777085E-2</v>
      </c>
      <c r="H610" s="5">
        <f t="shared" si="128"/>
        <v>0.95221016100270051</v>
      </c>
      <c r="I610" s="24">
        <f t="shared" si="129"/>
        <v>5.7144707124368033E-5</v>
      </c>
      <c r="J610" s="25">
        <f>INDEX('Default Prob'!$C$3:$C$13, _xlfn.IFNA(MATCH(F610, 'Default Prob'!$B$3:$B$13, 1), 1))</f>
        <v>1.8200000000000001E-2</v>
      </c>
      <c r="K610" s="26">
        <f t="shared" si="120"/>
        <v>0.95932121624403865</v>
      </c>
      <c r="L610" s="27">
        <f t="shared" ca="1" si="121"/>
        <v>0</v>
      </c>
      <c r="M610" s="27">
        <f t="shared" ca="1" si="122"/>
        <v>1516.9407377446464</v>
      </c>
      <c r="N610" s="28">
        <f t="shared" ca="1" si="123"/>
        <v>8.3158888355135921E-2</v>
      </c>
      <c r="O610" s="29">
        <f t="shared" ca="1" si="124"/>
        <v>600000</v>
      </c>
      <c r="P610" s="30">
        <f t="shared" ca="1" si="125"/>
        <v>32.892077964274876</v>
      </c>
    </row>
    <row r="611" spans="1:16" x14ac:dyDescent="0.25">
      <c r="A611" s="3">
        <f t="shared" si="126"/>
        <v>46967</v>
      </c>
      <c r="B611" s="21">
        <f t="shared" si="117"/>
        <v>36740</v>
      </c>
      <c r="C611" s="21">
        <f t="shared" si="118"/>
        <v>36789</v>
      </c>
      <c r="D611" s="1">
        <f t="shared" si="127"/>
        <v>0</v>
      </c>
      <c r="E611" s="3">
        <f t="array" ref="E611">INDEX($A$9:A610, MAX(IF($D$9:D610=1, ROW(D$9:$D610)-ROW($D$9)+1, 0)))</f>
        <v>46924</v>
      </c>
      <c r="F611" s="23">
        <f t="shared" si="119"/>
        <v>2.3052703627652291</v>
      </c>
      <c r="G611" s="5">
        <f>INDEX('Default Prob'!$P$5:$P$14,MIN(1+_xlfn.IFNA(MATCH(F611,'Default Prob'!$F$5:$F$14,1),0),COUNT('Default Prob'!$P$5:$P$14)))</f>
        <v>2.1918982658777085E-2</v>
      </c>
      <c r="H611" s="5">
        <f t="shared" si="128"/>
        <v>0.95215301972477873</v>
      </c>
      <c r="I611" s="24">
        <f t="shared" si="129"/>
        <v>5.7141277921779476E-5</v>
      </c>
      <c r="J611" s="25">
        <f>INDEX('Default Prob'!$C$3:$C$13, _xlfn.IFNA(MATCH(F611, 'Default Prob'!$B$3:$B$13, 1), 1))</f>
        <v>1.8200000000000001E-2</v>
      </c>
      <c r="K611" s="26">
        <f t="shared" si="120"/>
        <v>0.9592738452981292</v>
      </c>
      <c r="L611" s="27">
        <f t="shared" ca="1" si="121"/>
        <v>0</v>
      </c>
      <c r="M611" s="27">
        <f t="shared" ca="1" si="122"/>
        <v>1553.0583743576142</v>
      </c>
      <c r="N611" s="28">
        <f t="shared" ca="1" si="123"/>
        <v>8.5129548905792524E-2</v>
      </c>
      <c r="O611" s="29">
        <f t="shared" ca="1" si="124"/>
        <v>600000</v>
      </c>
      <c r="P611" s="30">
        <f t="shared" ca="1" si="125"/>
        <v>32.888480038364698</v>
      </c>
    </row>
    <row r="612" spans="1:16" x14ac:dyDescent="0.25">
      <c r="A612" s="3">
        <f t="shared" si="126"/>
        <v>46968</v>
      </c>
      <c r="B612" s="21">
        <f t="shared" si="117"/>
        <v>36741</v>
      </c>
      <c r="C612" s="21">
        <f t="shared" si="118"/>
        <v>36789</v>
      </c>
      <c r="D612" s="1">
        <f t="shared" si="127"/>
        <v>0</v>
      </c>
      <c r="E612" s="3">
        <f t="array" ref="E612">INDEX($A$9:A611, MAX(IF($D$9:D611=1, ROW(D$9:$D611)-ROW($D$9)+1, 0)))</f>
        <v>46924</v>
      </c>
      <c r="F612" s="23">
        <f t="shared" si="119"/>
        <v>2.3080082135523612</v>
      </c>
      <c r="G612" s="5">
        <f>INDEX('Default Prob'!$P$5:$P$14,MIN(1+_xlfn.IFNA(MATCH(F612,'Default Prob'!$F$5:$F$14,1),0),COUNT('Default Prob'!$P$5:$P$14)))</f>
        <v>2.1918982658777085E-2</v>
      </c>
      <c r="H612" s="5">
        <f t="shared" si="128"/>
        <v>0.95209588187585381</v>
      </c>
      <c r="I612" s="24">
        <f t="shared" si="129"/>
        <v>5.7137848924915247E-5</v>
      </c>
      <c r="J612" s="25">
        <f>INDEX('Default Prob'!$C$3:$C$13, _xlfn.IFNA(MATCH(F612, 'Default Prob'!$B$3:$B$13, 1), 1))</f>
        <v>1.8200000000000001E-2</v>
      </c>
      <c r="K612" s="26">
        <f t="shared" si="120"/>
        <v>0.95922647669138017</v>
      </c>
      <c r="L612" s="27">
        <f t="shared" ca="1" si="121"/>
        <v>0</v>
      </c>
      <c r="M612" s="27">
        <f t="shared" ca="1" si="122"/>
        <v>1589.1760109705817</v>
      </c>
      <c r="N612" s="28">
        <f t="shared" ca="1" si="123"/>
        <v>8.7099777336822531E-2</v>
      </c>
      <c r="O612" s="29">
        <f t="shared" ca="1" si="124"/>
        <v>600000</v>
      </c>
      <c r="P612" s="30">
        <f t="shared" ca="1" si="125"/>
        <v>32.884882505982489</v>
      </c>
    </row>
    <row r="613" spans="1:16" x14ac:dyDescent="0.25">
      <c r="A613" s="3">
        <f t="shared" si="126"/>
        <v>46969</v>
      </c>
      <c r="B613" s="21">
        <f t="shared" si="117"/>
        <v>36742</v>
      </c>
      <c r="C613" s="21">
        <f t="shared" si="118"/>
        <v>36789</v>
      </c>
      <c r="D613" s="1">
        <f t="shared" si="127"/>
        <v>0</v>
      </c>
      <c r="E613" s="3">
        <f t="array" ref="E613">INDEX($A$9:A612, MAX(IF($D$9:D612=1, ROW(D$9:$D612)-ROW($D$9)+1, 0)))</f>
        <v>46924</v>
      </c>
      <c r="F613" s="23">
        <f t="shared" si="119"/>
        <v>2.3107460643394937</v>
      </c>
      <c r="G613" s="5">
        <f>INDEX('Default Prob'!$P$5:$P$14,MIN(1+_xlfn.IFNA(MATCH(F613,'Default Prob'!$F$5:$F$14,1),0),COUNT('Default Prob'!$P$5:$P$14)))</f>
        <v>2.1918982658777085E-2</v>
      </c>
      <c r="H613" s="5">
        <f t="shared" si="128"/>
        <v>0.95203874745572004</v>
      </c>
      <c r="I613" s="24">
        <f t="shared" si="129"/>
        <v>5.7134420133775343E-5</v>
      </c>
      <c r="J613" s="25">
        <f>INDEX('Default Prob'!$C$3:$C$13, _xlfn.IFNA(MATCH(F613, 'Default Prob'!$B$3:$B$13, 1), 1))</f>
        <v>1.8200000000000001E-2</v>
      </c>
      <c r="K613" s="26">
        <f t="shared" si="120"/>
        <v>0.95917911042367643</v>
      </c>
      <c r="L613" s="27">
        <f t="shared" ca="1" si="121"/>
        <v>0</v>
      </c>
      <c r="M613" s="27">
        <f t="shared" ca="1" si="122"/>
        <v>1625.2936475835495</v>
      </c>
      <c r="N613" s="28">
        <f t="shared" ca="1" si="123"/>
        <v>8.9069573719195161E-2</v>
      </c>
      <c r="O613" s="29">
        <f t="shared" ca="1" si="124"/>
        <v>600000</v>
      </c>
      <c r="P613" s="30">
        <f t="shared" ca="1" si="125"/>
        <v>32.881285367092332</v>
      </c>
    </row>
    <row r="614" spans="1:16" x14ac:dyDescent="0.25">
      <c r="A614" s="3">
        <f t="shared" si="126"/>
        <v>46972</v>
      </c>
      <c r="B614" s="21">
        <f t="shared" si="117"/>
        <v>36745</v>
      </c>
      <c r="C614" s="21">
        <f t="shared" si="118"/>
        <v>36789</v>
      </c>
      <c r="D614" s="1">
        <f t="shared" si="127"/>
        <v>0</v>
      </c>
      <c r="E614" s="3">
        <f t="array" ref="E614">INDEX($A$9:A613, MAX(IF($D$9:D613=1, ROW(D$9:$D613)-ROW($D$9)+1, 0)))</f>
        <v>46924</v>
      </c>
      <c r="F614" s="23">
        <f t="shared" si="119"/>
        <v>2.3189596167008899</v>
      </c>
      <c r="G614" s="5">
        <f>INDEX('Default Prob'!$P$5:$P$14,MIN(1+_xlfn.IFNA(MATCH(F614,'Default Prob'!$F$5:$F$14,1),0),COUNT('Default Prob'!$P$5:$P$14)))</f>
        <v>2.1918982658777085E-2</v>
      </c>
      <c r="H614" s="5">
        <f t="shared" si="128"/>
        <v>0.95186736476600742</v>
      </c>
      <c r="I614" s="24">
        <f t="shared" si="129"/>
        <v>1.7138268971261805E-4</v>
      </c>
      <c r="J614" s="25">
        <f>INDEX('Default Prob'!$C$3:$C$13, _xlfn.IFNA(MATCH(F614, 'Default Prob'!$B$3:$B$13, 1), 1))</f>
        <v>1.8200000000000001E-2</v>
      </c>
      <c r="K614" s="26">
        <f t="shared" si="120"/>
        <v>0.95903702565368187</v>
      </c>
      <c r="L614" s="27">
        <f t="shared" ca="1" si="121"/>
        <v>0</v>
      </c>
      <c r="M614" s="27">
        <f t="shared" ca="1" si="122"/>
        <v>1733.646557422453</v>
      </c>
      <c r="N614" s="28">
        <f t="shared" ca="1" si="123"/>
        <v>0.28494621356269151</v>
      </c>
      <c r="O614" s="29">
        <f t="shared" ca="1" si="124"/>
        <v>600000</v>
      </c>
      <c r="P614" s="30">
        <f t="shared" ca="1" si="125"/>
        <v>98.617406994310244</v>
      </c>
    </row>
    <row r="615" spans="1:16" x14ac:dyDescent="0.25">
      <c r="A615" s="3">
        <f t="shared" si="126"/>
        <v>46973</v>
      </c>
      <c r="B615" s="21">
        <f t="shared" si="117"/>
        <v>36746</v>
      </c>
      <c r="C615" s="21">
        <f t="shared" si="118"/>
        <v>36789</v>
      </c>
      <c r="D615" s="1">
        <f t="shared" si="127"/>
        <v>0</v>
      </c>
      <c r="E615" s="3">
        <f t="array" ref="E615">INDEX($A$9:A614, MAX(IF($D$9:D614=1, ROW(D$9:$D614)-ROW($D$9)+1, 0)))</f>
        <v>46924</v>
      </c>
      <c r="F615" s="23">
        <f t="shared" si="119"/>
        <v>2.321697467488022</v>
      </c>
      <c r="G615" s="5">
        <f>INDEX('Default Prob'!$P$5:$P$14,MIN(1+_xlfn.IFNA(MATCH(F615,'Default Prob'!$F$5:$F$14,1),0),COUNT('Default Prob'!$P$5:$P$14)))</f>
        <v>2.1918982658777085E-2</v>
      </c>
      <c r="H615" s="5">
        <f t="shared" si="128"/>
        <v>0.9518102440589804</v>
      </c>
      <c r="I615" s="24">
        <f t="shared" si="129"/>
        <v>5.7120707027014106E-5</v>
      </c>
      <c r="J615" s="25">
        <f>INDEX('Default Prob'!$C$3:$C$13, _xlfn.IFNA(MATCH(F615, 'Default Prob'!$B$3:$B$13, 1), 1))</f>
        <v>1.8200000000000001E-2</v>
      </c>
      <c r="K615" s="26">
        <f t="shared" si="120"/>
        <v>0.95898966874100422</v>
      </c>
      <c r="L615" s="27">
        <f t="shared" ca="1" si="121"/>
        <v>0</v>
      </c>
      <c r="M615" s="27">
        <f t="shared" ca="1" si="122"/>
        <v>1769.7641940354208</v>
      </c>
      <c r="N615" s="28">
        <f t="shared" ca="1" si="123"/>
        <v>9.6944440182134203E-2</v>
      </c>
      <c r="O615" s="29">
        <f t="shared" ca="1" si="124"/>
        <v>600000</v>
      </c>
      <c r="P615" s="30">
        <f t="shared" ca="1" si="125"/>
        <v>32.866900746052927</v>
      </c>
    </row>
    <row r="616" spans="1:16" x14ac:dyDescent="0.25">
      <c r="A616" s="3">
        <f t="shared" si="126"/>
        <v>46974</v>
      </c>
      <c r="B616" s="21">
        <f t="shared" si="117"/>
        <v>36747</v>
      </c>
      <c r="C616" s="21">
        <f t="shared" si="118"/>
        <v>36789</v>
      </c>
      <c r="D616" s="1">
        <f t="shared" si="127"/>
        <v>0</v>
      </c>
      <c r="E616" s="3">
        <f t="array" ref="E616">INDEX($A$9:A615, MAX(IF($D$9:D615=1, ROW(D$9:$D615)-ROW($D$9)+1, 0)))</f>
        <v>46924</v>
      </c>
      <c r="F616" s="23">
        <f t="shared" si="119"/>
        <v>2.324435318275154</v>
      </c>
      <c r="G616" s="5">
        <f>INDEX('Default Prob'!$P$5:$P$14,MIN(1+_xlfn.IFNA(MATCH(F616,'Default Prob'!$F$5:$F$14,1),0),COUNT('Default Prob'!$P$5:$P$14)))</f>
        <v>2.1918982658777085E-2</v>
      </c>
      <c r="H616" s="5">
        <f t="shared" si="128"/>
        <v>0.9517531267797158</v>
      </c>
      <c r="I616" s="24">
        <f t="shared" si="129"/>
        <v>5.7117279264606857E-5</v>
      </c>
      <c r="J616" s="25">
        <f>INDEX('Default Prob'!$C$3:$C$13, _xlfn.IFNA(MATCH(F616, 'Default Prob'!$B$3:$B$13, 1), 1))</f>
        <v>1.8200000000000001E-2</v>
      </c>
      <c r="K616" s="26">
        <f t="shared" si="120"/>
        <v>0.95894231416679432</v>
      </c>
      <c r="L616" s="27">
        <f t="shared" ca="1" si="121"/>
        <v>0</v>
      </c>
      <c r="M616" s="27">
        <f t="shared" ca="1" si="122"/>
        <v>1805.8818306483884</v>
      </c>
      <c r="N616" s="28">
        <f t="shared" ca="1" si="123"/>
        <v>9.8912077385665972E-2</v>
      </c>
      <c r="O616" s="29">
        <f t="shared" ca="1" si="124"/>
        <v>600000</v>
      </c>
      <c r="P616" s="30">
        <f t="shared" ca="1" si="125"/>
        <v>32.863305574147894</v>
      </c>
    </row>
    <row r="617" spans="1:16" x14ac:dyDescent="0.25">
      <c r="A617" s="3">
        <f t="shared" si="126"/>
        <v>46975</v>
      </c>
      <c r="B617" s="21">
        <f t="shared" si="117"/>
        <v>36748</v>
      </c>
      <c r="C617" s="21">
        <f t="shared" si="118"/>
        <v>36789</v>
      </c>
      <c r="D617" s="1">
        <f t="shared" si="127"/>
        <v>0</v>
      </c>
      <c r="E617" s="3">
        <f t="array" ref="E617">INDEX($A$9:A616, MAX(IF($D$9:D616=1, ROW(D$9:$D616)-ROW($D$9)+1, 0)))</f>
        <v>46924</v>
      </c>
      <c r="F617" s="23">
        <f t="shared" si="119"/>
        <v>2.3271731690622861</v>
      </c>
      <c r="G617" s="5">
        <f>INDEX('Default Prob'!$P$5:$P$14,MIN(1+_xlfn.IFNA(MATCH(F617,'Default Prob'!$F$5:$F$14,1),0),COUNT('Default Prob'!$P$5:$P$14)))</f>
        <v>2.1918982658777085E-2</v>
      </c>
      <c r="H617" s="5">
        <f t="shared" si="128"/>
        <v>0.95169601292800798</v>
      </c>
      <c r="I617" s="24">
        <f t="shared" si="129"/>
        <v>5.7113851707812913E-5</v>
      </c>
      <c r="J617" s="25">
        <f>INDEX('Default Prob'!$C$3:$C$13, _xlfn.IFNA(MATCH(F617, 'Default Prob'!$B$3:$B$13, 1), 1))</f>
        <v>1.8200000000000001E-2</v>
      </c>
      <c r="K617" s="26">
        <f t="shared" si="120"/>
        <v>0.95889496193093637</v>
      </c>
      <c r="L617" s="27">
        <f t="shared" ca="1" si="121"/>
        <v>0</v>
      </c>
      <c r="M617" s="27">
        <f t="shared" ca="1" si="122"/>
        <v>1841.9994672613561</v>
      </c>
      <c r="N617" s="28">
        <f t="shared" ca="1" si="123"/>
        <v>0.10087928296598526</v>
      </c>
      <c r="O617" s="29">
        <f t="shared" ca="1" si="124"/>
        <v>600000</v>
      </c>
      <c r="P617" s="30">
        <f t="shared" ca="1" si="125"/>
        <v>32.859710795455442</v>
      </c>
    </row>
    <row r="618" spans="1:16" x14ac:dyDescent="0.25">
      <c r="A618" s="3">
        <f t="shared" si="126"/>
        <v>46976</v>
      </c>
      <c r="B618" s="21">
        <f t="shared" si="117"/>
        <v>36749</v>
      </c>
      <c r="C618" s="21">
        <f t="shared" si="118"/>
        <v>36789</v>
      </c>
      <c r="D618" s="1">
        <f t="shared" si="127"/>
        <v>0</v>
      </c>
      <c r="E618" s="3">
        <f t="array" ref="E618">INDEX($A$9:A617, MAX(IF($D$9:D617=1, ROW(D$9:$D617)-ROW($D$9)+1, 0)))</f>
        <v>46924</v>
      </c>
      <c r="F618" s="23">
        <f t="shared" si="119"/>
        <v>2.3299110198494182</v>
      </c>
      <c r="G618" s="5">
        <f>INDEX('Default Prob'!$P$5:$P$14,MIN(1+_xlfn.IFNA(MATCH(F618,'Default Prob'!$F$5:$F$14,1),0),COUNT('Default Prob'!$P$5:$P$14)))</f>
        <v>2.1918982658777085E-2</v>
      </c>
      <c r="H618" s="5">
        <f t="shared" si="128"/>
        <v>0.95163890250365113</v>
      </c>
      <c r="I618" s="24">
        <f t="shared" si="129"/>
        <v>5.7110424356854317E-5</v>
      </c>
      <c r="J618" s="25">
        <f>INDEX('Default Prob'!$C$3:$C$13, _xlfn.IFNA(MATCH(F618, 'Default Prob'!$B$3:$B$13, 1), 1))</f>
        <v>1.8200000000000001E-2</v>
      </c>
      <c r="K618" s="26">
        <f t="shared" si="120"/>
        <v>0.9588476120333157</v>
      </c>
      <c r="L618" s="27">
        <f t="shared" ca="1" si="121"/>
        <v>0</v>
      </c>
      <c r="M618" s="27">
        <f t="shared" ca="1" si="122"/>
        <v>1878.1171038743239</v>
      </c>
      <c r="N618" s="28">
        <f t="shared" ca="1" si="123"/>
        <v>0.10284605699438919</v>
      </c>
      <c r="O618" s="29">
        <f t="shared" ca="1" si="124"/>
        <v>600000</v>
      </c>
      <c r="P618" s="30">
        <f t="shared" ca="1" si="125"/>
        <v>32.856116410067443</v>
      </c>
    </row>
    <row r="619" spans="1:16" x14ac:dyDescent="0.25">
      <c r="A619" s="3">
        <f t="shared" si="126"/>
        <v>46979</v>
      </c>
      <c r="B619" s="21">
        <f t="shared" si="117"/>
        <v>36752</v>
      </c>
      <c r="C619" s="21">
        <f t="shared" si="118"/>
        <v>36789</v>
      </c>
      <c r="D619" s="1">
        <f t="shared" si="127"/>
        <v>0</v>
      </c>
      <c r="E619" s="3">
        <f t="array" ref="E619">INDEX($A$9:A618, MAX(IF($D$9:D618=1, ROW(D$9:$D618)-ROW($D$9)+1, 0)))</f>
        <v>46924</v>
      </c>
      <c r="F619" s="23">
        <f t="shared" si="119"/>
        <v>2.3381245722108144</v>
      </c>
      <c r="G619" s="5">
        <f>INDEX('Default Prob'!$P$5:$P$14,MIN(1+_xlfn.IFNA(MATCH(F619,'Default Prob'!$F$5:$F$14,1),0),COUNT('Default Prob'!$P$5:$P$14)))</f>
        <v>2.1918982658777085E-2</v>
      </c>
      <c r="H619" s="5">
        <f t="shared" si="128"/>
        <v>0.95146759179263007</v>
      </c>
      <c r="I619" s="24">
        <f t="shared" si="129"/>
        <v>1.7131071102105544E-4</v>
      </c>
      <c r="J619" s="25">
        <f>INDEX('Default Prob'!$C$3:$C$13, _xlfn.IFNA(MATCH(F619, 'Default Prob'!$B$3:$B$13, 1), 1))</f>
        <v>1.8200000000000001E-2</v>
      </c>
      <c r="K619" s="26">
        <f t="shared" si="120"/>
        <v>0.95870557636871956</v>
      </c>
      <c r="L619" s="27">
        <f t="shared" ca="1" si="121"/>
        <v>0</v>
      </c>
      <c r="M619" s="27">
        <f t="shared" ca="1" si="122"/>
        <v>1986.4700137132272</v>
      </c>
      <c r="N619" s="28">
        <f t="shared" ca="1" si="123"/>
        <v>0.32625094984305442</v>
      </c>
      <c r="O619" s="29">
        <f t="shared" ca="1" si="124"/>
        <v>600000</v>
      </c>
      <c r="P619" s="30">
        <f t="shared" ca="1" si="125"/>
        <v>98.541920368545661</v>
      </c>
    </row>
    <row r="620" spans="1:16" x14ac:dyDescent="0.25">
      <c r="A620" s="3">
        <f t="shared" si="126"/>
        <v>46980</v>
      </c>
      <c r="B620" s="21">
        <f t="shared" si="117"/>
        <v>36753</v>
      </c>
      <c r="C620" s="21">
        <f t="shared" si="118"/>
        <v>36789</v>
      </c>
      <c r="D620" s="1">
        <f t="shared" si="127"/>
        <v>0</v>
      </c>
      <c r="E620" s="3">
        <f t="array" ref="E620">INDEX($A$9:A619, MAX(IF($D$9:D619=1, ROW(D$9:$D619)-ROW($D$9)+1, 0)))</f>
        <v>46924</v>
      </c>
      <c r="F620" s="23">
        <f t="shared" si="119"/>
        <v>2.3408624229979464</v>
      </c>
      <c r="G620" s="5">
        <f>INDEX('Default Prob'!$P$5:$P$14,MIN(1+_xlfn.IFNA(MATCH(F620,'Default Prob'!$F$5:$F$14,1),0),COUNT('Default Prob'!$P$5:$P$14)))</f>
        <v>2.1918982658777085E-2</v>
      </c>
      <c r="H620" s="5">
        <f t="shared" si="128"/>
        <v>0.95141049507562081</v>
      </c>
      <c r="I620" s="24">
        <f t="shared" si="129"/>
        <v>5.7096717009263998E-5</v>
      </c>
      <c r="J620" s="25">
        <f>INDEX('Default Prob'!$C$3:$C$13, _xlfn.IFNA(MATCH(F620, 'Default Prob'!$B$3:$B$13, 1), 1))</f>
        <v>1.8200000000000001E-2</v>
      </c>
      <c r="K620" s="26">
        <f t="shared" si="120"/>
        <v>0.95865823582289167</v>
      </c>
      <c r="L620" s="27">
        <f t="shared" ca="1" si="121"/>
        <v>0</v>
      </c>
      <c r="M620" s="27">
        <f t="shared" ca="1" si="122"/>
        <v>2022.587650326195</v>
      </c>
      <c r="N620" s="28">
        <f t="shared" ca="1" si="123"/>
        <v>0.1107088390028612</v>
      </c>
      <c r="O620" s="29">
        <f t="shared" ca="1" si="124"/>
        <v>600000</v>
      </c>
      <c r="P620" s="30">
        <f t="shared" ca="1" si="125"/>
        <v>32.841742799627951</v>
      </c>
    </row>
    <row r="621" spans="1:16" x14ac:dyDescent="0.25">
      <c r="A621" s="3">
        <f t="shared" si="126"/>
        <v>46981</v>
      </c>
      <c r="B621" s="21">
        <f t="shared" si="117"/>
        <v>36754</v>
      </c>
      <c r="C621" s="21">
        <f t="shared" si="118"/>
        <v>36789</v>
      </c>
      <c r="D621" s="1">
        <f t="shared" si="127"/>
        <v>0</v>
      </c>
      <c r="E621" s="3">
        <f t="array" ref="E621">INDEX($A$9:A620, MAX(IF($D$9:D620=1, ROW(D$9:$D620)-ROW($D$9)+1, 0)))</f>
        <v>46924</v>
      </c>
      <c r="F621" s="23">
        <f t="shared" si="119"/>
        <v>2.3436002737850785</v>
      </c>
      <c r="G621" s="5">
        <f>INDEX('Default Prob'!$P$5:$P$14,MIN(1+_xlfn.IFNA(MATCH(F621,'Default Prob'!$F$5:$F$14,1),0),COUNT('Default Prob'!$P$5:$P$14)))</f>
        <v>2.1918982658777085E-2</v>
      </c>
      <c r="H621" s="5">
        <f t="shared" si="128"/>
        <v>0.95135340178493433</v>
      </c>
      <c r="I621" s="24">
        <f t="shared" si="129"/>
        <v>5.7093290686482945E-5</v>
      </c>
      <c r="J621" s="25">
        <f>INDEX('Default Prob'!$C$3:$C$13, _xlfn.IFNA(MATCH(F621, 'Default Prob'!$B$3:$B$13, 1), 1))</f>
        <v>1.8200000000000001E-2</v>
      </c>
      <c r="K621" s="26">
        <f t="shared" si="120"/>
        <v>0.95861089761472318</v>
      </c>
      <c r="L621" s="27">
        <f t="shared" ca="1" si="121"/>
        <v>0</v>
      </c>
      <c r="M621" s="27">
        <f t="shared" ca="1" si="122"/>
        <v>2058.7052869391628</v>
      </c>
      <c r="N621" s="28">
        <f t="shared" ca="1" si="123"/>
        <v>0.11267345633314321</v>
      </c>
      <c r="O621" s="29">
        <f t="shared" ca="1" si="124"/>
        <v>600000</v>
      </c>
      <c r="P621" s="30">
        <f t="shared" ca="1" si="125"/>
        <v>32.838150379648638</v>
      </c>
    </row>
    <row r="622" spans="1:16" x14ac:dyDescent="0.25">
      <c r="A622" s="3">
        <f t="shared" si="126"/>
        <v>46982</v>
      </c>
      <c r="B622" s="21">
        <f t="shared" si="117"/>
        <v>36755</v>
      </c>
      <c r="C622" s="21">
        <f t="shared" si="118"/>
        <v>36789</v>
      </c>
      <c r="D622" s="1">
        <f t="shared" si="127"/>
        <v>0</v>
      </c>
      <c r="E622" s="3">
        <f t="array" ref="E622">INDEX($A$9:A621, MAX(IF($D$9:D621=1, ROW(D$9:$D621)-ROW($D$9)+1, 0)))</f>
        <v>46924</v>
      </c>
      <c r="F622" s="23">
        <f t="shared" si="119"/>
        <v>2.346338124572211</v>
      </c>
      <c r="G622" s="5">
        <f>INDEX('Default Prob'!$P$5:$P$14,MIN(1+_xlfn.IFNA(MATCH(F622,'Default Prob'!$F$5:$F$14,1),0),COUNT('Default Prob'!$P$5:$P$14)))</f>
        <v>2.1918982658777085E-2</v>
      </c>
      <c r="H622" s="5">
        <f t="shared" si="128"/>
        <v>0.95129631192036501</v>
      </c>
      <c r="I622" s="24">
        <f t="shared" si="129"/>
        <v>5.7089864569315196E-5</v>
      </c>
      <c r="J622" s="25">
        <f>INDEX('Default Prob'!$C$3:$C$13, _xlfn.IFNA(MATCH(F622, 'Default Prob'!$B$3:$B$13, 1), 1))</f>
        <v>1.8200000000000001E-2</v>
      </c>
      <c r="K622" s="26">
        <f t="shared" si="120"/>
        <v>0.95856356174409874</v>
      </c>
      <c r="L622" s="27">
        <f t="shared" ca="1" si="121"/>
        <v>0</v>
      </c>
      <c r="M622" s="27">
        <f t="shared" ca="1" si="122"/>
        <v>2094.8229235521303</v>
      </c>
      <c r="N622" s="28">
        <f t="shared" ca="1" si="123"/>
        <v>0.11463764253633442</v>
      </c>
      <c r="O622" s="29">
        <f t="shared" ca="1" si="124"/>
        <v>600000</v>
      </c>
      <c r="P622" s="30">
        <f t="shared" ca="1" si="125"/>
        <v>32.834558352630602</v>
      </c>
    </row>
    <row r="623" spans="1:16" x14ac:dyDescent="0.25">
      <c r="A623" s="3">
        <f t="shared" si="126"/>
        <v>46983</v>
      </c>
      <c r="B623" s="21">
        <f t="shared" si="117"/>
        <v>36756</v>
      </c>
      <c r="C623" s="21">
        <f t="shared" si="118"/>
        <v>36789</v>
      </c>
      <c r="D623" s="1">
        <f t="shared" si="127"/>
        <v>0</v>
      </c>
      <c r="E623" s="3">
        <f t="array" ref="E623">INDEX($A$9:A622, MAX(IF($D$9:D622=1, ROW(D$9:$D622)-ROW($D$9)+1, 0)))</f>
        <v>46924</v>
      </c>
      <c r="F623" s="23">
        <f t="shared" si="119"/>
        <v>2.3490759753593431</v>
      </c>
      <c r="G623" s="5">
        <f>INDEX('Default Prob'!$P$5:$P$14,MIN(1+_xlfn.IFNA(MATCH(F623,'Default Prob'!$F$5:$F$14,1),0),COUNT('Default Prob'!$P$5:$P$14)))</f>
        <v>2.1918982658777085E-2</v>
      </c>
      <c r="H623" s="5">
        <f t="shared" si="128"/>
        <v>0.95123922548170725</v>
      </c>
      <c r="I623" s="24">
        <f t="shared" si="129"/>
        <v>5.7086438657760752E-5</v>
      </c>
      <c r="J623" s="25">
        <f>INDEX('Default Prob'!$C$3:$C$13, _xlfn.IFNA(MATCH(F623, 'Default Prob'!$B$3:$B$13, 1), 1))</f>
        <v>1.8200000000000001E-2</v>
      </c>
      <c r="K623" s="26">
        <f t="shared" si="120"/>
        <v>0.95851622821090332</v>
      </c>
      <c r="L623" s="27">
        <f t="shared" ca="1" si="121"/>
        <v>0</v>
      </c>
      <c r="M623" s="27">
        <f t="shared" ca="1" si="122"/>
        <v>2130.9405601650983</v>
      </c>
      <c r="N623" s="28">
        <f t="shared" ca="1" si="123"/>
        <v>0.11660139768327164</v>
      </c>
      <c r="O623" s="29">
        <f t="shared" ca="1" si="124"/>
        <v>600000</v>
      </c>
      <c r="P623" s="30">
        <f t="shared" ca="1" si="125"/>
        <v>32.830966718537965</v>
      </c>
    </row>
    <row r="624" spans="1:16" x14ac:dyDescent="0.25">
      <c r="A624" s="3">
        <f t="shared" si="126"/>
        <v>46986</v>
      </c>
      <c r="B624" s="21">
        <f t="shared" si="117"/>
        <v>36759</v>
      </c>
      <c r="C624" s="21">
        <f t="shared" si="118"/>
        <v>36789</v>
      </c>
      <c r="D624" s="1">
        <f t="shared" si="127"/>
        <v>0</v>
      </c>
      <c r="E624" s="3">
        <f t="array" ref="E624">INDEX($A$9:A623, MAX(IF($D$9:D623=1, ROW(D$9:$D623)-ROW($D$9)+1, 0)))</f>
        <v>46924</v>
      </c>
      <c r="F624" s="23">
        <f t="shared" si="119"/>
        <v>2.3572895277207393</v>
      </c>
      <c r="G624" s="5">
        <f>INDEX('Default Prob'!$P$5:$P$14,MIN(1+_xlfn.IFNA(MATCH(F624,'Default Prob'!$F$5:$F$14,1),0),COUNT('Default Prob'!$P$5:$P$14)))</f>
        <v>2.1918982658777085E-2</v>
      </c>
      <c r="H624" s="5">
        <f t="shared" si="128"/>
        <v>0.95106798671914761</v>
      </c>
      <c r="I624" s="24">
        <f t="shared" si="129"/>
        <v>1.7123876255964454E-4</v>
      </c>
      <c r="J624" s="25">
        <f>INDEX('Default Prob'!$C$3:$C$13, _xlfn.IFNA(MATCH(F624, 'Default Prob'!$B$3:$B$13, 1), 1))</f>
        <v>1.8200000000000001E-2</v>
      </c>
      <c r="K624" s="26">
        <f t="shared" si="120"/>
        <v>0.95837424163473472</v>
      </c>
      <c r="L624" s="27">
        <f t="shared" ca="1" si="121"/>
        <v>0</v>
      </c>
      <c r="M624" s="27">
        <f t="shared" ca="1" si="122"/>
        <v>2239.2934700040018</v>
      </c>
      <c r="N624" s="28">
        <f t="shared" ca="1" si="123"/>
        <v>0.36749228580627896</v>
      </c>
      <c r="O624" s="29">
        <f t="shared" ca="1" si="124"/>
        <v>600000</v>
      </c>
      <c r="P624" s="30">
        <f t="shared" ca="1" si="125"/>
        <v>98.466491523941841</v>
      </c>
    </row>
    <row r="625" spans="1:16" x14ac:dyDescent="0.25">
      <c r="A625" s="3">
        <f t="shared" si="126"/>
        <v>46987</v>
      </c>
      <c r="B625" s="21">
        <f t="shared" si="117"/>
        <v>36760</v>
      </c>
      <c r="C625" s="21">
        <f t="shared" si="118"/>
        <v>36789</v>
      </c>
      <c r="D625" s="1">
        <f t="shared" si="127"/>
        <v>0</v>
      </c>
      <c r="E625" s="3">
        <f t="array" ref="E625">INDEX($A$9:A624, MAX(IF($D$9:D624=1, ROW(D$9:$D624)-ROW($D$9)+1, 0)))</f>
        <v>46924</v>
      </c>
      <c r="F625" s="23">
        <f t="shared" si="119"/>
        <v>2.3600273785078714</v>
      </c>
      <c r="G625" s="5">
        <f>INDEX('Default Prob'!$P$5:$P$14,MIN(1+_xlfn.IFNA(MATCH(F625,'Default Prob'!$F$5:$F$14,1),0),COUNT('Default Prob'!$P$5:$P$14)))</f>
        <v>2.1918982658777085E-2</v>
      </c>
      <c r="H625" s="5">
        <f t="shared" si="128"/>
        <v>0.95101091398208049</v>
      </c>
      <c r="I625" s="24">
        <f t="shared" si="129"/>
        <v>5.7072737067120904E-5</v>
      </c>
      <c r="J625" s="25">
        <f>INDEX('Default Prob'!$C$3:$C$13, _xlfn.IFNA(MATCH(F625, 'Default Prob'!$B$3:$B$13, 1), 1))</f>
        <v>1.8200000000000001E-2</v>
      </c>
      <c r="K625" s="26">
        <f t="shared" si="120"/>
        <v>0.95832691745009968</v>
      </c>
      <c r="L625" s="27">
        <f t="shared" ca="1" si="121"/>
        <v>0</v>
      </c>
      <c r="M625" s="27">
        <f t="shared" ca="1" si="122"/>
        <v>2275.4111066169694</v>
      </c>
      <c r="N625" s="28">
        <f t="shared" ca="1" si="123"/>
        <v>0.12445210912370129</v>
      </c>
      <c r="O625" s="29">
        <f t="shared" ca="1" si="124"/>
        <v>600000</v>
      </c>
      <c r="P625" s="30">
        <f t="shared" ca="1" si="125"/>
        <v>32.816604110384411</v>
      </c>
    </row>
    <row r="626" spans="1:16" x14ac:dyDescent="0.25">
      <c r="A626" s="3">
        <f t="shared" si="126"/>
        <v>46988</v>
      </c>
      <c r="B626" s="21">
        <f t="shared" si="117"/>
        <v>36761</v>
      </c>
      <c r="C626" s="21">
        <f t="shared" si="118"/>
        <v>36789</v>
      </c>
      <c r="D626" s="1">
        <f t="shared" si="127"/>
        <v>0</v>
      </c>
      <c r="E626" s="3">
        <f t="array" ref="E626">INDEX($A$9:A625, MAX(IF($D$9:D625=1, ROW(D$9:$D625)-ROW($D$9)+1, 0)))</f>
        <v>46924</v>
      </c>
      <c r="F626" s="23">
        <f t="shared" si="119"/>
        <v>2.3627652292950034</v>
      </c>
      <c r="G626" s="5">
        <f>INDEX('Default Prob'!$P$5:$P$14,MIN(1+_xlfn.IFNA(MATCH(F626,'Default Prob'!$F$5:$F$14,1),0),COUNT('Default Prob'!$P$5:$P$14)))</f>
        <v>2.1918982658777085E-2</v>
      </c>
      <c r="H626" s="5">
        <f t="shared" si="128"/>
        <v>0.95095384466989707</v>
      </c>
      <c r="I626" s="24">
        <f t="shared" si="129"/>
        <v>5.7069312183410936E-5</v>
      </c>
      <c r="J626" s="25">
        <f>INDEX('Default Prob'!$C$3:$C$13, _xlfn.IFNA(MATCH(F626, 'Default Prob'!$B$3:$B$13, 1), 1))</f>
        <v>1.8200000000000001E-2</v>
      </c>
      <c r="K626" s="26">
        <f t="shared" si="120"/>
        <v>0.95827959560231668</v>
      </c>
      <c r="L626" s="27">
        <f t="shared" ca="1" si="121"/>
        <v>0</v>
      </c>
      <c r="M626" s="27">
        <f t="shared" ca="1" si="122"/>
        <v>2311.5287432299369</v>
      </c>
      <c r="N626" s="28">
        <f t="shared" ca="1" si="123"/>
        <v>0.12641371005110569</v>
      </c>
      <c r="O626" s="29">
        <f t="shared" ca="1" si="124"/>
        <v>600000</v>
      </c>
      <c r="P626" s="30">
        <f t="shared" ca="1" si="125"/>
        <v>32.813014440252836</v>
      </c>
    </row>
    <row r="627" spans="1:16" x14ac:dyDescent="0.25">
      <c r="A627" s="3">
        <f t="shared" si="126"/>
        <v>46989</v>
      </c>
      <c r="B627" s="21">
        <f t="shared" si="117"/>
        <v>36762</v>
      </c>
      <c r="C627" s="21">
        <f t="shared" si="118"/>
        <v>36789</v>
      </c>
      <c r="D627" s="1">
        <f t="shared" si="127"/>
        <v>0</v>
      </c>
      <c r="E627" s="3">
        <f t="array" ref="E627">INDEX($A$9:A626, MAX(IF($D$9:D626=1, ROW(D$9:$D626)-ROW($D$9)+1, 0)))</f>
        <v>46924</v>
      </c>
      <c r="F627" s="23">
        <f t="shared" si="119"/>
        <v>2.3655030800821355</v>
      </c>
      <c r="G627" s="5">
        <f>INDEX('Default Prob'!$P$5:$P$14,MIN(1+_xlfn.IFNA(MATCH(F627,'Default Prob'!$F$5:$F$14,1),0),COUNT('Default Prob'!$P$5:$P$14)))</f>
        <v>2.1918982658777085E-2</v>
      </c>
      <c r="H627" s="5">
        <f t="shared" si="128"/>
        <v>0.95089677878239198</v>
      </c>
      <c r="I627" s="24">
        <f t="shared" si="129"/>
        <v>5.7065887505092228E-5</v>
      </c>
      <c r="J627" s="25">
        <f>INDEX('Default Prob'!$C$3:$C$13, _xlfn.IFNA(MATCH(F627, 'Default Prob'!$B$3:$B$13, 1), 1))</f>
        <v>1.8200000000000001E-2</v>
      </c>
      <c r="K627" s="26">
        <f t="shared" si="120"/>
        <v>0.95823227609126982</v>
      </c>
      <c r="L627" s="27">
        <f t="shared" ca="1" si="121"/>
        <v>0</v>
      </c>
      <c r="M627" s="27">
        <f t="shared" ca="1" si="122"/>
        <v>2347.6463798429049</v>
      </c>
      <c r="N627" s="28">
        <f t="shared" ca="1" si="123"/>
        <v>0.12837488034658018</v>
      </c>
      <c r="O627" s="29">
        <f t="shared" ca="1" si="124"/>
        <v>600000</v>
      </c>
      <c r="P627" s="30">
        <f t="shared" ca="1" si="125"/>
        <v>32.809425162703725</v>
      </c>
    </row>
    <row r="628" spans="1:16" x14ac:dyDescent="0.25">
      <c r="A628" s="3">
        <f t="shared" si="126"/>
        <v>46990</v>
      </c>
      <c r="B628" s="21">
        <f t="shared" si="117"/>
        <v>36763</v>
      </c>
      <c r="C628" s="21">
        <f t="shared" si="118"/>
        <v>36789</v>
      </c>
      <c r="D628" s="1">
        <f t="shared" si="127"/>
        <v>0</v>
      </c>
      <c r="E628" s="3">
        <f t="array" ref="E628">INDEX($A$9:A627, MAX(IF($D$9:D627=1, ROW(D$9:$D627)-ROW($D$9)+1, 0)))</f>
        <v>46924</v>
      </c>
      <c r="F628" s="23">
        <f t="shared" si="119"/>
        <v>2.3682409308692676</v>
      </c>
      <c r="G628" s="5">
        <f>INDEX('Default Prob'!$P$5:$P$14,MIN(1+_xlfn.IFNA(MATCH(F628,'Default Prob'!$F$5:$F$14,1),0),COUNT('Default Prob'!$P$5:$P$14)))</f>
        <v>2.1918982658777085E-2</v>
      </c>
      <c r="H628" s="5">
        <f t="shared" si="128"/>
        <v>0.9508397163193596</v>
      </c>
      <c r="I628" s="24">
        <f t="shared" si="129"/>
        <v>5.7062463032386823E-5</v>
      </c>
      <c r="J628" s="25">
        <f>INDEX('Default Prob'!$C$3:$C$13, _xlfn.IFNA(MATCH(F628, 'Default Prob'!$B$3:$B$13, 1), 1))</f>
        <v>1.8200000000000001E-2</v>
      </c>
      <c r="K628" s="26">
        <f t="shared" si="120"/>
        <v>0.95818495891684363</v>
      </c>
      <c r="L628" s="27">
        <f t="shared" ca="1" si="121"/>
        <v>0</v>
      </c>
      <c r="M628" s="27">
        <f t="shared" ca="1" si="122"/>
        <v>2383.7640164558725</v>
      </c>
      <c r="N628" s="28">
        <f t="shared" ca="1" si="123"/>
        <v>0.13033562008138527</v>
      </c>
      <c r="O628" s="29">
        <f t="shared" ca="1" si="124"/>
        <v>600000</v>
      </c>
      <c r="P628" s="30">
        <f t="shared" ca="1" si="125"/>
        <v>32.805836277828888</v>
      </c>
    </row>
    <row r="629" spans="1:16" x14ac:dyDescent="0.25">
      <c r="A629" s="3">
        <f t="shared" si="126"/>
        <v>46993</v>
      </c>
      <c r="B629" s="21">
        <f t="shared" si="117"/>
        <v>36766</v>
      </c>
      <c r="C629" s="21">
        <f t="shared" si="118"/>
        <v>36789</v>
      </c>
      <c r="D629" s="1">
        <f t="shared" si="127"/>
        <v>0</v>
      </c>
      <c r="E629" s="3">
        <f t="array" ref="E629">INDEX($A$9:A628, MAX(IF($D$9:D628=1, ROW(D$9:$D628)-ROW($D$9)+1, 0)))</f>
        <v>46924</v>
      </c>
      <c r="F629" s="23">
        <f t="shared" si="119"/>
        <v>2.3764544832306638</v>
      </c>
      <c r="G629" s="5">
        <f>INDEX('Default Prob'!$P$5:$P$14,MIN(1+_xlfn.IFNA(MATCH(F629,'Default Prob'!$F$5:$F$14,1),0),COUNT('Default Prob'!$P$5:$P$14)))</f>
        <v>2.1918982658777085E-2</v>
      </c>
      <c r="H629" s="5">
        <f t="shared" si="128"/>
        <v>0.95066854947504376</v>
      </c>
      <c r="I629" s="24">
        <f t="shared" si="129"/>
        <v>1.7116684431583984E-4</v>
      </c>
      <c r="J629" s="25">
        <f>INDEX('Default Prob'!$C$3:$C$13, _xlfn.IFNA(MATCH(F629, 'Default Prob'!$B$3:$B$13, 1), 1))</f>
        <v>1.8200000000000001E-2</v>
      </c>
      <c r="K629" s="26">
        <f t="shared" si="120"/>
        <v>0.95804302141213726</v>
      </c>
      <c r="L629" s="27">
        <f t="shared" ca="1" si="121"/>
        <v>0</v>
      </c>
      <c r="M629" s="27">
        <f t="shared" ca="1" si="122"/>
        <v>2492.116926294776</v>
      </c>
      <c r="N629" s="28">
        <f t="shared" ca="1" si="123"/>
        <v>0.40867029431118412</v>
      </c>
      <c r="O629" s="29">
        <f t="shared" ca="1" si="124"/>
        <v>600000</v>
      </c>
      <c r="P629" s="30">
        <f t="shared" ca="1" si="125"/>
        <v>98.39112041635687</v>
      </c>
    </row>
    <row r="630" spans="1:16" x14ac:dyDescent="0.25">
      <c r="A630" s="3">
        <f t="shared" si="126"/>
        <v>46994</v>
      </c>
      <c r="B630" s="21">
        <f t="shared" si="117"/>
        <v>36767</v>
      </c>
      <c r="C630" s="21">
        <f t="shared" si="118"/>
        <v>36789</v>
      </c>
      <c r="D630" s="1">
        <f t="shared" si="127"/>
        <v>0</v>
      </c>
      <c r="E630" s="3">
        <f t="array" ref="E630">INDEX($A$9:A629, MAX(IF($D$9:D629=1, ROW(D$9:$D629)-ROW($D$9)+1, 0)))</f>
        <v>46924</v>
      </c>
      <c r="F630" s="23">
        <f t="shared" si="119"/>
        <v>2.3791923340177958</v>
      </c>
      <c r="G630" s="5">
        <f>INDEX('Default Prob'!$P$5:$P$14,MIN(1+_xlfn.IFNA(MATCH(F630,'Default Prob'!$F$5:$F$14,1),0),COUNT('Default Prob'!$P$5:$P$14)))</f>
        <v>2.1918982658777085E-2</v>
      </c>
      <c r="H630" s="5">
        <f t="shared" si="128"/>
        <v>0.95061150070784739</v>
      </c>
      <c r="I630" s="24">
        <f t="shared" si="129"/>
        <v>5.7048767196365979E-5</v>
      </c>
      <c r="J630" s="25">
        <f>INDEX('Default Prob'!$C$3:$C$13, _xlfn.IFNA(MATCH(F630, 'Default Prob'!$B$3:$B$13, 1), 1))</f>
        <v>1.8200000000000001E-2</v>
      </c>
      <c r="K630" s="26">
        <f t="shared" si="120"/>
        <v>0.95799571358304114</v>
      </c>
      <c r="L630" s="27">
        <f t="shared" ca="1" si="121"/>
        <v>0</v>
      </c>
      <c r="M630" s="27">
        <f t="shared" ca="1" si="122"/>
        <v>2528.2345629077436</v>
      </c>
      <c r="N630" s="28">
        <f t="shared" ca="1" si="123"/>
        <v>0.13817427482590924</v>
      </c>
      <c r="O630" s="29">
        <f t="shared" ca="1" si="124"/>
        <v>600000</v>
      </c>
      <c r="P630" s="30">
        <f t="shared" ca="1" si="125"/>
        <v>32.791484663589252</v>
      </c>
    </row>
    <row r="631" spans="1:16" x14ac:dyDescent="0.25">
      <c r="A631" s="3">
        <f t="shared" si="126"/>
        <v>46995</v>
      </c>
      <c r="B631" s="21">
        <f t="shared" si="117"/>
        <v>36768</v>
      </c>
      <c r="C631" s="21">
        <f t="shared" si="118"/>
        <v>36789</v>
      </c>
      <c r="D631" s="1">
        <f t="shared" si="127"/>
        <v>0</v>
      </c>
      <c r="E631" s="3">
        <f t="array" ref="E631">INDEX($A$9:A630, MAX(IF($D$9:D630=1, ROW(D$9:$D630)-ROW($D$9)+1, 0)))</f>
        <v>46924</v>
      </c>
      <c r="F631" s="23">
        <f t="shared" si="119"/>
        <v>2.3819301848049284</v>
      </c>
      <c r="G631" s="5">
        <f>INDEX('Default Prob'!$P$5:$P$14,MIN(1+_xlfn.IFNA(MATCH(F631,'Default Prob'!$F$5:$F$14,1),0),COUNT('Default Prob'!$P$5:$P$14)))</f>
        <v>2.1918982658777085E-2</v>
      </c>
      <c r="H631" s="5">
        <f t="shared" si="128"/>
        <v>0.95055445536409644</v>
      </c>
      <c r="I631" s="24">
        <f t="shared" si="129"/>
        <v>5.7045343750949939E-5</v>
      </c>
      <c r="J631" s="25">
        <f>INDEX('Default Prob'!$C$3:$C$13, _xlfn.IFNA(MATCH(F631, 'Default Prob'!$B$3:$B$13, 1), 1))</f>
        <v>1.8200000000000001E-2</v>
      </c>
      <c r="K631" s="26">
        <f t="shared" si="120"/>
        <v>0.95794840808998905</v>
      </c>
      <c r="L631" s="27">
        <f t="shared" ca="1" si="121"/>
        <v>0</v>
      </c>
      <c r="M631" s="27">
        <f t="shared" ca="1" si="122"/>
        <v>2564.3521995207116</v>
      </c>
      <c r="N631" s="28">
        <f t="shared" ca="1" si="123"/>
        <v>0.14013286281675513</v>
      </c>
      <c r="O631" s="29">
        <f t="shared" ca="1" si="124"/>
        <v>600000</v>
      </c>
      <c r="P631" s="30">
        <f t="shared" ca="1" si="125"/>
        <v>32.787897741101219</v>
      </c>
    </row>
    <row r="632" spans="1:16" x14ac:dyDescent="0.25">
      <c r="A632" s="3">
        <f t="shared" si="126"/>
        <v>46996</v>
      </c>
      <c r="B632" s="21">
        <f t="shared" si="117"/>
        <v>36769</v>
      </c>
      <c r="C632" s="21">
        <f t="shared" si="118"/>
        <v>36789</v>
      </c>
      <c r="D632" s="1">
        <f t="shared" si="127"/>
        <v>0</v>
      </c>
      <c r="E632" s="3">
        <f t="array" ref="E632">INDEX($A$9:A631, MAX(IF($D$9:D631=1, ROW(D$9:$D631)-ROW($D$9)+1, 0)))</f>
        <v>46924</v>
      </c>
      <c r="F632" s="23">
        <f t="shared" si="119"/>
        <v>2.3846680355920604</v>
      </c>
      <c r="G632" s="5">
        <f>INDEX('Default Prob'!$P$5:$P$14,MIN(1+_xlfn.IFNA(MATCH(F632,'Default Prob'!$F$5:$F$14,1),0),COUNT('Default Prob'!$P$5:$P$14)))</f>
        <v>2.1918982658777085E-2</v>
      </c>
      <c r="H632" s="5">
        <f t="shared" si="128"/>
        <v>0.9504974134435854</v>
      </c>
      <c r="I632" s="24">
        <f t="shared" si="129"/>
        <v>5.7041920511036182E-5</v>
      </c>
      <c r="J632" s="25">
        <f>INDEX('Default Prob'!$C$3:$C$13, _xlfn.IFNA(MATCH(F632, 'Default Prob'!$B$3:$B$13, 1), 1))</f>
        <v>1.8200000000000001E-2</v>
      </c>
      <c r="K632" s="26">
        <f t="shared" si="120"/>
        <v>0.95790110493286551</v>
      </c>
      <c r="L632" s="27">
        <f t="shared" ca="1" si="121"/>
        <v>0</v>
      </c>
      <c r="M632" s="27">
        <f t="shared" ca="1" si="122"/>
        <v>2600.4698361336791</v>
      </c>
      <c r="N632" s="28">
        <f t="shared" ca="1" si="123"/>
        <v>0.14209102067107823</v>
      </c>
      <c r="O632" s="29">
        <f t="shared" ca="1" si="124"/>
        <v>600000</v>
      </c>
      <c r="P632" s="30">
        <f t="shared" ca="1" si="125"/>
        <v>32.784311211008543</v>
      </c>
    </row>
    <row r="633" spans="1:16" x14ac:dyDescent="0.25">
      <c r="A633" s="3">
        <f t="shared" si="126"/>
        <v>46997</v>
      </c>
      <c r="B633" s="21">
        <f t="shared" si="117"/>
        <v>36770</v>
      </c>
      <c r="C633" s="21">
        <f t="shared" si="118"/>
        <v>36789</v>
      </c>
      <c r="D633" s="1">
        <f t="shared" si="127"/>
        <v>0</v>
      </c>
      <c r="E633" s="3">
        <f t="array" ref="E633">INDEX($A$9:A632, MAX(IF($D$9:D632=1, ROW(D$9:$D632)-ROW($D$9)+1, 0)))</f>
        <v>46924</v>
      </c>
      <c r="F633" s="23">
        <f t="shared" si="119"/>
        <v>2.3874058863791925</v>
      </c>
      <c r="G633" s="5">
        <f>INDEX('Default Prob'!$P$5:$P$14,MIN(1+_xlfn.IFNA(MATCH(F633,'Default Prob'!$F$5:$F$14,1),0),COUNT('Default Prob'!$P$5:$P$14)))</f>
        <v>2.1918982658777085E-2</v>
      </c>
      <c r="H633" s="5">
        <f t="shared" si="128"/>
        <v>0.95044037494610889</v>
      </c>
      <c r="I633" s="24">
        <f t="shared" si="129"/>
        <v>5.7038497476513683E-5</v>
      </c>
      <c r="J633" s="25">
        <f>INDEX('Default Prob'!$C$3:$C$13, _xlfn.IFNA(MATCH(F633, 'Default Prob'!$B$3:$B$13, 1), 1))</f>
        <v>1.8200000000000001E-2</v>
      </c>
      <c r="K633" s="26">
        <f t="shared" si="120"/>
        <v>0.95785380411155541</v>
      </c>
      <c r="L633" s="27">
        <f t="shared" ca="1" si="121"/>
        <v>0</v>
      </c>
      <c r="M633" s="27">
        <f t="shared" ca="1" si="122"/>
        <v>2636.5874727466467</v>
      </c>
      <c r="N633" s="28">
        <f t="shared" ca="1" si="123"/>
        <v>0.14404874845930263</v>
      </c>
      <c r="O633" s="29">
        <f t="shared" ca="1" si="124"/>
        <v>600000</v>
      </c>
      <c r="P633" s="30">
        <f t="shared" ca="1" si="125"/>
        <v>32.780725073211592</v>
      </c>
    </row>
    <row r="634" spans="1:16" x14ac:dyDescent="0.25">
      <c r="A634" s="3">
        <f t="shared" si="126"/>
        <v>47000</v>
      </c>
      <c r="B634" s="21">
        <f t="shared" si="117"/>
        <v>36773</v>
      </c>
      <c r="C634" s="21">
        <f t="shared" si="118"/>
        <v>36789</v>
      </c>
      <c r="D634" s="1">
        <f t="shared" si="127"/>
        <v>0</v>
      </c>
      <c r="E634" s="3">
        <f t="array" ref="E634">INDEX($A$9:A633, MAX(IF($D$9:D633=1, ROW(D$9:$D633)-ROW($D$9)+1, 0)))</f>
        <v>46924</v>
      </c>
      <c r="F634" s="23">
        <f t="shared" si="119"/>
        <v>2.3956194387405887</v>
      </c>
      <c r="G634" s="5">
        <f>INDEX('Default Prob'!$P$5:$P$14,MIN(1+_xlfn.IFNA(MATCH(F634,'Default Prob'!$F$5:$F$14,1),0),COUNT('Default Prob'!$P$5:$P$14)))</f>
        <v>2.1918982658777085E-2</v>
      </c>
      <c r="H634" s="5">
        <f t="shared" si="128"/>
        <v>0.95026927998983213</v>
      </c>
      <c r="I634" s="24">
        <f t="shared" si="129"/>
        <v>1.7109495627676274E-4</v>
      </c>
      <c r="J634" s="25">
        <f>INDEX('Default Prob'!$C$3:$C$13, _xlfn.IFNA(MATCH(F634, 'Default Prob'!$B$3:$B$13, 1), 1))</f>
        <v>1.8200000000000001E-2</v>
      </c>
      <c r="K634" s="26">
        <f t="shared" si="120"/>
        <v>0.95771191566135183</v>
      </c>
      <c r="L634" s="27">
        <f t="shared" ca="1" si="121"/>
        <v>0</v>
      </c>
      <c r="M634" s="27">
        <f t="shared" ca="1" si="122"/>
        <v>2744.9403825855502</v>
      </c>
      <c r="N634" s="28">
        <f t="shared" ca="1" si="123"/>
        <v>0.44978504814145359</v>
      </c>
      <c r="O634" s="29">
        <f t="shared" ca="1" si="124"/>
        <v>600000</v>
      </c>
      <c r="P634" s="30">
        <f t="shared" ca="1" si="125"/>
        <v>98.31580700148821</v>
      </c>
    </row>
    <row r="635" spans="1:16" x14ac:dyDescent="0.25">
      <c r="A635" s="3">
        <f t="shared" si="126"/>
        <v>47001</v>
      </c>
      <c r="B635" s="21">
        <f t="shared" si="117"/>
        <v>36774</v>
      </c>
      <c r="C635" s="21">
        <f t="shared" si="118"/>
        <v>36789</v>
      </c>
      <c r="D635" s="1">
        <f t="shared" si="127"/>
        <v>0</v>
      </c>
      <c r="E635" s="3">
        <f t="array" ref="E635">INDEX($A$9:A634, MAX(IF($D$9:D634=1, ROW(D$9:$D634)-ROW($D$9)+1, 0)))</f>
        <v>46924</v>
      </c>
      <c r="F635" s="23">
        <f t="shared" si="119"/>
        <v>2.3983572895277208</v>
      </c>
      <c r="G635" s="5">
        <f>INDEX('Default Prob'!$P$5:$P$14,MIN(1+_xlfn.IFNA(MATCH(F635,'Default Prob'!$F$5:$F$14,1),0),COUNT('Default Prob'!$P$5:$P$14)))</f>
        <v>2.1918982658777085E-2</v>
      </c>
      <c r="H635" s="5">
        <f t="shared" si="128"/>
        <v>0.95021225518243957</v>
      </c>
      <c r="I635" s="24">
        <f t="shared" si="129"/>
        <v>5.702480739255833E-5</v>
      </c>
      <c r="J635" s="25">
        <f>INDEX('Default Prob'!$C$3:$C$13, _xlfn.IFNA(MATCH(F635, 'Default Prob'!$B$3:$B$13, 1), 1))</f>
        <v>1.8200000000000001E-2</v>
      </c>
      <c r="K635" s="26">
        <f t="shared" si="120"/>
        <v>0.95766462418214182</v>
      </c>
      <c r="L635" s="27">
        <f t="shared" ca="1" si="121"/>
        <v>0</v>
      </c>
      <c r="M635" s="27">
        <f t="shared" ca="1" si="122"/>
        <v>2781.0580191985182</v>
      </c>
      <c r="N635" s="28">
        <f t="shared" ca="1" si="123"/>
        <v>0.15187536036536342</v>
      </c>
      <c r="O635" s="29">
        <f t="shared" ca="1" si="124"/>
        <v>600000</v>
      </c>
      <c r="P635" s="30">
        <f t="shared" ca="1" si="125"/>
        <v>32.766384444392038</v>
      </c>
    </row>
    <row r="636" spans="1:16" x14ac:dyDescent="0.25">
      <c r="A636" s="3">
        <f t="shared" si="126"/>
        <v>47002</v>
      </c>
      <c r="B636" s="21">
        <f t="shared" si="117"/>
        <v>36775</v>
      </c>
      <c r="C636" s="21">
        <f t="shared" si="118"/>
        <v>36789</v>
      </c>
      <c r="D636" s="1">
        <f t="shared" si="127"/>
        <v>0</v>
      </c>
      <c r="E636" s="3">
        <f t="array" ref="E636">INDEX($A$9:A635, MAX(IF($D$9:D635=1, ROW(D$9:$D635)-ROW($D$9)+1, 0)))</f>
        <v>46924</v>
      </c>
      <c r="F636" s="23">
        <f t="shared" si="119"/>
        <v>2.4010951403148528</v>
      </c>
      <c r="G636" s="5">
        <f>INDEX('Default Prob'!$P$5:$P$14,MIN(1+_xlfn.IFNA(MATCH(F636,'Default Prob'!$F$5:$F$14,1),0),COUNT('Default Prob'!$P$5:$P$14)))</f>
        <v>2.1918982658777085E-2</v>
      </c>
      <c r="H636" s="5">
        <f t="shared" si="128"/>
        <v>0.95015523379705458</v>
      </c>
      <c r="I636" s="24">
        <f t="shared" si="129"/>
        <v>5.7021385384992129E-5</v>
      </c>
      <c r="J636" s="25">
        <f>INDEX('Default Prob'!$C$3:$C$13, _xlfn.IFNA(MATCH(F636, 'Default Prob'!$B$3:$B$13, 1), 1))</f>
        <v>1.8200000000000001E-2</v>
      </c>
      <c r="K636" s="26">
        <f t="shared" si="120"/>
        <v>0.95761733503816848</v>
      </c>
      <c r="L636" s="27">
        <f t="shared" ca="1" si="121"/>
        <v>0</v>
      </c>
      <c r="M636" s="27">
        <f t="shared" ca="1" si="122"/>
        <v>2817.1756558114857</v>
      </c>
      <c r="N636" s="28">
        <f t="shared" ca="1" si="123"/>
        <v>0.15383093888319557</v>
      </c>
      <c r="O636" s="29">
        <f t="shared" ca="1" si="124"/>
        <v>600000</v>
      </c>
      <c r="P636" s="30">
        <f t="shared" ca="1" si="125"/>
        <v>32.762800267536321</v>
      </c>
    </row>
    <row r="637" spans="1:16" x14ac:dyDescent="0.25">
      <c r="A637" s="3">
        <f t="shared" si="126"/>
        <v>47003</v>
      </c>
      <c r="B637" s="21">
        <f t="shared" si="117"/>
        <v>36776</v>
      </c>
      <c r="C637" s="21">
        <f t="shared" si="118"/>
        <v>36789</v>
      </c>
      <c r="D637" s="1">
        <f t="shared" si="127"/>
        <v>0</v>
      </c>
      <c r="E637" s="3">
        <f t="array" ref="E637">INDEX($A$9:A636, MAX(IF($D$9:D636=1, ROW(D$9:$D636)-ROW($D$9)+1, 0)))</f>
        <v>46924</v>
      </c>
      <c r="F637" s="23">
        <f t="shared" si="119"/>
        <v>2.4038329911019849</v>
      </c>
      <c r="G637" s="5">
        <f>INDEX('Default Prob'!$P$5:$P$14,MIN(1+_xlfn.IFNA(MATCH(F637,'Default Prob'!$F$5:$F$14,1),0),COUNT('Default Prob'!$P$5:$P$14)))</f>
        <v>2.1918982658777085E-2</v>
      </c>
      <c r="H637" s="5">
        <f t="shared" si="128"/>
        <v>0.95009821583347176</v>
      </c>
      <c r="I637" s="24">
        <f t="shared" si="129"/>
        <v>5.7017963582817188E-5</v>
      </c>
      <c r="J637" s="25">
        <f>INDEX('Default Prob'!$C$3:$C$13, _xlfn.IFNA(MATCH(F637, 'Default Prob'!$B$3:$B$13, 1), 1))</f>
        <v>1.8200000000000001E-2</v>
      </c>
      <c r="K637" s="26">
        <f t="shared" si="120"/>
        <v>0.95757004822931635</v>
      </c>
      <c r="L637" s="27">
        <f t="shared" ca="1" si="121"/>
        <v>0</v>
      </c>
      <c r="M637" s="27">
        <f t="shared" ca="1" si="122"/>
        <v>2853.2932924244533</v>
      </c>
      <c r="N637" s="28">
        <f t="shared" ca="1" si="123"/>
        <v>0.15578608775890612</v>
      </c>
      <c r="O637" s="29">
        <f t="shared" ca="1" si="124"/>
        <v>600000</v>
      </c>
      <c r="P637" s="30">
        <f t="shared" ca="1" si="125"/>
        <v>32.759216482761396</v>
      </c>
    </row>
    <row r="638" spans="1:16" x14ac:dyDescent="0.25">
      <c r="A638" s="3">
        <f t="shared" si="126"/>
        <v>47004</v>
      </c>
      <c r="B638" s="21">
        <f t="shared" si="117"/>
        <v>36777</v>
      </c>
      <c r="C638" s="21">
        <f t="shared" si="118"/>
        <v>36789</v>
      </c>
      <c r="D638" s="1">
        <f t="shared" si="127"/>
        <v>0</v>
      </c>
      <c r="E638" s="3">
        <f t="array" ref="E638">INDEX($A$9:A637, MAX(IF($D$9:D637=1, ROW(D$9:$D637)-ROW($D$9)+1, 0)))</f>
        <v>46924</v>
      </c>
      <c r="F638" s="23">
        <f t="shared" si="119"/>
        <v>2.406570841889117</v>
      </c>
      <c r="G638" s="5">
        <f>INDEX('Default Prob'!$P$5:$P$14,MIN(1+_xlfn.IFNA(MATCH(F638,'Default Prob'!$F$5:$F$14,1),0),COUNT('Default Prob'!$P$5:$P$14)))</f>
        <v>2.1918982658777085E-2</v>
      </c>
      <c r="H638" s="5">
        <f t="shared" si="128"/>
        <v>0.95004120129148584</v>
      </c>
      <c r="I638" s="24">
        <f t="shared" si="129"/>
        <v>5.7014541985922484E-5</v>
      </c>
      <c r="J638" s="25">
        <f>INDEX('Default Prob'!$C$3:$C$13, _xlfn.IFNA(MATCH(F638, 'Default Prob'!$B$3:$B$13, 1), 1))</f>
        <v>1.8200000000000001E-2</v>
      </c>
      <c r="K638" s="26">
        <f t="shared" si="120"/>
        <v>0.9575227637554703</v>
      </c>
      <c r="L638" s="27">
        <f t="shared" ca="1" si="121"/>
        <v>0</v>
      </c>
      <c r="M638" s="27">
        <f t="shared" ca="1" si="122"/>
        <v>2889.4109290374213</v>
      </c>
      <c r="N638" s="28">
        <f t="shared" ca="1" si="123"/>
        <v>0.15774080706282068</v>
      </c>
      <c r="O638" s="29">
        <f t="shared" ca="1" si="124"/>
        <v>600000</v>
      </c>
      <c r="P638" s="30">
        <f t="shared" ca="1" si="125"/>
        <v>32.755633089967681</v>
      </c>
    </row>
    <row r="639" spans="1:16" x14ac:dyDescent="0.25">
      <c r="A639" s="3">
        <f t="shared" si="126"/>
        <v>47007</v>
      </c>
      <c r="B639" s="21">
        <f t="shared" si="117"/>
        <v>36780</v>
      </c>
      <c r="C639" s="21">
        <f t="shared" si="118"/>
        <v>36789</v>
      </c>
      <c r="D639" s="1">
        <f t="shared" si="127"/>
        <v>0</v>
      </c>
      <c r="E639" s="3">
        <f t="array" ref="E639">INDEX($A$9:A638, MAX(IF($D$9:D638=1, ROW(D$9:$D638)-ROW($D$9)+1, 0)))</f>
        <v>46924</v>
      </c>
      <c r="F639" s="23">
        <f t="shared" si="119"/>
        <v>2.4147843942505132</v>
      </c>
      <c r="G639" s="5">
        <f>INDEX('Default Prob'!$P$5:$P$14,MIN(1+_xlfn.IFNA(MATCH(F639,'Default Prob'!$F$5:$F$14,1),0),COUNT('Default Prob'!$P$5:$P$14)))</f>
        <v>2.1918982658777085E-2</v>
      </c>
      <c r="H639" s="5">
        <f t="shared" si="128"/>
        <v>0.94987017819305597</v>
      </c>
      <c r="I639" s="24">
        <f t="shared" si="129"/>
        <v>1.7102309842986774E-4</v>
      </c>
      <c r="J639" s="25">
        <f>INDEX('Default Prob'!$C$3:$C$13, _xlfn.IFNA(MATCH(F639, 'Default Prob'!$B$3:$B$13, 1), 1))</f>
        <v>1.8200000000000001E-2</v>
      </c>
      <c r="K639" s="26">
        <f t="shared" si="120"/>
        <v>0.95738092434281608</v>
      </c>
      <c r="L639" s="27">
        <f t="shared" ca="1" si="121"/>
        <v>0</v>
      </c>
      <c r="M639" s="27">
        <f t="shared" ca="1" si="122"/>
        <v>2997.7638388763244</v>
      </c>
      <c r="N639" s="28">
        <f t="shared" ca="1" si="123"/>
        <v>0.49083662000720968</v>
      </c>
      <c r="O639" s="29">
        <f t="shared" ca="1" si="124"/>
        <v>600000</v>
      </c>
      <c r="P639" s="30">
        <f t="shared" ca="1" si="125"/>
        <v>98.240551235255523</v>
      </c>
    </row>
    <row r="640" spans="1:16" x14ac:dyDescent="0.25">
      <c r="A640" s="3">
        <f t="shared" si="126"/>
        <v>47008</v>
      </c>
      <c r="B640" s="21">
        <f t="shared" si="117"/>
        <v>36781</v>
      </c>
      <c r="C640" s="21">
        <f t="shared" si="118"/>
        <v>36789</v>
      </c>
      <c r="D640" s="1">
        <f t="shared" si="127"/>
        <v>0</v>
      </c>
      <c r="E640" s="3">
        <f t="array" ref="E640">INDEX($A$9:A639, MAX(IF($D$9:D639=1, ROW(D$9:$D639)-ROW($D$9)+1, 0)))</f>
        <v>46924</v>
      </c>
      <c r="F640" s="23">
        <f t="shared" si="119"/>
        <v>2.4175222450376452</v>
      </c>
      <c r="G640" s="5">
        <f>INDEX('Default Prob'!$P$5:$P$14,MIN(1+_xlfn.IFNA(MATCH(F640,'Default Prob'!$F$5:$F$14,1),0),COUNT('Default Prob'!$P$5:$P$14)))</f>
        <v>2.1918982658777085E-2</v>
      </c>
      <c r="H640" s="5">
        <f t="shared" si="128"/>
        <v>0.94981317733540438</v>
      </c>
      <c r="I640" s="24">
        <f t="shared" si="129"/>
        <v>5.7000857651590131E-5</v>
      </c>
      <c r="J640" s="25">
        <f>INDEX('Default Prob'!$C$3:$C$13, _xlfn.IFNA(MATCH(F640, 'Default Prob'!$B$3:$B$13, 1), 1))</f>
        <v>1.8200000000000001E-2</v>
      </c>
      <c r="K640" s="26">
        <f t="shared" si="120"/>
        <v>0.95733364920784136</v>
      </c>
      <c r="L640" s="27">
        <f t="shared" ca="1" si="121"/>
        <v>0</v>
      </c>
      <c r="M640" s="27">
        <f t="shared" ca="1" si="122"/>
        <v>3033.8814754892928</v>
      </c>
      <c r="N640" s="28">
        <f t="shared" ca="1" si="123"/>
        <v>0.1655553899739321</v>
      </c>
      <c r="O640" s="29">
        <f t="shared" ca="1" si="124"/>
        <v>600000</v>
      </c>
      <c r="P640" s="30">
        <f t="shared" ca="1" si="125"/>
        <v>32.741303438144094</v>
      </c>
    </row>
    <row r="641" spans="1:16" x14ac:dyDescent="0.25">
      <c r="A641" s="3">
        <f t="shared" si="126"/>
        <v>47009</v>
      </c>
      <c r="B641" s="21">
        <f t="shared" si="117"/>
        <v>36782</v>
      </c>
      <c r="C641" s="21">
        <f t="shared" si="118"/>
        <v>36789</v>
      </c>
      <c r="D641" s="1">
        <f t="shared" si="127"/>
        <v>0</v>
      </c>
      <c r="E641" s="3">
        <f t="array" ref="E641">INDEX($A$9:A640, MAX(IF($D$9:D640=1, ROW(D$9:$D640)-ROW($D$9)+1, 0)))</f>
        <v>46924</v>
      </c>
      <c r="F641" s="23">
        <f t="shared" si="119"/>
        <v>2.4202600958247777</v>
      </c>
      <c r="G641" s="5">
        <f>INDEX('Default Prob'!$P$5:$P$14,MIN(1+_xlfn.IFNA(MATCH(F641,'Default Prob'!$F$5:$F$14,1),0),COUNT('Default Prob'!$P$5:$P$14)))</f>
        <v>2.1918982658777085E-2</v>
      </c>
      <c r="H641" s="5">
        <f t="shared" si="128"/>
        <v>0.94975617989832317</v>
      </c>
      <c r="I641" s="24">
        <f t="shared" si="129"/>
        <v>5.6997437081207636E-5</v>
      </c>
      <c r="J641" s="25">
        <f>INDEX('Default Prob'!$C$3:$C$13, _xlfn.IFNA(MATCH(F641, 'Default Prob'!$B$3:$B$13, 1), 1))</f>
        <v>1.8200000000000001E-2</v>
      </c>
      <c r="K641" s="26">
        <f t="shared" si="120"/>
        <v>0.95728637640729652</v>
      </c>
      <c r="L641" s="27">
        <f t="shared" ca="1" si="121"/>
        <v>0</v>
      </c>
      <c r="M641" s="27">
        <f t="shared" ca="1" si="122"/>
        <v>3069.9991121022604</v>
      </c>
      <c r="N641" s="28">
        <f t="shared" ca="1" si="123"/>
        <v>0.1675079624782255</v>
      </c>
      <c r="O641" s="29">
        <f t="shared" ca="1" si="124"/>
        <v>600000</v>
      </c>
      <c r="P641" s="30">
        <f t="shared" ca="1" si="125"/>
        <v>32.737722004783279</v>
      </c>
    </row>
    <row r="642" spans="1:16" x14ac:dyDescent="0.25">
      <c r="A642" s="3">
        <f t="shared" si="126"/>
        <v>47010</v>
      </c>
      <c r="B642" s="21">
        <f t="shared" si="117"/>
        <v>36783</v>
      </c>
      <c r="C642" s="21">
        <f t="shared" si="118"/>
        <v>36789</v>
      </c>
      <c r="D642" s="1">
        <f t="shared" si="127"/>
        <v>0</v>
      </c>
      <c r="E642" s="3">
        <f t="array" ref="E642">INDEX($A$9:A641, MAX(IF($D$9:D641=1, ROW(D$9:$D641)-ROW($D$9)+1, 0)))</f>
        <v>46924</v>
      </c>
      <c r="F642" s="23">
        <f t="shared" si="119"/>
        <v>2.4229979466119098</v>
      </c>
      <c r="G642" s="5">
        <f>INDEX('Default Prob'!$P$5:$P$14,MIN(1+_xlfn.IFNA(MATCH(F642,'Default Prob'!$F$5:$F$14,1),0),COUNT('Default Prob'!$P$5:$P$14)))</f>
        <v>2.1918982658777085E-2</v>
      </c>
      <c r="H642" s="5">
        <f t="shared" si="128"/>
        <v>0.94969918588160707</v>
      </c>
      <c r="I642" s="24">
        <f t="shared" si="129"/>
        <v>5.6994016716105378E-5</v>
      </c>
      <c r="J642" s="25">
        <f>INDEX('Default Prob'!$C$3:$C$13, _xlfn.IFNA(MATCH(F642, 'Default Prob'!$B$3:$B$13, 1), 1))</f>
        <v>1.8200000000000001E-2</v>
      </c>
      <c r="K642" s="26">
        <f t="shared" si="120"/>
        <v>0.95723910594106576</v>
      </c>
      <c r="L642" s="27">
        <f t="shared" ca="1" si="121"/>
        <v>0</v>
      </c>
      <c r="M642" s="27">
        <f t="shared" ca="1" si="122"/>
        <v>3106.1167487152284</v>
      </c>
      <c r="N642" s="28">
        <f t="shared" ca="1" si="123"/>
        <v>0.16946010583427723</v>
      </c>
      <c r="O642" s="29">
        <f t="shared" ca="1" si="124"/>
        <v>600000</v>
      </c>
      <c r="P642" s="30">
        <f t="shared" ca="1" si="125"/>
        <v>32.734140963188921</v>
      </c>
    </row>
    <row r="643" spans="1:16" x14ac:dyDescent="0.25">
      <c r="A643" s="3">
        <f t="shared" si="126"/>
        <v>47011</v>
      </c>
      <c r="B643" s="21">
        <f t="shared" si="117"/>
        <v>36784</v>
      </c>
      <c r="C643" s="21">
        <f t="shared" si="118"/>
        <v>36789</v>
      </c>
      <c r="D643" s="1">
        <f t="shared" si="127"/>
        <v>0</v>
      </c>
      <c r="E643" s="3">
        <f t="array" ref="E643">INDEX($A$9:A642, MAX(IF($D$9:D642=1, ROW(D$9:$D642)-ROW($D$9)+1, 0)))</f>
        <v>46924</v>
      </c>
      <c r="F643" s="23">
        <f t="shared" si="119"/>
        <v>2.4257357973990419</v>
      </c>
      <c r="G643" s="5">
        <f>INDEX('Default Prob'!$P$5:$P$14,MIN(1+_xlfn.IFNA(MATCH(F643,'Default Prob'!$F$5:$F$14,1),0),COUNT('Default Prob'!$P$5:$P$14)))</f>
        <v>2.1918982658777085E-2</v>
      </c>
      <c r="H643" s="5">
        <f t="shared" si="128"/>
        <v>0.94964219528505078</v>
      </c>
      <c r="I643" s="24">
        <f t="shared" si="129"/>
        <v>5.6990596556283357E-5</v>
      </c>
      <c r="J643" s="25">
        <f>INDEX('Default Prob'!$C$3:$C$13, _xlfn.IFNA(MATCH(F643, 'Default Prob'!$B$3:$B$13, 1), 1))</f>
        <v>1.8200000000000001E-2</v>
      </c>
      <c r="K643" s="26">
        <f t="shared" si="120"/>
        <v>0.95719183780903416</v>
      </c>
      <c r="L643" s="27">
        <f t="shared" ca="1" si="121"/>
        <v>0</v>
      </c>
      <c r="M643" s="27">
        <f t="shared" ca="1" si="122"/>
        <v>3142.2343853281959</v>
      </c>
      <c r="N643" s="28">
        <f t="shared" ca="1" si="123"/>
        <v>0.17141182011264833</v>
      </c>
      <c r="O643" s="29">
        <f t="shared" ca="1" si="124"/>
        <v>600000</v>
      </c>
      <c r="P643" s="30">
        <f t="shared" ca="1" si="125"/>
        <v>32.730560313325249</v>
      </c>
    </row>
    <row r="644" spans="1:16" x14ac:dyDescent="0.25">
      <c r="A644" s="3">
        <f t="shared" si="126"/>
        <v>47014</v>
      </c>
      <c r="B644" s="21">
        <f t="shared" si="117"/>
        <v>36787</v>
      </c>
      <c r="C644" s="21">
        <f t="shared" si="118"/>
        <v>36789</v>
      </c>
      <c r="D644" s="1">
        <f t="shared" si="127"/>
        <v>0</v>
      </c>
      <c r="E644" s="3">
        <f t="array" ref="E644">INDEX($A$9:A643, MAX(IF($D$9:D643=1, ROW(D$9:$D643)-ROW($D$9)+1, 0)))</f>
        <v>46924</v>
      </c>
      <c r="F644" s="23">
        <f t="shared" si="119"/>
        <v>2.4339493497604381</v>
      </c>
      <c r="G644" s="5">
        <f>INDEX('Default Prob'!$P$5:$P$14,MIN(1+_xlfn.IFNA(MATCH(F644,'Default Prob'!$F$5:$F$14,1),0),COUNT('Default Prob'!$P$5:$P$14)))</f>
        <v>2.1918982658777085E-2</v>
      </c>
      <c r="H644" s="5">
        <f t="shared" si="128"/>
        <v>0.9494712440142884</v>
      </c>
      <c r="I644" s="24">
        <f t="shared" si="129"/>
        <v>1.7095127076238725E-4</v>
      </c>
      <c r="J644" s="25">
        <f>INDEX('Default Prob'!$C$3:$C$13, _xlfn.IFNA(MATCH(F644, 'Default Prob'!$B$3:$B$13, 1), 1))</f>
        <v>1.8200000000000001E-2</v>
      </c>
      <c r="K644" s="26">
        <f t="shared" si="120"/>
        <v>0.95705004741698141</v>
      </c>
      <c r="L644" s="27">
        <f t="shared" ca="1" si="121"/>
        <v>0</v>
      </c>
      <c r="M644" s="27">
        <f t="shared" ca="1" si="122"/>
        <v>3250.587295167099</v>
      </c>
      <c r="N644" s="28">
        <f t="shared" ca="1" si="123"/>
        <v>0.53182508254375283</v>
      </c>
      <c r="O644" s="29">
        <f t="shared" ca="1" si="124"/>
        <v>600000</v>
      </c>
      <c r="P644" s="30">
        <f t="shared" ca="1" si="125"/>
        <v>98.165353073481569</v>
      </c>
    </row>
    <row r="645" spans="1:16" x14ac:dyDescent="0.25">
      <c r="A645" s="3">
        <f t="shared" si="126"/>
        <v>47015</v>
      </c>
      <c r="B645" s="21">
        <f t="shared" si="117"/>
        <v>36788</v>
      </c>
      <c r="C645" s="21">
        <f t="shared" si="118"/>
        <v>36789</v>
      </c>
      <c r="D645" s="1">
        <f t="shared" si="127"/>
        <v>0</v>
      </c>
      <c r="E645" s="3">
        <f t="array" ref="E645">INDEX($A$9:A644, MAX(IF($D$9:D644=1, ROW(D$9:$D644)-ROW($D$9)+1, 0)))</f>
        <v>46924</v>
      </c>
      <c r="F645" s="23">
        <f t="shared" si="119"/>
        <v>2.4366872005475702</v>
      </c>
      <c r="G645" s="5">
        <f>INDEX('Default Prob'!$P$5:$P$14,MIN(1+_xlfn.IFNA(MATCH(F645,'Default Prob'!$F$5:$F$14,1),0),COUNT('Default Prob'!$P$5:$P$14)))</f>
        <v>2.1918982658777085E-2</v>
      </c>
      <c r="H645" s="5">
        <f t="shared" si="128"/>
        <v>0.94941426709631915</v>
      </c>
      <c r="I645" s="24">
        <f t="shared" si="129"/>
        <v>5.6976917969242535E-5</v>
      </c>
      <c r="J645" s="25">
        <f>INDEX('Default Prob'!$C$3:$C$13, _xlfn.IFNA(MATCH(F645, 'Default Prob'!$B$3:$B$13, 1), 1))</f>
        <v>1.8200000000000001E-2</v>
      </c>
      <c r="K645" s="26">
        <f t="shared" si="120"/>
        <v>0.9570027886205934</v>
      </c>
      <c r="L645" s="27">
        <f t="shared" ca="1" si="121"/>
        <v>0</v>
      </c>
      <c r="M645" s="27">
        <f t="shared" ca="1" si="122"/>
        <v>3286.7049317800665</v>
      </c>
      <c r="N645" s="28">
        <f t="shared" ca="1" si="123"/>
        <v>0.17921438785849966</v>
      </c>
      <c r="O645" s="29">
        <f t="shared" ca="1" si="124"/>
        <v>600000</v>
      </c>
      <c r="P645" s="30">
        <f t="shared" ca="1" si="125"/>
        <v>32.716241630143145</v>
      </c>
    </row>
    <row r="646" spans="1:16" x14ac:dyDescent="0.25">
      <c r="A646" s="3">
        <f t="shared" si="126"/>
        <v>47016</v>
      </c>
      <c r="B646" s="21">
        <f t="shared" si="117"/>
        <v>36789</v>
      </c>
      <c r="C646" s="21">
        <f t="shared" si="118"/>
        <v>36789</v>
      </c>
      <c r="D646" s="1">
        <f t="shared" si="127"/>
        <v>1</v>
      </c>
      <c r="E646" s="3">
        <f t="array" ref="E646">INDEX($A$9:A645, MAX(IF($D$9:D645=1, ROW(D$9:$D645)-ROW($D$9)+1, 0)))</f>
        <v>46924</v>
      </c>
      <c r="F646" s="23">
        <f t="shared" si="119"/>
        <v>2.4394250513347022</v>
      </c>
      <c r="G646" s="5">
        <f>INDEX('Default Prob'!$P$5:$P$14,MIN(1+_xlfn.IFNA(MATCH(F646,'Default Prob'!$F$5:$F$14,1),0),COUNT('Default Prob'!$P$5:$P$14)))</f>
        <v>2.1918982658777085E-2</v>
      </c>
      <c r="H646" s="5">
        <f t="shared" si="128"/>
        <v>0.94935729359748366</v>
      </c>
      <c r="I646" s="24">
        <f t="shared" si="129"/>
        <v>5.6973498835488634E-5</v>
      </c>
      <c r="J646" s="25">
        <f>INDEX('Default Prob'!$C$3:$C$13, _xlfn.IFNA(MATCH(F646, 'Default Prob'!$B$3:$B$13, 1), 1))</f>
        <v>1.8200000000000001E-2</v>
      </c>
      <c r="K646" s="26">
        <f t="shared" si="120"/>
        <v>0.95695553215782858</v>
      </c>
      <c r="L646" s="27">
        <f t="shared" ca="1" si="121"/>
        <v>3322.8225683930345</v>
      </c>
      <c r="M646" s="27">
        <f t="shared" ca="1" si="122"/>
        <v>3322.8225683930345</v>
      </c>
      <c r="N646" s="28">
        <f t="shared" ca="1" si="123"/>
        <v>3018.9412575982201</v>
      </c>
      <c r="O646" s="29">
        <f t="shared" ca="1" si="124"/>
        <v>600000</v>
      </c>
      <c r="P646" s="30">
        <f t="shared" ca="1" si="125"/>
        <v>32.712662938205071</v>
      </c>
    </row>
    <row r="647" spans="1:16" x14ac:dyDescent="0.25">
      <c r="A647" s="3">
        <f t="shared" si="126"/>
        <v>47017</v>
      </c>
      <c r="B647" s="21">
        <f t="shared" si="117"/>
        <v>36790</v>
      </c>
      <c r="C647" s="21">
        <f t="shared" si="118"/>
        <v>36880</v>
      </c>
      <c r="D647" s="1">
        <f t="shared" si="127"/>
        <v>0</v>
      </c>
      <c r="E647" s="3">
        <f t="array" ref="E647">INDEX($A$9:A646, MAX(IF($D$9:D646=1, ROW(D$9:$D646)-ROW($D$9)+1, 0)))</f>
        <v>47016</v>
      </c>
      <c r="F647" s="23">
        <f t="shared" si="119"/>
        <v>2.4421629021218343</v>
      </c>
      <c r="G647" s="5">
        <f>INDEX('Default Prob'!$P$5:$P$14,MIN(1+_xlfn.IFNA(MATCH(F647,'Default Prob'!$F$5:$F$14,1),0),COUNT('Default Prob'!$P$5:$P$14)))</f>
        <v>2.1918982658777085E-2</v>
      </c>
      <c r="H647" s="5">
        <f t="shared" si="128"/>
        <v>0.94930032351757676</v>
      </c>
      <c r="I647" s="24">
        <f t="shared" si="129"/>
        <v>5.6970079906903948E-5</v>
      </c>
      <c r="J647" s="25">
        <f>INDEX('Default Prob'!$C$3:$C$13, _xlfn.IFNA(MATCH(F647, 'Default Prob'!$B$3:$B$13, 1), 1))</f>
        <v>1.8200000000000001E-2</v>
      </c>
      <c r="K647" s="26">
        <f t="shared" si="120"/>
        <v>0.95690827802857126</v>
      </c>
      <c r="L647" s="27">
        <f t="shared" ca="1" si="121"/>
        <v>0</v>
      </c>
      <c r="M647" s="27">
        <f t="shared" ca="1" si="122"/>
        <v>36.117636612967765</v>
      </c>
      <c r="N647" s="28">
        <f t="shared" ca="1" si="123"/>
        <v>1.9689580548132558E-3</v>
      </c>
      <c r="O647" s="29">
        <f t="shared" ca="1" si="124"/>
        <v>600000</v>
      </c>
      <c r="P647" s="30">
        <f t="shared" ca="1" si="125"/>
        <v>32.709084637719336</v>
      </c>
    </row>
    <row r="648" spans="1:16" x14ac:dyDescent="0.25">
      <c r="A648" s="3">
        <f t="shared" si="126"/>
        <v>47018</v>
      </c>
      <c r="B648" s="21">
        <f t="shared" si="117"/>
        <v>36791</v>
      </c>
      <c r="C648" s="21">
        <f t="shared" si="118"/>
        <v>36880</v>
      </c>
      <c r="D648" s="1">
        <f t="shared" si="127"/>
        <v>0</v>
      </c>
      <c r="E648" s="3">
        <f t="array" ref="E648">INDEX($A$9:A647, MAX(IF($D$9:D647=1, ROW(D$9:$D647)-ROW($D$9)+1, 0)))</f>
        <v>47016</v>
      </c>
      <c r="F648" s="23">
        <f t="shared" si="119"/>
        <v>2.4449007529089664</v>
      </c>
      <c r="G648" s="5">
        <f>INDEX('Default Prob'!$P$5:$P$14,MIN(1+_xlfn.IFNA(MATCH(F648,'Default Prob'!$F$5:$F$14,1),0),COUNT('Default Prob'!$P$5:$P$14)))</f>
        <v>2.1918982658777085E-2</v>
      </c>
      <c r="H648" s="5">
        <f t="shared" si="128"/>
        <v>0.94924335685639327</v>
      </c>
      <c r="I648" s="24">
        <f t="shared" si="129"/>
        <v>5.6966661183488476E-5</v>
      </c>
      <c r="J648" s="25">
        <f>INDEX('Default Prob'!$C$3:$C$13, _xlfn.IFNA(MATCH(F648, 'Default Prob'!$B$3:$B$13, 1), 1))</f>
        <v>1.8200000000000001E-2</v>
      </c>
      <c r="K648" s="26">
        <f t="shared" si="120"/>
        <v>0.95686102623270619</v>
      </c>
      <c r="L648" s="27">
        <f t="shared" ca="1" si="121"/>
        <v>0</v>
      </c>
      <c r="M648" s="27">
        <f t="shared" ca="1" si="122"/>
        <v>72.235273225935529</v>
      </c>
      <c r="N648" s="28">
        <f t="shared" ca="1" si="123"/>
        <v>3.9374853575611995E-3</v>
      </c>
      <c r="O648" s="29">
        <f t="shared" ca="1" si="124"/>
        <v>600000</v>
      </c>
      <c r="P648" s="30">
        <f t="shared" ca="1" si="125"/>
        <v>32.705506728650192</v>
      </c>
    </row>
    <row r="649" spans="1:16" x14ac:dyDescent="0.25">
      <c r="A649" s="3">
        <f t="shared" si="126"/>
        <v>47021</v>
      </c>
      <c r="B649" s="21">
        <f t="shared" ref="B649:B712" si="130">DATE(2000, MONTH(A649), DAY(A649))</f>
        <v>36794</v>
      </c>
      <c r="C649" s="21">
        <f t="shared" ref="C649:C712" si="131">VLOOKUP(B649, $R$9:$S$13, 2)</f>
        <v>36880</v>
      </c>
      <c r="D649" s="1">
        <f t="shared" si="127"/>
        <v>0</v>
      </c>
      <c r="E649" s="3">
        <f t="array" ref="E649">INDEX($A$9:A648, MAX(IF($D$9:D648=1, ROW(D$9:$D648)-ROW($D$9)+1, 0)))</f>
        <v>47016</v>
      </c>
      <c r="F649" s="23">
        <f t="shared" ref="F649:F712" si="132">(A649-$A$2)/365.25</f>
        <v>2.4531143052703626</v>
      </c>
      <c r="G649" s="5">
        <f>INDEX('Default Prob'!$P$5:$P$14,MIN(1+_xlfn.IFNA(MATCH(F649,'Default Prob'!$F$5:$F$14,1),0),COUNT('Default Prob'!$P$5:$P$14)))</f>
        <v>2.1918982658777085E-2</v>
      </c>
      <c r="H649" s="5">
        <f t="shared" si="128"/>
        <v>0.94907247738313161</v>
      </c>
      <c r="I649" s="24">
        <f t="shared" si="129"/>
        <v>1.7087947326166475E-4</v>
      </c>
      <c r="J649" s="25">
        <f>INDEX('Default Prob'!$C$3:$C$13, _xlfn.IFNA(MATCH(F649, 'Default Prob'!$B$3:$B$13, 1), 1))</f>
        <v>1.8200000000000001E-2</v>
      </c>
      <c r="K649" s="26">
        <f t="shared" ref="K649:K712" si="133">1/((1+J649)^F649)</f>
        <v>0.95671928484431301</v>
      </c>
      <c r="L649" s="27">
        <f t="shared" ref="L649:L712" ca="1" si="134">IF(AND(D649, A649 &lt;= $G$2), $D$5*$D$2*(A649-E649)/365.25, 0)</f>
        <v>0</v>
      </c>
      <c r="M649" s="27">
        <f t="shared" ref="M649:M712" ca="1" si="135">IF(A649&lt;=$G$2, $D$5*$D$2*(A649-E649)/365.25, 0)</f>
        <v>180.58818306483883</v>
      </c>
      <c r="N649" s="28">
        <f t="shared" ref="N649:N712" ca="1" si="136">(L649*H649 + M649*I649) * K649</f>
        <v>2.9523222077962642E-2</v>
      </c>
      <c r="O649" s="29">
        <f t="shared" ref="O649:O712" ca="1" si="137">IF(A649&lt;=$G$2, $D$2*(1-$D$3), 0)</f>
        <v>600000</v>
      </c>
      <c r="P649" s="30">
        <f t="shared" ref="P649:P712" ca="1" si="138">O649*I649*K649</f>
        <v>98.090212472083692</v>
      </c>
    </row>
    <row r="650" spans="1:16" x14ac:dyDescent="0.25">
      <c r="A650" s="3">
        <f t="shared" ref="A650:A713" si="139">WORKDAY(A649, 1)</f>
        <v>47022</v>
      </c>
      <c r="B650" s="21">
        <f t="shared" si="130"/>
        <v>36795</v>
      </c>
      <c r="C650" s="21">
        <f t="shared" si="131"/>
        <v>36880</v>
      </c>
      <c r="D650" s="1">
        <f t="shared" ref="D650:D713" si="140">IF(OR(C650=B650, AND(C650&lt;&gt;C649, C649&gt;B649)), 1, 0)</f>
        <v>0</v>
      </c>
      <c r="E650" s="3">
        <f t="array" ref="E650">INDEX($A$9:A649, MAX(IF($D$9:D649=1, ROW(D$9:$D649)-ROW($D$9)+1, 0)))</f>
        <v>47016</v>
      </c>
      <c r="F650" s="23">
        <f t="shared" si="132"/>
        <v>2.4558521560574951</v>
      </c>
      <c r="G650" s="5">
        <f>INDEX('Default Prob'!$P$5:$P$14,MIN(1+_xlfn.IFNA(MATCH(F650,'Default Prob'!$F$5:$F$14,1),0),COUNT('Default Prob'!$P$5:$P$14)))</f>
        <v>2.1918982658777085E-2</v>
      </c>
      <c r="H650" s="5">
        <f t="shared" ref="H650:H713" si="141">H649*EXP(-G649*(F650-F649))</f>
        <v>0.94901552439479031</v>
      </c>
      <c r="I650" s="24">
        <f t="shared" ref="I650:I713" si="142">H649-H650</f>
        <v>5.6952988341296695E-5</v>
      </c>
      <c r="J650" s="25">
        <f>INDEX('Default Prob'!$C$3:$C$13, _xlfn.IFNA(MATCH(F650, 'Default Prob'!$B$3:$B$13, 1), 1))</f>
        <v>1.8200000000000001E-2</v>
      </c>
      <c r="K650" s="26">
        <f t="shared" si="133"/>
        <v>0.95667204238086523</v>
      </c>
      <c r="L650" s="27">
        <f t="shared" ca="1" si="134"/>
        <v>0</v>
      </c>
      <c r="M650" s="27">
        <f t="shared" ca="1" si="135"/>
        <v>216.70581967780663</v>
      </c>
      <c r="N650" s="28">
        <f t="shared" ca="1" si="136"/>
        <v>1.1807288461299831E-2</v>
      </c>
      <c r="O650" s="29">
        <f t="shared" ca="1" si="137"/>
        <v>600000</v>
      </c>
      <c r="P650" s="30">
        <f t="shared" ca="1" si="138"/>
        <v>32.69119900569715</v>
      </c>
    </row>
    <row r="651" spans="1:16" x14ac:dyDescent="0.25">
      <c r="A651" s="3">
        <f t="shared" si="139"/>
        <v>47023</v>
      </c>
      <c r="B651" s="21">
        <f t="shared" si="130"/>
        <v>36796</v>
      </c>
      <c r="C651" s="21">
        <f t="shared" si="131"/>
        <v>36880</v>
      </c>
      <c r="D651" s="1">
        <f t="shared" si="140"/>
        <v>0</v>
      </c>
      <c r="E651" s="3">
        <f t="array" ref="E651">INDEX($A$9:A650, MAX(IF($D$9:D650=1, ROW(D$9:$D650)-ROW($D$9)+1, 0)))</f>
        <v>47016</v>
      </c>
      <c r="F651" s="23">
        <f t="shared" si="132"/>
        <v>2.4585900068446271</v>
      </c>
      <c r="G651" s="5">
        <f>INDEX('Default Prob'!$P$5:$P$14,MIN(1+_xlfn.IFNA(MATCH(F651,'Default Prob'!$F$5:$F$14,1),0),COUNT('Default Prob'!$P$5:$P$14)))</f>
        <v>2.1918982658777085E-2</v>
      </c>
      <c r="H651" s="5">
        <f t="shared" si="141"/>
        <v>0.94895857482414681</v>
      </c>
      <c r="I651" s="24">
        <f t="shared" si="142"/>
        <v>5.6949570643505254E-5</v>
      </c>
      <c r="J651" s="25">
        <f>INDEX('Default Prob'!$C$3:$C$13, _xlfn.IFNA(MATCH(F651, 'Default Prob'!$B$3:$B$13, 1), 1))</f>
        <v>1.8200000000000001E-2</v>
      </c>
      <c r="K651" s="26">
        <f t="shared" si="133"/>
        <v>0.95662480225023383</v>
      </c>
      <c r="L651" s="27">
        <f t="shared" ca="1" si="134"/>
        <v>0</v>
      </c>
      <c r="M651" s="27">
        <f t="shared" ca="1" si="135"/>
        <v>252.82345629077437</v>
      </c>
      <c r="N651" s="28">
        <f t="shared" ca="1" si="136"/>
        <v>1.3773663063669048E-2</v>
      </c>
      <c r="O651" s="29">
        <f t="shared" ca="1" si="137"/>
        <v>600000</v>
      </c>
      <c r="P651" s="30">
        <f t="shared" ca="1" si="138"/>
        <v>32.687623053047361</v>
      </c>
    </row>
    <row r="652" spans="1:16" x14ac:dyDescent="0.25">
      <c r="A652" s="3">
        <f t="shared" si="139"/>
        <v>47024</v>
      </c>
      <c r="B652" s="21">
        <f t="shared" si="130"/>
        <v>36797</v>
      </c>
      <c r="C652" s="21">
        <f t="shared" si="131"/>
        <v>36880</v>
      </c>
      <c r="D652" s="1">
        <f t="shared" si="140"/>
        <v>0</v>
      </c>
      <c r="E652" s="3">
        <f t="array" ref="E652">INDEX($A$9:A651, MAX(IF($D$9:D651=1, ROW(D$9:$D651)-ROW($D$9)+1, 0)))</f>
        <v>47016</v>
      </c>
      <c r="F652" s="23">
        <f t="shared" si="132"/>
        <v>2.4613278576317592</v>
      </c>
      <c r="G652" s="5">
        <f>INDEX('Default Prob'!$P$5:$P$14,MIN(1+_xlfn.IFNA(MATCH(F652,'Default Prob'!$F$5:$F$14,1),0),COUNT('Default Prob'!$P$5:$P$14)))</f>
        <v>2.1918982658777085E-2</v>
      </c>
      <c r="H652" s="5">
        <f t="shared" si="141"/>
        <v>0.94890162867099592</v>
      </c>
      <c r="I652" s="24">
        <f t="shared" si="142"/>
        <v>5.6946153150883028E-5</v>
      </c>
      <c r="J652" s="25">
        <f>INDEX('Default Prob'!$C$3:$C$13, _xlfn.IFNA(MATCH(F652, 'Default Prob'!$B$3:$B$13, 1), 1))</f>
        <v>1.8200000000000001E-2</v>
      </c>
      <c r="K652" s="26">
        <f t="shared" si="133"/>
        <v>0.95657756445230346</v>
      </c>
      <c r="L652" s="27">
        <f t="shared" ca="1" si="134"/>
        <v>0</v>
      </c>
      <c r="M652" s="27">
        <f t="shared" ca="1" si="135"/>
        <v>288.94109290374212</v>
      </c>
      <c r="N652" s="28">
        <f t="shared" ca="1" si="136"/>
        <v>1.5739607337901064E-2</v>
      </c>
      <c r="O652" s="29">
        <f t="shared" ca="1" si="137"/>
        <v>600000</v>
      </c>
      <c r="P652" s="30">
        <f t="shared" ca="1" si="138"/>
        <v>32.684047491599735</v>
      </c>
    </row>
    <row r="653" spans="1:16" x14ac:dyDescent="0.25">
      <c r="A653" s="3">
        <f t="shared" si="139"/>
        <v>47025</v>
      </c>
      <c r="B653" s="21">
        <f t="shared" si="130"/>
        <v>36798</v>
      </c>
      <c r="C653" s="21">
        <f t="shared" si="131"/>
        <v>36880</v>
      </c>
      <c r="D653" s="1">
        <f t="shared" si="140"/>
        <v>0</v>
      </c>
      <c r="E653" s="3">
        <f t="array" ref="E653">INDEX($A$9:A652, MAX(IF($D$9:D652=1, ROW(D$9:$D652)-ROW($D$9)+1, 0)))</f>
        <v>47016</v>
      </c>
      <c r="F653" s="23">
        <f t="shared" si="132"/>
        <v>2.4640657084188913</v>
      </c>
      <c r="G653" s="5">
        <f>INDEX('Default Prob'!$P$5:$P$14,MIN(1+_xlfn.IFNA(MATCH(F653,'Default Prob'!$F$5:$F$14,1),0),COUNT('Default Prob'!$P$5:$P$14)))</f>
        <v>2.1918982658777085E-2</v>
      </c>
      <c r="H653" s="5">
        <f t="shared" si="141"/>
        <v>0.94884468593513271</v>
      </c>
      <c r="I653" s="24">
        <f t="shared" si="142"/>
        <v>5.6942735863207972E-5</v>
      </c>
      <c r="J653" s="25">
        <f>INDEX('Default Prob'!$C$3:$C$13, _xlfn.IFNA(MATCH(F653, 'Default Prob'!$B$3:$B$13, 1), 1))</f>
        <v>1.8200000000000001E-2</v>
      </c>
      <c r="K653" s="26">
        <f t="shared" si="133"/>
        <v>0.956530328986959</v>
      </c>
      <c r="L653" s="27">
        <f t="shared" ca="1" si="134"/>
        <v>0</v>
      </c>
      <c r="M653" s="27">
        <f t="shared" ca="1" si="135"/>
        <v>325.05872951670989</v>
      </c>
      <c r="N653" s="28">
        <f t="shared" ca="1" si="136"/>
        <v>1.770512135455397E-2</v>
      </c>
      <c r="O653" s="29">
        <f t="shared" ca="1" si="137"/>
        <v>600000</v>
      </c>
      <c r="P653" s="30">
        <f t="shared" ca="1" si="138"/>
        <v>32.680472321191097</v>
      </c>
    </row>
    <row r="654" spans="1:16" x14ac:dyDescent="0.25">
      <c r="A654" s="3">
        <f t="shared" si="139"/>
        <v>47028</v>
      </c>
      <c r="B654" s="21">
        <f t="shared" si="130"/>
        <v>36801</v>
      </c>
      <c r="C654" s="21">
        <f t="shared" si="131"/>
        <v>36880</v>
      </c>
      <c r="D654" s="1">
        <f t="shared" si="140"/>
        <v>0</v>
      </c>
      <c r="E654" s="3">
        <f t="array" ref="E654">INDEX($A$9:A653, MAX(IF($D$9:D653=1, ROW(D$9:$D653)-ROW($D$9)+1, 0)))</f>
        <v>47016</v>
      </c>
      <c r="F654" s="23">
        <f t="shared" si="132"/>
        <v>2.4722792607802875</v>
      </c>
      <c r="G654" s="5">
        <f>INDEX('Default Prob'!$P$5:$P$14,MIN(1+_xlfn.IFNA(MATCH(F654,'Default Prob'!$F$5:$F$14,1),0),COUNT('Default Prob'!$P$5:$P$14)))</f>
        <v>2.1918982658777085E-2</v>
      </c>
      <c r="H654" s="5">
        <f t="shared" si="141"/>
        <v>0.94867387822921778</v>
      </c>
      <c r="I654" s="24">
        <f t="shared" si="142"/>
        <v>1.7080770591493266E-4</v>
      </c>
      <c r="J654" s="25">
        <f>INDEX('Default Prob'!$C$3:$C$13, _xlfn.IFNA(MATCH(F654, 'Default Prob'!$B$3:$B$13, 1), 1))</f>
        <v>1.8200000000000001E-2</v>
      </c>
      <c r="K654" s="26">
        <f t="shared" si="133"/>
        <v>0.95638863658528972</v>
      </c>
      <c r="L654" s="27">
        <f t="shared" ca="1" si="134"/>
        <v>0</v>
      </c>
      <c r="M654" s="27">
        <f t="shared" ca="1" si="135"/>
        <v>433.41163935561326</v>
      </c>
      <c r="N654" s="28">
        <f t="shared" ca="1" si="136"/>
        <v>7.0801496515414786E-2</v>
      </c>
      <c r="O654" s="29">
        <f t="shared" ca="1" si="137"/>
        <v>600000</v>
      </c>
      <c r="P654" s="30">
        <f t="shared" ca="1" si="138"/>
        <v>98.015129386946157</v>
      </c>
    </row>
    <row r="655" spans="1:16" x14ac:dyDescent="0.25">
      <c r="A655" s="3">
        <f t="shared" si="139"/>
        <v>47029</v>
      </c>
      <c r="B655" s="21">
        <f t="shared" si="130"/>
        <v>36802</v>
      </c>
      <c r="C655" s="21">
        <f t="shared" si="131"/>
        <v>36880</v>
      </c>
      <c r="D655" s="1">
        <f t="shared" si="140"/>
        <v>0</v>
      </c>
      <c r="E655" s="3">
        <f t="array" ref="E655">INDEX($A$9:A654, MAX(IF($D$9:D654=1, ROW(D$9:$D654)-ROW($D$9)+1, 0)))</f>
        <v>47016</v>
      </c>
      <c r="F655" s="23">
        <f t="shared" si="132"/>
        <v>2.4750171115674195</v>
      </c>
      <c r="G655" s="5">
        <f>INDEX('Default Prob'!$P$5:$P$14,MIN(1+_xlfn.IFNA(MATCH(F655,'Default Prob'!$F$5:$F$14,1),0),COUNT('Default Prob'!$P$5:$P$14)))</f>
        <v>2.1918982658777085E-2</v>
      </c>
      <c r="H655" s="5">
        <f t="shared" si="141"/>
        <v>0.94861694916045436</v>
      </c>
      <c r="I655" s="24">
        <f t="shared" si="142"/>
        <v>5.6929068763422741E-5</v>
      </c>
      <c r="J655" s="25">
        <f>INDEX('Default Prob'!$C$3:$C$13, _xlfn.IFNA(MATCH(F655, 'Default Prob'!$B$3:$B$13, 1), 1))</f>
        <v>1.8200000000000001E-2</v>
      </c>
      <c r="K655" s="26">
        <f t="shared" si="133"/>
        <v>0.95634141044913723</v>
      </c>
      <c r="L655" s="27">
        <f t="shared" ca="1" si="134"/>
        <v>0</v>
      </c>
      <c r="M655" s="27">
        <f t="shared" ca="1" si="135"/>
        <v>469.52927596858098</v>
      </c>
      <c r="N655" s="28">
        <f t="shared" ca="1" si="136"/>
        <v>2.5562876257804172E-2</v>
      </c>
      <c r="O655" s="29">
        <f t="shared" ca="1" si="137"/>
        <v>600000</v>
      </c>
      <c r="P655" s="30">
        <f t="shared" ca="1" si="138"/>
        <v>32.666175550060572</v>
      </c>
    </row>
    <row r="656" spans="1:16" x14ac:dyDescent="0.25">
      <c r="A656" s="3">
        <f t="shared" si="139"/>
        <v>47030</v>
      </c>
      <c r="B656" s="21">
        <f t="shared" si="130"/>
        <v>36803</v>
      </c>
      <c r="C656" s="21">
        <f t="shared" si="131"/>
        <v>36880</v>
      </c>
      <c r="D656" s="1">
        <f t="shared" si="140"/>
        <v>0</v>
      </c>
      <c r="E656" s="3">
        <f t="array" ref="E656">INDEX($A$9:A655, MAX(IF($D$9:D655=1, ROW(D$9:$D655)-ROW($D$9)+1, 0)))</f>
        <v>47016</v>
      </c>
      <c r="F656" s="23">
        <f t="shared" si="132"/>
        <v>2.4777549623545516</v>
      </c>
      <c r="G656" s="5">
        <f>INDEX('Default Prob'!$P$5:$P$14,MIN(1+_xlfn.IFNA(MATCH(F656,'Default Prob'!$F$5:$F$14,1),0),COUNT('Default Prob'!$P$5:$P$14)))</f>
        <v>2.1918982658777085E-2</v>
      </c>
      <c r="H656" s="5">
        <f t="shared" si="141"/>
        <v>0.94856002350795321</v>
      </c>
      <c r="I656" s="24">
        <f t="shared" si="142"/>
        <v>5.6925652501149671E-5</v>
      </c>
      <c r="J656" s="25">
        <f>INDEX('Default Prob'!$C$3:$C$13, _xlfn.IFNA(MATCH(F656, 'Default Prob'!$B$3:$B$13, 1), 1))</f>
        <v>1.8200000000000001E-2</v>
      </c>
      <c r="K656" s="26">
        <f t="shared" si="133"/>
        <v>0.95629418664499488</v>
      </c>
      <c r="L656" s="27">
        <f t="shared" ca="1" si="134"/>
        <v>0</v>
      </c>
      <c r="M656" s="27">
        <f t="shared" ca="1" si="135"/>
        <v>505.64691258154875</v>
      </c>
      <c r="N656" s="28">
        <f t="shared" ca="1" si="136"/>
        <v>2.7526240045694445E-2</v>
      </c>
      <c r="O656" s="29">
        <f t="shared" ca="1" si="137"/>
        <v>600000</v>
      </c>
      <c r="P656" s="30">
        <f t="shared" ca="1" si="138"/>
        <v>32.662602334693524</v>
      </c>
    </row>
    <row r="657" spans="1:16" x14ac:dyDescent="0.25">
      <c r="A657" s="3">
        <f t="shared" si="139"/>
        <v>47031</v>
      </c>
      <c r="B657" s="21">
        <f t="shared" si="130"/>
        <v>36804</v>
      </c>
      <c r="C657" s="21">
        <f t="shared" si="131"/>
        <v>36880</v>
      </c>
      <c r="D657" s="1">
        <f t="shared" si="140"/>
        <v>0</v>
      </c>
      <c r="E657" s="3">
        <f t="array" ref="E657">INDEX($A$9:A656, MAX(IF($D$9:D656=1, ROW(D$9:$D656)-ROW($D$9)+1, 0)))</f>
        <v>47016</v>
      </c>
      <c r="F657" s="23">
        <f t="shared" si="132"/>
        <v>2.4804928131416837</v>
      </c>
      <c r="G657" s="5">
        <f>INDEX('Default Prob'!$P$5:$P$14,MIN(1+_xlfn.IFNA(MATCH(F657,'Default Prob'!$F$5:$F$14,1),0),COUNT('Default Prob'!$P$5:$P$14)))</f>
        <v>2.1918982658777085E-2</v>
      </c>
      <c r="H657" s="5">
        <f t="shared" si="141"/>
        <v>0.9485031012715095</v>
      </c>
      <c r="I657" s="24">
        <f t="shared" si="142"/>
        <v>5.6922236443712748E-5</v>
      </c>
      <c r="J657" s="25">
        <f>INDEX('Default Prob'!$C$3:$C$13, _xlfn.IFNA(MATCH(F657, 'Default Prob'!$B$3:$B$13, 1), 1))</f>
        <v>1.8200000000000001E-2</v>
      </c>
      <c r="K657" s="26">
        <f t="shared" si="133"/>
        <v>0.95624696517274754</v>
      </c>
      <c r="L657" s="27">
        <f t="shared" ca="1" si="134"/>
        <v>0</v>
      </c>
      <c r="M657" s="27">
        <f t="shared" ca="1" si="135"/>
        <v>541.76454919451646</v>
      </c>
      <c r="N657" s="28">
        <f t="shared" ca="1" si="136"/>
        <v>2.9489173999438303E-2</v>
      </c>
      <c r="O657" s="29">
        <f t="shared" ca="1" si="137"/>
        <v>600000</v>
      </c>
      <c r="P657" s="30">
        <f t="shared" ca="1" si="138"/>
        <v>32.659029510087528</v>
      </c>
    </row>
    <row r="658" spans="1:16" x14ac:dyDescent="0.25">
      <c r="A658" s="3">
        <f t="shared" si="139"/>
        <v>47032</v>
      </c>
      <c r="B658" s="21">
        <f t="shared" si="130"/>
        <v>36805</v>
      </c>
      <c r="C658" s="21">
        <f t="shared" si="131"/>
        <v>36880</v>
      </c>
      <c r="D658" s="1">
        <f t="shared" si="140"/>
        <v>0</v>
      </c>
      <c r="E658" s="3">
        <f t="array" ref="E658">INDEX($A$9:A657, MAX(IF($D$9:D657=1, ROW(D$9:$D657)-ROW($D$9)+1, 0)))</f>
        <v>47016</v>
      </c>
      <c r="F658" s="23">
        <f t="shared" si="132"/>
        <v>2.4832306639288158</v>
      </c>
      <c r="G658" s="5">
        <f>INDEX('Default Prob'!$P$5:$P$14,MIN(1+_xlfn.IFNA(MATCH(F658,'Default Prob'!$F$5:$F$14,1),0),COUNT('Default Prob'!$P$5:$P$14)))</f>
        <v>2.1918982658777085E-2</v>
      </c>
      <c r="H658" s="5">
        <f t="shared" si="141"/>
        <v>0.94844618245091816</v>
      </c>
      <c r="I658" s="24">
        <f t="shared" si="142"/>
        <v>5.6918820591334018E-5</v>
      </c>
      <c r="J658" s="25">
        <f>INDEX('Default Prob'!$C$3:$C$13, _xlfn.IFNA(MATCH(F658, 'Default Prob'!$B$3:$B$13, 1), 1))</f>
        <v>1.8200000000000001E-2</v>
      </c>
      <c r="K658" s="26">
        <f t="shared" si="133"/>
        <v>0.95619974603227975</v>
      </c>
      <c r="L658" s="27">
        <f t="shared" ca="1" si="134"/>
        <v>0</v>
      </c>
      <c r="M658" s="27">
        <f t="shared" ca="1" si="135"/>
        <v>577.88218580748423</v>
      </c>
      <c r="N658" s="28">
        <f t="shared" ca="1" si="136"/>
        <v>3.1451678189690892E-2</v>
      </c>
      <c r="O658" s="29">
        <f t="shared" ca="1" si="137"/>
        <v>600000</v>
      </c>
      <c r="P658" s="30">
        <f t="shared" ca="1" si="138"/>
        <v>32.655457076334287</v>
      </c>
    </row>
    <row r="659" spans="1:16" x14ac:dyDescent="0.25">
      <c r="A659" s="3">
        <f t="shared" si="139"/>
        <v>47035</v>
      </c>
      <c r="B659" s="21">
        <f t="shared" si="130"/>
        <v>36808</v>
      </c>
      <c r="C659" s="21">
        <f t="shared" si="131"/>
        <v>36880</v>
      </c>
      <c r="D659" s="1">
        <f t="shared" si="140"/>
        <v>0</v>
      </c>
      <c r="E659" s="3">
        <f t="array" ref="E659">INDEX($A$9:A658, MAX(IF($D$9:D658=1, ROW(D$9:$D658)-ROW($D$9)+1, 0)))</f>
        <v>47016</v>
      </c>
      <c r="F659" s="23">
        <f t="shared" si="132"/>
        <v>2.4914442162902124</v>
      </c>
      <c r="G659" s="5">
        <f>INDEX('Default Prob'!$P$5:$P$14,MIN(1+_xlfn.IFNA(MATCH(F659,'Default Prob'!$F$5:$F$14,1),0),COUNT('Default Prob'!$P$5:$P$14)))</f>
        <v>2.1918982658777085E-2</v>
      </c>
      <c r="H659" s="5">
        <f t="shared" si="141"/>
        <v>0.94827544648220841</v>
      </c>
      <c r="I659" s="24">
        <f t="shared" si="142"/>
        <v>1.7073596870975649E-4</v>
      </c>
      <c r="J659" s="25">
        <f>INDEX('Default Prob'!$C$3:$C$13, _xlfn.IFNA(MATCH(F659, 'Default Prob'!$B$3:$B$13, 1), 1))</f>
        <v>1.8200000000000001E-2</v>
      </c>
      <c r="K659" s="26">
        <f t="shared" si="133"/>
        <v>0.95605810260040391</v>
      </c>
      <c r="L659" s="27">
        <f t="shared" ca="1" si="134"/>
        <v>0</v>
      </c>
      <c r="M659" s="27">
        <f t="shared" ca="1" si="135"/>
        <v>686.23509564638755</v>
      </c>
      <c r="N659" s="28">
        <f t="shared" ca="1" si="136"/>
        <v>0.11201656080181355</v>
      </c>
      <c r="O659" s="29">
        <f t="shared" ca="1" si="137"/>
        <v>600000</v>
      </c>
      <c r="P659" s="30">
        <f t="shared" ca="1" si="138"/>
        <v>97.940103774175029</v>
      </c>
    </row>
    <row r="660" spans="1:16" x14ac:dyDescent="0.25">
      <c r="A660" s="3">
        <f t="shared" si="139"/>
        <v>47036</v>
      </c>
      <c r="B660" s="21">
        <f t="shared" si="130"/>
        <v>36809</v>
      </c>
      <c r="C660" s="21">
        <f t="shared" si="131"/>
        <v>36880</v>
      </c>
      <c r="D660" s="1">
        <f t="shared" si="140"/>
        <v>0</v>
      </c>
      <c r="E660" s="3">
        <f t="array" ref="E660">INDEX($A$9:A659, MAX(IF($D$9:D659=1, ROW(D$9:$D659)-ROW($D$9)+1, 0)))</f>
        <v>47016</v>
      </c>
      <c r="F660" s="23">
        <f t="shared" si="132"/>
        <v>2.4941820670773445</v>
      </c>
      <c r="G660" s="5">
        <f>INDEX('Default Prob'!$P$5:$P$14,MIN(1+_xlfn.IFNA(MATCH(F660,'Default Prob'!$F$5:$F$14,1),0),COUNT('Default Prob'!$P$5:$P$14)))</f>
        <v>2.1918982658777085E-2</v>
      </c>
      <c r="H660" s="5">
        <f t="shared" si="141"/>
        <v>0.94821854132297678</v>
      </c>
      <c r="I660" s="24">
        <f t="shared" si="142"/>
        <v>5.690515923162387E-5</v>
      </c>
      <c r="J660" s="25">
        <f>INDEX('Default Prob'!$C$3:$C$13, _xlfn.IFNA(MATCH(F660, 'Default Prob'!$B$3:$B$13, 1), 1))</f>
        <v>1.8200000000000001E-2</v>
      </c>
      <c r="K660" s="26">
        <f t="shared" si="133"/>
        <v>0.95601089278590401</v>
      </c>
      <c r="L660" s="27">
        <f t="shared" ca="1" si="134"/>
        <v>0</v>
      </c>
      <c r="M660" s="27">
        <f t="shared" ca="1" si="135"/>
        <v>722.35273225935532</v>
      </c>
      <c r="N660" s="28">
        <f t="shared" ca="1" si="136"/>
        <v>3.9297398726060334E-2</v>
      </c>
      <c r="O660" s="29">
        <f t="shared" ca="1" si="137"/>
        <v>600000</v>
      </c>
      <c r="P660" s="30">
        <f t="shared" ca="1" si="138"/>
        <v>32.641171248689261</v>
      </c>
    </row>
    <row r="661" spans="1:16" x14ac:dyDescent="0.25">
      <c r="A661" s="3">
        <f t="shared" si="139"/>
        <v>47037</v>
      </c>
      <c r="B661" s="21">
        <f t="shared" si="130"/>
        <v>36810</v>
      </c>
      <c r="C661" s="21">
        <f t="shared" si="131"/>
        <v>36880</v>
      </c>
      <c r="D661" s="1">
        <f t="shared" si="140"/>
        <v>0</v>
      </c>
      <c r="E661" s="3">
        <f t="array" ref="E661">INDEX($A$9:A660, MAX(IF($D$9:D660=1, ROW(D$9:$D660)-ROW($D$9)+1, 0)))</f>
        <v>47016</v>
      </c>
      <c r="F661" s="23">
        <f t="shared" si="132"/>
        <v>2.4969199178644765</v>
      </c>
      <c r="G661" s="5">
        <f>INDEX('Default Prob'!$P$5:$P$14,MIN(1+_xlfn.IFNA(MATCH(F661,'Default Prob'!$F$5:$F$14,1),0),COUNT('Default Prob'!$P$5:$P$14)))</f>
        <v>2.1918982658777085E-2</v>
      </c>
      <c r="H661" s="5">
        <f t="shared" si="141"/>
        <v>0.9481616395785728</v>
      </c>
      <c r="I661" s="24">
        <f t="shared" si="142"/>
        <v>5.6901744403980992E-5</v>
      </c>
      <c r="J661" s="25">
        <f>INDEX('Default Prob'!$C$3:$C$13, _xlfn.IFNA(MATCH(F661, 'Default Prob'!$B$3:$B$13, 1), 1))</f>
        <v>1.8200000000000001E-2</v>
      </c>
      <c r="K661" s="26">
        <f t="shared" si="133"/>
        <v>0.95596368530260833</v>
      </c>
      <c r="L661" s="27">
        <f t="shared" ca="1" si="134"/>
        <v>0</v>
      </c>
      <c r="M661" s="27">
        <f t="shared" ca="1" si="135"/>
        <v>758.47036887232321</v>
      </c>
      <c r="N661" s="28">
        <f t="shared" ca="1" si="136"/>
        <v>4.1257755156458409E-2</v>
      </c>
      <c r="O661" s="29">
        <f t="shared" ca="1" si="137"/>
        <v>600000</v>
      </c>
      <c r="P661" s="30">
        <f t="shared" ca="1" si="138"/>
        <v>32.637600768346047</v>
      </c>
    </row>
    <row r="662" spans="1:16" x14ac:dyDescent="0.25">
      <c r="A662" s="3">
        <f t="shared" si="139"/>
        <v>47038</v>
      </c>
      <c r="B662" s="21">
        <f t="shared" si="130"/>
        <v>36811</v>
      </c>
      <c r="C662" s="21">
        <f t="shared" si="131"/>
        <v>36880</v>
      </c>
      <c r="D662" s="1">
        <f t="shared" si="140"/>
        <v>0</v>
      </c>
      <c r="E662" s="3">
        <f t="array" ref="E662">INDEX($A$9:A661, MAX(IF($D$9:D661=1, ROW(D$9:$D661)-ROW($D$9)+1, 0)))</f>
        <v>47016</v>
      </c>
      <c r="F662" s="23">
        <f t="shared" si="132"/>
        <v>2.4996577686516086</v>
      </c>
      <c r="G662" s="5">
        <f>INDEX('Default Prob'!$P$5:$P$14,MIN(1+_xlfn.IFNA(MATCH(F662,'Default Prob'!$F$5:$F$14,1),0),COUNT('Default Prob'!$P$5:$P$14)))</f>
        <v>2.1918982658777085E-2</v>
      </c>
      <c r="H662" s="5">
        <f t="shared" si="141"/>
        <v>0.94810474124879141</v>
      </c>
      <c r="I662" s="24">
        <f t="shared" si="142"/>
        <v>5.6898329781396306E-5</v>
      </c>
      <c r="J662" s="25">
        <f>INDEX('Default Prob'!$C$3:$C$13, _xlfn.IFNA(MATCH(F662, 'Default Prob'!$B$3:$B$13, 1), 1))</f>
        <v>1.8200000000000001E-2</v>
      </c>
      <c r="K662" s="26">
        <f t="shared" si="133"/>
        <v>0.95591648015040143</v>
      </c>
      <c r="L662" s="27">
        <f t="shared" ca="1" si="134"/>
        <v>0</v>
      </c>
      <c r="M662" s="27">
        <f t="shared" ca="1" si="135"/>
        <v>794.58800548529086</v>
      </c>
      <c r="N662" s="28">
        <f t="shared" ca="1" si="136"/>
        <v>4.3217682246479198E-2</v>
      </c>
      <c r="O662" s="29">
        <f t="shared" ca="1" si="137"/>
        <v>600000</v>
      </c>
      <c r="P662" s="30">
        <f t="shared" ca="1" si="138"/>
        <v>32.634030678641473</v>
      </c>
    </row>
    <row r="663" spans="1:16" x14ac:dyDescent="0.25">
      <c r="A663" s="3">
        <f t="shared" si="139"/>
        <v>47039</v>
      </c>
      <c r="B663" s="21">
        <f t="shared" si="130"/>
        <v>36812</v>
      </c>
      <c r="C663" s="21">
        <f t="shared" si="131"/>
        <v>36880</v>
      </c>
      <c r="D663" s="1">
        <f t="shared" si="140"/>
        <v>0</v>
      </c>
      <c r="E663" s="3">
        <f t="array" ref="E663">INDEX($A$9:A662, MAX(IF($D$9:D662=1, ROW(D$9:$D662)-ROW($D$9)+1, 0)))</f>
        <v>47016</v>
      </c>
      <c r="F663" s="23">
        <f t="shared" si="132"/>
        <v>2.5023956194387407</v>
      </c>
      <c r="G663" s="5">
        <f>INDEX('Default Prob'!$P$5:$P$14,MIN(1+_xlfn.IFNA(MATCH(F663,'Default Prob'!$F$5:$F$14,1),0),COUNT('Default Prob'!$P$5:$P$14)))</f>
        <v>2.1918982658777085E-2</v>
      </c>
      <c r="H663" s="5">
        <f t="shared" si="141"/>
        <v>0.94804784633342776</v>
      </c>
      <c r="I663" s="24">
        <f t="shared" si="142"/>
        <v>5.6894915363647769E-5</v>
      </c>
      <c r="J663" s="25">
        <f>INDEX('Default Prob'!$C$3:$C$13, _xlfn.IFNA(MATCH(F663, 'Default Prob'!$B$3:$B$13, 1), 1))</f>
        <v>1.8200000000000001E-2</v>
      </c>
      <c r="K663" s="26">
        <f t="shared" si="133"/>
        <v>0.95586927732916849</v>
      </c>
      <c r="L663" s="27">
        <f t="shared" ca="1" si="134"/>
        <v>0</v>
      </c>
      <c r="M663" s="27">
        <f t="shared" ca="1" si="135"/>
        <v>830.70564209825864</v>
      </c>
      <c r="N663" s="28">
        <f t="shared" ca="1" si="136"/>
        <v>4.5177180066441745E-2</v>
      </c>
      <c r="O663" s="29">
        <f t="shared" ca="1" si="137"/>
        <v>600000</v>
      </c>
      <c r="P663" s="30">
        <f t="shared" ca="1" si="138"/>
        <v>32.630460979412518</v>
      </c>
    </row>
    <row r="664" spans="1:16" x14ac:dyDescent="0.25">
      <c r="A664" s="3">
        <f t="shared" si="139"/>
        <v>47042</v>
      </c>
      <c r="B664" s="21">
        <f t="shared" si="130"/>
        <v>36815</v>
      </c>
      <c r="C664" s="21">
        <f t="shared" si="131"/>
        <v>36880</v>
      </c>
      <c r="D664" s="1">
        <f t="shared" si="140"/>
        <v>0</v>
      </c>
      <c r="E664" s="3">
        <f t="array" ref="E664">INDEX($A$9:A663, MAX(IF($D$9:D663=1, ROW(D$9:$D663)-ROW($D$9)+1, 0)))</f>
        <v>47016</v>
      </c>
      <c r="F664" s="23">
        <f t="shared" si="132"/>
        <v>2.5106091718001369</v>
      </c>
      <c r="G664" s="5">
        <f>INDEX('Default Prob'!$P$5:$P$14,MIN(1+_xlfn.IFNA(MATCH(F664,'Default Prob'!$F$5:$F$14,1),0),COUNT('Default Prob'!$P$5:$P$14)))</f>
        <v>2.1918982658777085E-2</v>
      </c>
      <c r="H664" s="5">
        <f t="shared" si="141"/>
        <v>0.94787718207179439</v>
      </c>
      <c r="I664" s="24">
        <f t="shared" si="142"/>
        <v>1.7066426163336867E-4</v>
      </c>
      <c r="J664" s="25">
        <f>INDEX('Default Prob'!$C$3:$C$13, _xlfn.IFNA(MATCH(F664, 'Default Prob'!$B$3:$B$13, 1), 1))</f>
        <v>1.8200000000000001E-2</v>
      </c>
      <c r="K664" s="26">
        <f t="shared" si="133"/>
        <v>0.95572768285016219</v>
      </c>
      <c r="L664" s="27">
        <f t="shared" ca="1" si="134"/>
        <v>0</v>
      </c>
      <c r="M664" s="27">
        <f t="shared" ca="1" si="135"/>
        <v>939.05855193716195</v>
      </c>
      <c r="N664" s="28">
        <f t="shared" ca="1" si="136"/>
        <v>0.15316848752002113</v>
      </c>
      <c r="O664" s="29">
        <f t="shared" ca="1" si="137"/>
        <v>600000</v>
      </c>
      <c r="P664" s="30">
        <f t="shared" ca="1" si="138"/>
        <v>97.865135589715962</v>
      </c>
    </row>
    <row r="665" spans="1:16" x14ac:dyDescent="0.25">
      <c r="A665" s="3">
        <f t="shared" si="139"/>
        <v>47043</v>
      </c>
      <c r="B665" s="21">
        <f t="shared" si="130"/>
        <v>36816</v>
      </c>
      <c r="C665" s="21">
        <f t="shared" si="131"/>
        <v>36880</v>
      </c>
      <c r="D665" s="1">
        <f t="shared" si="140"/>
        <v>0</v>
      </c>
      <c r="E665" s="3">
        <f t="array" ref="E665">INDEX($A$9:A664, MAX(IF($D$9:D664=1, ROW(D$9:$D664)-ROW($D$9)+1, 0)))</f>
        <v>47016</v>
      </c>
      <c r="F665" s="23">
        <f t="shared" si="132"/>
        <v>2.5133470225872689</v>
      </c>
      <c r="G665" s="5">
        <f>INDEX('Default Prob'!$P$5:$P$14,MIN(1+_xlfn.IFNA(MATCH(F665,'Default Prob'!$F$5:$F$14,1),0),COUNT('Default Prob'!$P$5:$P$14)))</f>
        <v>2.1918982658777085E-2</v>
      </c>
      <c r="H665" s="5">
        <f t="shared" si="141"/>
        <v>0.94782030081205293</v>
      </c>
      <c r="I665" s="24">
        <f t="shared" si="142"/>
        <v>5.6881259741459189E-5</v>
      </c>
      <c r="J665" s="25">
        <f>INDEX('Default Prob'!$C$3:$C$13, _xlfn.IFNA(MATCH(F665, 'Default Prob'!$B$3:$B$13, 1), 1))</f>
        <v>1.8200000000000001E-2</v>
      </c>
      <c r="K665" s="26">
        <f t="shared" si="133"/>
        <v>0.95568048935167382</v>
      </c>
      <c r="L665" s="27">
        <f t="shared" ca="1" si="134"/>
        <v>0</v>
      </c>
      <c r="M665" s="27">
        <f t="shared" ca="1" si="135"/>
        <v>975.17618855012961</v>
      </c>
      <c r="N665" s="28">
        <f t="shared" ca="1" si="136"/>
        <v>5.3010880055269931E-2</v>
      </c>
      <c r="O665" s="29">
        <f t="shared" ca="1" si="137"/>
        <v>600000</v>
      </c>
      <c r="P665" s="30">
        <f t="shared" ca="1" si="138"/>
        <v>32.616186086794428</v>
      </c>
    </row>
    <row r="666" spans="1:16" x14ac:dyDescent="0.25">
      <c r="A666" s="3">
        <f t="shared" si="139"/>
        <v>47044</v>
      </c>
      <c r="B666" s="21">
        <f t="shared" si="130"/>
        <v>36817</v>
      </c>
      <c r="C666" s="21">
        <f t="shared" si="131"/>
        <v>36880</v>
      </c>
      <c r="D666" s="1">
        <f t="shared" si="140"/>
        <v>0</v>
      </c>
      <c r="E666" s="3">
        <f t="array" ref="E666">INDEX($A$9:A665, MAX(IF($D$9:D665=1, ROW(D$9:$D665)-ROW($D$9)+1, 0)))</f>
        <v>47016</v>
      </c>
      <c r="F666" s="23">
        <f t="shared" si="132"/>
        <v>2.516084873374401</v>
      </c>
      <c r="G666" s="5">
        <f>INDEX('Default Prob'!$P$5:$P$14,MIN(1+_xlfn.IFNA(MATCH(F666,'Default Prob'!$F$5:$F$14,1),0),COUNT('Default Prob'!$P$5:$P$14)))</f>
        <v>2.1918982658777085E-2</v>
      </c>
      <c r="H666" s="5">
        <f t="shared" si="141"/>
        <v>0.94776342296570482</v>
      </c>
      <c r="I666" s="24">
        <f t="shared" si="142"/>
        <v>5.6877846348113437E-5</v>
      </c>
      <c r="J666" s="25">
        <f>INDEX('Default Prob'!$C$3:$C$13, _xlfn.IFNA(MATCH(F666, 'Default Prob'!$B$3:$B$13, 1), 1))</f>
        <v>1.8200000000000001E-2</v>
      </c>
      <c r="K666" s="26">
        <f t="shared" si="133"/>
        <v>0.95563329818358389</v>
      </c>
      <c r="L666" s="27">
        <f t="shared" ca="1" si="134"/>
        <v>0</v>
      </c>
      <c r="M666" s="27">
        <f t="shared" ca="1" si="135"/>
        <v>1011.2938251630975</v>
      </c>
      <c r="N666" s="28">
        <f t="shared" ca="1" si="136"/>
        <v>5.4968232581956003E-2</v>
      </c>
      <c r="O666" s="29">
        <f t="shared" ca="1" si="137"/>
        <v>600000</v>
      </c>
      <c r="P666" s="30">
        <f t="shared" ca="1" si="138"/>
        <v>32.612618339536056</v>
      </c>
    </row>
    <row r="667" spans="1:16" x14ac:dyDescent="0.25">
      <c r="A667" s="3">
        <f t="shared" si="139"/>
        <v>47045</v>
      </c>
      <c r="B667" s="21">
        <f t="shared" si="130"/>
        <v>36818</v>
      </c>
      <c r="C667" s="21">
        <f t="shared" si="131"/>
        <v>36880</v>
      </c>
      <c r="D667" s="1">
        <f t="shared" si="140"/>
        <v>0</v>
      </c>
      <c r="E667" s="3">
        <f t="array" ref="E667">INDEX($A$9:A666, MAX(IF($D$9:D666=1, ROW(D$9:$D666)-ROW($D$9)+1, 0)))</f>
        <v>47016</v>
      </c>
      <c r="F667" s="23">
        <f t="shared" si="132"/>
        <v>2.5188227241615331</v>
      </c>
      <c r="G667" s="5">
        <f>INDEX('Default Prob'!$P$5:$P$14,MIN(1+_xlfn.IFNA(MATCH(F667,'Default Prob'!$F$5:$F$14,1),0),COUNT('Default Prob'!$P$5:$P$14)))</f>
        <v>2.1918982658777085E-2</v>
      </c>
      <c r="H667" s="5">
        <f t="shared" si="141"/>
        <v>0.94770654853254532</v>
      </c>
      <c r="I667" s="24">
        <f t="shared" si="142"/>
        <v>5.687443315949281E-5</v>
      </c>
      <c r="J667" s="25">
        <f>INDEX('Default Prob'!$C$3:$C$13, _xlfn.IFNA(MATCH(F667, 'Default Prob'!$B$3:$B$13, 1), 1))</f>
        <v>1.8200000000000001E-2</v>
      </c>
      <c r="K667" s="26">
        <f t="shared" si="133"/>
        <v>0.95558610934577748</v>
      </c>
      <c r="L667" s="27">
        <f t="shared" ca="1" si="134"/>
        <v>0</v>
      </c>
      <c r="M667" s="27">
        <f t="shared" ca="1" si="135"/>
        <v>1047.4114617760652</v>
      </c>
      <c r="N667" s="28">
        <f t="shared" ca="1" si="136"/>
        <v>5.692515626114189E-2</v>
      </c>
      <c r="O667" s="29">
        <f t="shared" ca="1" si="137"/>
        <v>600000</v>
      </c>
      <c r="P667" s="30">
        <f t="shared" ca="1" si="138"/>
        <v>32.609050982475722</v>
      </c>
    </row>
    <row r="668" spans="1:16" x14ac:dyDescent="0.25">
      <c r="A668" s="3">
        <f t="shared" si="139"/>
        <v>47046</v>
      </c>
      <c r="B668" s="21">
        <f t="shared" si="130"/>
        <v>36819</v>
      </c>
      <c r="C668" s="21">
        <f t="shared" si="131"/>
        <v>36880</v>
      </c>
      <c r="D668" s="1">
        <f t="shared" si="140"/>
        <v>0</v>
      </c>
      <c r="E668" s="3">
        <f t="array" ref="E668">INDEX($A$9:A667, MAX(IF($D$9:D667=1, ROW(D$9:$D667)-ROW($D$9)+1, 0)))</f>
        <v>47016</v>
      </c>
      <c r="F668" s="23">
        <f t="shared" si="132"/>
        <v>2.5215605749486651</v>
      </c>
      <c r="G668" s="5">
        <f>INDEX('Default Prob'!$P$5:$P$14,MIN(1+_xlfn.IFNA(MATCH(F668,'Default Prob'!$F$5:$F$14,1),0),COUNT('Default Prob'!$P$5:$P$14)))</f>
        <v>2.1918982658777085E-2</v>
      </c>
      <c r="H668" s="5">
        <f t="shared" si="141"/>
        <v>0.9476496775123695</v>
      </c>
      <c r="I668" s="24">
        <f t="shared" si="142"/>
        <v>5.6871020175819353E-5</v>
      </c>
      <c r="J668" s="25">
        <f>INDEX('Default Prob'!$C$3:$C$13, _xlfn.IFNA(MATCH(F668, 'Default Prob'!$B$3:$B$13, 1), 1))</f>
        <v>1.8200000000000001E-2</v>
      </c>
      <c r="K668" s="26">
        <f t="shared" si="133"/>
        <v>0.95553892283813913</v>
      </c>
      <c r="L668" s="27">
        <f t="shared" ca="1" si="134"/>
        <v>0</v>
      </c>
      <c r="M668" s="27">
        <f t="shared" ca="1" si="135"/>
        <v>1083.5290983890329</v>
      </c>
      <c r="N668" s="28">
        <f t="shared" ca="1" si="136"/>
        <v>5.8881651163458289E-2</v>
      </c>
      <c r="O668" s="29">
        <f t="shared" ca="1" si="137"/>
        <v>600000</v>
      </c>
      <c r="P668" s="30">
        <f t="shared" ca="1" si="138"/>
        <v>32.605484015705102</v>
      </c>
    </row>
    <row r="669" spans="1:16" x14ac:dyDescent="0.25">
      <c r="A669" s="3">
        <f t="shared" si="139"/>
        <v>47049</v>
      </c>
      <c r="B669" s="21">
        <f t="shared" si="130"/>
        <v>36822</v>
      </c>
      <c r="C669" s="21">
        <f t="shared" si="131"/>
        <v>36880</v>
      </c>
      <c r="D669" s="1">
        <f t="shared" si="140"/>
        <v>0</v>
      </c>
      <c r="E669" s="3">
        <f t="array" ref="E669">INDEX($A$9:A668, MAX(IF($D$9:D668=1, ROW(D$9:$D668)-ROW($D$9)+1, 0)))</f>
        <v>47016</v>
      </c>
      <c r="F669" s="23">
        <f t="shared" si="132"/>
        <v>2.5297741273100618</v>
      </c>
      <c r="G669" s="5">
        <f>INDEX('Default Prob'!$P$5:$P$14,MIN(1+_xlfn.IFNA(MATCH(F669,'Default Prob'!$F$5:$F$14,1),0),COUNT('Default Prob'!$P$5:$P$14)))</f>
        <v>2.1918982658777085E-2</v>
      </c>
      <c r="H669" s="5">
        <f t="shared" si="141"/>
        <v>0.9474790849276965</v>
      </c>
      <c r="I669" s="24">
        <f t="shared" si="142"/>
        <v>1.7059258467300165E-4</v>
      </c>
      <c r="J669" s="25">
        <f>INDEX('Default Prob'!$C$3:$C$13, _xlfn.IFNA(MATCH(F669, 'Default Prob'!$B$3:$B$13, 1), 1))</f>
        <v>1.8200000000000001E-2</v>
      </c>
      <c r="K669" s="26">
        <f t="shared" si="133"/>
        <v>0.95539737729508367</v>
      </c>
      <c r="L669" s="27">
        <f t="shared" ca="1" si="134"/>
        <v>0</v>
      </c>
      <c r="M669" s="27">
        <f t="shared" ca="1" si="135"/>
        <v>1191.8820082279362</v>
      </c>
      <c r="N669" s="28">
        <f t="shared" ca="1" si="136"/>
        <v>0.19425734917870732</v>
      </c>
      <c r="O669" s="29">
        <f t="shared" ca="1" si="137"/>
        <v>600000</v>
      </c>
      <c r="P669" s="30">
        <f t="shared" ca="1" si="138"/>
        <v>97.79022478954515</v>
      </c>
    </row>
    <row r="670" spans="1:16" x14ac:dyDescent="0.25">
      <c r="A670" s="3">
        <f t="shared" si="139"/>
        <v>47050</v>
      </c>
      <c r="B670" s="21">
        <f t="shared" si="130"/>
        <v>36823</v>
      </c>
      <c r="C670" s="21">
        <f t="shared" si="131"/>
        <v>36880</v>
      </c>
      <c r="D670" s="1">
        <f t="shared" si="140"/>
        <v>0</v>
      </c>
      <c r="E670" s="3">
        <f t="array" ref="E670">INDEX($A$9:A669, MAX(IF($D$9:D669=1, ROW(D$9:$D669)-ROW($D$9)+1, 0)))</f>
        <v>47016</v>
      </c>
      <c r="F670" s="23">
        <f t="shared" si="132"/>
        <v>2.5325119780971939</v>
      </c>
      <c r="G670" s="5">
        <f>INDEX('Default Prob'!$P$5:$P$14,MIN(1+_xlfn.IFNA(MATCH(F670,'Default Prob'!$F$5:$F$14,1),0),COUNT('Default Prob'!$P$5:$P$14)))</f>
        <v>2.1918982658777085E-2</v>
      </c>
      <c r="H670" s="5">
        <f t="shared" si="141"/>
        <v>0.94742222755740768</v>
      </c>
      <c r="I670" s="24">
        <f t="shared" si="142"/>
        <v>5.6857370288820874E-5</v>
      </c>
      <c r="J670" s="25">
        <f>INDEX('Default Prob'!$C$3:$C$13, _xlfn.IFNA(MATCH(F670, 'Default Prob'!$B$3:$B$13, 1), 1))</f>
        <v>1.8200000000000001E-2</v>
      </c>
      <c r="K670" s="26">
        <f t="shared" si="133"/>
        <v>0.95535020010696803</v>
      </c>
      <c r="L670" s="27">
        <f t="shared" ca="1" si="134"/>
        <v>0</v>
      </c>
      <c r="M670" s="27">
        <f t="shared" ca="1" si="135"/>
        <v>1227.9996448409042</v>
      </c>
      <c r="N670" s="28">
        <f t="shared" ca="1" si="136"/>
        <v>6.6703344410120269E-2</v>
      </c>
      <c r="O670" s="29">
        <f t="shared" ca="1" si="137"/>
        <v>600000</v>
      </c>
      <c r="P670" s="30">
        <f t="shared" ca="1" si="138"/>
        <v>32.591220049788603</v>
      </c>
    </row>
    <row r="671" spans="1:16" x14ac:dyDescent="0.25">
      <c r="A671" s="3">
        <f t="shared" si="139"/>
        <v>47051</v>
      </c>
      <c r="B671" s="21">
        <f t="shared" si="130"/>
        <v>36824</v>
      </c>
      <c r="C671" s="21">
        <f t="shared" si="131"/>
        <v>36880</v>
      </c>
      <c r="D671" s="1">
        <f t="shared" si="140"/>
        <v>0</v>
      </c>
      <c r="E671" s="3">
        <f t="array" ref="E671">INDEX($A$9:A670, MAX(IF($D$9:D670=1, ROW(D$9:$D670)-ROW($D$9)+1, 0)))</f>
        <v>47016</v>
      </c>
      <c r="F671" s="23">
        <f t="shared" si="132"/>
        <v>2.5352498288843259</v>
      </c>
      <c r="G671" s="5">
        <f>INDEX('Default Prob'!$P$5:$P$14,MIN(1+_xlfn.IFNA(MATCH(F671,'Default Prob'!$F$5:$F$14,1),0),COUNT('Default Prob'!$P$5:$P$14)))</f>
        <v>2.1918982658777085E-2</v>
      </c>
      <c r="H671" s="5">
        <f t="shared" si="141"/>
        <v>0.94736537359907869</v>
      </c>
      <c r="I671" s="24">
        <f t="shared" si="142"/>
        <v>5.6853958328995091E-5</v>
      </c>
      <c r="J671" s="25">
        <f>INDEX('Default Prob'!$C$3:$C$13, _xlfn.IFNA(MATCH(F671, 'Default Prob'!$B$3:$B$13, 1), 1))</f>
        <v>1.8200000000000001E-2</v>
      </c>
      <c r="K671" s="26">
        <f t="shared" si="133"/>
        <v>0.95530302524844557</v>
      </c>
      <c r="L671" s="27">
        <f t="shared" ca="1" si="134"/>
        <v>0</v>
      </c>
      <c r="M671" s="27">
        <f t="shared" ca="1" si="135"/>
        <v>1264.1172814538718</v>
      </c>
      <c r="N671" s="28">
        <f t="shared" ca="1" si="136"/>
        <v>6.8657696483011774E-2</v>
      </c>
      <c r="O671" s="29">
        <f t="shared" ca="1" si="137"/>
        <v>600000</v>
      </c>
      <c r="P671" s="30">
        <f t="shared" ca="1" si="138"/>
        <v>32.587655033422841</v>
      </c>
    </row>
    <row r="672" spans="1:16" x14ac:dyDescent="0.25">
      <c r="A672" s="3">
        <f t="shared" si="139"/>
        <v>47052</v>
      </c>
      <c r="B672" s="21">
        <f t="shared" si="130"/>
        <v>36825</v>
      </c>
      <c r="C672" s="21">
        <f t="shared" si="131"/>
        <v>36880</v>
      </c>
      <c r="D672" s="1">
        <f t="shared" si="140"/>
        <v>0</v>
      </c>
      <c r="E672" s="3">
        <f t="array" ref="E672">INDEX($A$9:A671, MAX(IF($D$9:D671=1, ROW(D$9:$D671)-ROW($D$9)+1, 0)))</f>
        <v>47016</v>
      </c>
      <c r="F672" s="23">
        <f t="shared" si="132"/>
        <v>2.537987679671458</v>
      </c>
      <c r="G672" s="5">
        <f>INDEX('Default Prob'!$P$5:$P$14,MIN(1+_xlfn.IFNA(MATCH(F672,'Default Prob'!$F$5:$F$14,1),0),COUNT('Default Prob'!$P$5:$P$14)))</f>
        <v>2.1918982658777085E-2</v>
      </c>
      <c r="H672" s="5">
        <f t="shared" si="141"/>
        <v>0.94730852305250479</v>
      </c>
      <c r="I672" s="24">
        <f t="shared" si="142"/>
        <v>5.6850546573894434E-5</v>
      </c>
      <c r="J672" s="25">
        <f>INDEX('Default Prob'!$C$3:$C$13, _xlfn.IFNA(MATCH(F672, 'Default Prob'!$B$3:$B$13, 1), 1))</f>
        <v>1.8200000000000001E-2</v>
      </c>
      <c r="K672" s="26">
        <f t="shared" si="133"/>
        <v>0.95525585271940094</v>
      </c>
      <c r="L672" s="27">
        <f t="shared" ca="1" si="134"/>
        <v>0</v>
      </c>
      <c r="M672" s="27">
        <f t="shared" ca="1" si="135"/>
        <v>1300.2349180668396</v>
      </c>
      <c r="N672" s="28">
        <f t="shared" ca="1" si="136"/>
        <v>7.0611620201059308E-2</v>
      </c>
      <c r="O672" s="29">
        <f t="shared" ca="1" si="137"/>
        <v>600000</v>
      </c>
      <c r="P672" s="30">
        <f t="shared" ca="1" si="138"/>
        <v>32.584090407005725</v>
      </c>
    </row>
    <row r="673" spans="1:16" x14ac:dyDescent="0.25">
      <c r="A673" s="3">
        <f t="shared" si="139"/>
        <v>47053</v>
      </c>
      <c r="B673" s="21">
        <f t="shared" si="130"/>
        <v>36826</v>
      </c>
      <c r="C673" s="21">
        <f t="shared" si="131"/>
        <v>36880</v>
      </c>
      <c r="D673" s="1">
        <f t="shared" si="140"/>
        <v>0</v>
      </c>
      <c r="E673" s="3">
        <f t="array" ref="E673">INDEX($A$9:A672, MAX(IF($D$9:D672=1, ROW(D$9:$D672)-ROW($D$9)+1, 0)))</f>
        <v>47016</v>
      </c>
      <c r="F673" s="23">
        <f t="shared" si="132"/>
        <v>2.5407255304585901</v>
      </c>
      <c r="G673" s="5">
        <f>INDEX('Default Prob'!$P$5:$P$14,MIN(1+_xlfn.IFNA(MATCH(F673,'Default Prob'!$F$5:$F$14,1),0),COUNT('Default Prob'!$P$5:$P$14)))</f>
        <v>2.1918982658777085E-2</v>
      </c>
      <c r="H673" s="5">
        <f t="shared" si="141"/>
        <v>0.94725167591748116</v>
      </c>
      <c r="I673" s="24">
        <f t="shared" si="142"/>
        <v>5.6847135023629924E-5</v>
      </c>
      <c r="J673" s="25">
        <f>INDEX('Default Prob'!$C$3:$C$13, _xlfn.IFNA(MATCH(F673, 'Default Prob'!$B$3:$B$13, 1), 1))</f>
        <v>1.8200000000000001E-2</v>
      </c>
      <c r="K673" s="26">
        <f t="shared" si="133"/>
        <v>0.95520868251971924</v>
      </c>
      <c r="L673" s="27">
        <f t="shared" ca="1" si="134"/>
        <v>0</v>
      </c>
      <c r="M673" s="27">
        <f t="shared" ca="1" si="135"/>
        <v>1336.3525546798076</v>
      </c>
      <c r="N673" s="28">
        <f t="shared" ca="1" si="136"/>
        <v>7.2565115634745395E-2</v>
      </c>
      <c r="O673" s="29">
        <f t="shared" ca="1" si="137"/>
        <v>600000</v>
      </c>
      <c r="P673" s="30">
        <f t="shared" ca="1" si="138"/>
        <v>32.580526170565278</v>
      </c>
    </row>
    <row r="674" spans="1:16" x14ac:dyDescent="0.25">
      <c r="A674" s="3">
        <f t="shared" si="139"/>
        <v>47056</v>
      </c>
      <c r="B674" s="21">
        <f t="shared" si="130"/>
        <v>36829</v>
      </c>
      <c r="C674" s="21">
        <f t="shared" si="131"/>
        <v>36880</v>
      </c>
      <c r="D674" s="1">
        <f t="shared" si="140"/>
        <v>0</v>
      </c>
      <c r="E674" s="3">
        <f t="array" ref="E674">INDEX($A$9:A673, MAX(IF($D$9:D673=1, ROW(D$9:$D673)-ROW($D$9)+1, 0)))</f>
        <v>47016</v>
      </c>
      <c r="F674" s="23">
        <f t="shared" si="132"/>
        <v>2.5489390828199863</v>
      </c>
      <c r="G674" s="5">
        <f>INDEX('Default Prob'!$P$5:$P$14,MIN(1+_xlfn.IFNA(MATCH(F674,'Default Prob'!$F$5:$F$14,1),0),COUNT('Default Prob'!$P$5:$P$14)))</f>
        <v>2.1918982658777085E-2</v>
      </c>
      <c r="H674" s="5">
        <f t="shared" si="141"/>
        <v>0.94708115497966494</v>
      </c>
      <c r="I674" s="24">
        <f t="shared" si="142"/>
        <v>1.7052093781622091E-4</v>
      </c>
      <c r="J674" s="25">
        <f>INDEX('Default Prob'!$C$3:$C$13, _xlfn.IFNA(MATCH(F674, 'Default Prob'!$B$3:$B$13, 1), 1))</f>
        <v>1.8200000000000001E-2</v>
      </c>
      <c r="K674" s="26">
        <f t="shared" si="133"/>
        <v>0.95506718589570228</v>
      </c>
      <c r="L674" s="27">
        <f t="shared" ca="1" si="134"/>
        <v>0</v>
      </c>
      <c r="M674" s="27">
        <f t="shared" ca="1" si="135"/>
        <v>1444.7054645187106</v>
      </c>
      <c r="N674" s="28">
        <f t="shared" ca="1" si="136"/>
        <v>0.23528321821287398</v>
      </c>
      <c r="O674" s="29">
        <f t="shared" ca="1" si="137"/>
        <v>600000</v>
      </c>
      <c r="P674" s="30">
        <f t="shared" ca="1" si="138"/>
        <v>97.715371329860488</v>
      </c>
    </row>
    <row r="675" spans="1:16" x14ac:dyDescent="0.25">
      <c r="A675" s="3">
        <f t="shared" si="139"/>
        <v>47057</v>
      </c>
      <c r="B675" s="21">
        <f t="shared" si="130"/>
        <v>36830</v>
      </c>
      <c r="C675" s="21">
        <f t="shared" si="131"/>
        <v>36880</v>
      </c>
      <c r="D675" s="1">
        <f t="shared" si="140"/>
        <v>0</v>
      </c>
      <c r="E675" s="3">
        <f t="array" ref="E675">INDEX($A$9:A674, MAX(IF($D$9:D674=1, ROW(D$9:$D674)-ROW($D$9)+1, 0)))</f>
        <v>47016</v>
      </c>
      <c r="F675" s="23">
        <f t="shared" si="132"/>
        <v>2.5516769336071183</v>
      </c>
      <c r="G675" s="5">
        <f>INDEX('Default Prob'!$P$5:$P$14,MIN(1+_xlfn.IFNA(MATCH(F675,'Default Prob'!$F$5:$F$14,1),0),COUNT('Default Prob'!$P$5:$P$14)))</f>
        <v>2.1918982658777085E-2</v>
      </c>
      <c r="H675" s="5">
        <f t="shared" si="141"/>
        <v>0.94702432148879545</v>
      </c>
      <c r="I675" s="24">
        <f t="shared" si="142"/>
        <v>5.6833490869490078E-5</v>
      </c>
      <c r="J675" s="25">
        <f>INDEX('Default Prob'!$C$3:$C$13, _xlfn.IFNA(MATCH(F675, 'Default Prob'!$B$3:$B$13, 1), 1))</f>
        <v>1.8200000000000001E-2</v>
      </c>
      <c r="K675" s="26">
        <f t="shared" si="133"/>
        <v>0.95502002501232219</v>
      </c>
      <c r="L675" s="27">
        <f t="shared" ca="1" si="134"/>
        <v>0</v>
      </c>
      <c r="M675" s="27">
        <f t="shared" ca="1" si="135"/>
        <v>1480.8231011316784</v>
      </c>
      <c r="N675" s="28">
        <f t="shared" ca="1" si="136"/>
        <v>8.0374815930579491E-2</v>
      </c>
      <c r="O675" s="29">
        <f t="shared" ca="1" si="137"/>
        <v>600000</v>
      </c>
      <c r="P675" s="30">
        <f t="shared" ca="1" si="138"/>
        <v>32.566273123030797</v>
      </c>
    </row>
    <row r="676" spans="1:16" x14ac:dyDescent="0.25">
      <c r="A676" s="3">
        <f t="shared" si="139"/>
        <v>47058</v>
      </c>
      <c r="B676" s="21">
        <f t="shared" si="130"/>
        <v>36831</v>
      </c>
      <c r="C676" s="21">
        <f t="shared" si="131"/>
        <v>36880</v>
      </c>
      <c r="D676" s="1">
        <f t="shared" si="140"/>
        <v>0</v>
      </c>
      <c r="E676" s="3">
        <f t="array" ref="E676">INDEX($A$9:A675, MAX(IF($D$9:D675=1, ROW(D$9:$D675)-ROW($D$9)+1, 0)))</f>
        <v>47016</v>
      </c>
      <c r="F676" s="23">
        <f t="shared" si="132"/>
        <v>2.5544147843942504</v>
      </c>
      <c r="G676" s="5">
        <f>INDEX('Default Prob'!$P$5:$P$14,MIN(1+_xlfn.IFNA(MATCH(F676,'Default Prob'!$F$5:$F$14,1),0),COUNT('Default Prob'!$P$5:$P$14)))</f>
        <v>2.1918982658777085E-2</v>
      </c>
      <c r="H676" s="5">
        <f t="shared" si="141"/>
        <v>0.94696749140845282</v>
      </c>
      <c r="I676" s="24">
        <f t="shared" si="142"/>
        <v>5.6830080342629152E-5</v>
      </c>
      <c r="J676" s="25">
        <f>INDEX('Default Prob'!$C$3:$C$13, _xlfn.IFNA(MATCH(F676, 'Default Prob'!$B$3:$B$13, 1), 1))</f>
        <v>1.8200000000000001E-2</v>
      </c>
      <c r="K676" s="26">
        <f t="shared" si="133"/>
        <v>0.95497286645773027</v>
      </c>
      <c r="L676" s="27">
        <f t="shared" ca="1" si="134"/>
        <v>0</v>
      </c>
      <c r="M676" s="27">
        <f t="shared" ca="1" si="135"/>
        <v>1516.9407377446464</v>
      </c>
      <c r="N676" s="28">
        <f t="shared" ca="1" si="136"/>
        <v>8.2326170996266948E-2</v>
      </c>
      <c r="O676" s="29">
        <f t="shared" ca="1" si="137"/>
        <v>600000</v>
      </c>
      <c r="P676" s="30">
        <f t="shared" ca="1" si="138"/>
        <v>32.562710835494201</v>
      </c>
    </row>
    <row r="677" spans="1:16" x14ac:dyDescent="0.25">
      <c r="A677" s="3">
        <f t="shared" si="139"/>
        <v>47059</v>
      </c>
      <c r="B677" s="21">
        <f t="shared" si="130"/>
        <v>36832</v>
      </c>
      <c r="C677" s="21">
        <f t="shared" si="131"/>
        <v>36880</v>
      </c>
      <c r="D677" s="1">
        <f t="shared" si="140"/>
        <v>0</v>
      </c>
      <c r="E677" s="3">
        <f t="array" ref="E677">INDEX($A$9:A676, MAX(IF($D$9:D676=1, ROW(D$9:$D676)-ROW($D$9)+1, 0)))</f>
        <v>47016</v>
      </c>
      <c r="F677" s="23">
        <f t="shared" si="132"/>
        <v>2.5571526351813825</v>
      </c>
      <c r="G677" s="5">
        <f>INDEX('Default Prob'!$P$5:$P$14,MIN(1+_xlfn.IFNA(MATCH(F677,'Default Prob'!$F$5:$F$14,1),0),COUNT('Default Prob'!$P$5:$P$14)))</f>
        <v>2.1918982658777085E-2</v>
      </c>
      <c r="H677" s="5">
        <f t="shared" si="141"/>
        <v>0.94691066473843233</v>
      </c>
      <c r="I677" s="24">
        <f t="shared" si="142"/>
        <v>5.6826670020493353E-5</v>
      </c>
      <c r="J677" s="25">
        <f>INDEX('Default Prob'!$C$3:$C$13, _xlfn.IFNA(MATCH(F677, 'Default Prob'!$B$3:$B$13, 1), 1))</f>
        <v>1.8200000000000001E-2</v>
      </c>
      <c r="K677" s="26">
        <f t="shared" si="133"/>
        <v>0.95492571023181128</v>
      </c>
      <c r="L677" s="27">
        <f t="shared" ca="1" si="134"/>
        <v>0</v>
      </c>
      <c r="M677" s="27">
        <f t="shared" ca="1" si="135"/>
        <v>1553.0583743576142</v>
      </c>
      <c r="N677" s="28">
        <f t="shared" ca="1" si="136"/>
        <v>8.4277098199308467E-2</v>
      </c>
      <c r="O677" s="29">
        <f t="shared" ca="1" si="137"/>
        <v>600000</v>
      </c>
      <c r="P677" s="30">
        <f t="shared" ca="1" si="138"/>
        <v>32.559148937657035</v>
      </c>
    </row>
    <row r="678" spans="1:16" x14ac:dyDescent="0.25">
      <c r="A678" s="3">
        <f t="shared" si="139"/>
        <v>47060</v>
      </c>
      <c r="B678" s="21">
        <f t="shared" si="130"/>
        <v>36833</v>
      </c>
      <c r="C678" s="21">
        <f t="shared" si="131"/>
        <v>36880</v>
      </c>
      <c r="D678" s="1">
        <f t="shared" si="140"/>
        <v>0</v>
      </c>
      <c r="E678" s="3">
        <f t="array" ref="E678">INDEX($A$9:A677, MAX(IF($D$9:D677=1, ROW(D$9:$D677)-ROW($D$9)+1, 0)))</f>
        <v>47016</v>
      </c>
      <c r="F678" s="23">
        <f t="shared" si="132"/>
        <v>2.5598904859685145</v>
      </c>
      <c r="G678" s="5">
        <f>INDEX('Default Prob'!$P$5:$P$14,MIN(1+_xlfn.IFNA(MATCH(F678,'Default Prob'!$F$5:$F$14,1),0),COUNT('Default Prob'!$P$5:$P$14)))</f>
        <v>2.1918982658777085E-2</v>
      </c>
      <c r="H678" s="5">
        <f t="shared" si="141"/>
        <v>0.94685384147852936</v>
      </c>
      <c r="I678" s="24">
        <f t="shared" si="142"/>
        <v>5.6823259902971657E-5</v>
      </c>
      <c r="J678" s="25">
        <f>INDEX('Default Prob'!$C$3:$C$13, _xlfn.IFNA(MATCH(F678, 'Default Prob'!$B$3:$B$13, 1), 1))</f>
        <v>1.8200000000000001E-2</v>
      </c>
      <c r="K678" s="26">
        <f t="shared" si="133"/>
        <v>0.95487855633445018</v>
      </c>
      <c r="L678" s="27">
        <f t="shared" ca="1" si="134"/>
        <v>0</v>
      </c>
      <c r="M678" s="27">
        <f t="shared" ca="1" si="135"/>
        <v>1589.1760109705817</v>
      </c>
      <c r="N678" s="28">
        <f t="shared" ca="1" si="136"/>
        <v>8.6227597609816409E-2</v>
      </c>
      <c r="O678" s="29">
        <f t="shared" ca="1" si="137"/>
        <v>600000</v>
      </c>
      <c r="P678" s="30">
        <f t="shared" ca="1" si="138"/>
        <v>32.555587429420093</v>
      </c>
    </row>
    <row r="679" spans="1:16" x14ac:dyDescent="0.25">
      <c r="A679" s="3">
        <f t="shared" si="139"/>
        <v>47063</v>
      </c>
      <c r="B679" s="21">
        <f t="shared" si="130"/>
        <v>36836</v>
      </c>
      <c r="C679" s="21">
        <f t="shared" si="131"/>
        <v>36880</v>
      </c>
      <c r="D679" s="1">
        <f t="shared" si="140"/>
        <v>0</v>
      </c>
      <c r="E679" s="3">
        <f t="array" ref="E679">INDEX($A$9:A678, MAX(IF($D$9:D678=1, ROW(D$9:$D678)-ROW($D$9)+1, 0)))</f>
        <v>47016</v>
      </c>
      <c r="F679" s="23">
        <f t="shared" si="132"/>
        <v>2.5681040383299112</v>
      </c>
      <c r="G679" s="5">
        <f>INDEX('Default Prob'!$P$5:$P$14,MIN(1+_xlfn.IFNA(MATCH(F679,'Default Prob'!$F$5:$F$14,1),0),COUNT('Default Prob'!$P$5:$P$14)))</f>
        <v>2.1918982658777085E-2</v>
      </c>
      <c r="H679" s="5">
        <f t="shared" si="141"/>
        <v>0.94668339215747921</v>
      </c>
      <c r="I679" s="24">
        <f t="shared" si="142"/>
        <v>1.7044932105014787E-4</v>
      </c>
      <c r="J679" s="25">
        <f>INDEX('Default Prob'!$C$3:$C$13, _xlfn.IFNA(MATCH(F679, 'Default Prob'!$B$3:$B$13, 1), 1))</f>
        <v>1.8200000000000001E-2</v>
      </c>
      <c r="K679" s="26">
        <f t="shared" si="133"/>
        <v>0.95473710861256467</v>
      </c>
      <c r="L679" s="27">
        <f t="shared" ca="1" si="134"/>
        <v>0</v>
      </c>
      <c r="M679" s="27">
        <f t="shared" ca="1" si="135"/>
        <v>1697.528920809485</v>
      </c>
      <c r="N679" s="28">
        <f t="shared" ca="1" si="136"/>
        <v>0.27624616698306098</v>
      </c>
      <c r="O679" s="29">
        <f t="shared" ca="1" si="137"/>
        <v>600000</v>
      </c>
      <c r="P679" s="30">
        <f t="shared" ca="1" si="138"/>
        <v>97.640575166635756</v>
      </c>
    </row>
    <row r="680" spans="1:16" x14ac:dyDescent="0.25">
      <c r="A680" s="3">
        <f t="shared" si="139"/>
        <v>47064</v>
      </c>
      <c r="B680" s="21">
        <f t="shared" si="130"/>
        <v>36837</v>
      </c>
      <c r="C680" s="21">
        <f t="shared" si="131"/>
        <v>36880</v>
      </c>
      <c r="D680" s="1">
        <f t="shared" si="140"/>
        <v>0</v>
      </c>
      <c r="E680" s="3">
        <f t="array" ref="E680">INDEX($A$9:A679, MAX(IF($D$9:D679=1, ROW(D$9:$D679)-ROW($D$9)+1, 0)))</f>
        <v>47016</v>
      </c>
      <c r="F680" s="23">
        <f t="shared" si="132"/>
        <v>2.5708418891170433</v>
      </c>
      <c r="G680" s="5">
        <f>INDEX('Default Prob'!$P$5:$P$14,MIN(1+_xlfn.IFNA(MATCH(F680,'Default Prob'!$F$5:$F$14,1),0),COUNT('Default Prob'!$P$5:$P$14)))</f>
        <v>2.1918982658777085E-2</v>
      </c>
      <c r="H680" s="5">
        <f t="shared" si="141"/>
        <v>0.94662658253600007</v>
      </c>
      <c r="I680" s="24">
        <f t="shared" si="142"/>
        <v>5.6809621479136929E-5</v>
      </c>
      <c r="J680" s="25">
        <f>INDEX('Default Prob'!$C$3:$C$13, _xlfn.IFNA(MATCH(F680, 'Default Prob'!$B$3:$B$13, 1), 1))</f>
        <v>1.8200000000000001E-2</v>
      </c>
      <c r="K680" s="26">
        <f t="shared" si="133"/>
        <v>0.95468996402828554</v>
      </c>
      <c r="L680" s="27">
        <f t="shared" ca="1" si="134"/>
        <v>0</v>
      </c>
      <c r="M680" s="27">
        <f t="shared" ca="1" si="135"/>
        <v>1733.646557422453</v>
      </c>
      <c r="N680" s="28">
        <f t="shared" ca="1" si="136"/>
        <v>9.4025318731784366E-2</v>
      </c>
      <c r="O680" s="29">
        <f t="shared" ca="1" si="137"/>
        <v>600000</v>
      </c>
      <c r="P680" s="30">
        <f t="shared" ca="1" si="138"/>
        <v>32.541345291826651</v>
      </c>
    </row>
    <row r="681" spans="1:16" x14ac:dyDescent="0.25">
      <c r="A681" s="3">
        <f t="shared" si="139"/>
        <v>47065</v>
      </c>
      <c r="B681" s="21">
        <f t="shared" si="130"/>
        <v>36838</v>
      </c>
      <c r="C681" s="21">
        <f t="shared" si="131"/>
        <v>36880</v>
      </c>
      <c r="D681" s="1">
        <f t="shared" si="140"/>
        <v>0</v>
      </c>
      <c r="E681" s="3">
        <f t="array" ref="E681">INDEX($A$9:A680, MAX(IF($D$9:D680=1, ROW(D$9:$D680)-ROW($D$9)+1, 0)))</f>
        <v>47016</v>
      </c>
      <c r="F681" s="23">
        <f t="shared" si="132"/>
        <v>2.5735797399041753</v>
      </c>
      <c r="G681" s="5">
        <f>INDEX('Default Prob'!$P$5:$P$14,MIN(1+_xlfn.IFNA(MATCH(F681,'Default Prob'!$F$5:$F$14,1),0),COUNT('Default Prob'!$P$5:$P$14)))</f>
        <v>2.1918982658777085E-2</v>
      </c>
      <c r="H681" s="5">
        <f t="shared" si="141"/>
        <v>0.94656977632361539</v>
      </c>
      <c r="I681" s="24">
        <f t="shared" si="142"/>
        <v>5.680621238468575E-5</v>
      </c>
      <c r="J681" s="25">
        <f>INDEX('Default Prob'!$C$3:$C$13, _xlfn.IFNA(MATCH(F681, 'Default Prob'!$B$3:$B$13, 1), 1))</f>
        <v>1.8200000000000001E-2</v>
      </c>
      <c r="K681" s="26">
        <f t="shared" si="133"/>
        <v>0.95464282177198945</v>
      </c>
      <c r="L681" s="27">
        <f t="shared" ca="1" si="134"/>
        <v>0</v>
      </c>
      <c r="M681" s="27">
        <f t="shared" ca="1" si="135"/>
        <v>1769.7641940354208</v>
      </c>
      <c r="N681" s="28">
        <f t="shared" ca="1" si="136"/>
        <v>9.5973680233369441E-2</v>
      </c>
      <c r="O681" s="29">
        <f t="shared" ca="1" si="137"/>
        <v>600000</v>
      </c>
      <c r="P681" s="30">
        <f t="shared" ca="1" si="138"/>
        <v>32.537785731057205</v>
      </c>
    </row>
    <row r="682" spans="1:16" x14ac:dyDescent="0.25">
      <c r="A682" s="3">
        <f t="shared" si="139"/>
        <v>47066</v>
      </c>
      <c r="B682" s="21">
        <f t="shared" si="130"/>
        <v>36839</v>
      </c>
      <c r="C682" s="21">
        <f t="shared" si="131"/>
        <v>36880</v>
      </c>
      <c r="D682" s="1">
        <f t="shared" si="140"/>
        <v>0</v>
      </c>
      <c r="E682" s="3">
        <f t="array" ref="E682">INDEX($A$9:A681, MAX(IF($D$9:D681=1, ROW(D$9:$D681)-ROW($D$9)+1, 0)))</f>
        <v>47016</v>
      </c>
      <c r="F682" s="23">
        <f t="shared" si="132"/>
        <v>2.5763175906913074</v>
      </c>
      <c r="G682" s="5">
        <f>INDEX('Default Prob'!$P$5:$P$14,MIN(1+_xlfn.IFNA(MATCH(F682,'Default Prob'!$F$5:$F$14,1),0),COUNT('Default Prob'!$P$5:$P$14)))</f>
        <v>2.1918982658777085E-2</v>
      </c>
      <c r="H682" s="5">
        <f t="shared" si="141"/>
        <v>0.94651297352012054</v>
      </c>
      <c r="I682" s="24">
        <f t="shared" si="142"/>
        <v>5.6802803494848675E-5</v>
      </c>
      <c r="J682" s="25">
        <f>INDEX('Default Prob'!$C$3:$C$13, _xlfn.IFNA(MATCH(F682, 'Default Prob'!$B$3:$B$13, 1), 1))</f>
        <v>1.8200000000000001E-2</v>
      </c>
      <c r="K682" s="26">
        <f t="shared" si="133"/>
        <v>0.95459568184356147</v>
      </c>
      <c r="L682" s="27">
        <f t="shared" ca="1" si="134"/>
        <v>0</v>
      </c>
      <c r="M682" s="27">
        <f t="shared" ca="1" si="135"/>
        <v>1805.8818306483884</v>
      </c>
      <c r="N682" s="28">
        <f t="shared" ca="1" si="136"/>
        <v>9.7921614363857476E-2</v>
      </c>
      <c r="O682" s="29">
        <f t="shared" ca="1" si="137"/>
        <v>600000</v>
      </c>
      <c r="P682" s="30">
        <f t="shared" ca="1" si="138"/>
        <v>32.534226559674543</v>
      </c>
    </row>
    <row r="683" spans="1:16" x14ac:dyDescent="0.25">
      <c r="A683" s="3">
        <f t="shared" si="139"/>
        <v>47067</v>
      </c>
      <c r="B683" s="21">
        <f t="shared" si="130"/>
        <v>36840</v>
      </c>
      <c r="C683" s="21">
        <f t="shared" si="131"/>
        <v>36880</v>
      </c>
      <c r="D683" s="1">
        <f t="shared" si="140"/>
        <v>0</v>
      </c>
      <c r="E683" s="3">
        <f t="array" ref="E683">INDEX($A$9:A682, MAX(IF($D$9:D682=1, ROW(D$9:$D682)-ROW($D$9)+1, 0)))</f>
        <v>47016</v>
      </c>
      <c r="F683" s="23">
        <f t="shared" si="132"/>
        <v>2.5790554414784395</v>
      </c>
      <c r="G683" s="5">
        <f>INDEX('Default Prob'!$P$5:$P$14,MIN(1+_xlfn.IFNA(MATCH(F683,'Default Prob'!$F$5:$F$14,1),0),COUNT('Default Prob'!$P$5:$P$14)))</f>
        <v>2.1918982658777085E-2</v>
      </c>
      <c r="H683" s="5">
        <f t="shared" si="141"/>
        <v>0.94645617412531102</v>
      </c>
      <c r="I683" s="24">
        <f t="shared" si="142"/>
        <v>5.6799394809514681E-5</v>
      </c>
      <c r="J683" s="25">
        <f>INDEX('Default Prob'!$C$3:$C$13, _xlfn.IFNA(MATCH(F683, 'Default Prob'!$B$3:$B$13, 1), 1))</f>
        <v>1.8200000000000001E-2</v>
      </c>
      <c r="K683" s="26">
        <f t="shared" si="133"/>
        <v>0.95454854424288671</v>
      </c>
      <c r="L683" s="27">
        <f t="shared" ca="1" si="134"/>
        <v>0</v>
      </c>
      <c r="M683" s="27">
        <f t="shared" ca="1" si="135"/>
        <v>1841.9994672613561</v>
      </c>
      <c r="N683" s="28">
        <f t="shared" ca="1" si="136"/>
        <v>9.9869121193262758E-2</v>
      </c>
      <c r="O683" s="29">
        <f t="shared" ca="1" si="137"/>
        <v>600000</v>
      </c>
      <c r="P683" s="30">
        <f t="shared" ca="1" si="138"/>
        <v>32.530667777579531</v>
      </c>
    </row>
    <row r="684" spans="1:16" x14ac:dyDescent="0.25">
      <c r="A684" s="3">
        <f t="shared" si="139"/>
        <v>47070</v>
      </c>
      <c r="B684" s="21">
        <f t="shared" si="130"/>
        <v>36843</v>
      </c>
      <c r="C684" s="21">
        <f t="shared" si="131"/>
        <v>36880</v>
      </c>
      <c r="D684" s="1">
        <f t="shared" si="140"/>
        <v>0</v>
      </c>
      <c r="E684" s="3">
        <f t="array" ref="E684">INDEX($A$9:A683, MAX(IF($D$9:D683=1, ROW(D$9:$D683)-ROW($D$9)+1, 0)))</f>
        <v>47016</v>
      </c>
      <c r="F684" s="23">
        <f t="shared" si="132"/>
        <v>2.5872689938398357</v>
      </c>
      <c r="G684" s="5">
        <f>INDEX('Default Prob'!$P$5:$P$14,MIN(1+_xlfn.IFNA(MATCH(F684,'Default Prob'!$F$5:$F$14,1),0),COUNT('Default Prob'!$P$5:$P$14)))</f>
        <v>2.1918982658777085E-2</v>
      </c>
      <c r="H684" s="5">
        <f t="shared" si="141"/>
        <v>0.94628579639094867</v>
      </c>
      <c r="I684" s="24">
        <f t="shared" si="142"/>
        <v>1.7037773436234804E-4</v>
      </c>
      <c r="J684" s="25">
        <f>INDEX('Default Prob'!$C$3:$C$13, _xlfn.IFNA(MATCH(F684, 'Default Prob'!$B$3:$B$13, 1), 1))</f>
        <v>1.8200000000000001E-2</v>
      </c>
      <c r="K684" s="26">
        <f t="shared" si="133"/>
        <v>0.95440714540623195</v>
      </c>
      <c r="L684" s="27">
        <f t="shared" ca="1" si="134"/>
        <v>0</v>
      </c>
      <c r="M684" s="27">
        <f t="shared" ca="1" si="135"/>
        <v>1950.3523771002592</v>
      </c>
      <c r="N684" s="28">
        <f t="shared" ca="1" si="136"/>
        <v>0.31714626777652943</v>
      </c>
      <c r="O684" s="29">
        <f t="shared" ca="1" si="137"/>
        <v>600000</v>
      </c>
      <c r="P684" s="30">
        <f t="shared" ca="1" si="138"/>
        <v>97.565836256129927</v>
      </c>
    </row>
    <row r="685" spans="1:16" x14ac:dyDescent="0.25">
      <c r="A685" s="3">
        <f t="shared" si="139"/>
        <v>47071</v>
      </c>
      <c r="B685" s="21">
        <f t="shared" si="130"/>
        <v>36844</v>
      </c>
      <c r="C685" s="21">
        <f t="shared" si="131"/>
        <v>36880</v>
      </c>
      <c r="D685" s="1">
        <f t="shared" si="140"/>
        <v>0</v>
      </c>
      <c r="E685" s="3">
        <f t="array" ref="E685">INDEX($A$9:A684, MAX(IF($D$9:D684=1, ROW(D$9:$D684)-ROW($D$9)+1, 0)))</f>
        <v>47016</v>
      </c>
      <c r="F685" s="23">
        <f t="shared" si="132"/>
        <v>2.5900068446269677</v>
      </c>
      <c r="G685" s="5">
        <f>INDEX('Default Prob'!$P$5:$P$14,MIN(1+_xlfn.IFNA(MATCH(F685,'Default Prob'!$F$5:$F$14,1),0),COUNT('Default Prob'!$P$5:$P$14)))</f>
        <v>2.1918982658777085E-2</v>
      </c>
      <c r="H685" s="5">
        <f t="shared" si="141"/>
        <v>0.94622901062883491</v>
      </c>
      <c r="I685" s="24">
        <f t="shared" si="142"/>
        <v>5.6785762113764626E-5</v>
      </c>
      <c r="J685" s="25">
        <f>INDEX('Default Prob'!$C$3:$C$13, _xlfn.IFNA(MATCH(F685, 'Default Prob'!$B$3:$B$13, 1), 1))</f>
        <v>1.8200000000000001E-2</v>
      </c>
      <c r="K685" s="26">
        <f t="shared" si="133"/>
        <v>0.9543600171154204</v>
      </c>
      <c r="L685" s="27">
        <f t="shared" ca="1" si="134"/>
        <v>0</v>
      </c>
      <c r="M685" s="27">
        <f t="shared" ca="1" si="135"/>
        <v>1986.4700137132272</v>
      </c>
      <c r="N685" s="28">
        <f t="shared" ca="1" si="136"/>
        <v>0.10765487690476973</v>
      </c>
      <c r="O685" s="29">
        <f t="shared" ca="1" si="137"/>
        <v>600000</v>
      </c>
      <c r="P685" s="30">
        <f t="shared" ca="1" si="138"/>
        <v>32.516436541682758</v>
      </c>
    </row>
    <row r="686" spans="1:16" x14ac:dyDescent="0.25">
      <c r="A686" s="3">
        <f t="shared" si="139"/>
        <v>47072</v>
      </c>
      <c r="B686" s="21">
        <f t="shared" si="130"/>
        <v>36845</v>
      </c>
      <c r="C686" s="21">
        <f t="shared" si="131"/>
        <v>36880</v>
      </c>
      <c r="D686" s="1">
        <f t="shared" si="140"/>
        <v>0</v>
      </c>
      <c r="E686" s="3">
        <f t="array" ref="E686">INDEX($A$9:A685, MAX(IF($D$9:D685=1, ROW(D$9:$D685)-ROW($D$9)+1, 0)))</f>
        <v>47016</v>
      </c>
      <c r="F686" s="23">
        <f t="shared" si="132"/>
        <v>2.5927446954140998</v>
      </c>
      <c r="G686" s="5">
        <f>INDEX('Default Prob'!$P$5:$P$14,MIN(1+_xlfn.IFNA(MATCH(F686,'Default Prob'!$F$5:$F$14,1),0),COUNT('Default Prob'!$P$5:$P$14)))</f>
        <v>2.1918982658777085E-2</v>
      </c>
      <c r="H686" s="5">
        <f t="shared" si="141"/>
        <v>0.94617222827438385</v>
      </c>
      <c r="I686" s="24">
        <f t="shared" si="142"/>
        <v>5.678235445105706E-5</v>
      </c>
      <c r="J686" s="25">
        <f>INDEX('Default Prob'!$C$3:$C$13, _xlfn.IFNA(MATCH(F686, 'Default Prob'!$B$3:$B$13, 1), 1))</f>
        <v>1.8200000000000001E-2</v>
      </c>
      <c r="K686" s="26">
        <f t="shared" si="133"/>
        <v>0.9543128911517873</v>
      </c>
      <c r="L686" s="27">
        <f t="shared" ca="1" si="134"/>
        <v>0</v>
      </c>
      <c r="M686" s="27">
        <f t="shared" ca="1" si="135"/>
        <v>2022.587650326195</v>
      </c>
      <c r="N686" s="28">
        <f t="shared" ca="1" si="136"/>
        <v>0.10960024828166555</v>
      </c>
      <c r="O686" s="29">
        <f t="shared" ca="1" si="137"/>
        <v>600000</v>
      </c>
      <c r="P686" s="30">
        <f t="shared" ca="1" si="138"/>
        <v>32.512879705556294</v>
      </c>
    </row>
    <row r="687" spans="1:16" x14ac:dyDescent="0.25">
      <c r="A687" s="3">
        <f t="shared" si="139"/>
        <v>47073</v>
      </c>
      <c r="B687" s="21">
        <f t="shared" si="130"/>
        <v>36846</v>
      </c>
      <c r="C687" s="21">
        <f t="shared" si="131"/>
        <v>36880</v>
      </c>
      <c r="D687" s="1">
        <f t="shared" si="140"/>
        <v>0</v>
      </c>
      <c r="E687" s="3">
        <f t="array" ref="E687">INDEX($A$9:A686, MAX(IF($D$9:D686=1, ROW(D$9:$D686)-ROW($D$9)+1, 0)))</f>
        <v>47016</v>
      </c>
      <c r="F687" s="23">
        <f t="shared" si="132"/>
        <v>2.5954825462012319</v>
      </c>
      <c r="G687" s="5">
        <f>INDEX('Default Prob'!$P$5:$P$14,MIN(1+_xlfn.IFNA(MATCH(F687,'Default Prob'!$F$5:$F$14,1),0),COUNT('Default Prob'!$P$5:$P$14)))</f>
        <v>2.1918982658777085E-2</v>
      </c>
      <c r="H687" s="5">
        <f t="shared" si="141"/>
        <v>0.946115449327391</v>
      </c>
      <c r="I687" s="24">
        <f t="shared" si="142"/>
        <v>5.6778946992852575E-5</v>
      </c>
      <c r="J687" s="25">
        <f>INDEX('Default Prob'!$C$3:$C$13, _xlfn.IFNA(MATCH(F687, 'Default Prob'!$B$3:$B$13, 1), 1))</f>
        <v>1.8200000000000001E-2</v>
      </c>
      <c r="K687" s="26">
        <f t="shared" si="133"/>
        <v>0.95426576751521786</v>
      </c>
      <c r="L687" s="27">
        <f t="shared" ca="1" si="134"/>
        <v>0</v>
      </c>
      <c r="M687" s="27">
        <f t="shared" ca="1" si="135"/>
        <v>2058.7052869391628</v>
      </c>
      <c r="N687" s="28">
        <f t="shared" ca="1" si="136"/>
        <v>0.11154519277849481</v>
      </c>
      <c r="O687" s="29">
        <f t="shared" ca="1" si="137"/>
        <v>600000</v>
      </c>
      <c r="P687" s="30">
        <f t="shared" ca="1" si="138"/>
        <v>32.509323258504203</v>
      </c>
    </row>
    <row r="688" spans="1:16" x14ac:dyDescent="0.25">
      <c r="A688" s="3">
        <f t="shared" si="139"/>
        <v>47074</v>
      </c>
      <c r="B688" s="21">
        <f t="shared" si="130"/>
        <v>36847</v>
      </c>
      <c r="C688" s="21">
        <f t="shared" si="131"/>
        <v>36880</v>
      </c>
      <c r="D688" s="1">
        <f t="shared" si="140"/>
        <v>0</v>
      </c>
      <c r="E688" s="3">
        <f t="array" ref="E688">INDEX($A$9:A687, MAX(IF($D$9:D687=1, ROW(D$9:$D687)-ROW($D$9)+1, 0)))</f>
        <v>47016</v>
      </c>
      <c r="F688" s="23">
        <f t="shared" si="132"/>
        <v>2.5982203969883639</v>
      </c>
      <c r="G688" s="5">
        <f>INDEX('Default Prob'!$P$5:$P$14,MIN(1+_xlfn.IFNA(MATCH(F688,'Default Prob'!$F$5:$F$14,1),0),COUNT('Default Prob'!$P$5:$P$14)))</f>
        <v>2.1918982658777085E-2</v>
      </c>
      <c r="H688" s="5">
        <f t="shared" si="141"/>
        <v>0.94605867378765185</v>
      </c>
      <c r="I688" s="24">
        <f t="shared" si="142"/>
        <v>5.6775539739151171E-5</v>
      </c>
      <c r="J688" s="25">
        <f>INDEX('Default Prob'!$C$3:$C$13, _xlfn.IFNA(MATCH(F688, 'Default Prob'!$B$3:$B$13, 1), 1))</f>
        <v>1.8200000000000001E-2</v>
      </c>
      <c r="K688" s="26">
        <f t="shared" si="133"/>
        <v>0.95421864620559715</v>
      </c>
      <c r="L688" s="27">
        <f t="shared" ca="1" si="134"/>
        <v>0</v>
      </c>
      <c r="M688" s="27">
        <f t="shared" ca="1" si="135"/>
        <v>2094.8229235521303</v>
      </c>
      <c r="N688" s="28">
        <f t="shared" ca="1" si="136"/>
        <v>0.11348971046539566</v>
      </c>
      <c r="O688" s="29">
        <f t="shared" ca="1" si="137"/>
        <v>600000</v>
      </c>
      <c r="P688" s="30">
        <f t="shared" ca="1" si="138"/>
        <v>32.505767200490951</v>
      </c>
    </row>
    <row r="689" spans="1:16" x14ac:dyDescent="0.25">
      <c r="A689" s="3">
        <f t="shared" si="139"/>
        <v>47077</v>
      </c>
      <c r="B689" s="21">
        <f t="shared" si="130"/>
        <v>36850</v>
      </c>
      <c r="C689" s="21">
        <f t="shared" si="131"/>
        <v>36880</v>
      </c>
      <c r="D689" s="1">
        <f t="shared" si="140"/>
        <v>0</v>
      </c>
      <c r="E689" s="3">
        <f t="array" ref="E689">INDEX($A$9:A688, MAX(IF($D$9:D688=1, ROW(D$9:$D688)-ROW($D$9)+1, 0)))</f>
        <v>47016</v>
      </c>
      <c r="F689" s="23">
        <f t="shared" si="132"/>
        <v>2.6064339493497606</v>
      </c>
      <c r="G689" s="5">
        <f>INDEX('Default Prob'!$P$5:$P$14,MIN(1+_xlfn.IFNA(MATCH(F689,'Default Prob'!$F$5:$F$14,1),0),COUNT('Default Prob'!$P$5:$P$14)))</f>
        <v>2.1918982658777085E-2</v>
      </c>
      <c r="H689" s="5">
        <f t="shared" si="141"/>
        <v>0.94588836760991168</v>
      </c>
      <c r="I689" s="24">
        <f t="shared" si="142"/>
        <v>1.7030617774016488E-4</v>
      </c>
      <c r="J689" s="25">
        <f>INDEX('Default Prob'!$C$3:$C$13, _xlfn.IFNA(MATCH(F689, 'Default Prob'!$B$3:$B$13, 1), 1))</f>
        <v>1.8200000000000001E-2</v>
      </c>
      <c r="K689" s="26">
        <f t="shared" si="133"/>
        <v>0.95407729623727811</v>
      </c>
      <c r="L689" s="27">
        <f t="shared" ca="1" si="134"/>
        <v>0</v>
      </c>
      <c r="M689" s="27">
        <f t="shared" ca="1" si="135"/>
        <v>2203.1758333910338</v>
      </c>
      <c r="N689" s="28">
        <f t="shared" ca="1" si="136"/>
        <v>0.35798359280645969</v>
      </c>
      <c r="O689" s="29">
        <f t="shared" ca="1" si="137"/>
        <v>600000</v>
      </c>
      <c r="P689" s="30">
        <f t="shared" ca="1" si="138"/>
        <v>97.491154554505087</v>
      </c>
    </row>
    <row r="690" spans="1:16" x14ac:dyDescent="0.25">
      <c r="A690" s="3">
        <f t="shared" si="139"/>
        <v>47078</v>
      </c>
      <c r="B690" s="21">
        <f t="shared" si="130"/>
        <v>36851</v>
      </c>
      <c r="C690" s="21">
        <f t="shared" si="131"/>
        <v>36880</v>
      </c>
      <c r="D690" s="1">
        <f t="shared" si="140"/>
        <v>0</v>
      </c>
      <c r="E690" s="3">
        <f t="array" ref="E690">INDEX($A$9:A689, MAX(IF($D$9:D689=1, ROW(D$9:$D689)-ROW($D$9)+1, 0)))</f>
        <v>47016</v>
      </c>
      <c r="F690" s="23">
        <f t="shared" si="132"/>
        <v>2.6091718001368926</v>
      </c>
      <c r="G690" s="5">
        <f>INDEX('Default Prob'!$P$5:$P$14,MIN(1+_xlfn.IFNA(MATCH(F690,'Default Prob'!$F$5:$F$14,1),0),COUNT('Default Prob'!$P$5:$P$14)))</f>
        <v>2.1918982658777085E-2</v>
      </c>
      <c r="H690" s="5">
        <f t="shared" si="141"/>
        <v>0.94583160569714275</v>
      </c>
      <c r="I690" s="24">
        <f t="shared" si="142"/>
        <v>5.6761912768932277E-5</v>
      </c>
      <c r="J690" s="25">
        <f>INDEX('Default Prob'!$C$3:$C$13, _xlfn.IFNA(MATCH(F690, 'Default Prob'!$B$3:$B$13, 1), 1))</f>
        <v>1.8200000000000001E-2</v>
      </c>
      <c r="K690" s="26">
        <f t="shared" si="133"/>
        <v>0.95403018423430319</v>
      </c>
      <c r="L690" s="27">
        <f t="shared" ca="1" si="134"/>
        <v>0</v>
      </c>
      <c r="M690" s="27">
        <f t="shared" ca="1" si="135"/>
        <v>2239.2934700040018</v>
      </c>
      <c r="N690" s="28">
        <f t="shared" ca="1" si="136"/>
        <v>0.12126351451523067</v>
      </c>
      <c r="O690" s="29">
        <f t="shared" ca="1" si="137"/>
        <v>600000</v>
      </c>
      <c r="P690" s="30">
        <f t="shared" ca="1" si="138"/>
        <v>32.491546857861543</v>
      </c>
    </row>
    <row r="691" spans="1:16" x14ac:dyDescent="0.25">
      <c r="A691" s="3">
        <f t="shared" si="139"/>
        <v>47079</v>
      </c>
      <c r="B691" s="21">
        <f t="shared" si="130"/>
        <v>36852</v>
      </c>
      <c r="C691" s="21">
        <f t="shared" si="131"/>
        <v>36880</v>
      </c>
      <c r="D691" s="1">
        <f t="shared" si="140"/>
        <v>0</v>
      </c>
      <c r="E691" s="3">
        <f t="array" ref="E691">INDEX($A$9:A690, MAX(IF($D$9:D690=1, ROW(D$9:$D690)-ROW($D$9)+1, 0)))</f>
        <v>47016</v>
      </c>
      <c r="F691" s="23">
        <f t="shared" si="132"/>
        <v>2.6119096509240247</v>
      </c>
      <c r="G691" s="5">
        <f>INDEX('Default Prob'!$P$5:$P$14,MIN(1+_xlfn.IFNA(MATCH(F691,'Default Prob'!$F$5:$F$14,1),0),COUNT('Default Prob'!$P$5:$P$14)))</f>
        <v>2.1918982658777085E-2</v>
      </c>
      <c r="H691" s="5">
        <f t="shared" si="141"/>
        <v>0.94577484719060534</v>
      </c>
      <c r="I691" s="24">
        <f t="shared" si="142"/>
        <v>5.6758506537413211E-5</v>
      </c>
      <c r="J691" s="25">
        <f>INDEX('Default Prob'!$C$3:$C$13, _xlfn.IFNA(MATCH(F691, 'Default Prob'!$B$3:$B$13, 1), 1))</f>
        <v>1.8200000000000001E-2</v>
      </c>
      <c r="K691" s="26">
        <f t="shared" si="133"/>
        <v>0.95398307455770226</v>
      </c>
      <c r="L691" s="27">
        <f t="shared" ca="1" si="134"/>
        <v>0</v>
      </c>
      <c r="M691" s="27">
        <f t="shared" ca="1" si="135"/>
        <v>2275.4111066169694</v>
      </c>
      <c r="N691" s="28">
        <f t="shared" ca="1" si="136"/>
        <v>0.12320589920352472</v>
      </c>
      <c r="O691" s="29">
        <f t="shared" ca="1" si="137"/>
        <v>600000</v>
      </c>
      <c r="P691" s="30">
        <f t="shared" ca="1" si="138"/>
        <v>32.487992744318937</v>
      </c>
    </row>
    <row r="692" spans="1:16" x14ac:dyDescent="0.25">
      <c r="A692" s="3">
        <f t="shared" si="139"/>
        <v>47080</v>
      </c>
      <c r="B692" s="21">
        <f t="shared" si="130"/>
        <v>36853</v>
      </c>
      <c r="C692" s="21">
        <f t="shared" si="131"/>
        <v>36880</v>
      </c>
      <c r="D692" s="1">
        <f t="shared" si="140"/>
        <v>0</v>
      </c>
      <c r="E692" s="3">
        <f t="array" ref="E692">INDEX($A$9:A691, MAX(IF($D$9:D691=1, ROW(D$9:$D691)-ROW($D$9)+1, 0)))</f>
        <v>47016</v>
      </c>
      <c r="F692" s="23">
        <f t="shared" si="132"/>
        <v>2.6146475017111568</v>
      </c>
      <c r="G692" s="5">
        <f>INDEX('Default Prob'!$P$5:$P$14,MIN(1+_xlfn.IFNA(MATCH(F692,'Default Prob'!$F$5:$F$14,1),0),COUNT('Default Prob'!$P$5:$P$14)))</f>
        <v>2.1918982658777085E-2</v>
      </c>
      <c r="H692" s="5">
        <f t="shared" si="141"/>
        <v>0.94571809209009494</v>
      </c>
      <c r="I692" s="24">
        <f t="shared" si="142"/>
        <v>5.6755100510397227E-5</v>
      </c>
      <c r="J692" s="25">
        <f>INDEX('Default Prob'!$C$3:$C$13, _xlfn.IFNA(MATCH(F692, 'Default Prob'!$B$3:$B$13, 1), 1))</f>
        <v>1.8200000000000001E-2</v>
      </c>
      <c r="K692" s="26">
        <f t="shared" si="133"/>
        <v>0.95393596720736085</v>
      </c>
      <c r="L692" s="27">
        <f t="shared" ca="1" si="134"/>
        <v>0</v>
      </c>
      <c r="M692" s="27">
        <f t="shared" ca="1" si="135"/>
        <v>2311.5287432299369</v>
      </c>
      <c r="N692" s="28">
        <f t="shared" ca="1" si="136"/>
        <v>0.12514785750251711</v>
      </c>
      <c r="O692" s="29">
        <f t="shared" ca="1" si="137"/>
        <v>600000</v>
      </c>
      <c r="P692" s="30">
        <f t="shared" ca="1" si="138"/>
        <v>32.484439019602057</v>
      </c>
    </row>
    <row r="693" spans="1:16" x14ac:dyDescent="0.25">
      <c r="A693" s="3">
        <f t="shared" si="139"/>
        <v>47081</v>
      </c>
      <c r="B693" s="21">
        <f t="shared" si="130"/>
        <v>36854</v>
      </c>
      <c r="C693" s="21">
        <f t="shared" si="131"/>
        <v>36880</v>
      </c>
      <c r="D693" s="1">
        <f t="shared" si="140"/>
        <v>0</v>
      </c>
      <c r="E693" s="3">
        <f t="array" ref="E693">INDEX($A$9:A692, MAX(IF($D$9:D692=1, ROW(D$9:$D692)-ROW($D$9)+1, 0)))</f>
        <v>47016</v>
      </c>
      <c r="F693" s="23">
        <f t="shared" si="132"/>
        <v>2.6173853524982889</v>
      </c>
      <c r="G693" s="5">
        <f>INDEX('Default Prob'!$P$5:$P$14,MIN(1+_xlfn.IFNA(MATCH(F693,'Default Prob'!$F$5:$F$14,1),0),COUNT('Default Prob'!$P$5:$P$14)))</f>
        <v>2.1918982658777085E-2</v>
      </c>
      <c r="H693" s="5">
        <f t="shared" si="141"/>
        <v>0.94566134039540728</v>
      </c>
      <c r="I693" s="24">
        <f t="shared" si="142"/>
        <v>5.675169468766228E-5</v>
      </c>
      <c r="J693" s="25">
        <f>INDEX('Default Prob'!$C$3:$C$13, _xlfn.IFNA(MATCH(F693, 'Default Prob'!$B$3:$B$13, 1), 1))</f>
        <v>1.8200000000000001E-2</v>
      </c>
      <c r="K693" s="26">
        <f t="shared" si="133"/>
        <v>0.95388886218316393</v>
      </c>
      <c r="L693" s="27">
        <f t="shared" ca="1" si="134"/>
        <v>0</v>
      </c>
      <c r="M693" s="27">
        <f t="shared" ca="1" si="135"/>
        <v>2347.6463798429049</v>
      </c>
      <c r="N693" s="28">
        <f t="shared" ca="1" si="136"/>
        <v>0.12708938948178897</v>
      </c>
      <c r="O693" s="29">
        <f t="shared" ca="1" si="137"/>
        <v>600000</v>
      </c>
      <c r="P693" s="30">
        <f t="shared" ca="1" si="138"/>
        <v>32.480885683548287</v>
      </c>
    </row>
    <row r="694" spans="1:16" x14ac:dyDescent="0.25">
      <c r="A694" s="3">
        <f t="shared" si="139"/>
        <v>47084</v>
      </c>
      <c r="B694" s="21">
        <f t="shared" si="130"/>
        <v>36857</v>
      </c>
      <c r="C694" s="21">
        <f t="shared" si="131"/>
        <v>36880</v>
      </c>
      <c r="D694" s="1">
        <f t="shared" si="140"/>
        <v>0</v>
      </c>
      <c r="E694" s="3">
        <f t="array" ref="E694">INDEX($A$9:A693, MAX(IF($D$9:D693=1, ROW(D$9:$D693)-ROW($D$9)+1, 0)))</f>
        <v>47016</v>
      </c>
      <c r="F694" s="23">
        <f t="shared" si="132"/>
        <v>2.6255989048596851</v>
      </c>
      <c r="G694" s="5">
        <f>INDEX('Default Prob'!$P$5:$P$14,MIN(1+_xlfn.IFNA(MATCH(F694,'Default Prob'!$F$5:$F$14,1),0),COUNT('Default Prob'!$P$5:$P$14)))</f>
        <v>2.1918982658777085E-2</v>
      </c>
      <c r="H694" s="5">
        <f t="shared" si="141"/>
        <v>0.94549110574423645</v>
      </c>
      <c r="I694" s="24">
        <f t="shared" si="142"/>
        <v>1.7023465117083081E-4</v>
      </c>
      <c r="J694" s="25">
        <f>INDEX('Default Prob'!$C$3:$C$13, _xlfn.IFNA(MATCH(F694, 'Default Prob'!$B$3:$B$13, 1), 1))</f>
        <v>1.8200000000000001E-2</v>
      </c>
      <c r="K694" s="26">
        <f t="shared" si="133"/>
        <v>0.95374756106629122</v>
      </c>
      <c r="L694" s="27">
        <f t="shared" ca="1" si="134"/>
        <v>0</v>
      </c>
      <c r="M694" s="27">
        <f t="shared" ca="1" si="135"/>
        <v>2455.9992896818085</v>
      </c>
      <c r="N694" s="28">
        <f t="shared" ca="1" si="136"/>
        <v>0.39875821421200919</v>
      </c>
      <c r="O694" s="29">
        <f t="shared" ca="1" si="137"/>
        <v>600000</v>
      </c>
      <c r="P694" s="30">
        <f t="shared" ca="1" si="138"/>
        <v>97.416530017890452</v>
      </c>
    </row>
    <row r="695" spans="1:16" x14ac:dyDescent="0.25">
      <c r="A695" s="3">
        <f t="shared" si="139"/>
        <v>47085</v>
      </c>
      <c r="B695" s="21">
        <f t="shared" si="130"/>
        <v>36858</v>
      </c>
      <c r="C695" s="21">
        <f t="shared" si="131"/>
        <v>36880</v>
      </c>
      <c r="D695" s="1">
        <f t="shared" si="140"/>
        <v>0</v>
      </c>
      <c r="E695" s="3">
        <f t="array" ref="E695">INDEX($A$9:A694, MAX(IF($D$9:D694=1, ROW(D$9:$D694)-ROW($D$9)+1, 0)))</f>
        <v>47016</v>
      </c>
      <c r="F695" s="23">
        <f t="shared" si="132"/>
        <v>2.6283367556468171</v>
      </c>
      <c r="G695" s="5">
        <f>INDEX('Default Prob'!$P$5:$P$14,MIN(1+_xlfn.IFNA(MATCH(F695,'Default Prob'!$F$5:$F$14,1),0),COUNT('Default Prob'!$P$5:$P$14)))</f>
        <v>2.1918982658777085E-2</v>
      </c>
      <c r="H695" s="5">
        <f t="shared" si="141"/>
        <v>0.94543436767079581</v>
      </c>
      <c r="I695" s="24">
        <f t="shared" si="142"/>
        <v>5.6738073440643078E-5</v>
      </c>
      <c r="J695" s="25">
        <f>INDEX('Default Prob'!$C$3:$C$13, _xlfn.IFNA(MATCH(F695, 'Default Prob'!$B$3:$B$13, 1), 1))</f>
        <v>1.8200000000000001E-2</v>
      </c>
      <c r="K695" s="26">
        <f t="shared" si="133"/>
        <v>0.95370046534552377</v>
      </c>
      <c r="L695" s="27">
        <f t="shared" ca="1" si="134"/>
        <v>0</v>
      </c>
      <c r="M695" s="27">
        <f t="shared" ca="1" si="135"/>
        <v>2492.116926294776</v>
      </c>
      <c r="N695" s="28">
        <f t="shared" ca="1" si="136"/>
        <v>0.13485125560512062</v>
      </c>
      <c r="O695" s="29">
        <f t="shared" ca="1" si="137"/>
        <v>600000</v>
      </c>
      <c r="P695" s="30">
        <f t="shared" ca="1" si="138"/>
        <v>32.466676225889884</v>
      </c>
    </row>
    <row r="696" spans="1:16" x14ac:dyDescent="0.25">
      <c r="A696" s="3">
        <f t="shared" si="139"/>
        <v>47086</v>
      </c>
      <c r="B696" s="21">
        <f t="shared" si="130"/>
        <v>36859</v>
      </c>
      <c r="C696" s="21">
        <f t="shared" si="131"/>
        <v>36880</v>
      </c>
      <c r="D696" s="1">
        <f t="shared" si="140"/>
        <v>0</v>
      </c>
      <c r="E696" s="3">
        <f t="array" ref="E696">INDEX($A$9:A695, MAX(IF($D$9:D695=1, ROW(D$9:$D695)-ROW($D$9)+1, 0)))</f>
        <v>47016</v>
      </c>
      <c r="F696" s="23">
        <f t="shared" si="132"/>
        <v>2.6310746064339492</v>
      </c>
      <c r="G696" s="5">
        <f>INDEX('Default Prob'!$P$5:$P$14,MIN(1+_xlfn.IFNA(MATCH(F696,'Default Prob'!$F$5:$F$14,1),0),COUNT('Default Prob'!$P$5:$P$14)))</f>
        <v>2.1918982658777085E-2</v>
      </c>
      <c r="H696" s="5">
        <f t="shared" si="141"/>
        <v>0.94537763300215605</v>
      </c>
      <c r="I696" s="24">
        <f t="shared" si="142"/>
        <v>5.6734668639757402E-5</v>
      </c>
      <c r="J696" s="25">
        <f>INDEX('Default Prob'!$C$3:$C$13, _xlfn.IFNA(MATCH(F696, 'Default Prob'!$B$3:$B$13, 1), 1))</f>
        <v>1.8200000000000001E-2</v>
      </c>
      <c r="K696" s="26">
        <f t="shared" si="133"/>
        <v>0.95365337195032618</v>
      </c>
      <c r="L696" s="27">
        <f t="shared" ca="1" si="134"/>
        <v>0</v>
      </c>
      <c r="M696" s="27">
        <f t="shared" ca="1" si="135"/>
        <v>2528.2345629077436</v>
      </c>
      <c r="N696" s="28">
        <f t="shared" ca="1" si="136"/>
        <v>0.13679065703743218</v>
      </c>
      <c r="O696" s="29">
        <f t="shared" ca="1" si="137"/>
        <v>600000</v>
      </c>
      <c r="P696" s="30">
        <f t="shared" ca="1" si="138"/>
        <v>32.46312483287344</v>
      </c>
    </row>
    <row r="697" spans="1:16" x14ac:dyDescent="0.25">
      <c r="A697" s="3">
        <f t="shared" si="139"/>
        <v>47087</v>
      </c>
      <c r="B697" s="21">
        <f t="shared" si="130"/>
        <v>36860</v>
      </c>
      <c r="C697" s="21">
        <f t="shared" si="131"/>
        <v>36880</v>
      </c>
      <c r="D697" s="1">
        <f t="shared" si="140"/>
        <v>0</v>
      </c>
      <c r="E697" s="3">
        <f t="array" ref="E697">INDEX($A$9:A696, MAX(IF($D$9:D696=1, ROW(D$9:$D696)-ROW($D$9)+1, 0)))</f>
        <v>47016</v>
      </c>
      <c r="F697" s="23">
        <f t="shared" si="132"/>
        <v>2.6338124572210813</v>
      </c>
      <c r="G697" s="5">
        <f>INDEX('Default Prob'!$P$5:$P$14,MIN(1+_xlfn.IFNA(MATCH(F697,'Default Prob'!$F$5:$F$14,1),0),COUNT('Default Prob'!$P$5:$P$14)))</f>
        <v>2.1918982658777085E-2</v>
      </c>
      <c r="H697" s="5">
        <f t="shared" si="141"/>
        <v>0.9453209017381129</v>
      </c>
      <c r="I697" s="24">
        <f t="shared" si="142"/>
        <v>5.6731264043152763E-5</v>
      </c>
      <c r="J697" s="25">
        <f>INDEX('Default Prob'!$C$3:$C$13, _xlfn.IFNA(MATCH(F697, 'Default Prob'!$B$3:$B$13, 1), 1))</f>
        <v>1.8200000000000001E-2</v>
      </c>
      <c r="K697" s="26">
        <f t="shared" si="133"/>
        <v>0.95360628088058419</v>
      </c>
      <c r="L697" s="27">
        <f t="shared" ca="1" si="134"/>
        <v>0</v>
      </c>
      <c r="M697" s="27">
        <f t="shared" ca="1" si="135"/>
        <v>2564.3521995207116</v>
      </c>
      <c r="N697" s="28">
        <f t="shared" ca="1" si="136"/>
        <v>0.13872963257020746</v>
      </c>
      <c r="O697" s="29">
        <f t="shared" ca="1" si="137"/>
        <v>600000</v>
      </c>
      <c r="P697" s="30">
        <f t="shared" ca="1" si="138"/>
        <v>32.459573828307192</v>
      </c>
    </row>
    <row r="698" spans="1:16" x14ac:dyDescent="0.25">
      <c r="A698" s="3">
        <f t="shared" si="139"/>
        <v>47088</v>
      </c>
      <c r="B698" s="21">
        <f t="shared" si="130"/>
        <v>36861</v>
      </c>
      <c r="C698" s="21">
        <f t="shared" si="131"/>
        <v>36880</v>
      </c>
      <c r="D698" s="1">
        <f t="shared" si="140"/>
        <v>0</v>
      </c>
      <c r="E698" s="3">
        <f t="array" ref="E698">INDEX($A$9:A697, MAX(IF($D$9:D697=1, ROW(D$9:$D697)-ROW($D$9)+1, 0)))</f>
        <v>47016</v>
      </c>
      <c r="F698" s="23">
        <f t="shared" si="132"/>
        <v>2.6365503080082138</v>
      </c>
      <c r="G698" s="5">
        <f>INDEX('Default Prob'!$P$5:$P$14,MIN(1+_xlfn.IFNA(MATCH(F698,'Default Prob'!$F$5:$F$14,1),0),COUNT('Default Prob'!$P$5:$P$14)))</f>
        <v>2.1918982658777085E-2</v>
      </c>
      <c r="H698" s="5">
        <f t="shared" si="141"/>
        <v>0.94526417387846207</v>
      </c>
      <c r="I698" s="24">
        <f t="shared" si="142"/>
        <v>5.672785965082916E-5</v>
      </c>
      <c r="J698" s="25">
        <f>INDEX('Default Prob'!$C$3:$C$13, _xlfn.IFNA(MATCH(F698, 'Default Prob'!$B$3:$B$13, 1), 1))</f>
        <v>1.8200000000000001E-2</v>
      </c>
      <c r="K698" s="26">
        <f t="shared" si="133"/>
        <v>0.95355919213618268</v>
      </c>
      <c r="L698" s="27">
        <f t="shared" ca="1" si="134"/>
        <v>0</v>
      </c>
      <c r="M698" s="27">
        <f t="shared" ca="1" si="135"/>
        <v>2600.4698361336791</v>
      </c>
      <c r="N698" s="28">
        <f t="shared" ca="1" si="136"/>
        <v>0.14066818227344213</v>
      </c>
      <c r="O698" s="29">
        <f t="shared" ca="1" si="137"/>
        <v>600000</v>
      </c>
      <c r="P698" s="30">
        <f t="shared" ca="1" si="138"/>
        <v>32.456023212155642</v>
      </c>
    </row>
    <row r="699" spans="1:16" x14ac:dyDescent="0.25">
      <c r="A699" s="3">
        <f t="shared" si="139"/>
        <v>47091</v>
      </c>
      <c r="B699" s="21">
        <f t="shared" si="130"/>
        <v>36864</v>
      </c>
      <c r="C699" s="21">
        <f t="shared" si="131"/>
        <v>36880</v>
      </c>
      <c r="D699" s="1">
        <f t="shared" si="140"/>
        <v>0</v>
      </c>
      <c r="E699" s="3">
        <f t="array" ref="E699">INDEX($A$9:A698, MAX(IF($D$9:D698=1, ROW(D$9:$D698)-ROW($D$9)+1, 0)))</f>
        <v>47016</v>
      </c>
      <c r="F699" s="23">
        <f t="shared" si="132"/>
        <v>2.64476386036961</v>
      </c>
      <c r="G699" s="5">
        <f>INDEX('Default Prob'!$P$5:$P$14,MIN(1+_xlfn.IFNA(MATCH(F699,'Default Prob'!$F$5:$F$14,1),0),COUNT('Default Prob'!$P$5:$P$14)))</f>
        <v>2.1918982658777085E-2</v>
      </c>
      <c r="H699" s="5">
        <f t="shared" si="141"/>
        <v>0.94509401072382027</v>
      </c>
      <c r="I699" s="24">
        <f t="shared" si="142"/>
        <v>1.7016315464180032E-4</v>
      </c>
      <c r="J699" s="25">
        <f>INDEX('Default Prob'!$C$3:$C$13, _xlfn.IFNA(MATCH(F699, 'Default Prob'!$B$3:$B$13, 1), 1))</f>
        <v>1.8200000000000001E-2</v>
      </c>
      <c r="K699" s="26">
        <f t="shared" si="133"/>
        <v>0.95341793985387302</v>
      </c>
      <c r="L699" s="27">
        <f t="shared" ca="1" si="134"/>
        <v>0</v>
      </c>
      <c r="M699" s="27">
        <f t="shared" ca="1" si="135"/>
        <v>2708.8227459725827</v>
      </c>
      <c r="N699" s="28">
        <f t="shared" ca="1" si="136"/>
        <v>0.43947020405910264</v>
      </c>
      <c r="O699" s="29">
        <f t="shared" ca="1" si="137"/>
        <v>600000</v>
      </c>
      <c r="P699" s="30">
        <f t="shared" ca="1" si="138"/>
        <v>97.341962602572764</v>
      </c>
    </row>
    <row r="700" spans="1:16" x14ac:dyDescent="0.25">
      <c r="A700" s="3">
        <f t="shared" si="139"/>
        <v>47092</v>
      </c>
      <c r="B700" s="21">
        <f t="shared" si="130"/>
        <v>36865</v>
      </c>
      <c r="C700" s="21">
        <f t="shared" si="131"/>
        <v>36880</v>
      </c>
      <c r="D700" s="1">
        <f t="shared" si="140"/>
        <v>0</v>
      </c>
      <c r="E700" s="3">
        <f t="array" ref="E700">INDEX($A$9:A699, MAX(IF($D$9:D699=1, ROW(D$9:$D699)-ROW($D$9)+1, 0)))</f>
        <v>47016</v>
      </c>
      <c r="F700" s="23">
        <f t="shared" si="132"/>
        <v>2.647501711156742</v>
      </c>
      <c r="G700" s="5">
        <f>INDEX('Default Prob'!$P$5:$P$14,MIN(1+_xlfn.IFNA(MATCH(F700,'Default Prob'!$F$5:$F$14,1),0),COUNT('Default Prob'!$P$5:$P$14)))</f>
        <v>2.1918982658777085E-2</v>
      </c>
      <c r="H700" s="5">
        <f t="shared" si="141"/>
        <v>0.94503729647969581</v>
      </c>
      <c r="I700" s="24">
        <f t="shared" si="142"/>
        <v>5.6714244124456137E-5</v>
      </c>
      <c r="J700" s="25">
        <f>INDEX('Default Prob'!$C$3:$C$13, _xlfn.IFNA(MATCH(F700, 'Default Prob'!$B$3:$B$13, 1), 1))</f>
        <v>1.8200000000000001E-2</v>
      </c>
      <c r="K700" s="26">
        <f t="shared" si="133"/>
        <v>0.95337086040968555</v>
      </c>
      <c r="L700" s="27">
        <f t="shared" ca="1" si="134"/>
        <v>0</v>
      </c>
      <c r="M700" s="27">
        <f t="shared" ca="1" si="135"/>
        <v>2744.9403825855502</v>
      </c>
      <c r="N700" s="28">
        <f t="shared" ca="1" si="136"/>
        <v>0.14841812419088235</v>
      </c>
      <c r="O700" s="29">
        <f t="shared" ca="1" si="137"/>
        <v>600000</v>
      </c>
      <c r="P700" s="30">
        <f t="shared" ca="1" si="138"/>
        <v>32.441824631050622</v>
      </c>
    </row>
    <row r="701" spans="1:16" x14ac:dyDescent="0.25">
      <c r="A701" s="3">
        <f t="shared" si="139"/>
        <v>47093</v>
      </c>
      <c r="B701" s="21">
        <f t="shared" si="130"/>
        <v>36866</v>
      </c>
      <c r="C701" s="21">
        <f t="shared" si="131"/>
        <v>36880</v>
      </c>
      <c r="D701" s="1">
        <f t="shared" si="140"/>
        <v>0</v>
      </c>
      <c r="E701" s="3">
        <f t="array" ref="E701">INDEX($A$9:A700, MAX(IF($D$9:D700=1, ROW(D$9:$D700)-ROW($D$9)+1, 0)))</f>
        <v>47016</v>
      </c>
      <c r="F701" s="23">
        <f t="shared" si="132"/>
        <v>2.6502395619438741</v>
      </c>
      <c r="G701" s="5">
        <f>INDEX('Default Prob'!$P$5:$P$14,MIN(1+_xlfn.IFNA(MATCH(F701,'Default Prob'!$F$5:$F$14,1),0),COUNT('Default Prob'!$P$5:$P$14)))</f>
        <v>2.1918982658777085E-2</v>
      </c>
      <c r="H701" s="5">
        <f t="shared" si="141"/>
        <v>0.94498058563894227</v>
      </c>
      <c r="I701" s="24">
        <f t="shared" si="142"/>
        <v>5.6710840753537717E-5</v>
      </c>
      <c r="J701" s="25">
        <f>INDEX('Default Prob'!$C$3:$C$13, _xlfn.IFNA(MATCH(F701, 'Default Prob'!$B$3:$B$13, 1), 1))</f>
        <v>1.8200000000000001E-2</v>
      </c>
      <c r="K701" s="26">
        <f t="shared" si="133"/>
        <v>0.95332378329026446</v>
      </c>
      <c r="L701" s="27">
        <f t="shared" ca="1" si="134"/>
        <v>0</v>
      </c>
      <c r="M701" s="27">
        <f t="shared" ca="1" si="135"/>
        <v>2781.0580191985182</v>
      </c>
      <c r="N701" s="28">
        <f t="shared" ca="1" si="136"/>
        <v>0.15035454579605592</v>
      </c>
      <c r="O701" s="29">
        <f t="shared" ca="1" si="137"/>
        <v>600000</v>
      </c>
      <c r="P701" s="30">
        <f t="shared" ca="1" si="138"/>
        <v>32.43827595644057</v>
      </c>
    </row>
    <row r="702" spans="1:16" x14ac:dyDescent="0.25">
      <c r="A702" s="3">
        <f t="shared" si="139"/>
        <v>47094</v>
      </c>
      <c r="B702" s="21">
        <f t="shared" si="130"/>
        <v>36867</v>
      </c>
      <c r="C702" s="21">
        <f t="shared" si="131"/>
        <v>36880</v>
      </c>
      <c r="D702" s="1">
        <f t="shared" si="140"/>
        <v>0</v>
      </c>
      <c r="E702" s="3">
        <f t="array" ref="E702">INDEX($A$9:A701, MAX(IF($D$9:D701=1, ROW(D$9:$D701)-ROW($D$9)+1, 0)))</f>
        <v>47016</v>
      </c>
      <c r="F702" s="23">
        <f t="shared" si="132"/>
        <v>2.6529774127310062</v>
      </c>
      <c r="G702" s="5">
        <f>INDEX('Default Prob'!$P$5:$P$14,MIN(1+_xlfn.IFNA(MATCH(F702,'Default Prob'!$F$5:$F$14,1),0),COUNT('Default Prob'!$P$5:$P$14)))</f>
        <v>2.1918982658777085E-2</v>
      </c>
      <c r="H702" s="5">
        <f t="shared" si="141"/>
        <v>0.94492387820135537</v>
      </c>
      <c r="I702" s="24">
        <f t="shared" si="142"/>
        <v>5.6707437586900333E-5</v>
      </c>
      <c r="J702" s="25">
        <f>INDEX('Default Prob'!$C$3:$C$13, _xlfn.IFNA(MATCH(F702, 'Default Prob'!$B$3:$B$13, 1), 1))</f>
        <v>1.8200000000000001E-2</v>
      </c>
      <c r="K702" s="26">
        <f t="shared" si="133"/>
        <v>0.95327670849549517</v>
      </c>
      <c r="L702" s="27">
        <f t="shared" ca="1" si="134"/>
        <v>0</v>
      </c>
      <c r="M702" s="27">
        <f t="shared" ca="1" si="135"/>
        <v>2817.1756558114857</v>
      </c>
      <c r="N702" s="28">
        <f t="shared" ca="1" si="136"/>
        <v>0.15229054199148434</v>
      </c>
      <c r="O702" s="29">
        <f t="shared" ca="1" si="137"/>
        <v>600000</v>
      </c>
      <c r="P702" s="30">
        <f t="shared" ca="1" si="138"/>
        <v>32.434727670032444</v>
      </c>
    </row>
    <row r="703" spans="1:16" x14ac:dyDescent="0.25">
      <c r="A703" s="3">
        <f t="shared" si="139"/>
        <v>47095</v>
      </c>
      <c r="B703" s="21">
        <f t="shared" si="130"/>
        <v>36868</v>
      </c>
      <c r="C703" s="21">
        <f t="shared" si="131"/>
        <v>36880</v>
      </c>
      <c r="D703" s="1">
        <f t="shared" si="140"/>
        <v>0</v>
      </c>
      <c r="E703" s="3">
        <f t="array" ref="E703">INDEX($A$9:A702, MAX(IF($D$9:D702=1, ROW(D$9:$D702)-ROW($D$9)+1, 0)))</f>
        <v>47016</v>
      </c>
      <c r="F703" s="23">
        <f t="shared" si="132"/>
        <v>2.6557152635181382</v>
      </c>
      <c r="G703" s="5">
        <f>INDEX('Default Prob'!$P$5:$P$14,MIN(1+_xlfn.IFNA(MATCH(F703,'Default Prob'!$F$5:$F$14,1),0),COUNT('Default Prob'!$P$5:$P$14)))</f>
        <v>2.1918982658777085E-2</v>
      </c>
      <c r="H703" s="5">
        <f t="shared" si="141"/>
        <v>0.94486717416673094</v>
      </c>
      <c r="I703" s="24">
        <f t="shared" si="142"/>
        <v>5.6704034624432964E-5</v>
      </c>
      <c r="J703" s="25">
        <f>INDEX('Default Prob'!$C$3:$C$13, _xlfn.IFNA(MATCH(F703, 'Default Prob'!$B$3:$B$13, 1), 1))</f>
        <v>1.8200000000000001E-2</v>
      </c>
      <c r="K703" s="26">
        <f t="shared" si="133"/>
        <v>0.95322963602526256</v>
      </c>
      <c r="L703" s="27">
        <f t="shared" ca="1" si="134"/>
        <v>0</v>
      </c>
      <c r="M703" s="27">
        <f t="shared" ca="1" si="135"/>
        <v>2853.2932924244533</v>
      </c>
      <c r="N703" s="28">
        <f t="shared" ca="1" si="136"/>
        <v>0.15422611284680174</v>
      </c>
      <c r="O703" s="29">
        <f t="shared" ca="1" si="137"/>
        <v>600000</v>
      </c>
      <c r="P703" s="30">
        <f t="shared" ca="1" si="138"/>
        <v>32.431179771727273</v>
      </c>
    </row>
    <row r="704" spans="1:16" x14ac:dyDescent="0.25">
      <c r="A704" s="3">
        <f t="shared" si="139"/>
        <v>47098</v>
      </c>
      <c r="B704" s="21">
        <f t="shared" si="130"/>
        <v>36871</v>
      </c>
      <c r="C704" s="21">
        <f t="shared" si="131"/>
        <v>36880</v>
      </c>
      <c r="D704" s="1">
        <f t="shared" si="140"/>
        <v>0</v>
      </c>
      <c r="E704" s="3">
        <f t="array" ref="E704">INDEX($A$9:A703, MAX(IF($D$9:D703=1, ROW(D$9:$D703)-ROW($D$9)+1, 0)))</f>
        <v>47016</v>
      </c>
      <c r="F704" s="23">
        <f t="shared" si="132"/>
        <v>2.6639288158795345</v>
      </c>
      <c r="G704" s="5">
        <f>INDEX('Default Prob'!$P$5:$P$14,MIN(1+_xlfn.IFNA(MATCH(F704,'Default Prob'!$F$5:$F$14,1),0),COUNT('Default Prob'!$P$5:$P$14)))</f>
        <v>2.1918982658777085E-2</v>
      </c>
      <c r="H704" s="5">
        <f t="shared" si="141"/>
        <v>0.94469708247859052</v>
      </c>
      <c r="I704" s="24">
        <f t="shared" si="142"/>
        <v>1.7009168814041686E-4</v>
      </c>
      <c r="J704" s="25">
        <f>INDEX('Default Prob'!$C$3:$C$13, _xlfn.IFNA(MATCH(F704, 'Default Prob'!$B$3:$B$13, 1), 1))</f>
        <v>1.8200000000000001E-2</v>
      </c>
      <c r="K704" s="26">
        <f t="shared" si="133"/>
        <v>0.95308843256063869</v>
      </c>
      <c r="L704" s="27">
        <f t="shared" ca="1" si="134"/>
        <v>0</v>
      </c>
      <c r="M704" s="27">
        <f t="shared" ca="1" si="135"/>
        <v>2961.6462022633568</v>
      </c>
      <c r="N704" s="28">
        <f t="shared" ca="1" si="136"/>
        <v>0.48011963433982369</v>
      </c>
      <c r="O704" s="29">
        <f t="shared" ca="1" si="137"/>
        <v>600000</v>
      </c>
      <c r="P704" s="30">
        <f t="shared" ca="1" si="138"/>
        <v>97.267452264805726</v>
      </c>
    </row>
    <row r="705" spans="1:16" x14ac:dyDescent="0.25">
      <c r="A705" s="3">
        <f t="shared" si="139"/>
        <v>47099</v>
      </c>
      <c r="B705" s="21">
        <f t="shared" si="130"/>
        <v>36872</v>
      </c>
      <c r="C705" s="21">
        <f t="shared" si="131"/>
        <v>36880</v>
      </c>
      <c r="D705" s="1">
        <f t="shared" si="140"/>
        <v>0</v>
      </c>
      <c r="E705" s="3">
        <f t="array" ref="E705">INDEX($A$9:A704, MAX(IF($D$9:D704=1, ROW(D$9:$D704)-ROW($D$9)+1, 0)))</f>
        <v>47016</v>
      </c>
      <c r="F705" s="23">
        <f t="shared" si="132"/>
        <v>2.6666666666666665</v>
      </c>
      <c r="G705" s="5">
        <f>INDEX('Default Prob'!$P$5:$P$14,MIN(1+_xlfn.IFNA(MATCH(F705,'Default Prob'!$F$5:$F$14,1),0),COUNT('Default Prob'!$P$5:$P$14)))</f>
        <v>2.1918982658777085E-2</v>
      </c>
      <c r="H705" s="5">
        <f t="shared" si="141"/>
        <v>0.94464039205377404</v>
      </c>
      <c r="I705" s="24">
        <f t="shared" si="142"/>
        <v>5.6690424816485674E-5</v>
      </c>
      <c r="J705" s="25">
        <f>INDEX('Default Prob'!$C$3:$C$13, _xlfn.IFNA(MATCH(F705, 'Default Prob'!$B$3:$B$13, 1), 1))</f>
        <v>1.8200000000000001E-2</v>
      </c>
      <c r="K705" s="26">
        <f t="shared" si="133"/>
        <v>0.95304136938740591</v>
      </c>
      <c r="L705" s="27">
        <f t="shared" ca="1" si="134"/>
        <v>0</v>
      </c>
      <c r="M705" s="27">
        <f t="shared" ca="1" si="135"/>
        <v>2997.7638388763244</v>
      </c>
      <c r="N705" s="28">
        <f t="shared" ca="1" si="136"/>
        <v>0.16196414426579064</v>
      </c>
      <c r="O705" s="29">
        <f t="shared" ca="1" si="137"/>
        <v>600000</v>
      </c>
      <c r="P705" s="30">
        <f t="shared" ca="1" si="138"/>
        <v>32.416992058954371</v>
      </c>
    </row>
    <row r="706" spans="1:16" x14ac:dyDescent="0.25">
      <c r="A706" s="3">
        <f t="shared" si="139"/>
        <v>47100</v>
      </c>
      <c r="B706" s="21">
        <f t="shared" si="130"/>
        <v>36873</v>
      </c>
      <c r="C706" s="21">
        <f t="shared" si="131"/>
        <v>36880</v>
      </c>
      <c r="D706" s="1">
        <f t="shared" si="140"/>
        <v>0</v>
      </c>
      <c r="E706" s="3">
        <f t="array" ref="E706">INDEX($A$9:A705, MAX(IF($D$9:D705=1, ROW(D$9:$D705)-ROW($D$9)+1, 0)))</f>
        <v>47016</v>
      </c>
      <c r="F706" s="23">
        <f t="shared" si="132"/>
        <v>2.6694045174537986</v>
      </c>
      <c r="G706" s="5">
        <f>INDEX('Default Prob'!$P$5:$P$14,MIN(1+_xlfn.IFNA(MATCH(F706,'Default Prob'!$F$5:$F$14,1),0),COUNT('Default Prob'!$P$5:$P$14)))</f>
        <v>2.1918982658777085E-2</v>
      </c>
      <c r="H706" s="5">
        <f t="shared" si="141"/>
        <v>0.94458370503089917</v>
      </c>
      <c r="I706" s="24">
        <f t="shared" si="142"/>
        <v>5.6687022874868376E-5</v>
      </c>
      <c r="J706" s="25">
        <f>INDEX('Default Prob'!$C$3:$C$13, _xlfn.IFNA(MATCH(F706, 'Default Prob'!$B$3:$B$13, 1), 1))</f>
        <v>1.8200000000000001E-2</v>
      </c>
      <c r="K706" s="26">
        <f t="shared" si="133"/>
        <v>0.95299430853813627</v>
      </c>
      <c r="L706" s="27">
        <f t="shared" ca="1" si="134"/>
        <v>0</v>
      </c>
      <c r="M706" s="27">
        <f t="shared" ca="1" si="135"/>
        <v>3033.8814754892928</v>
      </c>
      <c r="N706" s="28">
        <f t="shared" ca="1" si="136"/>
        <v>0.16389758946913227</v>
      </c>
      <c r="O706" s="29">
        <f t="shared" ca="1" si="137"/>
        <v>600000</v>
      </c>
      <c r="P706" s="30">
        <f t="shared" ca="1" si="138"/>
        <v>32.41344610063242</v>
      </c>
    </row>
    <row r="707" spans="1:16" x14ac:dyDescent="0.25">
      <c r="A707" s="3">
        <f t="shared" si="139"/>
        <v>47101</v>
      </c>
      <c r="B707" s="21">
        <f t="shared" si="130"/>
        <v>36874</v>
      </c>
      <c r="C707" s="21">
        <f t="shared" si="131"/>
        <v>36880</v>
      </c>
      <c r="D707" s="1">
        <f t="shared" si="140"/>
        <v>0</v>
      </c>
      <c r="E707" s="3">
        <f t="array" ref="E707">INDEX($A$9:A706, MAX(IF($D$9:D706=1, ROW(D$9:$D706)-ROW($D$9)+1, 0)))</f>
        <v>47016</v>
      </c>
      <c r="F707" s="23">
        <f t="shared" si="132"/>
        <v>2.6721423682409307</v>
      </c>
      <c r="G707" s="5">
        <f>INDEX('Default Prob'!$P$5:$P$14,MIN(1+_xlfn.IFNA(MATCH(F707,'Default Prob'!$F$5:$F$14,1),0),COUNT('Default Prob'!$P$5:$P$14)))</f>
        <v>2.1918982658777085E-2</v>
      </c>
      <c r="H707" s="5">
        <f t="shared" si="141"/>
        <v>0.94452702140976175</v>
      </c>
      <c r="I707" s="24">
        <f t="shared" si="142"/>
        <v>5.6683621137421092E-5</v>
      </c>
      <c r="J707" s="25">
        <f>INDEX('Default Prob'!$C$3:$C$13, _xlfn.IFNA(MATCH(F707, 'Default Prob'!$B$3:$B$13, 1), 1))</f>
        <v>1.8200000000000001E-2</v>
      </c>
      <c r="K707" s="26">
        <f t="shared" si="133"/>
        <v>0.95294725001271474</v>
      </c>
      <c r="L707" s="27">
        <f t="shared" ca="1" si="134"/>
        <v>0</v>
      </c>
      <c r="M707" s="27">
        <f t="shared" ca="1" si="135"/>
        <v>3069.9991121022604</v>
      </c>
      <c r="N707" s="28">
        <f t="shared" ca="1" si="136"/>
        <v>0.16583060975173178</v>
      </c>
      <c r="O707" s="29">
        <f t="shared" ca="1" si="137"/>
        <v>600000</v>
      </c>
      <c r="P707" s="30">
        <f t="shared" ca="1" si="138"/>
        <v>32.409900530200808</v>
      </c>
    </row>
    <row r="708" spans="1:16" x14ac:dyDescent="0.25">
      <c r="A708" s="3">
        <f t="shared" si="139"/>
        <v>47102</v>
      </c>
      <c r="B708" s="21">
        <f t="shared" si="130"/>
        <v>36875</v>
      </c>
      <c r="C708" s="21">
        <f t="shared" si="131"/>
        <v>36880</v>
      </c>
      <c r="D708" s="1">
        <f t="shared" si="140"/>
        <v>0</v>
      </c>
      <c r="E708" s="3">
        <f t="array" ref="E708">INDEX($A$9:A707, MAX(IF($D$9:D707=1, ROW(D$9:$D707)-ROW($D$9)+1, 0)))</f>
        <v>47016</v>
      </c>
      <c r="F708" s="23">
        <f t="shared" si="132"/>
        <v>2.6748802190280632</v>
      </c>
      <c r="G708" s="5">
        <f>INDEX('Default Prob'!$P$5:$P$14,MIN(1+_xlfn.IFNA(MATCH(F708,'Default Prob'!$F$5:$F$14,1),0),COUNT('Default Prob'!$P$5:$P$14)))</f>
        <v>2.1918982658777085E-2</v>
      </c>
      <c r="H708" s="5">
        <f t="shared" si="141"/>
        <v>0.9444703411901576</v>
      </c>
      <c r="I708" s="24">
        <f t="shared" si="142"/>
        <v>5.6680219604143822E-5</v>
      </c>
      <c r="J708" s="25">
        <f>INDEX('Default Prob'!$C$3:$C$13, _xlfn.IFNA(MATCH(F708, 'Default Prob'!$B$3:$B$13, 1), 1))</f>
        <v>1.8200000000000001E-2</v>
      </c>
      <c r="K708" s="26">
        <f t="shared" si="133"/>
        <v>0.95290019381102697</v>
      </c>
      <c r="L708" s="27">
        <f t="shared" ca="1" si="134"/>
        <v>0</v>
      </c>
      <c r="M708" s="27">
        <f t="shared" ca="1" si="135"/>
        <v>3106.1167487152284</v>
      </c>
      <c r="N708" s="28">
        <f t="shared" ca="1" si="136"/>
        <v>0.16776320518345436</v>
      </c>
      <c r="O708" s="29">
        <f t="shared" ca="1" si="137"/>
        <v>600000</v>
      </c>
      <c r="P708" s="30">
        <f t="shared" ca="1" si="138"/>
        <v>32.406355347624128</v>
      </c>
    </row>
    <row r="709" spans="1:16" x14ac:dyDescent="0.25">
      <c r="A709" s="3">
        <f t="shared" si="139"/>
        <v>47105</v>
      </c>
      <c r="B709" s="21">
        <f t="shared" si="130"/>
        <v>36878</v>
      </c>
      <c r="C709" s="21">
        <f t="shared" si="131"/>
        <v>36880</v>
      </c>
      <c r="D709" s="1">
        <f t="shared" si="140"/>
        <v>0</v>
      </c>
      <c r="E709" s="3">
        <f t="array" ref="E709">INDEX($A$9:A708, MAX(IF($D$9:D708=1, ROW(D$9:$D708)-ROW($D$9)+1, 0)))</f>
        <v>47016</v>
      </c>
      <c r="F709" s="23">
        <f t="shared" si="132"/>
        <v>2.6830937713894594</v>
      </c>
      <c r="G709" s="5">
        <f>INDEX('Default Prob'!$P$5:$P$14,MIN(1+_xlfn.IFNA(MATCH(F709,'Default Prob'!$F$5:$F$14,1),0),COUNT('Default Prob'!$P$5:$P$14)))</f>
        <v>2.1918982658777085E-2</v>
      </c>
      <c r="H709" s="5">
        <f t="shared" si="141"/>
        <v>0.94430032093850347</v>
      </c>
      <c r="I709" s="24">
        <f t="shared" si="142"/>
        <v>1.7002025165413492E-4</v>
      </c>
      <c r="J709" s="25">
        <f>INDEX('Default Prob'!$C$3:$C$13, _xlfn.IFNA(MATCH(F709, 'Default Prob'!$B$3:$B$13, 1), 1))</f>
        <v>1.8200000000000001E-2</v>
      </c>
      <c r="K709" s="26">
        <f t="shared" si="133"/>
        <v>0.95275903914721671</v>
      </c>
      <c r="L709" s="27">
        <f t="shared" ca="1" si="134"/>
        <v>0</v>
      </c>
      <c r="M709" s="27">
        <f t="shared" ca="1" si="135"/>
        <v>3214.4696585541315</v>
      </c>
      <c r="N709" s="28">
        <f t="shared" ca="1" si="136"/>
        <v>0.52070657697302514</v>
      </c>
      <c r="O709" s="29">
        <f t="shared" ca="1" si="137"/>
        <v>600000</v>
      </c>
      <c r="P709" s="30">
        <f t="shared" ca="1" si="138"/>
        <v>97.192998960936947</v>
      </c>
    </row>
    <row r="710" spans="1:16" x14ac:dyDescent="0.25">
      <c r="A710" s="3">
        <f t="shared" si="139"/>
        <v>47106</v>
      </c>
      <c r="B710" s="21">
        <f t="shared" si="130"/>
        <v>36879</v>
      </c>
      <c r="C710" s="21">
        <f t="shared" si="131"/>
        <v>36880</v>
      </c>
      <c r="D710" s="1">
        <f t="shared" si="140"/>
        <v>0</v>
      </c>
      <c r="E710" s="3">
        <f t="array" ref="E710">INDEX($A$9:A709, MAX(IF($D$9:D709=1, ROW(D$9:$D709)-ROW($D$9)+1, 0)))</f>
        <v>47016</v>
      </c>
      <c r="F710" s="23">
        <f t="shared" si="132"/>
        <v>2.6858316221765914</v>
      </c>
      <c r="G710" s="5">
        <f>INDEX('Default Prob'!$P$5:$P$14,MIN(1+_xlfn.IFNA(MATCH(F710,'Default Prob'!$F$5:$F$14,1),0),COUNT('Default Prob'!$P$5:$P$14)))</f>
        <v>2.1918982658777085E-2</v>
      </c>
      <c r="H710" s="5">
        <f t="shared" si="141"/>
        <v>0.94424365432299129</v>
      </c>
      <c r="I710" s="24">
        <f t="shared" si="142"/>
        <v>5.6666615512179774E-5</v>
      </c>
      <c r="J710" s="25">
        <f>INDEX('Default Prob'!$C$3:$C$13, _xlfn.IFNA(MATCH(F710, 'Default Prob'!$B$3:$B$13, 1), 1))</f>
        <v>1.8200000000000001E-2</v>
      </c>
      <c r="K710" s="26">
        <f t="shared" si="133"/>
        <v>0.95271199223931569</v>
      </c>
      <c r="L710" s="27">
        <f t="shared" ca="1" si="134"/>
        <v>0</v>
      </c>
      <c r="M710" s="27">
        <f t="shared" ca="1" si="135"/>
        <v>3250.587295167099</v>
      </c>
      <c r="N710" s="28">
        <f t="shared" ca="1" si="136"/>
        <v>0.17548933979685771</v>
      </c>
      <c r="O710" s="29">
        <f t="shared" ca="1" si="137"/>
        <v>600000</v>
      </c>
      <c r="P710" s="30">
        <f t="shared" ca="1" si="138"/>
        <v>32.392178494840863</v>
      </c>
    </row>
    <row r="711" spans="1:16" x14ac:dyDescent="0.25">
      <c r="A711" s="3">
        <f t="shared" si="139"/>
        <v>47107</v>
      </c>
      <c r="B711" s="21">
        <f t="shared" si="130"/>
        <v>36880</v>
      </c>
      <c r="C711" s="21">
        <f t="shared" si="131"/>
        <v>36880</v>
      </c>
      <c r="D711" s="1">
        <f t="shared" si="140"/>
        <v>1</v>
      </c>
      <c r="E711" s="3">
        <f t="array" ref="E711">INDEX($A$9:A710, MAX(IF($D$9:D710=1, ROW(D$9:$D710)-ROW($D$9)+1, 0)))</f>
        <v>47016</v>
      </c>
      <c r="F711" s="23">
        <f t="shared" si="132"/>
        <v>2.6885694729637235</v>
      </c>
      <c r="G711" s="5">
        <f>INDEX('Default Prob'!$P$5:$P$14,MIN(1+_xlfn.IFNA(MATCH(F711,'Default Prob'!$F$5:$F$14,1),0),COUNT('Default Prob'!$P$5:$P$14)))</f>
        <v>2.1918982658777085E-2</v>
      </c>
      <c r="H711" s="5">
        <f t="shared" si="141"/>
        <v>0.94418699110799187</v>
      </c>
      <c r="I711" s="24">
        <f t="shared" si="142"/>
        <v>5.6663214999419509E-5</v>
      </c>
      <c r="J711" s="25">
        <f>INDEX('Default Prob'!$C$3:$C$13, _xlfn.IFNA(MATCH(F711, 'Default Prob'!$B$3:$B$13, 1), 1))</f>
        <v>1.8200000000000001E-2</v>
      </c>
      <c r="K711" s="26">
        <f t="shared" si="133"/>
        <v>0.95266494765457421</v>
      </c>
      <c r="L711" s="27">
        <f t="shared" ca="1" si="134"/>
        <v>3286.7049317800665</v>
      </c>
      <c r="M711" s="27">
        <f t="shared" ca="1" si="135"/>
        <v>3286.7049317800665</v>
      </c>
      <c r="N711" s="28">
        <f t="shared" ca="1" si="136"/>
        <v>2956.5482942248263</v>
      </c>
      <c r="O711" s="29">
        <f t="shared" ca="1" si="137"/>
        <v>600000</v>
      </c>
      <c r="P711" s="30">
        <f t="shared" ca="1" si="138"/>
        <v>32.388635250817124</v>
      </c>
    </row>
    <row r="712" spans="1:16" x14ac:dyDescent="0.25">
      <c r="A712" s="3">
        <f t="shared" si="139"/>
        <v>47108</v>
      </c>
      <c r="B712" s="21">
        <f t="shared" si="130"/>
        <v>36881</v>
      </c>
      <c r="C712" s="21">
        <f t="shared" si="131"/>
        <v>36605</v>
      </c>
      <c r="D712" s="1">
        <f t="shared" si="140"/>
        <v>0</v>
      </c>
      <c r="E712" s="3">
        <f t="array" ref="E712">INDEX($A$9:A711, MAX(IF($D$9:D711=1, ROW(D$9:$D711)-ROW($D$9)+1, 0)))</f>
        <v>47107</v>
      </c>
      <c r="F712" s="23">
        <f t="shared" si="132"/>
        <v>2.6913073237508556</v>
      </c>
      <c r="G712" s="5">
        <f>INDEX('Default Prob'!$P$5:$P$14,MIN(1+_xlfn.IFNA(MATCH(F712,'Default Prob'!$F$5:$F$14,1),0),COUNT('Default Prob'!$P$5:$P$14)))</f>
        <v>2.1918982658777085E-2</v>
      </c>
      <c r="H712" s="5">
        <f t="shared" si="141"/>
        <v>0.94413033129330115</v>
      </c>
      <c r="I712" s="24">
        <f t="shared" si="142"/>
        <v>5.6659814690718235E-5</v>
      </c>
      <c r="J712" s="25">
        <f>INDEX('Default Prob'!$C$3:$C$13, _xlfn.IFNA(MATCH(F712, 'Default Prob'!$B$3:$B$13, 1), 1))</f>
        <v>1.8200000000000001E-2</v>
      </c>
      <c r="K712" s="26">
        <f t="shared" si="133"/>
        <v>0.95261790539287794</v>
      </c>
      <c r="L712" s="27">
        <f t="shared" ca="1" si="134"/>
        <v>0</v>
      </c>
      <c r="M712" s="27">
        <f t="shared" ca="1" si="135"/>
        <v>36.117636612967765</v>
      </c>
      <c r="N712" s="28">
        <f t="shared" ca="1" si="136"/>
        <v>1.9494549979622126E-3</v>
      </c>
      <c r="O712" s="29">
        <f t="shared" ca="1" si="137"/>
        <v>600000</v>
      </c>
      <c r="P712" s="30">
        <f t="shared" ca="1" si="138"/>
        <v>32.385092394372371</v>
      </c>
    </row>
    <row r="713" spans="1:16" x14ac:dyDescent="0.25">
      <c r="A713" s="3">
        <f t="shared" si="139"/>
        <v>47109</v>
      </c>
      <c r="B713" s="21">
        <f t="shared" ref="B713:B776" si="143">DATE(2000, MONTH(A713), DAY(A713))</f>
        <v>36882</v>
      </c>
      <c r="C713" s="21">
        <f t="shared" ref="C713:C776" si="144">VLOOKUP(B713, $R$9:$S$13, 2)</f>
        <v>36605</v>
      </c>
      <c r="D713" s="1">
        <f t="shared" si="140"/>
        <v>0</v>
      </c>
      <c r="E713" s="3">
        <f t="array" ref="E713">INDEX($A$9:A712, MAX(IF($D$9:D712=1, ROW(D$9:$D712)-ROW($D$9)+1, 0)))</f>
        <v>47107</v>
      </c>
      <c r="F713" s="23">
        <f t="shared" ref="F713:F776" si="145">(A713-$A$2)/365.25</f>
        <v>2.6940451745379876</v>
      </c>
      <c r="G713" s="5">
        <f>INDEX('Default Prob'!$P$5:$P$14,MIN(1+_xlfn.IFNA(MATCH(F713,'Default Prob'!$F$5:$F$14,1),0),COUNT('Default Prob'!$P$5:$P$14)))</f>
        <v>2.1918982658777085E-2</v>
      </c>
      <c r="H713" s="5">
        <f t="shared" si="141"/>
        <v>0.94407367487871519</v>
      </c>
      <c r="I713" s="24">
        <f t="shared" si="142"/>
        <v>5.6656414585964932E-5</v>
      </c>
      <c r="J713" s="25">
        <f>INDEX('Default Prob'!$C$3:$C$13, _xlfn.IFNA(MATCH(F713, 'Default Prob'!$B$3:$B$13, 1), 1))</f>
        <v>1.8200000000000001E-2</v>
      </c>
      <c r="K713" s="26">
        <f t="shared" ref="K713:K776" si="146">1/((1+J713)^F713)</f>
        <v>0.95257086545411207</v>
      </c>
      <c r="L713" s="27">
        <f t="shared" ref="L713:L776" ca="1" si="147">IF(AND(D713, A713 &lt;= $G$2), $D$5*$D$2*(A713-E713)/365.25, 0)</f>
        <v>0</v>
      </c>
      <c r="M713" s="27">
        <f t="shared" ref="M713:M776" ca="1" si="148">IF(A713&lt;=$G$2, $D$5*$D$2*(A713-E713)/365.25, 0)</f>
        <v>72.235273225935529</v>
      </c>
      <c r="N713" s="28">
        <f t="shared" ref="N713:N776" ca="1" si="149">(L713*H713 + M713*I713) * K713</f>
        <v>3.8984835105685023E-3</v>
      </c>
      <c r="O713" s="29">
        <f t="shared" ref="O713:O776" ca="1" si="150">IF(A713&lt;=$G$2, $D$2*(1-$D$3), 0)</f>
        <v>600000</v>
      </c>
      <c r="P713" s="30">
        <f t="shared" ref="P713:P776" ca="1" si="151">O713*I713*K713</f>
        <v>32.381549925407754</v>
      </c>
    </row>
    <row r="714" spans="1:16" x14ac:dyDescent="0.25">
      <c r="A714" s="3">
        <f t="shared" ref="A714:A777" si="152">WORKDAY(A713, 1)</f>
        <v>47112</v>
      </c>
      <c r="B714" s="21">
        <f t="shared" si="143"/>
        <v>36885</v>
      </c>
      <c r="C714" s="21">
        <f t="shared" si="144"/>
        <v>36605</v>
      </c>
      <c r="D714" s="1">
        <f t="shared" ref="D714:D777" si="153">IF(OR(C714=B714, AND(C714&lt;&gt;C713, C713&gt;B713)), 1, 0)</f>
        <v>0</v>
      </c>
      <c r="E714" s="3">
        <f t="array" ref="E714">INDEX($A$9:A713, MAX(IF($D$9:D713=1, ROW(D$9:$D713)-ROW($D$9)+1, 0)))</f>
        <v>47107</v>
      </c>
      <c r="F714" s="23">
        <f t="shared" si="145"/>
        <v>2.7022587268993838</v>
      </c>
      <c r="G714" s="5">
        <f>INDEX('Default Prob'!$P$5:$P$14,MIN(1+_xlfn.IFNA(MATCH(F714,'Default Prob'!$F$5:$F$14,1),0),COUNT('Default Prob'!$P$5:$P$14)))</f>
        <v>2.1918982658777085E-2</v>
      </c>
      <c r="H714" s="5">
        <f t="shared" ref="H714:H777" si="154">H713*EXP(-G713*(F714-F713))</f>
        <v>0.94390372603354478</v>
      </c>
      <c r="I714" s="24">
        <f t="shared" ref="I714:I777" si="155">H713-H714</f>
        <v>1.6994884517040898E-4</v>
      </c>
      <c r="J714" s="25">
        <f>INDEX('Default Prob'!$C$3:$C$13, _xlfn.IFNA(MATCH(F714, 'Default Prob'!$B$3:$B$13, 1), 1))</f>
        <v>1.8200000000000001E-2</v>
      </c>
      <c r="K714" s="26">
        <f t="shared" si="146"/>
        <v>0.95242975957424991</v>
      </c>
      <c r="L714" s="27">
        <f t="shared" ca="1" si="147"/>
        <v>0</v>
      </c>
      <c r="M714" s="27">
        <f t="shared" ca="1" si="148"/>
        <v>180.58818306483883</v>
      </c>
      <c r="N714" s="28">
        <f t="shared" ca="1" si="149"/>
        <v>2.9230786656466626E-2</v>
      </c>
      <c r="O714" s="29">
        <f t="shared" ca="1" si="150"/>
        <v>600000</v>
      </c>
      <c r="P714" s="30">
        <f t="shared" ca="1" si="151"/>
        <v>97.118602647344417</v>
      </c>
    </row>
    <row r="715" spans="1:16" x14ac:dyDescent="0.25">
      <c r="A715" s="3">
        <f t="shared" si="152"/>
        <v>47113</v>
      </c>
      <c r="B715" s="21">
        <f t="shared" si="143"/>
        <v>36886</v>
      </c>
      <c r="C715" s="21">
        <f t="shared" si="144"/>
        <v>36605</v>
      </c>
      <c r="D715" s="1">
        <f t="shared" si="153"/>
        <v>0</v>
      </c>
      <c r="E715" s="3">
        <f t="array" ref="E715">INDEX($A$9:A714, MAX(IF($D$9:D714=1, ROW(D$9:$D714)-ROW($D$9)+1, 0)))</f>
        <v>47107</v>
      </c>
      <c r="F715" s="23">
        <f t="shared" si="145"/>
        <v>2.7049965776865159</v>
      </c>
      <c r="G715" s="5">
        <f>INDEX('Default Prob'!$P$5:$P$14,MIN(1+_xlfn.IFNA(MATCH(F715,'Default Prob'!$F$5:$F$14,1),0),COUNT('Default Prob'!$P$5:$P$14)))</f>
        <v>2.1918982658777085E-2</v>
      </c>
      <c r="H715" s="5">
        <f t="shared" si="154"/>
        <v>0.94384708321733723</v>
      </c>
      <c r="I715" s="24">
        <f t="shared" si="155"/>
        <v>5.6642816207541635E-5</v>
      </c>
      <c r="J715" s="25">
        <f>INDEX('Default Prob'!$C$3:$C$13, _xlfn.IFNA(MATCH(F715, 'Default Prob'!$B$3:$B$13, 1), 1))</f>
        <v>1.8200000000000001E-2</v>
      </c>
      <c r="K715" s="26">
        <f t="shared" si="146"/>
        <v>0.9523827289260588</v>
      </c>
      <c r="L715" s="27">
        <f t="shared" ca="1" si="147"/>
        <v>0</v>
      </c>
      <c r="M715" s="27">
        <f t="shared" ca="1" si="148"/>
        <v>216.70581967780663</v>
      </c>
      <c r="N715" s="28">
        <f t="shared" ca="1" si="149"/>
        <v>1.1690334106894665E-2</v>
      </c>
      <c r="O715" s="29">
        <f t="shared" ca="1" si="150"/>
        <v>600000</v>
      </c>
      <c r="P715" s="30">
        <f t="shared" ca="1" si="151"/>
        <v>32.367383924277419</v>
      </c>
    </row>
    <row r="716" spans="1:16" x14ac:dyDescent="0.25">
      <c r="A716" s="3">
        <f t="shared" si="152"/>
        <v>47114</v>
      </c>
      <c r="B716" s="21">
        <f t="shared" si="143"/>
        <v>36887</v>
      </c>
      <c r="C716" s="21">
        <f t="shared" si="144"/>
        <v>36605</v>
      </c>
      <c r="D716" s="1">
        <f t="shared" si="153"/>
        <v>0</v>
      </c>
      <c r="E716" s="3">
        <f t="array" ref="E716">INDEX($A$9:A715, MAX(IF($D$9:D715=1, ROW(D$9:$D715)-ROW($D$9)+1, 0)))</f>
        <v>47107</v>
      </c>
      <c r="F716" s="23">
        <f t="shared" si="145"/>
        <v>2.707734428473648</v>
      </c>
      <c r="G716" s="5">
        <f>INDEX('Default Prob'!$P$5:$P$14,MIN(1+_xlfn.IFNA(MATCH(F716,'Default Prob'!$F$5:$F$14,1),0),COUNT('Default Prob'!$P$5:$P$14)))</f>
        <v>2.1918982658777085E-2</v>
      </c>
      <c r="H716" s="5">
        <f t="shared" si="154"/>
        <v>0.94379044380021426</v>
      </c>
      <c r="I716" s="24">
        <f t="shared" si="155"/>
        <v>5.6639417122972269E-5</v>
      </c>
      <c r="J716" s="25">
        <f>INDEX('Default Prob'!$C$3:$C$13, _xlfn.IFNA(MATCH(F716, 'Default Prob'!$B$3:$B$13, 1), 1))</f>
        <v>1.8200000000000001E-2</v>
      </c>
      <c r="K716" s="26">
        <f t="shared" si="146"/>
        <v>0.95233570060022443</v>
      </c>
      <c r="L716" s="27">
        <f t="shared" ca="1" si="147"/>
        <v>0</v>
      </c>
      <c r="M716" s="27">
        <f t="shared" ca="1" si="148"/>
        <v>252.82345629077437</v>
      </c>
      <c r="N716" s="28">
        <f t="shared" ca="1" si="149"/>
        <v>1.3637231242215221E-2</v>
      </c>
      <c r="O716" s="29">
        <f t="shared" ca="1" si="150"/>
        <v>600000</v>
      </c>
      <c r="P716" s="30">
        <f t="shared" ca="1" si="151"/>
        <v>32.363843392436486</v>
      </c>
    </row>
    <row r="717" spans="1:16" x14ac:dyDescent="0.25">
      <c r="A717" s="3">
        <f t="shared" si="152"/>
        <v>47115</v>
      </c>
      <c r="B717" s="21">
        <f t="shared" si="143"/>
        <v>36888</v>
      </c>
      <c r="C717" s="21">
        <f t="shared" si="144"/>
        <v>36605</v>
      </c>
      <c r="D717" s="1">
        <f t="shared" si="153"/>
        <v>0</v>
      </c>
      <c r="E717" s="3">
        <f t="array" ref="E717">INDEX($A$9:A716, MAX(IF($D$9:D716=1, ROW(D$9:$D716)-ROW($D$9)+1, 0)))</f>
        <v>47107</v>
      </c>
      <c r="F717" s="23">
        <f t="shared" si="145"/>
        <v>2.7104722792607805</v>
      </c>
      <c r="G717" s="5">
        <f>INDEX('Default Prob'!$P$5:$P$14,MIN(1+_xlfn.IFNA(MATCH(F717,'Default Prob'!$F$5:$F$14,1),0),COUNT('Default Prob'!$P$5:$P$14)))</f>
        <v>2.1918982658777085E-2</v>
      </c>
      <c r="H717" s="5">
        <f t="shared" si="154"/>
        <v>0.94373380778197191</v>
      </c>
      <c r="I717" s="24">
        <f t="shared" si="155"/>
        <v>5.6636018242350872E-5</v>
      </c>
      <c r="J717" s="25">
        <f>INDEX('Default Prob'!$C$3:$C$13, _xlfn.IFNA(MATCH(F717, 'Default Prob'!$B$3:$B$13, 1), 1))</f>
        <v>1.8200000000000001E-2</v>
      </c>
      <c r="K717" s="26">
        <f t="shared" si="146"/>
        <v>0.95228867459663258</v>
      </c>
      <c r="L717" s="27">
        <f t="shared" ca="1" si="147"/>
        <v>0</v>
      </c>
      <c r="M717" s="27">
        <f t="shared" ca="1" si="148"/>
        <v>288.94109290374212</v>
      </c>
      <c r="N717" s="28">
        <f t="shared" ca="1" si="149"/>
        <v>1.5583702311890281E-2</v>
      </c>
      <c r="O717" s="29">
        <f t="shared" ca="1" si="150"/>
        <v>600000</v>
      </c>
      <c r="P717" s="30">
        <f t="shared" ca="1" si="151"/>
        <v>32.360303247863406</v>
      </c>
    </row>
    <row r="718" spans="1:16" x14ac:dyDescent="0.25">
      <c r="A718" s="3">
        <f t="shared" si="152"/>
        <v>47116</v>
      </c>
      <c r="B718" s="21">
        <f t="shared" si="143"/>
        <v>36889</v>
      </c>
      <c r="C718" s="21">
        <f t="shared" si="144"/>
        <v>36605</v>
      </c>
      <c r="D718" s="1">
        <f t="shared" si="153"/>
        <v>0</v>
      </c>
      <c r="E718" s="3">
        <f t="array" ref="E718">INDEX($A$9:A717, MAX(IF($D$9:D717=1, ROW(D$9:$D717)-ROW($D$9)+1, 0)))</f>
        <v>47107</v>
      </c>
      <c r="F718" s="23">
        <f t="shared" si="145"/>
        <v>2.7132101300479126</v>
      </c>
      <c r="G718" s="5">
        <f>INDEX('Default Prob'!$P$5:$P$14,MIN(1+_xlfn.IFNA(MATCH(F718,'Default Prob'!$F$5:$F$14,1),0),COUNT('Default Prob'!$P$5:$P$14)))</f>
        <v>2.1918982658777085E-2</v>
      </c>
      <c r="H718" s="5">
        <f t="shared" si="154"/>
        <v>0.94367717516240623</v>
      </c>
      <c r="I718" s="24">
        <f t="shared" si="155"/>
        <v>5.6632619565677444E-5</v>
      </c>
      <c r="J718" s="25">
        <f>INDEX('Default Prob'!$C$3:$C$13, _xlfn.IFNA(MATCH(F718, 'Default Prob'!$B$3:$B$13, 1), 1))</f>
        <v>1.8200000000000001E-2</v>
      </c>
      <c r="K718" s="26">
        <f t="shared" si="146"/>
        <v>0.9522416509151681</v>
      </c>
      <c r="L718" s="27">
        <f t="shared" ca="1" si="147"/>
        <v>0</v>
      </c>
      <c r="M718" s="27">
        <f t="shared" ca="1" si="148"/>
        <v>325.05872951670989</v>
      </c>
      <c r="N718" s="28">
        <f t="shared" ca="1" si="149"/>
        <v>1.7529747385836677E-2</v>
      </c>
      <c r="O718" s="29">
        <f t="shared" ca="1" si="150"/>
        <v>600000</v>
      </c>
      <c r="P718" s="30">
        <f t="shared" ca="1" si="151"/>
        <v>32.356763490522802</v>
      </c>
    </row>
    <row r="719" spans="1:16" x14ac:dyDescent="0.25">
      <c r="A719" s="3">
        <f t="shared" si="152"/>
        <v>47119</v>
      </c>
      <c r="B719" s="21">
        <f t="shared" si="143"/>
        <v>36526</v>
      </c>
      <c r="C719" s="21">
        <f t="shared" si="144"/>
        <v>36605</v>
      </c>
      <c r="D719" s="1">
        <f t="shared" si="153"/>
        <v>0</v>
      </c>
      <c r="E719" s="3">
        <f t="array" ref="E719">INDEX($A$9:A718, MAX(IF($D$9:D718=1, ROW(D$9:$D718)-ROW($D$9)+1, 0)))</f>
        <v>47107</v>
      </c>
      <c r="F719" s="23">
        <f t="shared" si="145"/>
        <v>2.7214236824093088</v>
      </c>
      <c r="G719" s="5">
        <f>INDEX('Default Prob'!$P$5:$P$14,MIN(1+_xlfn.IFNA(MATCH(F719,'Default Prob'!$F$5:$F$14,1),0),COUNT('Default Prob'!$P$5:$P$14)))</f>
        <v>2.1918982658777085E-2</v>
      </c>
      <c r="H719" s="5">
        <f t="shared" si="154"/>
        <v>0.94350729769372976</v>
      </c>
      <c r="I719" s="24">
        <f t="shared" si="155"/>
        <v>1.6987746867647147E-4</v>
      </c>
      <c r="J719" s="25">
        <f>INDEX('Default Prob'!$C$3:$C$13, _xlfn.IFNA(MATCH(F719, 'Default Prob'!$B$3:$B$13, 1), 1))</f>
        <v>1.8200000000000001E-2</v>
      </c>
      <c r="K719" s="26">
        <f t="shared" si="146"/>
        <v>0.95210059380239409</v>
      </c>
      <c r="L719" s="27">
        <f t="shared" ca="1" si="147"/>
        <v>0</v>
      </c>
      <c r="M719" s="27">
        <f t="shared" ca="1" si="148"/>
        <v>433.41163935561326</v>
      </c>
      <c r="N719" s="28">
        <f t="shared" ca="1" si="149"/>
        <v>7.0100188730627913E-2</v>
      </c>
      <c r="O719" s="29">
        <f t="shared" ca="1" si="150"/>
        <v>600000</v>
      </c>
      <c r="P719" s="30">
        <f t="shared" ca="1" si="151"/>
        <v>97.04426328030965</v>
      </c>
    </row>
    <row r="720" spans="1:16" x14ac:dyDescent="0.25">
      <c r="A720" s="3">
        <f t="shared" si="152"/>
        <v>47120</v>
      </c>
      <c r="B720" s="21">
        <f t="shared" si="143"/>
        <v>36527</v>
      </c>
      <c r="C720" s="21">
        <f t="shared" si="144"/>
        <v>36605</v>
      </c>
      <c r="D720" s="1">
        <f t="shared" si="153"/>
        <v>0</v>
      </c>
      <c r="E720" s="3">
        <f t="array" ref="E720">INDEX($A$9:A719, MAX(IF($D$9:D719=1, ROW(D$9:$D719)-ROW($D$9)+1, 0)))</f>
        <v>47107</v>
      </c>
      <c r="F720" s="23">
        <f t="shared" si="145"/>
        <v>2.7241615331964408</v>
      </c>
      <c r="G720" s="5">
        <f>INDEX('Default Prob'!$P$5:$P$14,MIN(1+_xlfn.IFNA(MATCH(F720,'Default Prob'!$F$5:$F$14,1),0),COUNT('Default Prob'!$P$5:$P$14)))</f>
        <v>2.1918982658777085E-2</v>
      </c>
      <c r="H720" s="5">
        <f t="shared" si="154"/>
        <v>0.94345067866683141</v>
      </c>
      <c r="I720" s="24">
        <f t="shared" si="155"/>
        <v>5.6619026898352409E-5</v>
      </c>
      <c r="J720" s="25">
        <f>INDEX('Default Prob'!$C$3:$C$13, _xlfn.IFNA(MATCH(F720, 'Default Prob'!$B$3:$B$13, 1), 1))</f>
        <v>1.8200000000000001E-2</v>
      </c>
      <c r="K720" s="26">
        <f t="shared" si="146"/>
        <v>0.9520535794082936</v>
      </c>
      <c r="L720" s="27">
        <f t="shared" ca="1" si="147"/>
        <v>0</v>
      </c>
      <c r="M720" s="27">
        <f t="shared" ca="1" si="148"/>
        <v>469.52927596858098</v>
      </c>
      <c r="N720" s="28">
        <f t="shared" ca="1" si="149"/>
        <v>2.5309669122324737E-2</v>
      </c>
      <c r="O720" s="29">
        <f t="shared" ca="1" si="150"/>
        <v>600000</v>
      </c>
      <c r="P720" s="30">
        <f t="shared" ca="1" si="151"/>
        <v>32.342608332714519</v>
      </c>
    </row>
    <row r="721" spans="1:16" x14ac:dyDescent="0.25">
      <c r="A721" s="3">
        <f t="shared" si="152"/>
        <v>47121</v>
      </c>
      <c r="B721" s="21">
        <f t="shared" si="143"/>
        <v>36528</v>
      </c>
      <c r="C721" s="21">
        <f t="shared" si="144"/>
        <v>36605</v>
      </c>
      <c r="D721" s="1">
        <f t="shared" si="153"/>
        <v>0</v>
      </c>
      <c r="E721" s="3">
        <f t="array" ref="E721">INDEX($A$9:A720, MAX(IF($D$9:D720=1, ROW(D$9:$D720)-ROW($D$9)+1, 0)))</f>
        <v>47107</v>
      </c>
      <c r="F721" s="23">
        <f t="shared" si="145"/>
        <v>2.7268993839835729</v>
      </c>
      <c r="G721" s="5">
        <f>INDEX('Default Prob'!$P$5:$P$14,MIN(1+_xlfn.IFNA(MATCH(F721,'Default Prob'!$F$5:$F$14,1),0),COUNT('Default Prob'!$P$5:$P$14)))</f>
        <v>2.1918982658777085E-2</v>
      </c>
      <c r="H721" s="5">
        <f t="shared" si="154"/>
        <v>0.9433940630375901</v>
      </c>
      <c r="I721" s="24">
        <f t="shared" si="155"/>
        <v>5.6615629241307808E-5</v>
      </c>
      <c r="J721" s="25">
        <f>INDEX('Default Prob'!$C$3:$C$13, _xlfn.IFNA(MATCH(F721, 'Default Prob'!$B$3:$B$13, 1), 1))</f>
        <v>1.8200000000000001E-2</v>
      </c>
      <c r="K721" s="26">
        <f t="shared" si="146"/>
        <v>0.95200656733574729</v>
      </c>
      <c r="L721" s="27">
        <f t="shared" ca="1" si="147"/>
        <v>0</v>
      </c>
      <c r="M721" s="27">
        <f t="shared" ca="1" si="148"/>
        <v>505.64691258154875</v>
      </c>
      <c r="N721" s="28">
        <f t="shared" ca="1" si="149"/>
        <v>2.7253585266025126E-2</v>
      </c>
      <c r="O721" s="29">
        <f t="shared" ca="1" si="150"/>
        <v>600000</v>
      </c>
      <c r="P721" s="30">
        <f t="shared" ca="1" si="151"/>
        <v>32.339070510942484</v>
      </c>
    </row>
    <row r="722" spans="1:16" x14ac:dyDescent="0.25">
      <c r="A722" s="3">
        <f t="shared" si="152"/>
        <v>47122</v>
      </c>
      <c r="B722" s="21">
        <f t="shared" si="143"/>
        <v>36529</v>
      </c>
      <c r="C722" s="21">
        <f t="shared" si="144"/>
        <v>36605</v>
      </c>
      <c r="D722" s="1">
        <f t="shared" si="153"/>
        <v>0</v>
      </c>
      <c r="E722" s="3">
        <f t="array" ref="E722">INDEX($A$9:A721, MAX(IF($D$9:D721=1, ROW(D$9:$D721)-ROW($D$9)+1, 0)))</f>
        <v>47107</v>
      </c>
      <c r="F722" s="23">
        <f t="shared" si="145"/>
        <v>2.729637234770705</v>
      </c>
      <c r="G722" s="5">
        <f>INDEX('Default Prob'!$P$5:$P$14,MIN(1+_xlfn.IFNA(MATCH(F722,'Default Prob'!$F$5:$F$14,1),0),COUNT('Default Prob'!$P$5:$P$14)))</f>
        <v>2.1918982658777085E-2</v>
      </c>
      <c r="H722" s="5">
        <f t="shared" si="154"/>
        <v>0.94333745080580189</v>
      </c>
      <c r="I722" s="24">
        <f t="shared" si="155"/>
        <v>5.6612231788211176E-5</v>
      </c>
      <c r="J722" s="25">
        <f>INDEX('Default Prob'!$C$3:$C$13, _xlfn.IFNA(MATCH(F722, 'Default Prob'!$B$3:$B$13, 1), 1))</f>
        <v>1.8200000000000001E-2</v>
      </c>
      <c r="K722" s="26">
        <f t="shared" si="146"/>
        <v>0.95195955758464068</v>
      </c>
      <c r="L722" s="27">
        <f t="shared" ca="1" si="147"/>
        <v>0</v>
      </c>
      <c r="M722" s="27">
        <f t="shared" ca="1" si="148"/>
        <v>541.76454919451646</v>
      </c>
      <c r="N722" s="28">
        <f t="shared" ca="1" si="149"/>
        <v>2.9197075833311461E-2</v>
      </c>
      <c r="O722" s="29">
        <f t="shared" ca="1" si="150"/>
        <v>600000</v>
      </c>
      <c r="P722" s="30">
        <f t="shared" ca="1" si="151"/>
        <v>32.335533076190785</v>
      </c>
    </row>
    <row r="723" spans="1:16" x14ac:dyDescent="0.25">
      <c r="A723" s="3">
        <f t="shared" si="152"/>
        <v>47123</v>
      </c>
      <c r="B723" s="21">
        <f t="shared" si="143"/>
        <v>36530</v>
      </c>
      <c r="C723" s="21">
        <f t="shared" si="144"/>
        <v>36605</v>
      </c>
      <c r="D723" s="1">
        <f t="shared" si="153"/>
        <v>0</v>
      </c>
      <c r="E723" s="3">
        <f t="array" ref="E723">INDEX($A$9:A722, MAX(IF($D$9:D722=1, ROW(D$9:$D722)-ROW($D$9)+1, 0)))</f>
        <v>47107</v>
      </c>
      <c r="F723" s="23">
        <f t="shared" si="145"/>
        <v>2.732375085557837</v>
      </c>
      <c r="G723" s="5">
        <f>INDEX('Default Prob'!$P$5:$P$14,MIN(1+_xlfn.IFNA(MATCH(F723,'Default Prob'!$F$5:$F$14,1),0),COUNT('Default Prob'!$P$5:$P$14)))</f>
        <v>2.1918982658777085E-2</v>
      </c>
      <c r="H723" s="5">
        <f t="shared" si="154"/>
        <v>0.94328084197126294</v>
      </c>
      <c r="I723" s="24">
        <f t="shared" si="155"/>
        <v>5.6608834538951491E-5</v>
      </c>
      <c r="J723" s="25">
        <f>INDEX('Default Prob'!$C$3:$C$13, _xlfn.IFNA(MATCH(F723, 'Default Prob'!$B$3:$B$13, 1), 1))</f>
        <v>1.8200000000000001E-2</v>
      </c>
      <c r="K723" s="26">
        <f t="shared" si="146"/>
        <v>0.95191255015485909</v>
      </c>
      <c r="L723" s="27">
        <f t="shared" ca="1" si="147"/>
        <v>0</v>
      </c>
      <c r="M723" s="27">
        <f t="shared" ca="1" si="148"/>
        <v>577.88218580748423</v>
      </c>
      <c r="N723" s="28">
        <f t="shared" ca="1" si="149"/>
        <v>3.1140140893979935E-2</v>
      </c>
      <c r="O723" s="29">
        <f t="shared" ca="1" si="150"/>
        <v>600000</v>
      </c>
      <c r="P723" s="30">
        <f t="shared" ca="1" si="151"/>
        <v>32.33199602836067</v>
      </c>
    </row>
    <row r="724" spans="1:16" x14ac:dyDescent="0.25">
      <c r="A724" s="3">
        <f t="shared" si="152"/>
        <v>47126</v>
      </c>
      <c r="B724" s="21">
        <f t="shared" si="143"/>
        <v>36533</v>
      </c>
      <c r="C724" s="21">
        <f t="shared" si="144"/>
        <v>36605</v>
      </c>
      <c r="D724" s="1">
        <f t="shared" si="153"/>
        <v>0</v>
      </c>
      <c r="E724" s="3">
        <f t="array" ref="E724">INDEX($A$9:A723, MAX(IF($D$9:D723=1, ROW(D$9:$D723)-ROW($D$9)+1, 0)))</f>
        <v>47107</v>
      </c>
      <c r="F724" s="23">
        <f t="shared" si="145"/>
        <v>2.7405886379192332</v>
      </c>
      <c r="G724" s="5">
        <f>INDEX('Default Prob'!$P$5:$P$14,MIN(1+_xlfn.IFNA(MATCH(F724,'Default Prob'!$F$5:$F$14,1),0),COUNT('Default Prob'!$P$5:$P$14)))</f>
        <v>2.1918982658777085E-2</v>
      </c>
      <c r="H724" s="5">
        <f t="shared" si="154"/>
        <v>0.94311103584910305</v>
      </c>
      <c r="I724" s="24">
        <f t="shared" si="155"/>
        <v>1.6980612215988788E-4</v>
      </c>
      <c r="J724" s="25">
        <f>INDEX('Default Prob'!$C$3:$C$13, _xlfn.IFNA(MATCH(F724, 'Default Prob'!$B$3:$B$13, 1), 1))</f>
        <v>1.8200000000000001E-2</v>
      </c>
      <c r="K724" s="26">
        <f t="shared" si="146"/>
        <v>0.95177154179231882</v>
      </c>
      <c r="L724" s="27">
        <f t="shared" ca="1" si="147"/>
        <v>0</v>
      </c>
      <c r="M724" s="27">
        <f t="shared" ca="1" si="148"/>
        <v>686.23509564638755</v>
      </c>
      <c r="N724" s="28">
        <f t="shared" ca="1" si="149"/>
        <v>0.11090700676720978</v>
      </c>
      <c r="O724" s="29">
        <f t="shared" ca="1" si="150"/>
        <v>600000</v>
      </c>
      <c r="P724" s="30">
        <f t="shared" ca="1" si="151"/>
        <v>96.969980816334797</v>
      </c>
    </row>
    <row r="725" spans="1:16" x14ac:dyDescent="0.25">
      <c r="A725" s="3">
        <f t="shared" si="152"/>
        <v>47127</v>
      </c>
      <c r="B725" s="21">
        <f t="shared" si="143"/>
        <v>36534</v>
      </c>
      <c r="C725" s="21">
        <f t="shared" si="144"/>
        <v>36605</v>
      </c>
      <c r="D725" s="1">
        <f t="shared" si="153"/>
        <v>0</v>
      </c>
      <c r="E725" s="3">
        <f t="array" ref="E725">INDEX($A$9:A724, MAX(IF($D$9:D724=1, ROW(D$9:$D724)-ROW($D$9)+1, 0)))</f>
        <v>47107</v>
      </c>
      <c r="F725" s="23">
        <f t="shared" si="145"/>
        <v>2.7433264887063653</v>
      </c>
      <c r="G725" s="5">
        <f>INDEX('Default Prob'!$P$5:$P$14,MIN(1+_xlfn.IFNA(MATCH(F725,'Default Prob'!$F$5:$F$14,1),0),COUNT('Default Prob'!$P$5:$P$14)))</f>
        <v>2.1918982658777085E-2</v>
      </c>
      <c r="H725" s="5">
        <f t="shared" si="154"/>
        <v>0.94305444060152266</v>
      </c>
      <c r="I725" s="24">
        <f t="shared" si="155"/>
        <v>5.6595247580393249E-5</v>
      </c>
      <c r="J725" s="25">
        <f>INDEX('Default Prob'!$C$3:$C$13, _xlfn.IFNA(MATCH(F725, 'Default Prob'!$B$3:$B$13, 1), 1))</f>
        <v>1.8200000000000001E-2</v>
      </c>
      <c r="K725" s="26">
        <f t="shared" si="146"/>
        <v>0.95172454364669146</v>
      </c>
      <c r="L725" s="27">
        <f t="shared" ca="1" si="147"/>
        <v>0</v>
      </c>
      <c r="M725" s="27">
        <f t="shared" ca="1" si="148"/>
        <v>722.35273225935532</v>
      </c>
      <c r="N725" s="28">
        <f t="shared" ca="1" si="149"/>
        <v>3.8908147467170084E-2</v>
      </c>
      <c r="O725" s="29">
        <f t="shared" ca="1" si="150"/>
        <v>600000</v>
      </c>
      <c r="P725" s="30">
        <f t="shared" ca="1" si="151"/>
        <v>32.317851705612767</v>
      </c>
    </row>
    <row r="726" spans="1:16" x14ac:dyDescent="0.25">
      <c r="A726" s="3">
        <f t="shared" si="152"/>
        <v>47128</v>
      </c>
      <c r="B726" s="21">
        <f t="shared" si="143"/>
        <v>36535</v>
      </c>
      <c r="C726" s="21">
        <f t="shared" si="144"/>
        <v>36605</v>
      </c>
      <c r="D726" s="1">
        <f t="shared" si="153"/>
        <v>0</v>
      </c>
      <c r="E726" s="3">
        <f t="array" ref="E726">INDEX($A$9:A725, MAX(IF($D$9:D725=1, ROW(D$9:$D725)-ROW($D$9)+1, 0)))</f>
        <v>47107</v>
      </c>
      <c r="F726" s="23">
        <f t="shared" si="145"/>
        <v>2.7460643394934978</v>
      </c>
      <c r="G726" s="5">
        <f>INDEX('Default Prob'!$P$5:$P$14,MIN(1+_xlfn.IFNA(MATCH(F726,'Default Prob'!$F$5:$F$14,1),0),COUNT('Default Prob'!$P$5:$P$14)))</f>
        <v>2.1918982658777085E-2</v>
      </c>
      <c r="H726" s="5">
        <f t="shared" si="154"/>
        <v>0.94299784875017234</v>
      </c>
      <c r="I726" s="24">
        <f t="shared" si="155"/>
        <v>5.6591851350318301E-5</v>
      </c>
      <c r="J726" s="25">
        <f>INDEX('Default Prob'!$C$3:$C$13, _xlfn.IFNA(MATCH(F726, 'Default Prob'!$B$3:$B$13, 1), 1))</f>
        <v>1.8200000000000001E-2</v>
      </c>
      <c r="K726" s="26">
        <f t="shared" si="146"/>
        <v>0.95167754782181591</v>
      </c>
      <c r="L726" s="27">
        <f t="shared" ca="1" si="147"/>
        <v>0</v>
      </c>
      <c r="M726" s="27">
        <f t="shared" ca="1" si="148"/>
        <v>758.47036887232321</v>
      </c>
      <c r="N726" s="28">
        <f t="shared" ca="1" si="149"/>
        <v>4.0849086042142553E-2</v>
      </c>
      <c r="O726" s="29">
        <f t="shared" ca="1" si="150"/>
        <v>600000</v>
      </c>
      <c r="P726" s="30">
        <f t="shared" ca="1" si="151"/>
        <v>32.314316591860582</v>
      </c>
    </row>
    <row r="727" spans="1:16" x14ac:dyDescent="0.25">
      <c r="A727" s="3">
        <f t="shared" si="152"/>
        <v>47129</v>
      </c>
      <c r="B727" s="21">
        <f t="shared" si="143"/>
        <v>36536</v>
      </c>
      <c r="C727" s="21">
        <f t="shared" si="144"/>
        <v>36605</v>
      </c>
      <c r="D727" s="1">
        <f t="shared" si="153"/>
        <v>0</v>
      </c>
      <c r="E727" s="3">
        <f t="array" ref="E727">INDEX($A$9:A726, MAX(IF($D$9:D726=1, ROW(D$9:$D726)-ROW($D$9)+1, 0)))</f>
        <v>47107</v>
      </c>
      <c r="F727" s="23">
        <f t="shared" si="145"/>
        <v>2.7488021902806299</v>
      </c>
      <c r="G727" s="5">
        <f>INDEX('Default Prob'!$P$5:$P$14,MIN(1+_xlfn.IFNA(MATCH(F727,'Default Prob'!$F$5:$F$14,1),0),COUNT('Default Prob'!$P$5:$P$14)))</f>
        <v>2.1918982658777085E-2</v>
      </c>
      <c r="H727" s="5">
        <f t="shared" si="154"/>
        <v>0.94294126029484826</v>
      </c>
      <c r="I727" s="24">
        <f t="shared" si="155"/>
        <v>5.65884553240803E-5</v>
      </c>
      <c r="J727" s="25">
        <f>INDEX('Default Prob'!$C$3:$C$13, _xlfn.IFNA(MATCH(F727, 'Default Prob'!$B$3:$B$13, 1), 1))</f>
        <v>1.8200000000000001E-2</v>
      </c>
      <c r="K727" s="26">
        <f t="shared" si="146"/>
        <v>0.9516305543175777</v>
      </c>
      <c r="L727" s="27">
        <f t="shared" ca="1" si="147"/>
        <v>0</v>
      </c>
      <c r="M727" s="27">
        <f t="shared" ca="1" si="148"/>
        <v>794.58800548529086</v>
      </c>
      <c r="N727" s="28">
        <f t="shared" ca="1" si="149"/>
        <v>4.2789599529393416E-2</v>
      </c>
      <c r="O727" s="29">
        <f t="shared" ca="1" si="150"/>
        <v>600000</v>
      </c>
      <c r="P727" s="30">
        <f t="shared" ca="1" si="151"/>
        <v>32.310781864818011</v>
      </c>
    </row>
    <row r="728" spans="1:16" x14ac:dyDescent="0.25">
      <c r="A728" s="3">
        <f t="shared" si="152"/>
        <v>47130</v>
      </c>
      <c r="B728" s="21">
        <f t="shared" si="143"/>
        <v>36537</v>
      </c>
      <c r="C728" s="21">
        <f t="shared" si="144"/>
        <v>36605</v>
      </c>
      <c r="D728" s="1">
        <f t="shared" si="153"/>
        <v>0</v>
      </c>
      <c r="E728" s="3">
        <f t="array" ref="E728">INDEX($A$9:A727, MAX(IF($D$9:D727=1, ROW(D$9:$D727)-ROW($D$9)+1, 0)))</f>
        <v>47107</v>
      </c>
      <c r="F728" s="23">
        <f t="shared" si="145"/>
        <v>2.751540041067762</v>
      </c>
      <c r="G728" s="5">
        <f>INDEX('Default Prob'!$P$5:$P$14,MIN(1+_xlfn.IFNA(MATCH(F728,'Default Prob'!$F$5:$F$14,1),0),COUNT('Default Prob'!$P$5:$P$14)))</f>
        <v>2.1918982658777085E-2</v>
      </c>
      <c r="H728" s="5">
        <f t="shared" si="154"/>
        <v>0.94288467523534658</v>
      </c>
      <c r="I728" s="24">
        <f t="shared" si="155"/>
        <v>5.6585059501679247E-5</v>
      </c>
      <c r="J728" s="25">
        <f>INDEX('Default Prob'!$C$3:$C$13, _xlfn.IFNA(MATCH(F728, 'Default Prob'!$B$3:$B$13, 1), 1))</f>
        <v>1.8200000000000001E-2</v>
      </c>
      <c r="K728" s="26">
        <f t="shared" si="146"/>
        <v>0.95158356313386239</v>
      </c>
      <c r="L728" s="27">
        <f t="shared" ca="1" si="147"/>
        <v>0</v>
      </c>
      <c r="M728" s="27">
        <f t="shared" ca="1" si="148"/>
        <v>830.70564209825864</v>
      </c>
      <c r="N728" s="28">
        <f t="shared" ca="1" si="149"/>
        <v>4.4729687998708988E-2</v>
      </c>
      <c r="O728" s="29">
        <f t="shared" ca="1" si="150"/>
        <v>600000</v>
      </c>
      <c r="P728" s="30">
        <f t="shared" ca="1" si="151"/>
        <v>32.307247524449735</v>
      </c>
    </row>
    <row r="729" spans="1:16" x14ac:dyDescent="0.25">
      <c r="A729" s="3">
        <f t="shared" si="152"/>
        <v>47133</v>
      </c>
      <c r="B729" s="21">
        <f t="shared" si="143"/>
        <v>36540</v>
      </c>
      <c r="C729" s="21">
        <f t="shared" si="144"/>
        <v>36605</v>
      </c>
      <c r="D729" s="1">
        <f t="shared" si="153"/>
        <v>0</v>
      </c>
      <c r="E729" s="3">
        <f t="array" ref="E729">INDEX($A$9:A728, MAX(IF($D$9:D728=1, ROW(D$9:$D728)-ROW($D$9)+1, 0)))</f>
        <v>47107</v>
      </c>
      <c r="F729" s="23">
        <f t="shared" si="145"/>
        <v>2.7597535934291582</v>
      </c>
      <c r="G729" s="5">
        <f>INDEX('Default Prob'!$P$5:$P$14,MIN(1+_xlfn.IFNA(MATCH(F729,'Default Prob'!$F$5:$F$14,1),0),COUNT('Default Prob'!$P$5:$P$14)))</f>
        <v>2.1918982658777085E-2</v>
      </c>
      <c r="H729" s="5">
        <f t="shared" si="154"/>
        <v>0.94271494042973858</v>
      </c>
      <c r="I729" s="24">
        <f t="shared" si="155"/>
        <v>1.6973480560800169E-4</v>
      </c>
      <c r="J729" s="25">
        <f>INDEX('Default Prob'!$C$3:$C$13, _xlfn.IFNA(MATCH(F729, 'Default Prob'!$B$3:$B$13, 1), 1))</f>
        <v>1.8200000000000001E-2</v>
      </c>
      <c r="K729" s="26">
        <f t="shared" si="146"/>
        <v>0.95144260350470744</v>
      </c>
      <c r="L729" s="27">
        <f t="shared" ca="1" si="147"/>
        <v>0</v>
      </c>
      <c r="M729" s="27">
        <f t="shared" ca="1" si="148"/>
        <v>939.05855193716195</v>
      </c>
      <c r="N729" s="28">
        <f t="shared" ca="1" si="149"/>
        <v>0.15165131263012432</v>
      </c>
      <c r="O729" s="29">
        <f t="shared" ca="1" si="150"/>
        <v>600000</v>
      </c>
      <c r="P729" s="30">
        <f t="shared" ca="1" si="151"/>
        <v>96.895755211825531</v>
      </c>
    </row>
    <row r="730" spans="1:16" x14ac:dyDescent="0.25">
      <c r="A730" s="3">
        <f t="shared" si="152"/>
        <v>47134</v>
      </c>
      <c r="B730" s="21">
        <f t="shared" si="143"/>
        <v>36541</v>
      </c>
      <c r="C730" s="21">
        <f t="shared" si="144"/>
        <v>36605</v>
      </c>
      <c r="D730" s="1">
        <f t="shared" si="153"/>
        <v>0</v>
      </c>
      <c r="E730" s="3">
        <f t="array" ref="E730">INDEX($A$9:A729, MAX(IF($D$9:D729=1, ROW(D$9:$D729)-ROW($D$9)+1, 0)))</f>
        <v>47107</v>
      </c>
      <c r="F730" s="23">
        <f t="shared" si="145"/>
        <v>2.7624914442162902</v>
      </c>
      <c r="G730" s="5">
        <f>INDEX('Default Prob'!$P$5:$P$14,MIN(1+_xlfn.IFNA(MATCH(F730,'Default Prob'!$F$5:$F$14,1),0),COUNT('Default Prob'!$P$5:$P$14)))</f>
        <v>2.1918982658777085E-2</v>
      </c>
      <c r="H730" s="5">
        <f t="shared" si="154"/>
        <v>0.94265836895148913</v>
      </c>
      <c r="I730" s="24">
        <f t="shared" si="155"/>
        <v>5.6571478249445306E-5</v>
      </c>
      <c r="J730" s="25">
        <f>INDEX('Default Prob'!$C$3:$C$13, _xlfn.IFNA(MATCH(F730, 'Default Prob'!$B$3:$B$13, 1), 1))</f>
        <v>1.8200000000000001E-2</v>
      </c>
      <c r="K730" s="26">
        <f t="shared" si="146"/>
        <v>0.95139562160193747</v>
      </c>
      <c r="L730" s="27">
        <f t="shared" ca="1" si="147"/>
        <v>0</v>
      </c>
      <c r="M730" s="27">
        <f t="shared" ca="1" si="148"/>
        <v>975.17618855012961</v>
      </c>
      <c r="N730" s="28">
        <f t="shared" ca="1" si="149"/>
        <v>5.2485793091119455E-2</v>
      </c>
      <c r="O730" s="29">
        <f t="shared" ca="1" si="150"/>
        <v>600000</v>
      </c>
      <c r="P730" s="30">
        <f t="shared" ca="1" si="151"/>
        <v>32.293114028442901</v>
      </c>
    </row>
    <row r="731" spans="1:16" x14ac:dyDescent="0.25">
      <c r="A731" s="3">
        <f t="shared" si="152"/>
        <v>47135</v>
      </c>
      <c r="B731" s="21">
        <f t="shared" si="143"/>
        <v>36542</v>
      </c>
      <c r="C731" s="21">
        <f t="shared" si="144"/>
        <v>36605</v>
      </c>
      <c r="D731" s="1">
        <f t="shared" si="153"/>
        <v>0</v>
      </c>
      <c r="E731" s="3">
        <f t="array" ref="E731">INDEX($A$9:A730, MAX(IF($D$9:D730=1, ROW(D$9:$D730)-ROW($D$9)+1, 0)))</f>
        <v>47107</v>
      </c>
      <c r="F731" s="23">
        <f t="shared" si="145"/>
        <v>2.7652292950034223</v>
      </c>
      <c r="G731" s="5">
        <f>INDEX('Default Prob'!$P$5:$P$14,MIN(1+_xlfn.IFNA(MATCH(F731,'Default Prob'!$F$5:$F$14,1),0),COUNT('Default Prob'!$P$5:$P$14)))</f>
        <v>2.1918982658777085E-2</v>
      </c>
      <c r="H731" s="5">
        <f t="shared" si="154"/>
        <v>0.94260180086804335</v>
      </c>
      <c r="I731" s="24">
        <f t="shared" si="155"/>
        <v>5.65680834457849E-5</v>
      </c>
      <c r="J731" s="25">
        <f>INDEX('Default Prob'!$C$3:$C$13, _xlfn.IFNA(MATCH(F731, 'Default Prob'!$B$3:$B$13, 1), 1))</f>
        <v>1.8200000000000001E-2</v>
      </c>
      <c r="K731" s="26">
        <f t="shared" si="146"/>
        <v>0.9513486420191174</v>
      </c>
      <c r="L731" s="27">
        <f t="shared" ca="1" si="147"/>
        <v>0</v>
      </c>
      <c r="M731" s="27">
        <f t="shared" ca="1" si="148"/>
        <v>1011.2938251630975</v>
      </c>
      <c r="N731" s="28">
        <f t="shared" ca="1" si="149"/>
        <v>5.4423757516793798E-2</v>
      </c>
      <c r="O731" s="29">
        <f t="shared" ca="1" si="150"/>
        <v>600000</v>
      </c>
      <c r="P731" s="30">
        <f t="shared" ca="1" si="151"/>
        <v>32.28958162066295</v>
      </c>
    </row>
    <row r="732" spans="1:16" x14ac:dyDescent="0.25">
      <c r="A732" s="3">
        <f t="shared" si="152"/>
        <v>47136</v>
      </c>
      <c r="B732" s="21">
        <f t="shared" si="143"/>
        <v>36543</v>
      </c>
      <c r="C732" s="21">
        <f t="shared" si="144"/>
        <v>36605</v>
      </c>
      <c r="D732" s="1">
        <f t="shared" si="153"/>
        <v>0</v>
      </c>
      <c r="E732" s="3">
        <f t="array" ref="E732">INDEX($A$9:A731, MAX(IF($D$9:D731=1, ROW(D$9:$D731)-ROW($D$9)+1, 0)))</f>
        <v>47107</v>
      </c>
      <c r="F732" s="23">
        <f t="shared" si="145"/>
        <v>2.7679671457905544</v>
      </c>
      <c r="G732" s="5">
        <f>INDEX('Default Prob'!$P$5:$P$14,MIN(1+_xlfn.IFNA(MATCH(F732,'Default Prob'!$F$5:$F$14,1),0),COUNT('Default Prob'!$P$5:$P$14)))</f>
        <v>2.1918982658777085E-2</v>
      </c>
      <c r="H732" s="5">
        <f t="shared" si="154"/>
        <v>0.9425452361791975</v>
      </c>
      <c r="I732" s="24">
        <f t="shared" si="155"/>
        <v>5.6564688845850419E-5</v>
      </c>
      <c r="J732" s="25">
        <f>INDEX('Default Prob'!$C$3:$C$13, _xlfn.IFNA(MATCH(F732, 'Default Prob'!$B$3:$B$13, 1), 1))</f>
        <v>1.8200000000000001E-2</v>
      </c>
      <c r="K732" s="26">
        <f t="shared" si="146"/>
        <v>0.95130166475613276</v>
      </c>
      <c r="L732" s="27">
        <f t="shared" ca="1" si="147"/>
        <v>0</v>
      </c>
      <c r="M732" s="27">
        <f t="shared" ca="1" si="148"/>
        <v>1047.4114617760652</v>
      </c>
      <c r="N732" s="28">
        <f t="shared" ca="1" si="149"/>
        <v>5.6361297342931001E-2</v>
      </c>
      <c r="O732" s="29">
        <f t="shared" ca="1" si="150"/>
        <v>600000</v>
      </c>
      <c r="P732" s="30">
        <f t="shared" ca="1" si="151"/>
        <v>32.286049599282094</v>
      </c>
    </row>
    <row r="733" spans="1:16" x14ac:dyDescent="0.25">
      <c r="A733" s="3">
        <f t="shared" si="152"/>
        <v>47137</v>
      </c>
      <c r="B733" s="21">
        <f t="shared" si="143"/>
        <v>36544</v>
      </c>
      <c r="C733" s="21">
        <f t="shared" si="144"/>
        <v>36605</v>
      </c>
      <c r="D733" s="1">
        <f t="shared" si="153"/>
        <v>0</v>
      </c>
      <c r="E733" s="3">
        <f t="array" ref="E733">INDEX($A$9:A732, MAX(IF($D$9:D732=1, ROW(D$9:$D732)-ROW($D$9)+1, 0)))</f>
        <v>47107</v>
      </c>
      <c r="F733" s="23">
        <f t="shared" si="145"/>
        <v>2.7707049965776864</v>
      </c>
      <c r="G733" s="5">
        <f>INDEX('Default Prob'!$P$5:$P$14,MIN(1+_xlfn.IFNA(MATCH(F733,'Default Prob'!$F$5:$F$14,1),0),COUNT('Default Prob'!$P$5:$P$14)))</f>
        <v>2.1918982658777085E-2</v>
      </c>
      <c r="H733" s="5">
        <f t="shared" si="154"/>
        <v>0.94248867488474797</v>
      </c>
      <c r="I733" s="24">
        <f t="shared" si="155"/>
        <v>5.6561294449530841E-5</v>
      </c>
      <c r="J733" s="25">
        <f>INDEX('Default Prob'!$C$3:$C$13, _xlfn.IFNA(MATCH(F733, 'Default Prob'!$B$3:$B$13, 1), 1))</f>
        <v>1.8200000000000001E-2</v>
      </c>
      <c r="K733" s="26">
        <f t="shared" si="146"/>
        <v>0.95125468981286887</v>
      </c>
      <c r="L733" s="27">
        <f t="shared" ca="1" si="147"/>
        <v>0</v>
      </c>
      <c r="M733" s="27">
        <f t="shared" ca="1" si="148"/>
        <v>1083.5290983890329</v>
      </c>
      <c r="N733" s="28">
        <f t="shared" ca="1" si="149"/>
        <v>5.8298412639132012E-2</v>
      </c>
      <c r="O733" s="29">
        <f t="shared" ca="1" si="150"/>
        <v>600000</v>
      </c>
      <c r="P733" s="30">
        <f t="shared" ca="1" si="151"/>
        <v>32.282517964201681</v>
      </c>
    </row>
    <row r="734" spans="1:16" x14ac:dyDescent="0.25">
      <c r="A734" s="3">
        <f t="shared" si="152"/>
        <v>47140</v>
      </c>
      <c r="B734" s="21">
        <f t="shared" si="143"/>
        <v>36547</v>
      </c>
      <c r="C734" s="21">
        <f t="shared" si="144"/>
        <v>36605</v>
      </c>
      <c r="D734" s="1">
        <f t="shared" si="153"/>
        <v>0</v>
      </c>
      <c r="E734" s="3">
        <f t="array" ref="E734">INDEX($A$9:A733, MAX(IF($D$9:D733=1, ROW(D$9:$D733)-ROW($D$9)+1, 0)))</f>
        <v>47107</v>
      </c>
      <c r="F734" s="23">
        <f t="shared" si="145"/>
        <v>2.7789185489390826</v>
      </c>
      <c r="G734" s="5">
        <f>INDEX('Default Prob'!$P$5:$P$14,MIN(1+_xlfn.IFNA(MATCH(F734,'Default Prob'!$F$5:$F$14,1),0),COUNT('Default Prob'!$P$5:$P$14)))</f>
        <v>2.1918982658777085E-2</v>
      </c>
      <c r="H734" s="5">
        <f t="shared" si="154"/>
        <v>0.94231901136573981</v>
      </c>
      <c r="I734" s="24">
        <f t="shared" si="155"/>
        <v>1.6966351900815635E-4</v>
      </c>
      <c r="J734" s="25">
        <f>INDEX('Default Prob'!$C$3:$C$13, _xlfn.IFNA(MATCH(F734, 'Default Prob'!$B$3:$B$13, 1), 1))</f>
        <v>1.8200000000000001E-2</v>
      </c>
      <c r="K734" s="26">
        <f t="shared" si="146"/>
        <v>0.95111377890025661</v>
      </c>
      <c r="L734" s="27">
        <f t="shared" ca="1" si="147"/>
        <v>0</v>
      </c>
      <c r="M734" s="27">
        <f t="shared" ca="1" si="148"/>
        <v>1191.8820082279362</v>
      </c>
      <c r="N734" s="28">
        <f t="shared" ca="1" si="149"/>
        <v>0.192333178109866</v>
      </c>
      <c r="O734" s="29">
        <f t="shared" ca="1" si="150"/>
        <v>600000</v>
      </c>
      <c r="P734" s="30">
        <f t="shared" ca="1" si="151"/>
        <v>96.821586423217852</v>
      </c>
    </row>
    <row r="735" spans="1:16" x14ac:dyDescent="0.25">
      <c r="A735" s="3">
        <f t="shared" si="152"/>
        <v>47141</v>
      </c>
      <c r="B735" s="21">
        <f t="shared" si="143"/>
        <v>36548</v>
      </c>
      <c r="C735" s="21">
        <f t="shared" si="144"/>
        <v>36605</v>
      </c>
      <c r="D735" s="1">
        <f t="shared" si="153"/>
        <v>0</v>
      </c>
      <c r="E735" s="3">
        <f t="array" ref="E735">INDEX($A$9:A734, MAX(IF($D$9:D734=1, ROW(D$9:$D734)-ROW($D$9)+1, 0)))</f>
        <v>47107</v>
      </c>
      <c r="F735" s="23">
        <f t="shared" si="145"/>
        <v>2.7816563997262147</v>
      </c>
      <c r="G735" s="5">
        <f>INDEX('Default Prob'!$P$5:$P$14,MIN(1+_xlfn.IFNA(MATCH(F735,'Default Prob'!$F$5:$F$14,1),0),COUNT('Default Prob'!$P$5:$P$14)))</f>
        <v>2.1918982658777085E-2</v>
      </c>
      <c r="H735" s="5">
        <f t="shared" si="154"/>
        <v>0.94226246364683841</v>
      </c>
      <c r="I735" s="24">
        <f t="shared" si="155"/>
        <v>5.6547718901400756E-5</v>
      </c>
      <c r="J735" s="25">
        <f>INDEX('Default Prob'!$C$3:$C$13, _xlfn.IFNA(MATCH(F735, 'Default Prob'!$B$3:$B$13, 1), 1))</f>
        <v>1.8200000000000001E-2</v>
      </c>
      <c r="K735" s="26">
        <f t="shared" si="146"/>
        <v>0.95106681323473052</v>
      </c>
      <c r="L735" s="27">
        <f t="shared" ca="1" si="147"/>
        <v>0</v>
      </c>
      <c r="M735" s="27">
        <f t="shared" ca="1" si="148"/>
        <v>1227.9996448409042</v>
      </c>
      <c r="N735" s="28">
        <f t="shared" ca="1" si="149"/>
        <v>6.604262991952306E-2</v>
      </c>
      <c r="O735" s="29">
        <f t="shared" ca="1" si="150"/>
        <v>600000</v>
      </c>
      <c r="P735" s="30">
        <f t="shared" ca="1" si="151"/>
        <v>32.268395286749133</v>
      </c>
    </row>
    <row r="736" spans="1:16" x14ac:dyDescent="0.25">
      <c r="A736" s="3">
        <f t="shared" si="152"/>
        <v>47142</v>
      </c>
      <c r="B736" s="21">
        <f t="shared" si="143"/>
        <v>36549</v>
      </c>
      <c r="C736" s="21">
        <f t="shared" si="144"/>
        <v>36605</v>
      </c>
      <c r="D736" s="1">
        <f t="shared" si="153"/>
        <v>0</v>
      </c>
      <c r="E736" s="3">
        <f t="array" ref="E736">INDEX($A$9:A735, MAX(IF($D$9:D735=1, ROW(D$9:$D735)-ROW($D$9)+1, 0)))</f>
        <v>47107</v>
      </c>
      <c r="F736" s="23">
        <f t="shared" si="145"/>
        <v>2.7843942505133472</v>
      </c>
      <c r="G736" s="5">
        <f>INDEX('Default Prob'!$P$5:$P$14,MIN(1+_xlfn.IFNA(MATCH(F736,'Default Prob'!$F$5:$F$14,1),0),COUNT('Default Prob'!$P$5:$P$14)))</f>
        <v>2.1918982658777085E-2</v>
      </c>
      <c r="H736" s="5">
        <f t="shared" si="154"/>
        <v>0.94220591932131492</v>
      </c>
      <c r="I736" s="24">
        <f t="shared" si="155"/>
        <v>5.6544325523488759E-5</v>
      </c>
      <c r="J736" s="25">
        <f>INDEX('Default Prob'!$C$3:$C$13, _xlfn.IFNA(MATCH(F736, 'Default Prob'!$B$3:$B$13, 1), 1))</f>
        <v>1.8200000000000001E-2</v>
      </c>
      <c r="K736" s="26">
        <f t="shared" si="146"/>
        <v>0.95101984988835264</v>
      </c>
      <c r="L736" s="27">
        <f t="shared" ca="1" si="147"/>
        <v>0</v>
      </c>
      <c r="M736" s="27">
        <f t="shared" ca="1" si="148"/>
        <v>1264.1172814538718</v>
      </c>
      <c r="N736" s="28">
        <f t="shared" ca="1" si="149"/>
        <v>6.7977623611739993E-2</v>
      </c>
      <c r="O736" s="29">
        <f t="shared" ca="1" si="150"/>
        <v>600000</v>
      </c>
      <c r="P736" s="30">
        <f t="shared" ca="1" si="151"/>
        <v>32.264865582831852</v>
      </c>
    </row>
    <row r="737" spans="1:16" x14ac:dyDescent="0.25">
      <c r="A737" s="3">
        <f t="shared" si="152"/>
        <v>47143</v>
      </c>
      <c r="B737" s="21">
        <f t="shared" si="143"/>
        <v>36550</v>
      </c>
      <c r="C737" s="21">
        <f t="shared" si="144"/>
        <v>36605</v>
      </c>
      <c r="D737" s="1">
        <f t="shared" si="153"/>
        <v>0</v>
      </c>
      <c r="E737" s="3">
        <f t="array" ref="E737">INDEX($A$9:A736, MAX(IF($D$9:D736=1, ROW(D$9:$D736)-ROW($D$9)+1, 0)))</f>
        <v>47107</v>
      </c>
      <c r="F737" s="23">
        <f t="shared" si="145"/>
        <v>2.7871321013004793</v>
      </c>
      <c r="G737" s="5">
        <f>INDEX('Default Prob'!$P$5:$P$14,MIN(1+_xlfn.IFNA(MATCH(F737,'Default Prob'!$F$5:$F$14,1),0),COUNT('Default Prob'!$P$5:$P$14)))</f>
        <v>2.1918982658777085E-2</v>
      </c>
      <c r="H737" s="5">
        <f t="shared" si="154"/>
        <v>0.94214937838896573</v>
      </c>
      <c r="I737" s="24">
        <f t="shared" si="155"/>
        <v>5.6540932349191664E-5</v>
      </c>
      <c r="J737" s="25">
        <f>INDEX('Default Prob'!$C$3:$C$13, _xlfn.IFNA(MATCH(F737, 'Default Prob'!$B$3:$B$13, 1), 1))</f>
        <v>1.8200000000000001E-2</v>
      </c>
      <c r="K737" s="26">
        <f t="shared" si="146"/>
        <v>0.95097288886100828</v>
      </c>
      <c r="L737" s="27">
        <f t="shared" ca="1" si="147"/>
        <v>0</v>
      </c>
      <c r="M737" s="27">
        <f t="shared" ca="1" si="148"/>
        <v>1300.2349180668396</v>
      </c>
      <c r="N737" s="28">
        <f t="shared" ca="1" si="149"/>
        <v>6.991219319208905E-2</v>
      </c>
      <c r="O737" s="29">
        <f t="shared" ca="1" si="150"/>
        <v>600000</v>
      </c>
      <c r="P737" s="30">
        <f t="shared" ca="1" si="151"/>
        <v>32.261336265003379</v>
      </c>
    </row>
    <row r="738" spans="1:16" x14ac:dyDescent="0.25">
      <c r="A738" s="3">
        <f t="shared" si="152"/>
        <v>47144</v>
      </c>
      <c r="B738" s="21">
        <f t="shared" si="143"/>
        <v>36551</v>
      </c>
      <c r="C738" s="21">
        <f t="shared" si="144"/>
        <v>36605</v>
      </c>
      <c r="D738" s="1">
        <f t="shared" si="153"/>
        <v>0</v>
      </c>
      <c r="E738" s="3">
        <f t="array" ref="E738">INDEX($A$9:A737, MAX(IF($D$9:D737=1, ROW(D$9:$D737)-ROW($D$9)+1, 0)))</f>
        <v>47107</v>
      </c>
      <c r="F738" s="23">
        <f t="shared" si="145"/>
        <v>2.7898699520876113</v>
      </c>
      <c r="G738" s="5">
        <f>INDEX('Default Prob'!$P$5:$P$14,MIN(1+_xlfn.IFNA(MATCH(F738,'Default Prob'!$F$5:$F$14,1),0),COUNT('Default Prob'!$P$5:$P$14)))</f>
        <v>2.1918982658777085E-2</v>
      </c>
      <c r="H738" s="5">
        <f t="shared" si="154"/>
        <v>0.94209284084958722</v>
      </c>
      <c r="I738" s="24">
        <f t="shared" si="155"/>
        <v>5.6537539378509472E-5</v>
      </c>
      <c r="J738" s="25">
        <f>INDEX('Default Prob'!$C$3:$C$13, _xlfn.IFNA(MATCH(F738, 'Default Prob'!$B$3:$B$13, 1), 1))</f>
        <v>1.8200000000000001E-2</v>
      </c>
      <c r="K738" s="26">
        <f t="shared" si="146"/>
        <v>0.95092593015258298</v>
      </c>
      <c r="L738" s="27">
        <f t="shared" ca="1" si="147"/>
        <v>0</v>
      </c>
      <c r="M738" s="27">
        <f t="shared" ca="1" si="148"/>
        <v>1336.3525546798076</v>
      </c>
      <c r="N738" s="28">
        <f t="shared" ca="1" si="149"/>
        <v>7.1846338730214773E-2</v>
      </c>
      <c r="O738" s="29">
        <f t="shared" ca="1" si="150"/>
        <v>600000</v>
      </c>
      <c r="P738" s="30">
        <f t="shared" ca="1" si="151"/>
        <v>32.257807333228442</v>
      </c>
    </row>
    <row r="739" spans="1:16" x14ac:dyDescent="0.25">
      <c r="A739" s="3">
        <f t="shared" si="152"/>
        <v>47147</v>
      </c>
      <c r="B739" s="21">
        <f t="shared" si="143"/>
        <v>36554</v>
      </c>
      <c r="C739" s="21">
        <f t="shared" si="144"/>
        <v>36605</v>
      </c>
      <c r="D739" s="1">
        <f t="shared" si="153"/>
        <v>0</v>
      </c>
      <c r="E739" s="3">
        <f t="array" ref="E739">INDEX($A$9:A738, MAX(IF($D$9:D738=1, ROW(D$9:$D738)-ROW($D$9)+1, 0)))</f>
        <v>47107</v>
      </c>
      <c r="F739" s="23">
        <f t="shared" si="145"/>
        <v>2.7980835044490076</v>
      </c>
      <c r="G739" s="5">
        <f>INDEX('Default Prob'!$P$5:$P$14,MIN(1+_xlfn.IFNA(MATCH(F739,'Default Prob'!$F$5:$F$14,1),0),COUNT('Default Prob'!$P$5:$P$14)))</f>
        <v>2.1918982658777085E-2</v>
      </c>
      <c r="H739" s="5">
        <f t="shared" si="154"/>
        <v>0.94192324858723941</v>
      </c>
      <c r="I739" s="24">
        <f t="shared" si="155"/>
        <v>1.6959226234780633E-4</v>
      </c>
      <c r="J739" s="25">
        <f>INDEX('Default Prob'!$C$3:$C$13, _xlfn.IFNA(MATCH(F739, 'Default Prob'!$B$3:$B$13, 1), 1))</f>
        <v>1.8200000000000001E-2</v>
      </c>
      <c r="K739" s="26">
        <f t="shared" si="146"/>
        <v>0.95078506793967676</v>
      </c>
      <c r="L739" s="27">
        <f t="shared" ca="1" si="147"/>
        <v>0</v>
      </c>
      <c r="M739" s="27">
        <f t="shared" ca="1" si="148"/>
        <v>1444.7054645187106</v>
      </c>
      <c r="N739" s="28">
        <f t="shared" ca="1" si="149"/>
        <v>0.23295267492372831</v>
      </c>
      <c r="O739" s="29">
        <f t="shared" ca="1" si="150"/>
        <v>600000</v>
      </c>
      <c r="P739" s="30">
        <f t="shared" ca="1" si="151"/>
        <v>96.747474407041523</v>
      </c>
    </row>
    <row r="740" spans="1:16" x14ac:dyDescent="0.25">
      <c r="A740" s="3">
        <f t="shared" si="152"/>
        <v>47148</v>
      </c>
      <c r="B740" s="21">
        <f t="shared" si="143"/>
        <v>36555</v>
      </c>
      <c r="C740" s="21">
        <f t="shared" si="144"/>
        <v>36605</v>
      </c>
      <c r="D740" s="1">
        <f t="shared" si="153"/>
        <v>0</v>
      </c>
      <c r="E740" s="3">
        <f t="array" ref="E740">INDEX($A$9:A739, MAX(IF($D$9:D739=1, ROW(D$9:$D739)-ROW($D$9)+1, 0)))</f>
        <v>47107</v>
      </c>
      <c r="F740" s="23">
        <f t="shared" si="145"/>
        <v>2.8008213552361396</v>
      </c>
      <c r="G740" s="5">
        <f>INDEX('Default Prob'!$P$5:$P$14,MIN(1+_xlfn.IFNA(MATCH(F740,'Default Prob'!$F$5:$F$14,1),0),COUNT('Default Prob'!$P$5:$P$14)))</f>
        <v>2.1918982658777085E-2</v>
      </c>
      <c r="H740" s="5">
        <f t="shared" si="154"/>
        <v>0.94186672461770748</v>
      </c>
      <c r="I740" s="24">
        <f t="shared" si="155"/>
        <v>5.652396953192973E-5</v>
      </c>
      <c r="J740" s="25">
        <f>INDEX('Default Prob'!$C$3:$C$13, _xlfn.IFNA(MATCH(F740, 'Default Prob'!$B$3:$B$13, 1), 1))</f>
        <v>1.8200000000000001E-2</v>
      </c>
      <c r="K740" s="26">
        <f t="shared" si="146"/>
        <v>0.95073811850578283</v>
      </c>
      <c r="L740" s="27">
        <f t="shared" ca="1" si="147"/>
        <v>0</v>
      </c>
      <c r="M740" s="27">
        <f t="shared" ca="1" si="148"/>
        <v>1480.8231011316784</v>
      </c>
      <c r="N740" s="28">
        <f t="shared" ca="1" si="149"/>
        <v>7.9578681853078176E-2</v>
      </c>
      <c r="O740" s="29">
        <f t="shared" ca="1" si="150"/>
        <v>600000</v>
      </c>
      <c r="P740" s="30">
        <f t="shared" ca="1" si="151"/>
        <v>32.243695465959036</v>
      </c>
    </row>
    <row r="741" spans="1:16" x14ac:dyDescent="0.25">
      <c r="A741" s="3">
        <f t="shared" si="152"/>
        <v>47149</v>
      </c>
      <c r="B741" s="21">
        <f t="shared" si="143"/>
        <v>36556</v>
      </c>
      <c r="C741" s="21">
        <f t="shared" si="144"/>
        <v>36605</v>
      </c>
      <c r="D741" s="1">
        <f t="shared" si="153"/>
        <v>0</v>
      </c>
      <c r="E741" s="3">
        <f t="array" ref="E741">INDEX($A$9:A740, MAX(IF($D$9:D740=1, ROW(D$9:$D740)-ROW($D$9)+1, 0)))</f>
        <v>47107</v>
      </c>
      <c r="F741" s="23">
        <f t="shared" si="145"/>
        <v>2.8035592060232717</v>
      </c>
      <c r="G741" s="5">
        <f>INDEX('Default Prob'!$P$5:$P$14,MIN(1+_xlfn.IFNA(MATCH(F741,'Default Prob'!$F$5:$F$14,1),0),COUNT('Default Prob'!$P$5:$P$14)))</f>
        <v>2.1918982658777085E-2</v>
      </c>
      <c r="H741" s="5">
        <f t="shared" si="154"/>
        <v>0.94181020404012827</v>
      </c>
      <c r="I741" s="24">
        <f t="shared" si="155"/>
        <v>5.6520577579211029E-5</v>
      </c>
      <c r="J741" s="25">
        <f>INDEX('Default Prob'!$C$3:$C$13, _xlfn.IFNA(MATCH(F741, 'Default Prob'!$B$3:$B$13, 1), 1))</f>
        <v>1.8200000000000001E-2</v>
      </c>
      <c r="K741" s="26">
        <f t="shared" si="146"/>
        <v>0.95069117139023562</v>
      </c>
      <c r="L741" s="27">
        <f t="shared" ca="1" si="147"/>
        <v>0</v>
      </c>
      <c r="M741" s="27">
        <f t="shared" ca="1" si="148"/>
        <v>1516.9407377446464</v>
      </c>
      <c r="N741" s="28">
        <f t="shared" ca="1" si="149"/>
        <v>8.1510708224298345E-2</v>
      </c>
      <c r="O741" s="29">
        <f t="shared" ca="1" si="150"/>
        <v>600000</v>
      </c>
      <c r="P741" s="30">
        <f t="shared" ca="1" si="151"/>
        <v>32.240168463859696</v>
      </c>
    </row>
    <row r="742" spans="1:16" x14ac:dyDescent="0.25">
      <c r="A742" s="3">
        <f t="shared" si="152"/>
        <v>47150</v>
      </c>
      <c r="B742" s="21">
        <f t="shared" si="143"/>
        <v>36557</v>
      </c>
      <c r="C742" s="21">
        <f t="shared" si="144"/>
        <v>36605</v>
      </c>
      <c r="D742" s="1">
        <f t="shared" si="153"/>
        <v>0</v>
      </c>
      <c r="E742" s="3">
        <f t="array" ref="E742">INDEX($A$9:A741, MAX(IF($D$9:D741=1, ROW(D$9:$D741)-ROW($D$9)+1, 0)))</f>
        <v>47107</v>
      </c>
      <c r="F742" s="23">
        <f t="shared" si="145"/>
        <v>2.8062970568104038</v>
      </c>
      <c r="G742" s="5">
        <f>INDEX('Default Prob'!$P$5:$P$14,MIN(1+_xlfn.IFNA(MATCH(F742,'Default Prob'!$F$5:$F$14,1),0),COUNT('Default Prob'!$P$5:$P$14)))</f>
        <v>2.1918982658777085E-2</v>
      </c>
      <c r="H742" s="5">
        <f t="shared" si="154"/>
        <v>0.94175368685429828</v>
      </c>
      <c r="I742" s="24">
        <f t="shared" si="155"/>
        <v>5.6517185829996208E-5</v>
      </c>
      <c r="J742" s="25">
        <f>INDEX('Default Prob'!$C$3:$C$13, _xlfn.IFNA(MATCH(F742, 'Default Prob'!$B$3:$B$13, 1), 1))</f>
        <v>1.8200000000000001E-2</v>
      </c>
      <c r="K742" s="26">
        <f t="shared" si="146"/>
        <v>0.95064422659292047</v>
      </c>
      <c r="L742" s="27">
        <f t="shared" ca="1" si="147"/>
        <v>0</v>
      </c>
      <c r="M742" s="27">
        <f t="shared" ca="1" si="148"/>
        <v>1553.0583743576142</v>
      </c>
      <c r="N742" s="28">
        <f t="shared" ca="1" si="149"/>
        <v>8.3442310970812769E-2</v>
      </c>
      <c r="O742" s="29">
        <f t="shared" ca="1" si="150"/>
        <v>600000</v>
      </c>
      <c r="P742" s="30">
        <f t="shared" ca="1" si="151"/>
        <v>32.236641847539069</v>
      </c>
    </row>
    <row r="743" spans="1:16" x14ac:dyDescent="0.25">
      <c r="A743" s="3">
        <f t="shared" si="152"/>
        <v>47151</v>
      </c>
      <c r="B743" s="21">
        <f t="shared" si="143"/>
        <v>36558</v>
      </c>
      <c r="C743" s="21">
        <f t="shared" si="144"/>
        <v>36605</v>
      </c>
      <c r="D743" s="1">
        <f t="shared" si="153"/>
        <v>0</v>
      </c>
      <c r="E743" s="3">
        <f t="array" ref="E743">INDEX($A$9:A742, MAX(IF($D$9:D742=1, ROW(D$9:$D742)-ROW($D$9)+1, 0)))</f>
        <v>47107</v>
      </c>
      <c r="F743" s="23">
        <f t="shared" si="145"/>
        <v>2.8090349075975358</v>
      </c>
      <c r="G743" s="5">
        <f>INDEX('Default Prob'!$P$5:$P$14,MIN(1+_xlfn.IFNA(MATCH(F743,'Default Prob'!$F$5:$F$14,1),0),COUNT('Default Prob'!$P$5:$P$14)))</f>
        <v>2.1918982658777085E-2</v>
      </c>
      <c r="H743" s="5">
        <f t="shared" si="154"/>
        <v>0.94169717306001388</v>
      </c>
      <c r="I743" s="24">
        <f t="shared" si="155"/>
        <v>5.651379428439629E-5</v>
      </c>
      <c r="J743" s="25">
        <f>INDEX('Default Prob'!$C$3:$C$13, _xlfn.IFNA(MATCH(F743, 'Default Prob'!$B$3:$B$13, 1), 1))</f>
        <v>1.8200000000000001E-2</v>
      </c>
      <c r="K743" s="26">
        <f t="shared" si="146"/>
        <v>0.95059728411372302</v>
      </c>
      <c r="L743" s="27">
        <f t="shared" ca="1" si="147"/>
        <v>0</v>
      </c>
      <c r="M743" s="27">
        <f t="shared" ca="1" si="148"/>
        <v>1589.1760109705817</v>
      </c>
      <c r="N743" s="28">
        <f t="shared" ca="1" si="149"/>
        <v>8.5373490162362911E-2</v>
      </c>
      <c r="O743" s="29">
        <f t="shared" ca="1" si="150"/>
        <v>600000</v>
      </c>
      <c r="P743" s="30">
        <f t="shared" ca="1" si="151"/>
        <v>32.233115617025256</v>
      </c>
    </row>
    <row r="744" spans="1:16" x14ac:dyDescent="0.25">
      <c r="A744" s="3">
        <f t="shared" si="152"/>
        <v>47154</v>
      </c>
      <c r="B744" s="21">
        <f t="shared" si="143"/>
        <v>36561</v>
      </c>
      <c r="C744" s="21">
        <f t="shared" si="144"/>
        <v>36605</v>
      </c>
      <c r="D744" s="1">
        <f t="shared" si="153"/>
        <v>0</v>
      </c>
      <c r="E744" s="3">
        <f t="array" ref="E744">INDEX($A$9:A743, MAX(IF($D$9:D743=1, ROW(D$9:$D743)-ROW($D$9)+1, 0)))</f>
        <v>47107</v>
      </c>
      <c r="F744" s="23">
        <f t="shared" si="145"/>
        <v>2.817248459958932</v>
      </c>
      <c r="G744" s="5">
        <f>INDEX('Default Prob'!$P$5:$P$14,MIN(1+_xlfn.IFNA(MATCH(F744,'Default Prob'!$F$5:$F$14,1),0),COUNT('Default Prob'!$P$5:$P$14)))</f>
        <v>2.1918982658777085E-2</v>
      </c>
      <c r="H744" s="5">
        <f t="shared" si="154"/>
        <v>0.94152765202439936</v>
      </c>
      <c r="I744" s="24">
        <f t="shared" si="155"/>
        <v>1.6952103561451715E-4</v>
      </c>
      <c r="J744" s="25">
        <f>INDEX('Default Prob'!$C$3:$C$13, _xlfn.IFNA(MATCH(F744, 'Default Prob'!$B$3:$B$13, 1), 1))</f>
        <v>1.8200000000000001E-2</v>
      </c>
      <c r="K744" s="26">
        <f t="shared" si="146"/>
        <v>0.95045647058369198</v>
      </c>
      <c r="L744" s="27">
        <f t="shared" ca="1" si="147"/>
        <v>0</v>
      </c>
      <c r="M744" s="27">
        <f t="shared" ca="1" si="148"/>
        <v>1697.528920809485</v>
      </c>
      <c r="N744" s="28">
        <f t="shared" ca="1" si="149"/>
        <v>0.2735098747160008</v>
      </c>
      <c r="O744" s="29">
        <f t="shared" ca="1" si="150"/>
        <v>600000</v>
      </c>
      <c r="P744" s="30">
        <f t="shared" ca="1" si="151"/>
        <v>96.673419119919785</v>
      </c>
    </row>
    <row r="745" spans="1:16" x14ac:dyDescent="0.25">
      <c r="A745" s="3">
        <f t="shared" si="152"/>
        <v>47155</v>
      </c>
      <c r="B745" s="21">
        <f t="shared" si="143"/>
        <v>36562</v>
      </c>
      <c r="C745" s="21">
        <f t="shared" si="144"/>
        <v>36605</v>
      </c>
      <c r="D745" s="1">
        <f t="shared" si="153"/>
        <v>0</v>
      </c>
      <c r="E745" s="3">
        <f t="array" ref="E745">INDEX($A$9:A744, MAX(IF($D$9:D744=1, ROW(D$9:$D744)-ROW($D$9)+1, 0)))</f>
        <v>47107</v>
      </c>
      <c r="F745" s="23">
        <f t="shared" si="145"/>
        <v>2.8199863107460645</v>
      </c>
      <c r="G745" s="5">
        <f>INDEX('Default Prob'!$P$5:$P$14,MIN(1+_xlfn.IFNA(MATCH(F745,'Default Prob'!$F$5:$F$14,1),0),COUNT('Default Prob'!$P$5:$P$14)))</f>
        <v>2.1918982658777085E-2</v>
      </c>
      <c r="H745" s="5">
        <f t="shared" si="154"/>
        <v>0.94147115179426244</v>
      </c>
      <c r="I745" s="24">
        <f t="shared" si="155"/>
        <v>5.6500230136924401E-5</v>
      </c>
      <c r="J745" s="25">
        <f>INDEX('Default Prob'!$C$3:$C$13, _xlfn.IFNA(MATCH(F745, 'Default Prob'!$B$3:$B$13, 1), 1))</f>
        <v>1.8200000000000001E-2</v>
      </c>
      <c r="K745" s="26">
        <f t="shared" si="146"/>
        <v>0.95040953737582035</v>
      </c>
      <c r="L745" s="27">
        <f t="shared" ca="1" si="147"/>
        <v>0</v>
      </c>
      <c r="M745" s="27">
        <f t="shared" ca="1" si="148"/>
        <v>1733.646557422453</v>
      </c>
      <c r="N745" s="28">
        <f t="shared" ca="1" si="149"/>
        <v>9.3093972768315741E-2</v>
      </c>
      <c r="O745" s="29">
        <f t="shared" ca="1" si="150"/>
        <v>600000</v>
      </c>
      <c r="P745" s="30">
        <f t="shared" ca="1" si="151"/>
        <v>32.219014551637024</v>
      </c>
    </row>
    <row r="746" spans="1:16" x14ac:dyDescent="0.25">
      <c r="A746" s="3">
        <f t="shared" si="152"/>
        <v>47156</v>
      </c>
      <c r="B746" s="21">
        <f t="shared" si="143"/>
        <v>36563</v>
      </c>
      <c r="C746" s="21">
        <f t="shared" si="144"/>
        <v>36605</v>
      </c>
      <c r="D746" s="1">
        <f t="shared" si="153"/>
        <v>0</v>
      </c>
      <c r="E746" s="3">
        <f t="array" ref="E746">INDEX($A$9:A745, MAX(IF($D$9:D745=1, ROW(D$9:$D745)-ROW($D$9)+1, 0)))</f>
        <v>47107</v>
      </c>
      <c r="F746" s="23">
        <f t="shared" si="145"/>
        <v>2.8227241615331966</v>
      </c>
      <c r="G746" s="5">
        <f>INDEX('Default Prob'!$P$5:$P$14,MIN(1+_xlfn.IFNA(MATCH(F746,'Default Prob'!$F$5:$F$14,1),0),COUNT('Default Prob'!$P$5:$P$14)))</f>
        <v>2.1918982658777085E-2</v>
      </c>
      <c r="H746" s="5">
        <f t="shared" si="154"/>
        <v>0.94141465495465371</v>
      </c>
      <c r="I746" s="24">
        <f t="shared" si="155"/>
        <v>5.6496839608732863E-5</v>
      </c>
      <c r="J746" s="25">
        <f>INDEX('Default Prob'!$C$3:$C$13, _xlfn.IFNA(MATCH(F746, 'Default Prob'!$B$3:$B$13, 1), 1))</f>
        <v>1.8200000000000001E-2</v>
      </c>
      <c r="K746" s="26">
        <f t="shared" si="146"/>
        <v>0.95036260648549431</v>
      </c>
      <c r="L746" s="27">
        <f t="shared" ca="1" si="147"/>
        <v>0</v>
      </c>
      <c r="M746" s="27">
        <f t="shared" ca="1" si="148"/>
        <v>1769.7641940354208</v>
      </c>
      <c r="N746" s="28">
        <f t="shared" ca="1" si="149"/>
        <v>9.5023035227363425E-2</v>
      </c>
      <c r="O746" s="29">
        <f t="shared" ca="1" si="150"/>
        <v>600000</v>
      </c>
      <c r="P746" s="30">
        <f t="shared" ca="1" si="151"/>
        <v>32.215490249248965</v>
      </c>
    </row>
    <row r="747" spans="1:16" x14ac:dyDescent="0.25">
      <c r="A747" s="3">
        <f t="shared" si="152"/>
        <v>47157</v>
      </c>
      <c r="B747" s="21">
        <f t="shared" si="143"/>
        <v>36564</v>
      </c>
      <c r="C747" s="21">
        <f t="shared" si="144"/>
        <v>36605</v>
      </c>
      <c r="D747" s="1">
        <f t="shared" si="153"/>
        <v>0</v>
      </c>
      <c r="E747" s="3">
        <f t="array" ref="E747">INDEX($A$9:A746, MAX(IF($D$9:D746=1, ROW(D$9:$D746)-ROW($D$9)+1, 0)))</f>
        <v>47107</v>
      </c>
      <c r="F747" s="23">
        <f t="shared" si="145"/>
        <v>2.8254620123203287</v>
      </c>
      <c r="G747" s="5">
        <f>INDEX('Default Prob'!$P$5:$P$14,MIN(1+_xlfn.IFNA(MATCH(F747,'Default Prob'!$F$5:$F$14,1),0),COUNT('Default Prob'!$P$5:$P$14)))</f>
        <v>2.1918982658777085E-2</v>
      </c>
      <c r="H747" s="5">
        <f t="shared" si="154"/>
        <v>0.94135816150536966</v>
      </c>
      <c r="I747" s="24">
        <f t="shared" si="155"/>
        <v>5.6493449284045205E-5</v>
      </c>
      <c r="J747" s="25">
        <f>INDEX('Default Prob'!$C$3:$C$13, _xlfn.IFNA(MATCH(F747, 'Default Prob'!$B$3:$B$13, 1), 1))</f>
        <v>1.8200000000000001E-2</v>
      </c>
      <c r="K747" s="26">
        <f t="shared" si="146"/>
        <v>0.9503156779125993</v>
      </c>
      <c r="L747" s="27">
        <f t="shared" ca="1" si="147"/>
        <v>0</v>
      </c>
      <c r="M747" s="27">
        <f t="shared" ca="1" si="148"/>
        <v>1805.8818306483884</v>
      </c>
      <c r="N747" s="28">
        <f t="shared" ca="1" si="149"/>
        <v>9.6951674548543781E-2</v>
      </c>
      <c r="O747" s="29">
        <f t="shared" ca="1" si="150"/>
        <v>600000</v>
      </c>
      <c r="P747" s="30">
        <f t="shared" ca="1" si="151"/>
        <v>32.211966332393082</v>
      </c>
    </row>
    <row r="748" spans="1:16" x14ac:dyDescent="0.25">
      <c r="A748" s="3">
        <f t="shared" si="152"/>
        <v>47158</v>
      </c>
      <c r="B748" s="21">
        <f t="shared" si="143"/>
        <v>36565</v>
      </c>
      <c r="C748" s="21">
        <f t="shared" si="144"/>
        <v>36605</v>
      </c>
      <c r="D748" s="1">
        <f t="shared" si="153"/>
        <v>0</v>
      </c>
      <c r="E748" s="3">
        <f t="array" ref="E748">INDEX($A$9:A747, MAX(IF($D$9:D747=1, ROW(D$9:$D747)-ROW($D$9)+1, 0)))</f>
        <v>47107</v>
      </c>
      <c r="F748" s="23">
        <f t="shared" si="145"/>
        <v>2.8281998631074607</v>
      </c>
      <c r="G748" s="5">
        <f>INDEX('Default Prob'!$P$5:$P$14,MIN(1+_xlfn.IFNA(MATCH(F748,'Default Prob'!$F$5:$F$14,1),0),COUNT('Default Prob'!$P$5:$P$14)))</f>
        <v>2.1918982658777085E-2</v>
      </c>
      <c r="H748" s="5">
        <f t="shared" si="154"/>
        <v>0.9413016714462068</v>
      </c>
      <c r="I748" s="24">
        <f t="shared" si="155"/>
        <v>5.6490059162861428E-5</v>
      </c>
      <c r="J748" s="25">
        <f>INDEX('Default Prob'!$C$3:$C$13, _xlfn.IFNA(MATCH(F748, 'Default Prob'!$B$3:$B$13, 1), 1))</f>
        <v>1.8200000000000001E-2</v>
      </c>
      <c r="K748" s="26">
        <f t="shared" si="146"/>
        <v>0.95026875165702063</v>
      </c>
      <c r="L748" s="27">
        <f t="shared" ca="1" si="147"/>
        <v>0</v>
      </c>
      <c r="M748" s="27">
        <f t="shared" ca="1" si="148"/>
        <v>1841.9994672613561</v>
      </c>
      <c r="N748" s="28">
        <f t="shared" ca="1" si="149"/>
        <v>9.8879890801371245E-2</v>
      </c>
      <c r="O748" s="29">
        <f t="shared" ca="1" si="150"/>
        <v>600000</v>
      </c>
      <c r="P748" s="30">
        <f t="shared" ca="1" si="151"/>
        <v>32.208442801034138</v>
      </c>
    </row>
    <row r="749" spans="1:16" x14ac:dyDescent="0.25">
      <c r="A749" s="3">
        <f t="shared" si="152"/>
        <v>47161</v>
      </c>
      <c r="B749" s="21">
        <f t="shared" si="143"/>
        <v>36568</v>
      </c>
      <c r="C749" s="21">
        <f t="shared" si="144"/>
        <v>36605</v>
      </c>
      <c r="D749" s="1">
        <f t="shared" si="153"/>
        <v>0</v>
      </c>
      <c r="E749" s="3">
        <f t="array" ref="E749">INDEX($A$9:A748, MAX(IF($D$9:D748=1, ROW(D$9:$D748)-ROW($D$9)+1, 0)))</f>
        <v>47107</v>
      </c>
      <c r="F749" s="23">
        <f t="shared" si="145"/>
        <v>2.8364134154688569</v>
      </c>
      <c r="G749" s="5">
        <f>INDEX('Default Prob'!$P$5:$P$14,MIN(1+_xlfn.IFNA(MATCH(F749,'Default Prob'!$F$5:$F$14,1),0),COUNT('Default Prob'!$P$5:$P$14)))</f>
        <v>2.1918982658777085E-2</v>
      </c>
      <c r="H749" s="5">
        <f t="shared" si="154"/>
        <v>0.94113222160741128</v>
      </c>
      <c r="I749" s="24">
        <f t="shared" si="155"/>
        <v>1.6944983879552122E-4</v>
      </c>
      <c r="J749" s="25">
        <f>INDEX('Default Prob'!$C$3:$C$13, _xlfn.IFNA(MATCH(F749, 'Default Prob'!$B$3:$B$13, 1), 1))</f>
        <v>1.8200000000000001E-2</v>
      </c>
      <c r="K749" s="26">
        <f t="shared" si="146"/>
        <v>0.95012798679303945</v>
      </c>
      <c r="L749" s="27">
        <f t="shared" ca="1" si="147"/>
        <v>0</v>
      </c>
      <c r="M749" s="27">
        <f t="shared" ca="1" si="148"/>
        <v>1950.3523771002592</v>
      </c>
      <c r="N749" s="28">
        <f t="shared" ca="1" si="149"/>
        <v>0.31400484905734255</v>
      </c>
      <c r="O749" s="29">
        <f t="shared" ca="1" si="150"/>
        <v>600000</v>
      </c>
      <c r="P749" s="30">
        <f t="shared" ca="1" si="151"/>
        <v>96.59942051831618</v>
      </c>
    </row>
    <row r="750" spans="1:16" x14ac:dyDescent="0.25">
      <c r="A750" s="3">
        <f t="shared" si="152"/>
        <v>47162</v>
      </c>
      <c r="B750" s="21">
        <f t="shared" si="143"/>
        <v>36569</v>
      </c>
      <c r="C750" s="21">
        <f t="shared" si="144"/>
        <v>36605</v>
      </c>
      <c r="D750" s="1">
        <f t="shared" si="153"/>
        <v>0</v>
      </c>
      <c r="E750" s="3">
        <f t="array" ref="E750">INDEX($A$9:A749, MAX(IF($D$9:D749=1, ROW(D$9:$D749)-ROW($D$9)+1, 0)))</f>
        <v>47107</v>
      </c>
      <c r="F750" s="23">
        <f t="shared" si="145"/>
        <v>2.839151266255989</v>
      </c>
      <c r="G750" s="5">
        <f>INDEX('Default Prob'!$P$5:$P$14,MIN(1+_xlfn.IFNA(MATCH(F750,'Default Prob'!$F$5:$F$14,1),0),COUNT('Default Prob'!$P$5:$P$14)))</f>
        <v>2.1918982658777085E-2</v>
      </c>
      <c r="H750" s="5">
        <f t="shared" si="154"/>
        <v>0.94107574510669911</v>
      </c>
      <c r="I750" s="24">
        <f t="shared" si="155"/>
        <v>5.6476500712165922E-5</v>
      </c>
      <c r="J750" s="25">
        <f>INDEX('Default Prob'!$C$3:$C$13, _xlfn.IFNA(MATCH(F750, 'Default Prob'!$B$3:$B$13, 1), 1))</f>
        <v>1.8200000000000001E-2</v>
      </c>
      <c r="K750" s="26">
        <f t="shared" si="146"/>
        <v>0.9500810698055826</v>
      </c>
      <c r="L750" s="27">
        <f t="shared" ca="1" si="147"/>
        <v>0</v>
      </c>
      <c r="M750" s="27">
        <f t="shared" ca="1" si="148"/>
        <v>1986.4700137132272</v>
      </c>
      <c r="N750" s="28">
        <f t="shared" ca="1" si="149"/>
        <v>0.10658852651725922</v>
      </c>
      <c r="O750" s="29">
        <f t="shared" ca="1" si="150"/>
        <v>600000</v>
      </c>
      <c r="P750" s="30">
        <f t="shared" ca="1" si="151"/>
        <v>32.194352529294207</v>
      </c>
    </row>
    <row r="751" spans="1:16" x14ac:dyDescent="0.25">
      <c r="A751" s="3">
        <f t="shared" si="152"/>
        <v>47163</v>
      </c>
      <c r="B751" s="21">
        <f t="shared" si="143"/>
        <v>36570</v>
      </c>
      <c r="C751" s="21">
        <f t="shared" si="144"/>
        <v>36605</v>
      </c>
      <c r="D751" s="1">
        <f t="shared" si="153"/>
        <v>0</v>
      </c>
      <c r="E751" s="3">
        <f t="array" ref="E751">INDEX($A$9:A750, MAX(IF($D$9:D750=1, ROW(D$9:$D750)-ROW($D$9)+1, 0)))</f>
        <v>47107</v>
      </c>
      <c r="F751" s="23">
        <f t="shared" si="145"/>
        <v>2.8418891170431211</v>
      </c>
      <c r="G751" s="5">
        <f>INDEX('Default Prob'!$P$5:$P$14,MIN(1+_xlfn.IFNA(MATCH(F751,'Default Prob'!$F$5:$F$14,1),0),COUNT('Default Prob'!$P$5:$P$14)))</f>
        <v>2.1918982658777085E-2</v>
      </c>
      <c r="H751" s="5">
        <f t="shared" si="154"/>
        <v>0.94101927199509117</v>
      </c>
      <c r="I751" s="24">
        <f t="shared" si="155"/>
        <v>5.6473111607946436E-5</v>
      </c>
      <c r="J751" s="25">
        <f>INDEX('Default Prob'!$C$3:$C$13, _xlfn.IFNA(MATCH(F751, 'Default Prob'!$B$3:$B$13, 1), 1))</f>
        <v>1.8200000000000001E-2</v>
      </c>
      <c r="K751" s="26">
        <f t="shared" si="146"/>
        <v>0.95003415513487033</v>
      </c>
      <c r="L751" s="27">
        <f t="shared" ca="1" si="147"/>
        <v>0</v>
      </c>
      <c r="M751" s="27">
        <f t="shared" ca="1" si="148"/>
        <v>2022.587650326195</v>
      </c>
      <c r="N751" s="28">
        <f t="shared" ca="1" si="149"/>
        <v>0.1085146284696419</v>
      </c>
      <c r="O751" s="29">
        <f t="shared" ca="1" si="150"/>
        <v>600000</v>
      </c>
      <c r="P751" s="30">
        <f t="shared" ca="1" si="151"/>
        <v>32.190830924575579</v>
      </c>
    </row>
    <row r="752" spans="1:16" x14ac:dyDescent="0.25">
      <c r="A752" s="3">
        <f t="shared" si="152"/>
        <v>47164</v>
      </c>
      <c r="B752" s="21">
        <f t="shared" si="143"/>
        <v>36571</v>
      </c>
      <c r="C752" s="21">
        <f t="shared" si="144"/>
        <v>36605</v>
      </c>
      <c r="D752" s="1">
        <f t="shared" si="153"/>
        <v>0</v>
      </c>
      <c r="E752" s="3">
        <f t="array" ref="E752">INDEX($A$9:A751, MAX(IF($D$9:D751=1, ROW(D$9:$D751)-ROW($D$9)+1, 0)))</f>
        <v>47107</v>
      </c>
      <c r="F752" s="23">
        <f t="shared" si="145"/>
        <v>2.8446269678302532</v>
      </c>
      <c r="G752" s="5">
        <f>INDEX('Default Prob'!$P$5:$P$14,MIN(1+_xlfn.IFNA(MATCH(F752,'Default Prob'!$F$5:$F$14,1),0),COUNT('Default Prob'!$P$5:$P$14)))</f>
        <v>2.1918982658777085E-2</v>
      </c>
      <c r="H752" s="5">
        <f t="shared" si="154"/>
        <v>0.94096280227238394</v>
      </c>
      <c r="I752" s="24">
        <f t="shared" si="155"/>
        <v>5.6469722707230829E-5</v>
      </c>
      <c r="J752" s="25">
        <f>INDEX('Default Prob'!$C$3:$C$13, _xlfn.IFNA(MATCH(F752, 'Default Prob'!$B$3:$B$13, 1), 1))</f>
        <v>1.8200000000000001E-2</v>
      </c>
      <c r="K752" s="26">
        <f t="shared" si="146"/>
        <v>0.94998724278078783</v>
      </c>
      <c r="L752" s="27">
        <f t="shared" ca="1" si="147"/>
        <v>0</v>
      </c>
      <c r="M752" s="27">
        <f t="shared" ca="1" si="148"/>
        <v>2058.7052869391628</v>
      </c>
      <c r="N752" s="28">
        <f t="shared" ca="1" si="149"/>
        <v>0.11044030777054256</v>
      </c>
      <c r="O752" s="29">
        <f t="shared" ca="1" si="150"/>
        <v>600000</v>
      </c>
      <c r="P752" s="30">
        <f t="shared" ca="1" si="151"/>
        <v>32.187309705142717</v>
      </c>
    </row>
    <row r="753" spans="1:16" x14ac:dyDescent="0.25">
      <c r="A753" s="3">
        <f t="shared" si="152"/>
        <v>47165</v>
      </c>
      <c r="B753" s="21">
        <f t="shared" si="143"/>
        <v>36572</v>
      </c>
      <c r="C753" s="21">
        <f t="shared" si="144"/>
        <v>36605</v>
      </c>
      <c r="D753" s="1">
        <f t="shared" si="153"/>
        <v>0</v>
      </c>
      <c r="E753" s="3">
        <f t="array" ref="E753">INDEX($A$9:A752, MAX(IF($D$9:D752=1, ROW(D$9:$D752)-ROW($D$9)+1, 0)))</f>
        <v>47107</v>
      </c>
      <c r="F753" s="23">
        <f t="shared" si="145"/>
        <v>2.8473648186173852</v>
      </c>
      <c r="G753" s="5">
        <f>INDEX('Default Prob'!$P$5:$P$14,MIN(1+_xlfn.IFNA(MATCH(F753,'Default Prob'!$F$5:$F$14,1),0),COUNT('Default Prob'!$P$5:$P$14)))</f>
        <v>2.1918982658777085E-2</v>
      </c>
      <c r="H753" s="5">
        <f t="shared" si="154"/>
        <v>0.94090633593837414</v>
      </c>
      <c r="I753" s="24">
        <f t="shared" si="155"/>
        <v>5.6466334009797059E-5</v>
      </c>
      <c r="J753" s="25">
        <f>INDEX('Default Prob'!$C$3:$C$13, _xlfn.IFNA(MATCH(F753, 'Default Prob'!$B$3:$B$13, 1), 1))</f>
        <v>1.8200000000000001E-2</v>
      </c>
      <c r="K753" s="26">
        <f t="shared" si="146"/>
        <v>0.94994033274322121</v>
      </c>
      <c r="L753" s="27">
        <f t="shared" ca="1" si="147"/>
        <v>0</v>
      </c>
      <c r="M753" s="27">
        <f t="shared" ca="1" si="148"/>
        <v>2094.8229235521303</v>
      </c>
      <c r="N753" s="28">
        <f t="shared" ca="1" si="149"/>
        <v>0.11236556448897461</v>
      </c>
      <c r="O753" s="29">
        <f t="shared" ca="1" si="150"/>
        <v>600000</v>
      </c>
      <c r="P753" s="30">
        <f t="shared" ca="1" si="151"/>
        <v>32.183788870833894</v>
      </c>
    </row>
    <row r="754" spans="1:16" x14ac:dyDescent="0.25">
      <c r="A754" s="3">
        <f t="shared" si="152"/>
        <v>47168</v>
      </c>
      <c r="B754" s="21">
        <f t="shared" si="143"/>
        <v>36575</v>
      </c>
      <c r="C754" s="21">
        <f t="shared" si="144"/>
        <v>36605</v>
      </c>
      <c r="D754" s="1">
        <f t="shared" si="153"/>
        <v>0</v>
      </c>
      <c r="E754" s="3">
        <f t="array" ref="E754">INDEX($A$9:A753, MAX(IF($D$9:D753=1, ROW(D$9:$D753)-ROW($D$9)+1, 0)))</f>
        <v>47107</v>
      </c>
      <c r="F754" s="23">
        <f t="shared" si="145"/>
        <v>2.8555783709787819</v>
      </c>
      <c r="G754" s="5">
        <f>INDEX('Default Prob'!$P$5:$P$14,MIN(1+_xlfn.IFNA(MATCH(F754,'Default Prob'!$F$5:$F$14,1),0),COUNT('Default Prob'!$P$5:$P$14)))</f>
        <v>2.1918982658777085E-2</v>
      </c>
      <c r="H754" s="5">
        <f t="shared" si="154"/>
        <v>0.94073695726649575</v>
      </c>
      <c r="I754" s="24">
        <f t="shared" si="155"/>
        <v>1.6937867187838407E-4</v>
      </c>
      <c r="J754" s="25">
        <f>INDEX('Default Prob'!$C$3:$C$13, _xlfn.IFNA(MATCH(F754, 'Default Prob'!$B$3:$B$13, 1), 1))</f>
        <v>1.8200000000000001E-2</v>
      </c>
      <c r="K754" s="26">
        <f t="shared" si="146"/>
        <v>0.94979961652847067</v>
      </c>
      <c r="L754" s="27">
        <f t="shared" ca="1" si="147"/>
        <v>0</v>
      </c>
      <c r="M754" s="27">
        <f t="shared" ca="1" si="148"/>
        <v>2203.1758333910338</v>
      </c>
      <c r="N754" s="28">
        <f t="shared" ca="1" si="149"/>
        <v>0.35443766944584137</v>
      </c>
      <c r="O754" s="29">
        <f t="shared" ca="1" si="150"/>
        <v>600000</v>
      </c>
      <c r="P754" s="30">
        <f t="shared" ca="1" si="151"/>
        <v>96.525478558914514</v>
      </c>
    </row>
    <row r="755" spans="1:16" x14ac:dyDescent="0.25">
      <c r="A755" s="3">
        <f t="shared" si="152"/>
        <v>47169</v>
      </c>
      <c r="B755" s="21">
        <f t="shared" si="143"/>
        <v>36576</v>
      </c>
      <c r="C755" s="21">
        <f t="shared" si="144"/>
        <v>36605</v>
      </c>
      <c r="D755" s="1">
        <f t="shared" si="153"/>
        <v>0</v>
      </c>
      <c r="E755" s="3">
        <f t="array" ref="E755">INDEX($A$9:A754, MAX(IF($D$9:D754=1, ROW(D$9:$D754)-ROW($D$9)+1, 0)))</f>
        <v>47107</v>
      </c>
      <c r="F755" s="23">
        <f t="shared" si="145"/>
        <v>2.8583162217659139</v>
      </c>
      <c r="G755" s="5">
        <f>INDEX('Default Prob'!$P$5:$P$14,MIN(1+_xlfn.IFNA(MATCH(F755,'Default Prob'!$F$5:$F$14,1),0),COUNT('Default Prob'!$P$5:$P$14)))</f>
        <v>2.1918982658777085E-2</v>
      </c>
      <c r="H755" s="5">
        <f t="shared" si="154"/>
        <v>0.94068050448524232</v>
      </c>
      <c r="I755" s="24">
        <f t="shared" si="155"/>
        <v>5.6452781253435447E-5</v>
      </c>
      <c r="J755" s="25">
        <f>INDEX('Default Prob'!$C$3:$C$13, _xlfn.IFNA(MATCH(F755, 'Default Prob'!$B$3:$B$13, 1), 1))</f>
        <v>1.8200000000000001E-2</v>
      </c>
      <c r="K755" s="26">
        <f t="shared" si="146"/>
        <v>0.94975271575582276</v>
      </c>
      <c r="L755" s="27">
        <f t="shared" ca="1" si="147"/>
        <v>0</v>
      </c>
      <c r="M755" s="27">
        <f t="shared" ca="1" si="148"/>
        <v>2239.2934700040018</v>
      </c>
      <c r="N755" s="28">
        <f t="shared" ca="1" si="149"/>
        <v>0.12006236692754906</v>
      </c>
      <c r="O755" s="29">
        <f t="shared" ca="1" si="150"/>
        <v>600000</v>
      </c>
      <c r="P755" s="30">
        <f t="shared" ca="1" si="151"/>
        <v>32.169709384451828</v>
      </c>
    </row>
    <row r="756" spans="1:16" x14ac:dyDescent="0.25">
      <c r="A756" s="3">
        <f t="shared" si="152"/>
        <v>47170</v>
      </c>
      <c r="B756" s="21">
        <f t="shared" si="143"/>
        <v>36577</v>
      </c>
      <c r="C756" s="21">
        <f t="shared" si="144"/>
        <v>36605</v>
      </c>
      <c r="D756" s="1">
        <f t="shared" si="153"/>
        <v>0</v>
      </c>
      <c r="E756" s="3">
        <f t="array" ref="E756">INDEX($A$9:A755, MAX(IF($D$9:D755=1, ROW(D$9:$D755)-ROW($D$9)+1, 0)))</f>
        <v>47107</v>
      </c>
      <c r="F756" s="23">
        <f t="shared" si="145"/>
        <v>2.861054072553046</v>
      </c>
      <c r="G756" s="5">
        <f>INDEX('Default Prob'!$P$5:$P$14,MIN(1+_xlfn.IFNA(MATCH(F756,'Default Prob'!$F$5:$F$14,1),0),COUNT('Default Prob'!$P$5:$P$14)))</f>
        <v>2.1918982658777085E-2</v>
      </c>
      <c r="H756" s="5">
        <f t="shared" si="154"/>
        <v>0.94062405509166958</v>
      </c>
      <c r="I756" s="24">
        <f t="shared" si="155"/>
        <v>5.6449393572743922E-5</v>
      </c>
      <c r="J756" s="25">
        <f>INDEX('Default Prob'!$C$3:$C$13, _xlfn.IFNA(MATCH(F756, 'Default Prob'!$B$3:$B$13, 1), 1))</f>
        <v>1.8200000000000001E-2</v>
      </c>
      <c r="K756" s="26">
        <f t="shared" si="146"/>
        <v>0.94970581729911829</v>
      </c>
      <c r="L756" s="27">
        <f t="shared" ca="1" si="147"/>
        <v>0</v>
      </c>
      <c r="M756" s="27">
        <f t="shared" ca="1" si="148"/>
        <v>2275.4111066169694</v>
      </c>
      <c r="N756" s="28">
        <f t="shared" ca="1" si="149"/>
        <v>0.1219855117755666</v>
      </c>
      <c r="O756" s="29">
        <f t="shared" ca="1" si="150"/>
        <v>600000</v>
      </c>
      <c r="P756" s="30">
        <f t="shared" ca="1" si="151"/>
        <v>32.166190475425417</v>
      </c>
    </row>
    <row r="757" spans="1:16" x14ac:dyDescent="0.25">
      <c r="A757" s="3">
        <f t="shared" si="152"/>
        <v>47171</v>
      </c>
      <c r="B757" s="21">
        <f t="shared" si="143"/>
        <v>36578</v>
      </c>
      <c r="C757" s="21">
        <f t="shared" si="144"/>
        <v>36605</v>
      </c>
      <c r="D757" s="1">
        <f t="shared" si="153"/>
        <v>0</v>
      </c>
      <c r="E757" s="3">
        <f t="array" ref="E757">INDEX($A$9:A756, MAX(IF($D$9:D756=1, ROW(D$9:$D756)-ROW($D$9)+1, 0)))</f>
        <v>47107</v>
      </c>
      <c r="F757" s="23">
        <f t="shared" si="145"/>
        <v>2.8637919233401781</v>
      </c>
      <c r="G757" s="5">
        <f>INDEX('Default Prob'!$P$5:$P$14,MIN(1+_xlfn.IFNA(MATCH(F757,'Default Prob'!$F$5:$F$14,1),0),COUNT('Default Prob'!$P$5:$P$14)))</f>
        <v>2.1918982658777085E-2</v>
      </c>
      <c r="H757" s="5">
        <f t="shared" si="154"/>
        <v>0.94056760908557435</v>
      </c>
      <c r="I757" s="24">
        <f t="shared" si="155"/>
        <v>5.6446006095223211E-5</v>
      </c>
      <c r="J757" s="25">
        <f>INDEX('Default Prob'!$C$3:$C$13, _xlfn.IFNA(MATCH(F757, 'Default Prob'!$B$3:$B$13, 1), 1))</f>
        <v>1.8200000000000001E-2</v>
      </c>
      <c r="K757" s="26">
        <f t="shared" si="146"/>
        <v>0.94965892115824324</v>
      </c>
      <c r="L757" s="27">
        <f t="shared" ca="1" si="147"/>
        <v>0</v>
      </c>
      <c r="M757" s="27">
        <f t="shared" ca="1" si="148"/>
        <v>2311.5287432299369</v>
      </c>
      <c r="N757" s="28">
        <f t="shared" ca="1" si="149"/>
        <v>0.1239082344573114</v>
      </c>
      <c r="O757" s="29">
        <f t="shared" ca="1" si="150"/>
        <v>600000</v>
      </c>
      <c r="P757" s="30">
        <f t="shared" ca="1" si="151"/>
        <v>32.162671951248775</v>
      </c>
    </row>
    <row r="758" spans="1:16" x14ac:dyDescent="0.25">
      <c r="A758" s="3">
        <f t="shared" si="152"/>
        <v>47172</v>
      </c>
      <c r="B758" s="21">
        <f t="shared" si="143"/>
        <v>36579</v>
      </c>
      <c r="C758" s="21">
        <f t="shared" si="144"/>
        <v>36605</v>
      </c>
      <c r="D758" s="1">
        <f t="shared" si="153"/>
        <v>0</v>
      </c>
      <c r="E758" s="3">
        <f t="array" ref="E758">INDEX($A$9:A757, MAX(IF($D$9:D757=1, ROW(D$9:$D757)-ROW($D$9)+1, 0)))</f>
        <v>47107</v>
      </c>
      <c r="F758" s="23">
        <f t="shared" si="145"/>
        <v>2.8665297741273101</v>
      </c>
      <c r="G758" s="5">
        <f>INDEX('Default Prob'!$P$5:$P$14,MIN(1+_xlfn.IFNA(MATCH(F758,'Default Prob'!$F$5:$F$14,1),0),COUNT('Default Prob'!$P$5:$P$14)))</f>
        <v>2.1918982658777085E-2</v>
      </c>
      <c r="H758" s="5">
        <f t="shared" si="154"/>
        <v>0.94051116646675337</v>
      </c>
      <c r="I758" s="24">
        <f t="shared" si="155"/>
        <v>5.6442618820984336E-5</v>
      </c>
      <c r="J758" s="25">
        <f>INDEX('Default Prob'!$C$3:$C$13, _xlfn.IFNA(MATCH(F758, 'Default Prob'!$B$3:$B$13, 1), 1))</f>
        <v>1.8200000000000001E-2</v>
      </c>
      <c r="K758" s="26">
        <f t="shared" si="146"/>
        <v>0.94961202733308336</v>
      </c>
      <c r="L758" s="27">
        <f t="shared" ca="1" si="147"/>
        <v>0</v>
      </c>
      <c r="M758" s="27">
        <f t="shared" ca="1" si="148"/>
        <v>2347.6463798429049</v>
      </c>
      <c r="N758" s="28">
        <f t="shared" ca="1" si="149"/>
        <v>0.12583053504239272</v>
      </c>
      <c r="O758" s="29">
        <f t="shared" ca="1" si="150"/>
        <v>600000</v>
      </c>
      <c r="P758" s="30">
        <f t="shared" ca="1" si="151"/>
        <v>32.159153811950027</v>
      </c>
    </row>
    <row r="759" spans="1:16" x14ac:dyDescent="0.25">
      <c r="A759" s="3">
        <f t="shared" si="152"/>
        <v>47175</v>
      </c>
      <c r="B759" s="21">
        <f t="shared" si="143"/>
        <v>36582</v>
      </c>
      <c r="C759" s="21">
        <f t="shared" si="144"/>
        <v>36605</v>
      </c>
      <c r="D759" s="1">
        <f t="shared" si="153"/>
        <v>0</v>
      </c>
      <c r="E759" s="3">
        <f t="array" ref="E759">INDEX($A$9:A758, MAX(IF($D$9:D758=1, ROW(D$9:$D758)-ROW($D$9)+1, 0)))</f>
        <v>47107</v>
      </c>
      <c r="F759" s="23">
        <f t="shared" si="145"/>
        <v>2.8747433264887063</v>
      </c>
      <c r="G759" s="5">
        <f>INDEX('Default Prob'!$P$5:$P$14,MIN(1+_xlfn.IFNA(MATCH(F759,'Default Prob'!$F$5:$F$14,1),0),COUNT('Default Prob'!$P$5:$P$14)))</f>
        <v>2.1918982658777085E-2</v>
      </c>
      <c r="H759" s="5">
        <f t="shared" si="154"/>
        <v>0.94034185893190292</v>
      </c>
      <c r="I759" s="24">
        <f t="shared" si="155"/>
        <v>1.6930753485044914E-4</v>
      </c>
      <c r="J759" s="25">
        <f>INDEX('Default Prob'!$C$3:$C$13, _xlfn.IFNA(MATCH(F759, 'Default Prob'!$B$3:$B$13, 1), 1))</f>
        <v>1.8200000000000001E-2</v>
      </c>
      <c r="K759" s="26">
        <f t="shared" si="146"/>
        <v>0.94947135975075025</v>
      </c>
      <c r="L759" s="27">
        <f t="shared" ca="1" si="147"/>
        <v>0</v>
      </c>
      <c r="M759" s="27">
        <f t="shared" ca="1" si="148"/>
        <v>2455.9992896818085</v>
      </c>
      <c r="N759" s="28">
        <f t="shared" ca="1" si="149"/>
        <v>0.39480840730618111</v>
      </c>
      <c r="O759" s="29">
        <f t="shared" ca="1" si="150"/>
        <v>600000</v>
      </c>
      <c r="P759" s="30">
        <f t="shared" ca="1" si="151"/>
        <v>96.451593198302078</v>
      </c>
    </row>
    <row r="760" spans="1:16" x14ac:dyDescent="0.25">
      <c r="A760" s="3">
        <f t="shared" si="152"/>
        <v>47176</v>
      </c>
      <c r="B760" s="21">
        <f t="shared" si="143"/>
        <v>36583</v>
      </c>
      <c r="C760" s="21">
        <f t="shared" si="144"/>
        <v>36605</v>
      </c>
      <c r="D760" s="1">
        <f t="shared" si="153"/>
        <v>0</v>
      </c>
      <c r="E760" s="3">
        <f t="array" ref="E760">INDEX($A$9:A759, MAX(IF($D$9:D759=1, ROW(D$9:$D759)-ROW($D$9)+1, 0)))</f>
        <v>47107</v>
      </c>
      <c r="F760" s="23">
        <f t="shared" si="145"/>
        <v>2.8774811772758384</v>
      </c>
      <c r="G760" s="5">
        <f>INDEX('Default Prob'!$P$5:$P$14,MIN(1+_xlfn.IFNA(MATCH(F760,'Default Prob'!$F$5:$F$14,1),0),COUNT('Default Prob'!$P$5:$P$14)))</f>
        <v>2.1918982658777085E-2</v>
      </c>
      <c r="H760" s="5">
        <f t="shared" si="154"/>
        <v>0.94028542986014618</v>
      </c>
      <c r="I760" s="24">
        <f t="shared" si="155"/>
        <v>5.6429071756736171E-5</v>
      </c>
      <c r="J760" s="25">
        <f>INDEX('Default Prob'!$C$3:$C$13, _xlfn.IFNA(MATCH(F760, 'Default Prob'!$B$3:$B$13, 1), 1))</f>
        <v>1.8200000000000001E-2</v>
      </c>
      <c r="K760" s="26">
        <f t="shared" si="146"/>
        <v>0.94942447518730699</v>
      </c>
      <c r="L760" s="27">
        <f t="shared" ca="1" si="147"/>
        <v>0</v>
      </c>
      <c r="M760" s="27">
        <f t="shared" ca="1" si="148"/>
        <v>2492.116926294776</v>
      </c>
      <c r="N760" s="28">
        <f t="shared" ca="1" si="149"/>
        <v>0.13351551780298898</v>
      </c>
      <c r="O760" s="29">
        <f t="shared" ca="1" si="150"/>
        <v>600000</v>
      </c>
      <c r="P760" s="30">
        <f t="shared" ca="1" si="151"/>
        <v>32.145085102767673</v>
      </c>
    </row>
    <row r="761" spans="1:16" x14ac:dyDescent="0.25">
      <c r="A761" s="3">
        <f t="shared" si="152"/>
        <v>47177</v>
      </c>
      <c r="B761" s="21">
        <f t="shared" si="143"/>
        <v>36584</v>
      </c>
      <c r="C761" s="21">
        <f t="shared" si="144"/>
        <v>36605</v>
      </c>
      <c r="D761" s="1">
        <f t="shared" si="153"/>
        <v>0</v>
      </c>
      <c r="E761" s="3">
        <f t="array" ref="E761">INDEX($A$9:A760, MAX(IF($D$9:D760=1, ROW(D$9:$D760)-ROW($D$9)+1, 0)))</f>
        <v>47107</v>
      </c>
      <c r="F761" s="23">
        <f t="shared" si="145"/>
        <v>2.8802190280629705</v>
      </c>
      <c r="G761" s="5">
        <f>INDEX('Default Prob'!$P$5:$P$14,MIN(1+_xlfn.IFNA(MATCH(F761,'Default Prob'!$F$5:$F$14,1),0),COUNT('Default Prob'!$P$5:$P$14)))</f>
        <v>2.1918982658777085E-2</v>
      </c>
      <c r="H761" s="5">
        <f t="shared" si="154"/>
        <v>0.9402290041746475</v>
      </c>
      <c r="I761" s="24">
        <f t="shared" si="155"/>
        <v>5.642568549868443E-5</v>
      </c>
      <c r="J761" s="25">
        <f>INDEX('Default Prob'!$C$3:$C$13, _xlfn.IFNA(MATCH(F761, 'Default Prob'!$B$3:$B$13, 1), 1))</f>
        <v>1.8200000000000001E-2</v>
      </c>
      <c r="K761" s="26">
        <f t="shared" si="146"/>
        <v>0.94937759293900692</v>
      </c>
      <c r="L761" s="27">
        <f t="shared" ca="1" si="147"/>
        <v>0</v>
      </c>
      <c r="M761" s="27">
        <f t="shared" ca="1" si="148"/>
        <v>2528.2345629077436</v>
      </c>
      <c r="N761" s="28">
        <f t="shared" ca="1" si="149"/>
        <v>0.1354357089445184</v>
      </c>
      <c r="O761" s="29">
        <f t="shared" ca="1" si="150"/>
        <v>600000</v>
      </c>
      <c r="P761" s="30">
        <f t="shared" ca="1" si="151"/>
        <v>32.14156888720467</v>
      </c>
    </row>
    <row r="762" spans="1:16" x14ac:dyDescent="0.25">
      <c r="A762" s="3">
        <f t="shared" si="152"/>
        <v>47178</v>
      </c>
      <c r="B762" s="21">
        <f t="shared" si="143"/>
        <v>36586</v>
      </c>
      <c r="C762" s="21">
        <f t="shared" si="144"/>
        <v>36605</v>
      </c>
      <c r="D762" s="1">
        <f t="shared" si="153"/>
        <v>0</v>
      </c>
      <c r="E762" s="3">
        <f t="array" ref="E762">INDEX($A$9:A761, MAX(IF($D$9:D761=1, ROW(D$9:$D761)-ROW($D$9)+1, 0)))</f>
        <v>47107</v>
      </c>
      <c r="F762" s="23">
        <f t="shared" si="145"/>
        <v>2.8829568788501025</v>
      </c>
      <c r="G762" s="5">
        <f>INDEX('Default Prob'!$P$5:$P$14,MIN(1+_xlfn.IFNA(MATCH(F762,'Default Prob'!$F$5:$F$14,1),0),COUNT('Default Prob'!$P$5:$P$14)))</f>
        <v>2.1918982658777085E-2</v>
      </c>
      <c r="H762" s="5">
        <f t="shared" si="154"/>
        <v>0.94017258187520358</v>
      </c>
      <c r="I762" s="24">
        <f t="shared" si="155"/>
        <v>5.6422299443914525E-5</v>
      </c>
      <c r="J762" s="25">
        <f>INDEX('Default Prob'!$C$3:$C$13, _xlfn.IFNA(MATCH(F762, 'Default Prob'!$B$3:$B$13, 1), 1))</f>
        <v>1.8200000000000001E-2</v>
      </c>
      <c r="K762" s="26">
        <f t="shared" si="146"/>
        <v>0.94933071300573602</v>
      </c>
      <c r="L762" s="27">
        <f t="shared" ca="1" si="147"/>
        <v>0</v>
      </c>
      <c r="M762" s="27">
        <f t="shared" ca="1" si="148"/>
        <v>2564.3521995207116</v>
      </c>
      <c r="N762" s="28">
        <f t="shared" ca="1" si="149"/>
        <v>0.13735547840543094</v>
      </c>
      <c r="O762" s="29">
        <f t="shared" ca="1" si="150"/>
        <v>600000</v>
      </c>
      <c r="P762" s="30">
        <f t="shared" ca="1" si="151"/>
        <v>32.138053056308713</v>
      </c>
    </row>
    <row r="763" spans="1:16" x14ac:dyDescent="0.25">
      <c r="A763" s="3">
        <f t="shared" si="152"/>
        <v>47179</v>
      </c>
      <c r="B763" s="21">
        <f t="shared" si="143"/>
        <v>36587</v>
      </c>
      <c r="C763" s="21">
        <f t="shared" si="144"/>
        <v>36605</v>
      </c>
      <c r="D763" s="1">
        <f t="shared" si="153"/>
        <v>0</v>
      </c>
      <c r="E763" s="3">
        <f t="array" ref="E763">INDEX($A$9:A762, MAX(IF($D$9:D762=1, ROW(D$9:$D762)-ROW($D$9)+1, 0)))</f>
        <v>47107</v>
      </c>
      <c r="F763" s="23">
        <f t="shared" si="145"/>
        <v>2.8856947296372346</v>
      </c>
      <c r="G763" s="5">
        <f>INDEX('Default Prob'!$P$5:$P$14,MIN(1+_xlfn.IFNA(MATCH(F763,'Default Prob'!$F$5:$F$14,1),0),COUNT('Default Prob'!$P$5:$P$14)))</f>
        <v>2.1918982658777085E-2</v>
      </c>
      <c r="H763" s="5">
        <f t="shared" si="154"/>
        <v>0.94011616296161127</v>
      </c>
      <c r="I763" s="24">
        <f t="shared" si="155"/>
        <v>5.6418913592315434E-5</v>
      </c>
      <c r="J763" s="25">
        <f>INDEX('Default Prob'!$C$3:$C$13, _xlfn.IFNA(MATCH(F763, 'Default Prob'!$B$3:$B$13, 1), 1))</f>
        <v>1.8200000000000001E-2</v>
      </c>
      <c r="K763" s="26">
        <f t="shared" si="146"/>
        <v>0.94928383538737959</v>
      </c>
      <c r="L763" s="27">
        <f t="shared" ca="1" si="147"/>
        <v>0</v>
      </c>
      <c r="M763" s="27">
        <f t="shared" ca="1" si="148"/>
        <v>2600.4698361336791</v>
      </c>
      <c r="N763" s="28">
        <f t="shared" ca="1" si="149"/>
        <v>0.13927482625476653</v>
      </c>
      <c r="O763" s="29">
        <f t="shared" ca="1" si="150"/>
        <v>600000</v>
      </c>
      <c r="P763" s="30">
        <f t="shared" ca="1" si="151"/>
        <v>32.134537609981415</v>
      </c>
    </row>
    <row r="764" spans="1:16" x14ac:dyDescent="0.25">
      <c r="A764" s="3">
        <f t="shared" si="152"/>
        <v>47182</v>
      </c>
      <c r="B764" s="21">
        <f t="shared" si="143"/>
        <v>36590</v>
      </c>
      <c r="C764" s="21">
        <f t="shared" si="144"/>
        <v>36605</v>
      </c>
      <c r="D764" s="1">
        <f t="shared" si="153"/>
        <v>0</v>
      </c>
      <c r="E764" s="3">
        <f t="array" ref="E764">INDEX($A$9:A763, MAX(IF($D$9:D763=1, ROW(D$9:$D763)-ROW($D$9)+1, 0)))</f>
        <v>47107</v>
      </c>
      <c r="F764" s="23">
        <f t="shared" si="145"/>
        <v>2.8939082819986313</v>
      </c>
      <c r="G764" s="5">
        <f>INDEX('Default Prob'!$P$5:$P$14,MIN(1+_xlfn.IFNA(MATCH(F764,'Default Prob'!$F$5:$F$14,1),0),COUNT('Default Prob'!$P$5:$P$14)))</f>
        <v>2.1918982658777085E-2</v>
      </c>
      <c r="H764" s="5">
        <f t="shared" si="154"/>
        <v>0.93994692653391199</v>
      </c>
      <c r="I764" s="24">
        <f t="shared" si="155"/>
        <v>1.6923642769928193E-4</v>
      </c>
      <c r="J764" s="25">
        <f>INDEX('Default Prob'!$C$3:$C$13, _xlfn.IFNA(MATCH(F764, 'Default Prob'!$B$3:$B$13, 1), 1))</f>
        <v>1.8200000000000001E-2</v>
      </c>
      <c r="K764" s="26">
        <f t="shared" si="146"/>
        <v>0.94914321642065602</v>
      </c>
      <c r="L764" s="27">
        <f t="shared" ca="1" si="147"/>
        <v>0</v>
      </c>
      <c r="M764" s="27">
        <f t="shared" ca="1" si="148"/>
        <v>2708.8227459725827</v>
      </c>
      <c r="N764" s="28">
        <f t="shared" ca="1" si="149"/>
        <v>0.43511713399058133</v>
      </c>
      <c r="O764" s="29">
        <f t="shared" ca="1" si="150"/>
        <v>600000</v>
      </c>
      <c r="P764" s="30">
        <f t="shared" ca="1" si="151"/>
        <v>96.377764393222961</v>
      </c>
    </row>
    <row r="765" spans="1:16" x14ac:dyDescent="0.25">
      <c r="A765" s="3">
        <f t="shared" si="152"/>
        <v>47183</v>
      </c>
      <c r="B765" s="21">
        <f t="shared" si="143"/>
        <v>36591</v>
      </c>
      <c r="C765" s="21">
        <f t="shared" si="144"/>
        <v>36605</v>
      </c>
      <c r="D765" s="1">
        <f t="shared" si="153"/>
        <v>0</v>
      </c>
      <c r="E765" s="3">
        <f t="array" ref="E765">INDEX($A$9:A764, MAX(IF($D$9:D764=1, ROW(D$9:$D764)-ROW($D$9)+1, 0)))</f>
        <v>47107</v>
      </c>
      <c r="F765" s="23">
        <f t="shared" si="145"/>
        <v>2.8966461327857633</v>
      </c>
      <c r="G765" s="5">
        <f>INDEX('Default Prob'!$P$5:$P$14,MIN(1+_xlfn.IFNA(MATCH(F765,'Default Prob'!$F$5:$F$14,1),0),COUNT('Default Prob'!$P$5:$P$14)))</f>
        <v>2.1918982658777085E-2</v>
      </c>
      <c r="H765" s="5">
        <f t="shared" si="154"/>
        <v>0.93989052116169436</v>
      </c>
      <c r="I765" s="24">
        <f t="shared" si="155"/>
        <v>5.6405372217627203E-5</v>
      </c>
      <c r="J765" s="25">
        <f>INDEX('Default Prob'!$C$3:$C$13, _xlfn.IFNA(MATCH(F765, 'Default Prob'!$B$3:$B$13, 1), 1))</f>
        <v>1.8200000000000001E-2</v>
      </c>
      <c r="K765" s="26">
        <f t="shared" si="146"/>
        <v>0.94909634806081544</v>
      </c>
      <c r="L765" s="27">
        <f t="shared" ca="1" si="147"/>
        <v>0</v>
      </c>
      <c r="M765" s="27">
        <f t="shared" ca="1" si="148"/>
        <v>2744.9403825855502</v>
      </c>
      <c r="N765" s="28">
        <f t="shared" ca="1" si="149"/>
        <v>0.1469480029220975</v>
      </c>
      <c r="O765" s="29">
        <f t="shared" ca="1" si="150"/>
        <v>600000</v>
      </c>
      <c r="P765" s="30">
        <f t="shared" ca="1" si="151"/>
        <v>32.120479669656575</v>
      </c>
    </row>
    <row r="766" spans="1:16" x14ac:dyDescent="0.25">
      <c r="A766" s="3">
        <f t="shared" si="152"/>
        <v>47184</v>
      </c>
      <c r="B766" s="21">
        <f t="shared" si="143"/>
        <v>36592</v>
      </c>
      <c r="C766" s="21">
        <f t="shared" si="144"/>
        <v>36605</v>
      </c>
      <c r="D766" s="1">
        <f t="shared" si="153"/>
        <v>0</v>
      </c>
      <c r="E766" s="3">
        <f t="array" ref="E766">INDEX($A$9:A765, MAX(IF($D$9:D765=1, ROW(D$9:$D765)-ROW($D$9)+1, 0)))</f>
        <v>47107</v>
      </c>
      <c r="F766" s="23">
        <f t="shared" si="145"/>
        <v>2.8993839835728954</v>
      </c>
      <c r="G766" s="5">
        <f>INDEX('Default Prob'!$P$5:$P$14,MIN(1+_xlfn.IFNA(MATCH(F766,'Default Prob'!$F$5:$F$14,1),0),COUNT('Default Prob'!$P$5:$P$14)))</f>
        <v>2.1918982658777085E-2</v>
      </c>
      <c r="H766" s="5">
        <f t="shared" si="154"/>
        <v>0.93983411917431259</v>
      </c>
      <c r="I766" s="24">
        <f t="shared" si="155"/>
        <v>5.6401987381771157E-5</v>
      </c>
      <c r="J766" s="25">
        <f>INDEX('Default Prob'!$C$3:$C$13, _xlfn.IFNA(MATCH(F766, 'Default Prob'!$B$3:$B$13, 1), 1))</f>
        <v>1.8200000000000001E-2</v>
      </c>
      <c r="K766" s="26">
        <f t="shared" si="146"/>
        <v>0.94904948201531825</v>
      </c>
      <c r="L766" s="27">
        <f t="shared" ca="1" si="147"/>
        <v>0</v>
      </c>
      <c r="M766" s="27">
        <f t="shared" ca="1" si="148"/>
        <v>2781.0580191985182</v>
      </c>
      <c r="N766" s="28">
        <f t="shared" ca="1" si="149"/>
        <v>0.14886524375249996</v>
      </c>
      <c r="O766" s="29">
        <f t="shared" ca="1" si="150"/>
        <v>600000</v>
      </c>
      <c r="P766" s="30">
        <f t="shared" ca="1" si="151"/>
        <v>32.116966145582658</v>
      </c>
    </row>
    <row r="767" spans="1:16" x14ac:dyDescent="0.25">
      <c r="A767" s="3">
        <f t="shared" si="152"/>
        <v>47185</v>
      </c>
      <c r="B767" s="21">
        <f t="shared" si="143"/>
        <v>36593</v>
      </c>
      <c r="C767" s="21">
        <f t="shared" si="144"/>
        <v>36605</v>
      </c>
      <c r="D767" s="1">
        <f t="shared" si="153"/>
        <v>0</v>
      </c>
      <c r="E767" s="3">
        <f t="array" ref="E767">INDEX($A$9:A766, MAX(IF($D$9:D766=1, ROW(D$9:$D766)-ROW($D$9)+1, 0)))</f>
        <v>47107</v>
      </c>
      <c r="F767" s="23">
        <f t="shared" si="145"/>
        <v>2.9021218343600275</v>
      </c>
      <c r="G767" s="5">
        <f>INDEX('Default Prob'!$P$5:$P$14,MIN(1+_xlfn.IFNA(MATCH(F767,'Default Prob'!$F$5:$F$14,1),0),COUNT('Default Prob'!$P$5:$P$14)))</f>
        <v>2.1918982658777085E-2</v>
      </c>
      <c r="H767" s="5">
        <f t="shared" si="154"/>
        <v>0.9397777205715635</v>
      </c>
      <c r="I767" s="24">
        <f t="shared" si="155"/>
        <v>5.6398602749085924E-5</v>
      </c>
      <c r="J767" s="25">
        <f>INDEX('Default Prob'!$C$3:$C$13, _xlfn.IFNA(MATCH(F767, 'Default Prob'!$B$3:$B$13, 1), 1))</f>
        <v>1.8200000000000001E-2</v>
      </c>
      <c r="K767" s="26">
        <f t="shared" si="146"/>
        <v>0.94900261828404986</v>
      </c>
      <c r="L767" s="27">
        <f t="shared" ca="1" si="147"/>
        <v>0</v>
      </c>
      <c r="M767" s="27">
        <f t="shared" ca="1" si="148"/>
        <v>2817.1756558114857</v>
      </c>
      <c r="N767" s="28">
        <f t="shared" ca="1" si="149"/>
        <v>0.15078206338695657</v>
      </c>
      <c r="O767" s="29">
        <f t="shared" ca="1" si="150"/>
        <v>600000</v>
      </c>
      <c r="P767" s="30">
        <f t="shared" ca="1" si="151"/>
        <v>32.113453005866731</v>
      </c>
    </row>
    <row r="768" spans="1:16" x14ac:dyDescent="0.25">
      <c r="A768" s="3">
        <f t="shared" si="152"/>
        <v>47186</v>
      </c>
      <c r="B768" s="21">
        <f t="shared" si="143"/>
        <v>36594</v>
      </c>
      <c r="C768" s="21">
        <f t="shared" si="144"/>
        <v>36605</v>
      </c>
      <c r="D768" s="1">
        <f t="shared" si="153"/>
        <v>0</v>
      </c>
      <c r="E768" s="3">
        <f t="array" ref="E768">INDEX($A$9:A767, MAX(IF($D$9:D767=1, ROW(D$9:$D767)-ROW($D$9)+1, 0)))</f>
        <v>47107</v>
      </c>
      <c r="F768" s="23">
        <f t="shared" si="145"/>
        <v>2.9048596851471595</v>
      </c>
      <c r="G768" s="5">
        <f>INDEX('Default Prob'!$P$5:$P$14,MIN(1+_xlfn.IFNA(MATCH(F768,'Default Prob'!$F$5:$F$14,1),0),COUNT('Default Prob'!$P$5:$P$14)))</f>
        <v>2.1918982658777085E-2</v>
      </c>
      <c r="H768" s="5">
        <f t="shared" si="154"/>
        <v>0.93972132535324393</v>
      </c>
      <c r="I768" s="24">
        <f t="shared" si="155"/>
        <v>5.6395218319571505E-5</v>
      </c>
      <c r="J768" s="25">
        <f>INDEX('Default Prob'!$C$3:$C$13, _xlfn.IFNA(MATCH(F768, 'Default Prob'!$B$3:$B$13, 1), 1))</f>
        <v>1.8200000000000001E-2</v>
      </c>
      <c r="K768" s="26">
        <f t="shared" si="146"/>
        <v>0.94895575686689626</v>
      </c>
      <c r="L768" s="27">
        <f t="shared" ca="1" si="147"/>
        <v>0</v>
      </c>
      <c r="M768" s="27">
        <f t="shared" ca="1" si="148"/>
        <v>2853.2932924244533</v>
      </c>
      <c r="N768" s="28">
        <f t="shared" ca="1" si="149"/>
        <v>0.15269846189471095</v>
      </c>
      <c r="O768" s="29">
        <f t="shared" ca="1" si="150"/>
        <v>600000</v>
      </c>
      <c r="P768" s="30">
        <f t="shared" ca="1" si="151"/>
        <v>32.109940250473699</v>
      </c>
    </row>
    <row r="769" spans="1:16" x14ac:dyDescent="0.25">
      <c r="A769" s="3">
        <f t="shared" si="152"/>
        <v>47189</v>
      </c>
      <c r="B769" s="21">
        <f t="shared" si="143"/>
        <v>36597</v>
      </c>
      <c r="C769" s="21">
        <f t="shared" si="144"/>
        <v>36605</v>
      </c>
      <c r="D769" s="1">
        <f t="shared" si="153"/>
        <v>0</v>
      </c>
      <c r="E769" s="3">
        <f t="array" ref="E769">INDEX($A$9:A768, MAX(IF($D$9:D768=1, ROW(D$9:$D768)-ROW($D$9)+1, 0)))</f>
        <v>47107</v>
      </c>
      <c r="F769" s="23">
        <f t="shared" si="145"/>
        <v>2.9130732375085557</v>
      </c>
      <c r="G769" s="5">
        <f>INDEX('Default Prob'!$P$5:$P$14,MIN(1+_xlfn.IFNA(MATCH(F769,'Default Prob'!$F$5:$F$14,1),0),COUNT('Default Prob'!$P$5:$P$14)))</f>
        <v>2.1918982658777085E-2</v>
      </c>
      <c r="H769" s="5">
        <f t="shared" si="154"/>
        <v>0.9395521600028317</v>
      </c>
      <c r="I769" s="24">
        <f t="shared" si="155"/>
        <v>1.6916535041222591E-4</v>
      </c>
      <c r="J769" s="25">
        <f>INDEX('Default Prob'!$C$3:$C$13, _xlfn.IFNA(MATCH(F769, 'Default Prob'!$B$3:$B$13, 1), 1))</f>
        <v>1.8200000000000001E-2</v>
      </c>
      <c r="K769" s="26">
        <f t="shared" si="146"/>
        <v>0.94881518649898033</v>
      </c>
      <c r="L769" s="27">
        <f t="shared" ca="1" si="147"/>
        <v>0</v>
      </c>
      <c r="M769" s="27">
        <f t="shared" ca="1" si="148"/>
        <v>2961.6462022633568</v>
      </c>
      <c r="N769" s="28">
        <f t="shared" ca="1" si="149"/>
        <v>0.4753639207778792</v>
      </c>
      <c r="O769" s="29">
        <f t="shared" ca="1" si="150"/>
        <v>600000</v>
      </c>
      <c r="P769" s="30">
        <f t="shared" ca="1" si="151"/>
        <v>96.303992100324905</v>
      </c>
    </row>
    <row r="770" spans="1:16" x14ac:dyDescent="0.25">
      <c r="A770" s="3">
        <f t="shared" si="152"/>
        <v>47190</v>
      </c>
      <c r="B770" s="21">
        <f t="shared" si="143"/>
        <v>36598</v>
      </c>
      <c r="C770" s="21">
        <f t="shared" si="144"/>
        <v>36605</v>
      </c>
      <c r="D770" s="1">
        <f t="shared" si="153"/>
        <v>0</v>
      </c>
      <c r="E770" s="3">
        <f t="array" ref="E770">INDEX($A$9:A769, MAX(IF($D$9:D769=1, ROW(D$9:$D769)-ROW($D$9)+1, 0)))</f>
        <v>47107</v>
      </c>
      <c r="F770" s="23">
        <f t="shared" si="145"/>
        <v>2.9158110882956878</v>
      </c>
      <c r="G770" s="5">
        <f>INDEX('Default Prob'!$P$5:$P$14,MIN(1+_xlfn.IFNA(MATCH(F770,'Default Prob'!$F$5:$F$14,1),0),COUNT('Default Prob'!$P$5:$P$14)))</f>
        <v>2.1918982658777085E-2</v>
      </c>
      <c r="H770" s="5">
        <f t="shared" si="154"/>
        <v>0.93949577832019959</v>
      </c>
      <c r="I770" s="24">
        <f t="shared" si="155"/>
        <v>5.638168263211174E-5</v>
      </c>
      <c r="J770" s="25">
        <f>INDEX('Default Prob'!$C$3:$C$13, _xlfn.IFNA(MATCH(F770, 'Default Prob'!$B$3:$B$13, 1), 1))</f>
        <v>1.8200000000000001E-2</v>
      </c>
      <c r="K770" s="26">
        <f t="shared" si="146"/>
        <v>0.94876833433714236</v>
      </c>
      <c r="L770" s="27">
        <f t="shared" ca="1" si="147"/>
        <v>0</v>
      </c>
      <c r="M770" s="27">
        <f t="shared" ca="1" si="148"/>
        <v>2997.7638388763244</v>
      </c>
      <c r="N770" s="28">
        <f t="shared" ca="1" si="149"/>
        <v>0.16035984604012454</v>
      </c>
      <c r="O770" s="29">
        <f t="shared" ca="1" si="150"/>
        <v>600000</v>
      </c>
      <c r="P770" s="30">
        <f t="shared" ca="1" si="151"/>
        <v>32.095893070796429</v>
      </c>
    </row>
    <row r="771" spans="1:16" x14ac:dyDescent="0.25">
      <c r="A771" s="3">
        <f t="shared" si="152"/>
        <v>47191</v>
      </c>
      <c r="B771" s="21">
        <f t="shared" si="143"/>
        <v>36599</v>
      </c>
      <c r="C771" s="21">
        <f t="shared" si="144"/>
        <v>36605</v>
      </c>
      <c r="D771" s="1">
        <f t="shared" si="153"/>
        <v>0</v>
      </c>
      <c r="E771" s="3">
        <f t="array" ref="E771">INDEX($A$9:A770, MAX(IF($D$9:D770=1, ROW(D$9:$D770)-ROW($D$9)+1, 0)))</f>
        <v>47107</v>
      </c>
      <c r="F771" s="23">
        <f t="shared" si="145"/>
        <v>2.9185489390828199</v>
      </c>
      <c r="G771" s="5">
        <f>INDEX('Default Prob'!$P$5:$P$14,MIN(1+_xlfn.IFNA(MATCH(F771,'Default Prob'!$F$5:$F$14,1),0),COUNT('Default Prob'!$P$5:$P$14)))</f>
        <v>2.1918982658777085E-2</v>
      </c>
      <c r="H771" s="5">
        <f t="shared" si="154"/>
        <v>0.9394394000209817</v>
      </c>
      <c r="I771" s="24">
        <f t="shared" si="155"/>
        <v>5.6378299217896277E-5</v>
      </c>
      <c r="J771" s="25">
        <f>INDEX('Default Prob'!$C$3:$C$13, _xlfn.IFNA(MATCH(F771, 'Default Prob'!$B$3:$B$13, 1), 1))</f>
        <v>1.8200000000000001E-2</v>
      </c>
      <c r="K771" s="26">
        <f t="shared" si="146"/>
        <v>0.94872148448884808</v>
      </c>
      <c r="L771" s="27">
        <f t="shared" ca="1" si="147"/>
        <v>0</v>
      </c>
      <c r="M771" s="27">
        <f t="shared" ca="1" si="148"/>
        <v>3033.8814754892928</v>
      </c>
      <c r="N771" s="28">
        <f t="shared" ca="1" si="149"/>
        <v>0.16227413995109036</v>
      </c>
      <c r="O771" s="29">
        <f t="shared" ca="1" si="150"/>
        <v>600000</v>
      </c>
      <c r="P771" s="30">
        <f t="shared" ca="1" si="151"/>
        <v>32.092382236175411</v>
      </c>
    </row>
    <row r="772" spans="1:16" x14ac:dyDescent="0.25">
      <c r="A772" s="3">
        <f t="shared" si="152"/>
        <v>47192</v>
      </c>
      <c r="B772" s="21">
        <f t="shared" si="143"/>
        <v>36600</v>
      </c>
      <c r="C772" s="21">
        <f t="shared" si="144"/>
        <v>36605</v>
      </c>
      <c r="D772" s="1">
        <f t="shared" si="153"/>
        <v>0</v>
      </c>
      <c r="E772" s="3">
        <f t="array" ref="E772">INDEX($A$9:A771, MAX(IF($D$9:D771=1, ROW(D$9:$D771)-ROW($D$9)+1, 0)))</f>
        <v>47107</v>
      </c>
      <c r="F772" s="23">
        <f t="shared" si="145"/>
        <v>2.9212867898699519</v>
      </c>
      <c r="G772" s="5">
        <f>INDEX('Default Prob'!$P$5:$P$14,MIN(1+_xlfn.IFNA(MATCH(F772,'Default Prob'!$F$5:$F$14,1),0),COUNT('Default Prob'!$P$5:$P$14)))</f>
        <v>2.1918982658777085E-2</v>
      </c>
      <c r="H772" s="5">
        <f t="shared" si="154"/>
        <v>0.93938302510497507</v>
      </c>
      <c r="I772" s="24">
        <f t="shared" si="155"/>
        <v>5.6374916006629583E-5</v>
      </c>
      <c r="J772" s="25">
        <f>INDEX('Default Prob'!$C$3:$C$13, _xlfn.IFNA(MATCH(F772, 'Default Prob'!$B$3:$B$13, 1), 1))</f>
        <v>1.8200000000000001E-2</v>
      </c>
      <c r="K772" s="26">
        <f t="shared" si="146"/>
        <v>0.94867463695398269</v>
      </c>
      <c r="L772" s="27">
        <f t="shared" ca="1" si="147"/>
        <v>0</v>
      </c>
      <c r="M772" s="27">
        <f t="shared" ca="1" si="148"/>
        <v>3069.9991121022604</v>
      </c>
      <c r="N772" s="28">
        <f t="shared" ca="1" si="149"/>
        <v>0.1641880131499536</v>
      </c>
      <c r="O772" s="29">
        <f t="shared" ca="1" si="150"/>
        <v>600000</v>
      </c>
      <c r="P772" s="30">
        <f t="shared" ca="1" si="151"/>
        <v>32.088871785540356</v>
      </c>
    </row>
    <row r="773" spans="1:16" x14ac:dyDescent="0.25">
      <c r="A773" s="3">
        <f t="shared" si="152"/>
        <v>47193</v>
      </c>
      <c r="B773" s="21">
        <f t="shared" si="143"/>
        <v>36601</v>
      </c>
      <c r="C773" s="21">
        <f t="shared" si="144"/>
        <v>36605</v>
      </c>
      <c r="D773" s="1">
        <f t="shared" si="153"/>
        <v>0</v>
      </c>
      <c r="E773" s="3">
        <f t="array" ref="E773">INDEX($A$9:A772, MAX(IF($D$9:D772=1, ROW(D$9:$D772)-ROW($D$9)+1, 0)))</f>
        <v>47107</v>
      </c>
      <c r="F773" s="23">
        <f t="shared" si="145"/>
        <v>2.924024640657084</v>
      </c>
      <c r="G773" s="5">
        <f>INDEX('Default Prob'!$P$5:$P$14,MIN(1+_xlfn.IFNA(MATCH(F773,'Default Prob'!$F$5:$F$14,1),0),COUNT('Default Prob'!$P$5:$P$14)))</f>
        <v>2.1918982658777085E-2</v>
      </c>
      <c r="H773" s="5">
        <f t="shared" si="154"/>
        <v>0.93932665357197653</v>
      </c>
      <c r="I773" s="24">
        <f t="shared" si="155"/>
        <v>5.6371532998533702E-5</v>
      </c>
      <c r="J773" s="25">
        <f>INDEX('Default Prob'!$C$3:$C$13, _xlfn.IFNA(MATCH(F773, 'Default Prob'!$B$3:$B$13, 1), 1))</f>
        <v>1.8200000000000001E-2</v>
      </c>
      <c r="K773" s="26">
        <f t="shared" si="146"/>
        <v>0.94862779173243239</v>
      </c>
      <c r="L773" s="27">
        <f t="shared" ca="1" si="147"/>
        <v>0</v>
      </c>
      <c r="M773" s="27">
        <f t="shared" ca="1" si="148"/>
        <v>3106.1167487152284</v>
      </c>
      <c r="N773" s="28">
        <f t="shared" ca="1" si="149"/>
        <v>0.16610146570653039</v>
      </c>
      <c r="O773" s="29">
        <f t="shared" ca="1" si="150"/>
        <v>600000</v>
      </c>
      <c r="P773" s="30">
        <f t="shared" ca="1" si="151"/>
        <v>32.085361718982583</v>
      </c>
    </row>
    <row r="774" spans="1:16" x14ac:dyDescent="0.25">
      <c r="A774" s="3">
        <f t="shared" si="152"/>
        <v>47196</v>
      </c>
      <c r="B774" s="21">
        <f t="shared" si="143"/>
        <v>36604</v>
      </c>
      <c r="C774" s="21">
        <f t="shared" si="144"/>
        <v>36605</v>
      </c>
      <c r="D774" s="1">
        <f t="shared" si="153"/>
        <v>0</v>
      </c>
      <c r="E774" s="3">
        <f t="array" ref="E774">INDEX($A$9:A773, MAX(IF($D$9:D773=1, ROW(D$9:$D773)-ROW($D$9)+1, 0)))</f>
        <v>47107</v>
      </c>
      <c r="F774" s="23">
        <f t="shared" si="145"/>
        <v>2.9322381930184807</v>
      </c>
      <c r="G774" s="5">
        <f>INDEX('Default Prob'!$P$5:$P$14,MIN(1+_xlfn.IFNA(MATCH(F774,'Default Prob'!$F$5:$F$14,1),0),COUNT('Default Prob'!$P$5:$P$14)))</f>
        <v>2.1918982658777085E-2</v>
      </c>
      <c r="H774" s="5">
        <f t="shared" si="154"/>
        <v>0.9391575592689998</v>
      </c>
      <c r="I774" s="24">
        <f t="shared" si="155"/>
        <v>1.6909430297673556E-4</v>
      </c>
      <c r="J774" s="25">
        <f>INDEX('Default Prob'!$C$3:$C$13, _xlfn.IFNA(MATCH(F774, 'Default Prob'!$B$3:$B$13, 1), 1))</f>
        <v>1.8200000000000001E-2</v>
      </c>
      <c r="K774" s="26">
        <f t="shared" si="146"/>
        <v>0.9484872699465281</v>
      </c>
      <c r="L774" s="27">
        <f t="shared" ca="1" si="147"/>
        <v>0</v>
      </c>
      <c r="M774" s="27">
        <f t="shared" ca="1" si="148"/>
        <v>3214.4696585541315</v>
      </c>
      <c r="N774" s="28">
        <f t="shared" ca="1" si="149"/>
        <v>0.51554883887434211</v>
      </c>
      <c r="O774" s="29">
        <f t="shared" ca="1" si="150"/>
        <v>600000</v>
      </c>
      <c r="P774" s="30">
        <f t="shared" ca="1" si="151"/>
        <v>96.230276276349002</v>
      </c>
    </row>
    <row r="775" spans="1:16" x14ac:dyDescent="0.25">
      <c r="A775" s="3">
        <f t="shared" si="152"/>
        <v>47197</v>
      </c>
      <c r="B775" s="21">
        <f t="shared" si="143"/>
        <v>36605</v>
      </c>
      <c r="C775" s="21">
        <f t="shared" si="144"/>
        <v>36605</v>
      </c>
      <c r="D775" s="1">
        <f t="shared" si="153"/>
        <v>1</v>
      </c>
      <c r="E775" s="3">
        <f t="array" ref="E775">INDEX($A$9:A774, MAX(IF($D$9:D774=1, ROW(D$9:$D774)-ROW($D$9)+1, 0)))</f>
        <v>47107</v>
      </c>
      <c r="F775" s="23">
        <f t="shared" si="145"/>
        <v>2.9349760438056127</v>
      </c>
      <c r="G775" s="5">
        <f>INDEX('Default Prob'!$P$5:$P$14,MIN(1+_xlfn.IFNA(MATCH(F775,'Default Prob'!$F$5:$F$14,1),0),COUNT('Default Prob'!$P$5:$P$14)))</f>
        <v>2.1918982658777085E-2</v>
      </c>
      <c r="H775" s="5">
        <f t="shared" si="154"/>
        <v>0.93910120126600394</v>
      </c>
      <c r="I775" s="24">
        <f t="shared" si="155"/>
        <v>5.6358002995859913E-5</v>
      </c>
      <c r="J775" s="25">
        <f>INDEX('Default Prob'!$C$3:$C$13, _xlfn.IFNA(MATCH(F775, 'Default Prob'!$B$3:$B$13, 1), 1))</f>
        <v>1.8200000000000001E-2</v>
      </c>
      <c r="K775" s="26">
        <f t="shared" si="146"/>
        <v>0.94844043397709488</v>
      </c>
      <c r="L775" s="27">
        <f t="shared" ca="1" si="147"/>
        <v>3250.587295167099</v>
      </c>
      <c r="M775" s="27">
        <f t="shared" ca="1" si="148"/>
        <v>3250.587295167099</v>
      </c>
      <c r="N775" s="28">
        <f t="shared" ca="1" si="149"/>
        <v>2895.4118843918463</v>
      </c>
      <c r="O775" s="29">
        <f t="shared" ca="1" si="150"/>
        <v>600000</v>
      </c>
      <c r="P775" s="30">
        <f t="shared" ca="1" si="151"/>
        <v>32.071325291685476</v>
      </c>
    </row>
    <row r="776" spans="1:16" x14ac:dyDescent="0.25">
      <c r="A776" s="3">
        <f t="shared" si="152"/>
        <v>47198</v>
      </c>
      <c r="B776" s="21">
        <f t="shared" si="143"/>
        <v>36606</v>
      </c>
      <c r="C776" s="21">
        <f t="shared" si="144"/>
        <v>36697</v>
      </c>
      <c r="D776" s="1">
        <f t="shared" si="153"/>
        <v>0</v>
      </c>
      <c r="E776" s="3">
        <f t="array" ref="E776">INDEX($A$9:A775, MAX(IF($D$9:D775=1, ROW(D$9:$D775)-ROW($D$9)+1, 0)))</f>
        <v>47197</v>
      </c>
      <c r="F776" s="23">
        <f t="shared" si="145"/>
        <v>2.9377138945927448</v>
      </c>
      <c r="G776" s="5">
        <f>INDEX('Default Prob'!$P$5:$P$14,MIN(1+_xlfn.IFNA(MATCH(F776,'Default Prob'!$F$5:$F$14,1),0),COUNT('Default Prob'!$P$5:$P$14)))</f>
        <v>2.1918982658777085E-2</v>
      </c>
      <c r="H776" s="5">
        <f t="shared" si="154"/>
        <v>0.93904484664500132</v>
      </c>
      <c r="I776" s="24">
        <f t="shared" si="155"/>
        <v>5.6354621002618899E-5</v>
      </c>
      <c r="J776" s="25">
        <f>INDEX('Default Prob'!$C$3:$C$13, _xlfn.IFNA(MATCH(F776, 'Default Prob'!$B$3:$B$13, 1), 1))</f>
        <v>1.8200000000000001E-2</v>
      </c>
      <c r="K776" s="26">
        <f t="shared" si="146"/>
        <v>0.94839360032040554</v>
      </c>
      <c r="L776" s="27">
        <f t="shared" ca="1" si="147"/>
        <v>0</v>
      </c>
      <c r="M776" s="27">
        <f t="shared" ca="1" si="148"/>
        <v>36.117636612967765</v>
      </c>
      <c r="N776" s="28">
        <f t="shared" ca="1" si="149"/>
        <v>1.9303562776553963E-3</v>
      </c>
      <c r="O776" s="29">
        <f t="shared" ca="1" si="150"/>
        <v>600000</v>
      </c>
      <c r="P776" s="30">
        <f t="shared" ca="1" si="151"/>
        <v>32.067817144419408</v>
      </c>
    </row>
    <row r="777" spans="1:16" x14ac:dyDescent="0.25">
      <c r="A777" s="3">
        <f t="shared" si="152"/>
        <v>47199</v>
      </c>
      <c r="B777" s="21">
        <f t="shared" ref="B777:B840" si="156">DATE(2000, MONTH(A777), DAY(A777))</f>
        <v>36607</v>
      </c>
      <c r="C777" s="21">
        <f t="shared" ref="C777:C840" si="157">VLOOKUP(B777, $R$9:$S$13, 2)</f>
        <v>36697</v>
      </c>
      <c r="D777" s="1">
        <f t="shared" si="153"/>
        <v>0</v>
      </c>
      <c r="E777" s="3">
        <f t="array" ref="E777">INDEX($A$9:A776, MAX(IF($D$9:D776=1, ROW(D$9:$D776)-ROW($D$9)+1, 0)))</f>
        <v>47197</v>
      </c>
      <c r="F777" s="23">
        <f t="shared" ref="F777:F840" si="158">(A777-$A$2)/365.25</f>
        <v>2.9404517453798769</v>
      </c>
      <c r="G777" s="5">
        <f>INDEX('Default Prob'!$P$5:$P$14,MIN(1+_xlfn.IFNA(MATCH(F777,'Default Prob'!$F$5:$F$14,1),0),COUNT('Default Prob'!$P$5:$P$14)))</f>
        <v>2.1918982658777085E-2</v>
      </c>
      <c r="H777" s="5">
        <f t="shared" si="154"/>
        <v>0.93898849540578888</v>
      </c>
      <c r="I777" s="24">
        <f t="shared" si="155"/>
        <v>5.6351239212437676E-5</v>
      </c>
      <c r="J777" s="25">
        <f>INDEX('Default Prob'!$C$3:$C$13, _xlfn.IFNA(MATCH(F777, 'Default Prob'!$B$3:$B$13, 1), 1))</f>
        <v>1.8200000000000001E-2</v>
      </c>
      <c r="K777" s="26">
        <f t="shared" ref="K777:K840" si="159">1/((1+J777)^F777)</f>
        <v>0.94834676897634562</v>
      </c>
      <c r="L777" s="27">
        <f t="shared" ref="L777:L840" ca="1" si="160">IF(AND(D777, A777 &lt;= $G$2), $D$5*$D$2*(A777-E777)/365.25, 0)</f>
        <v>0</v>
      </c>
      <c r="M777" s="27">
        <f t="shared" ref="M777:M840" ca="1" si="161">IF(A777&lt;=$G$2, $D$5*$D$2*(A777-E777)/365.25, 0)</f>
        <v>72.235273225935529</v>
      </c>
      <c r="N777" s="28">
        <f t="shared" ref="N777:N840" ca="1" si="162">(L777*H777 + M777*I777) * K777</f>
        <v>3.8602902482239338E-3</v>
      </c>
      <c r="O777" s="29">
        <f t="shared" ref="O777:O840" ca="1" si="163">IF(A777&lt;=$G$2, $D$2*(1-$D$3), 0)</f>
        <v>600000</v>
      </c>
      <c r="P777" s="30">
        <f t="shared" ref="P777:P840" ca="1" si="164">O777*I777*K777</f>
        <v>32.064309380957056</v>
      </c>
    </row>
    <row r="778" spans="1:16" x14ac:dyDescent="0.25">
      <c r="A778" s="3">
        <f t="shared" ref="A778:A841" si="165">WORKDAY(A777, 1)</f>
        <v>47200</v>
      </c>
      <c r="B778" s="21">
        <f t="shared" si="156"/>
        <v>36608</v>
      </c>
      <c r="C778" s="21">
        <f t="shared" si="157"/>
        <v>36697</v>
      </c>
      <c r="D778" s="1">
        <f t="shared" ref="D778:D841" si="166">IF(OR(C778=B778, AND(C778&lt;&gt;C777, C777&gt;B777)), 1, 0)</f>
        <v>0</v>
      </c>
      <c r="E778" s="3">
        <f t="array" ref="E778">INDEX($A$9:A777, MAX(IF($D$9:D777=1, ROW(D$9:$D777)-ROW($D$9)+1, 0)))</f>
        <v>47197</v>
      </c>
      <c r="F778" s="23">
        <f t="shared" si="158"/>
        <v>2.9431895961670089</v>
      </c>
      <c r="G778" s="5">
        <f>INDEX('Default Prob'!$P$5:$P$14,MIN(1+_xlfn.IFNA(MATCH(F778,'Default Prob'!$F$5:$F$14,1),0),COUNT('Default Prob'!$P$5:$P$14)))</f>
        <v>2.1918982658777085E-2</v>
      </c>
      <c r="H778" s="5">
        <f t="shared" ref="H778:H841" si="167">H777*EXP(-G777*(F778-F777))</f>
        <v>0.93893214754816379</v>
      </c>
      <c r="I778" s="24">
        <f t="shared" ref="I778:I841" si="168">H777-H778</f>
        <v>5.63478576250942E-5</v>
      </c>
      <c r="J778" s="25">
        <f>INDEX('Default Prob'!$C$3:$C$13, _xlfn.IFNA(MATCH(F778, 'Default Prob'!$B$3:$B$13, 1), 1))</f>
        <v>1.8200000000000001E-2</v>
      </c>
      <c r="K778" s="26">
        <f t="shared" si="159"/>
        <v>0.94829993994480111</v>
      </c>
      <c r="L778" s="27">
        <f t="shared" ca="1" si="160"/>
        <v>0</v>
      </c>
      <c r="M778" s="27">
        <f t="shared" ca="1" si="161"/>
        <v>108.35290983890332</v>
      </c>
      <c r="N778" s="28">
        <f t="shared" ca="1" si="162"/>
        <v>5.7898019809868844E-3</v>
      </c>
      <c r="O778" s="29">
        <f t="shared" ca="1" si="163"/>
        <v>600000</v>
      </c>
      <c r="P778" s="30">
        <f t="shared" ca="1" si="164"/>
        <v>32.06080200113702</v>
      </c>
    </row>
    <row r="779" spans="1:16" x14ac:dyDescent="0.25">
      <c r="A779" s="3">
        <f t="shared" si="165"/>
        <v>47203</v>
      </c>
      <c r="B779" s="21">
        <f t="shared" si="156"/>
        <v>36611</v>
      </c>
      <c r="C779" s="21">
        <f t="shared" si="157"/>
        <v>36697</v>
      </c>
      <c r="D779" s="1">
        <f t="shared" si="166"/>
        <v>0</v>
      </c>
      <c r="E779" s="3">
        <f t="array" ref="E779">INDEX($A$9:A778, MAX(IF($D$9:D778=1, ROW(D$9:$D778)-ROW($D$9)+1, 0)))</f>
        <v>47197</v>
      </c>
      <c r="F779" s="23">
        <f t="shared" si="158"/>
        <v>2.9514031485284051</v>
      </c>
      <c r="G779" s="5">
        <f>INDEX('Default Prob'!$P$5:$P$14,MIN(1+_xlfn.IFNA(MATCH(F779,'Default Prob'!$F$5:$F$14,1),0),COUNT('Default Prob'!$P$5:$P$14)))</f>
        <v>2.1918982658777085E-2</v>
      </c>
      <c r="H779" s="5">
        <f t="shared" si="167"/>
        <v>0.9387631242627833</v>
      </c>
      <c r="I779" s="24">
        <f t="shared" si="168"/>
        <v>1.6902328538048739E-4</v>
      </c>
      <c r="J779" s="25">
        <f>INDEX('Default Prob'!$C$3:$C$13, _xlfn.IFNA(MATCH(F779, 'Default Prob'!$B$3:$B$13, 1), 1))</f>
        <v>1.8200000000000001E-2</v>
      </c>
      <c r="K779" s="26">
        <f t="shared" si="159"/>
        <v>0.94815946672411822</v>
      </c>
      <c r="L779" s="27">
        <f t="shared" ca="1" si="160"/>
        <v>0</v>
      </c>
      <c r="M779" s="27">
        <f t="shared" ca="1" si="161"/>
        <v>216.70581967780663</v>
      </c>
      <c r="N779" s="28">
        <f t="shared" ca="1" si="162"/>
        <v>3.4729497463389318E-2</v>
      </c>
      <c r="O779" s="29">
        <f t="shared" ca="1" si="163"/>
        <v>600000</v>
      </c>
      <c r="P779" s="30">
        <f t="shared" ca="1" si="164"/>
        <v>96.156616878192821</v>
      </c>
    </row>
    <row r="780" spans="1:16" x14ac:dyDescent="0.25">
      <c r="A780" s="3">
        <f t="shared" si="165"/>
        <v>47204</v>
      </c>
      <c r="B780" s="21">
        <f t="shared" si="156"/>
        <v>36612</v>
      </c>
      <c r="C780" s="21">
        <f t="shared" si="157"/>
        <v>36697</v>
      </c>
      <c r="D780" s="1">
        <f t="shared" si="166"/>
        <v>0</v>
      </c>
      <c r="E780" s="3">
        <f t="array" ref="E780">INDEX($A$9:A779, MAX(IF($D$9:D779=1, ROW(D$9:$D779)-ROW($D$9)+1, 0)))</f>
        <v>47197</v>
      </c>
      <c r="F780" s="23">
        <f t="shared" si="158"/>
        <v>2.9541409993155372</v>
      </c>
      <c r="G780" s="5">
        <f>INDEX('Default Prob'!$P$5:$P$14,MIN(1+_xlfn.IFNA(MATCH(F780,'Default Prob'!$F$5:$F$14,1),0),COUNT('Default Prob'!$P$5:$P$14)))</f>
        <v>2.1918982658777085E-2</v>
      </c>
      <c r="H780" s="5">
        <f t="shared" si="167"/>
        <v>0.93870678992947842</v>
      </c>
      <c r="I780" s="24">
        <f t="shared" si="168"/>
        <v>5.6334333304874917E-5</v>
      </c>
      <c r="J780" s="25">
        <f>INDEX('Default Prob'!$C$3:$C$13, _xlfn.IFNA(MATCH(F780, 'Default Prob'!$B$3:$B$13, 1), 1))</f>
        <v>1.8200000000000001E-2</v>
      </c>
      <c r="K780" s="26">
        <f t="shared" si="159"/>
        <v>0.94811264694149355</v>
      </c>
      <c r="L780" s="27">
        <f t="shared" ca="1" si="160"/>
        <v>0</v>
      </c>
      <c r="M780" s="27">
        <f t="shared" ca="1" si="161"/>
        <v>252.82345629077437</v>
      </c>
      <c r="N780" s="28">
        <f t="shared" ca="1" si="162"/>
        <v>1.3503627919499253E-2</v>
      </c>
      <c r="O780" s="29">
        <f t="shared" ca="1" si="163"/>
        <v>600000</v>
      </c>
      <c r="P780" s="30">
        <f t="shared" ca="1" si="164"/>
        <v>32.046776318021578</v>
      </c>
    </row>
    <row r="781" spans="1:16" x14ac:dyDescent="0.25">
      <c r="A781" s="3">
        <f t="shared" si="165"/>
        <v>47205</v>
      </c>
      <c r="B781" s="21">
        <f t="shared" si="156"/>
        <v>36613</v>
      </c>
      <c r="C781" s="21">
        <f t="shared" si="157"/>
        <v>36697</v>
      </c>
      <c r="D781" s="1">
        <f t="shared" si="166"/>
        <v>0</v>
      </c>
      <c r="E781" s="3">
        <f t="array" ref="E781">INDEX($A$9:A780, MAX(IF($D$9:D780=1, ROW(D$9:$D780)-ROW($D$9)+1, 0)))</f>
        <v>47197</v>
      </c>
      <c r="F781" s="23">
        <f t="shared" si="158"/>
        <v>2.9568788501026693</v>
      </c>
      <c r="G781" s="5">
        <f>INDEX('Default Prob'!$P$5:$P$14,MIN(1+_xlfn.IFNA(MATCH(F781,'Default Prob'!$F$5:$F$14,1),0),COUNT('Default Prob'!$P$5:$P$14)))</f>
        <v>2.1918982658777085E-2</v>
      </c>
      <c r="H781" s="5">
        <f t="shared" si="167"/>
        <v>0.93865045897674637</v>
      </c>
      <c r="I781" s="24">
        <f t="shared" si="168"/>
        <v>5.6330952732053241E-5</v>
      </c>
      <c r="J781" s="25">
        <f>INDEX('Default Prob'!$C$3:$C$13, _xlfn.IFNA(MATCH(F781, 'Default Prob'!$B$3:$B$13, 1), 1))</f>
        <v>1.8200000000000001E-2</v>
      </c>
      <c r="K781" s="26">
        <f t="shared" si="159"/>
        <v>0.94806582947081319</v>
      </c>
      <c r="L781" s="27">
        <f t="shared" ca="1" si="160"/>
        <v>0</v>
      </c>
      <c r="M781" s="27">
        <f t="shared" ca="1" si="161"/>
        <v>288.94109290374212</v>
      </c>
      <c r="N781" s="28">
        <f t="shared" ca="1" si="162"/>
        <v>1.5431029502275926E-2</v>
      </c>
      <c r="O781" s="29">
        <f t="shared" ca="1" si="163"/>
        <v>600000</v>
      </c>
      <c r="P781" s="30">
        <f t="shared" ca="1" si="164"/>
        <v>32.043270856077136</v>
      </c>
    </row>
    <row r="782" spans="1:16" x14ac:dyDescent="0.25">
      <c r="A782" s="3">
        <f t="shared" si="165"/>
        <v>47206</v>
      </c>
      <c r="B782" s="21">
        <f t="shared" si="156"/>
        <v>36614</v>
      </c>
      <c r="C782" s="21">
        <f t="shared" si="157"/>
        <v>36697</v>
      </c>
      <c r="D782" s="1">
        <f t="shared" si="166"/>
        <v>0</v>
      </c>
      <c r="E782" s="3">
        <f t="array" ref="E782">INDEX($A$9:A781, MAX(IF($D$9:D781=1, ROW(D$9:$D781)-ROW($D$9)+1, 0)))</f>
        <v>47197</v>
      </c>
      <c r="F782" s="23">
        <f t="shared" si="158"/>
        <v>2.9596167008898013</v>
      </c>
      <c r="G782" s="5">
        <f>INDEX('Default Prob'!$P$5:$P$14,MIN(1+_xlfn.IFNA(MATCH(F782,'Default Prob'!$F$5:$F$14,1),0),COUNT('Default Prob'!$P$5:$P$14)))</f>
        <v>2.1918982658777085E-2</v>
      </c>
      <c r="H782" s="5">
        <f t="shared" si="167"/>
        <v>0.9385941314043843</v>
      </c>
      <c r="I782" s="24">
        <f t="shared" si="168"/>
        <v>5.6327572362069311E-5</v>
      </c>
      <c r="J782" s="25">
        <f>INDEX('Default Prob'!$C$3:$C$13, _xlfn.IFNA(MATCH(F782, 'Default Prob'!$B$3:$B$13, 1), 1))</f>
        <v>1.8200000000000001E-2</v>
      </c>
      <c r="K782" s="26">
        <f t="shared" si="159"/>
        <v>0.94801901431196323</v>
      </c>
      <c r="L782" s="27">
        <f t="shared" ca="1" si="160"/>
        <v>0</v>
      </c>
      <c r="M782" s="27">
        <f t="shared" ca="1" si="161"/>
        <v>325.05872951670989</v>
      </c>
      <c r="N782" s="28">
        <f t="shared" ca="1" si="162"/>
        <v>1.7358009262780312E-2</v>
      </c>
      <c r="O782" s="29">
        <f t="shared" ca="1" si="163"/>
        <v>600000</v>
      </c>
      <c r="P782" s="30">
        <f t="shared" ca="1" si="164"/>
        <v>32.039765777564838</v>
      </c>
    </row>
    <row r="783" spans="1:16" x14ac:dyDescent="0.25">
      <c r="A783" s="3">
        <f t="shared" si="165"/>
        <v>47207</v>
      </c>
      <c r="B783" s="21">
        <f t="shared" si="156"/>
        <v>36615</v>
      </c>
      <c r="C783" s="21">
        <f t="shared" si="157"/>
        <v>36697</v>
      </c>
      <c r="D783" s="1">
        <f t="shared" si="166"/>
        <v>0</v>
      </c>
      <c r="E783" s="3">
        <f t="array" ref="E783">INDEX($A$9:A782, MAX(IF($D$9:D782=1, ROW(D$9:$D782)-ROW($D$9)+1, 0)))</f>
        <v>47197</v>
      </c>
      <c r="F783" s="23">
        <f t="shared" si="158"/>
        <v>2.9623545516769334</v>
      </c>
      <c r="G783" s="5">
        <f>INDEX('Default Prob'!$P$5:$P$14,MIN(1+_xlfn.IFNA(MATCH(F783,'Default Prob'!$F$5:$F$14,1),0),COUNT('Default Prob'!$P$5:$P$14)))</f>
        <v>2.1918982658777085E-2</v>
      </c>
      <c r="H783" s="5">
        <f t="shared" si="167"/>
        <v>0.93853780721218938</v>
      </c>
      <c r="I783" s="24">
        <f t="shared" si="168"/>
        <v>5.6324192194923128E-5</v>
      </c>
      <c r="J783" s="25">
        <f>INDEX('Default Prob'!$C$3:$C$13, _xlfn.IFNA(MATCH(F783, 'Default Prob'!$B$3:$B$13, 1), 1))</f>
        <v>1.8200000000000001E-2</v>
      </c>
      <c r="K783" s="26">
        <f t="shared" si="159"/>
        <v>0.94797220146482941</v>
      </c>
      <c r="L783" s="27">
        <f t="shared" ca="1" si="160"/>
        <v>0</v>
      </c>
      <c r="M783" s="27">
        <f t="shared" ca="1" si="161"/>
        <v>361.17636612967766</v>
      </c>
      <c r="N783" s="28">
        <f t="shared" ca="1" si="162"/>
        <v>1.9284567270234639E-2</v>
      </c>
      <c r="O783" s="29">
        <f t="shared" ca="1" si="163"/>
        <v>600000</v>
      </c>
      <c r="P783" s="30">
        <f t="shared" ca="1" si="164"/>
        <v>32.036261082449663</v>
      </c>
    </row>
    <row r="784" spans="1:16" x14ac:dyDescent="0.25">
      <c r="A784" s="3">
        <f t="shared" si="165"/>
        <v>47210</v>
      </c>
      <c r="B784" s="21">
        <f t="shared" si="156"/>
        <v>36618</v>
      </c>
      <c r="C784" s="21">
        <f t="shared" si="157"/>
        <v>36697</v>
      </c>
      <c r="D784" s="1">
        <f t="shared" si="166"/>
        <v>0</v>
      </c>
      <c r="E784" s="3">
        <f t="array" ref="E784">INDEX($A$9:A783, MAX(IF($D$9:D783=1, ROW(D$9:$D783)-ROW($D$9)+1, 0)))</f>
        <v>47197</v>
      </c>
      <c r="F784" s="23">
        <f t="shared" si="158"/>
        <v>2.97056810403833</v>
      </c>
      <c r="G784" s="5">
        <f>INDEX('Default Prob'!$P$5:$P$14,MIN(1+_xlfn.IFNA(MATCH(F784,'Default Prob'!$F$5:$F$14,1),0),COUNT('Default Prob'!$P$5:$P$14)))</f>
        <v>2.1918982658777085E-2</v>
      </c>
      <c r="H784" s="5">
        <f t="shared" si="167"/>
        <v>0.93836885491457878</v>
      </c>
      <c r="I784" s="24">
        <f t="shared" si="168"/>
        <v>1.6895229761060282E-4</v>
      </c>
      <c r="J784" s="25">
        <f>INDEX('Default Prob'!$C$3:$C$13, _xlfn.IFNA(MATCH(F784, 'Default Prob'!$B$3:$B$13, 1), 1))</f>
        <v>1.8200000000000001E-2</v>
      </c>
      <c r="K784" s="26">
        <f t="shared" si="159"/>
        <v>0.94783177679258324</v>
      </c>
      <c r="L784" s="27">
        <f t="shared" ca="1" si="160"/>
        <v>0</v>
      </c>
      <c r="M784" s="27">
        <f t="shared" ca="1" si="161"/>
        <v>469.52927596858098</v>
      </c>
      <c r="N784" s="28">
        <f t="shared" ca="1" si="162"/>
        <v>7.5189646552873038E-2</v>
      </c>
      <c r="O784" s="29">
        <f t="shared" ca="1" si="163"/>
        <v>600000</v>
      </c>
      <c r="P784" s="30">
        <f t="shared" ca="1" si="164"/>
        <v>96.083013862468192</v>
      </c>
    </row>
    <row r="785" spans="1:16" x14ac:dyDescent="0.25">
      <c r="A785" s="3">
        <f t="shared" si="165"/>
        <v>47211</v>
      </c>
      <c r="B785" s="21">
        <f t="shared" si="156"/>
        <v>36619</v>
      </c>
      <c r="C785" s="21">
        <f t="shared" si="157"/>
        <v>36697</v>
      </c>
      <c r="D785" s="1">
        <f t="shared" si="166"/>
        <v>0</v>
      </c>
      <c r="E785" s="3">
        <f t="array" ref="E785">INDEX($A$9:A784, MAX(IF($D$9:D784=1, ROW(D$9:$D784)-ROW($D$9)+1, 0)))</f>
        <v>47197</v>
      </c>
      <c r="F785" s="23">
        <f t="shared" si="158"/>
        <v>2.9733059548254621</v>
      </c>
      <c r="G785" s="5">
        <f>INDEX('Default Prob'!$P$5:$P$14,MIN(1+_xlfn.IFNA(MATCH(F785,'Default Prob'!$F$5:$F$14,1),0),COUNT('Default Prob'!$P$5:$P$14)))</f>
        <v>2.1918982658777085E-2</v>
      </c>
      <c r="H785" s="5">
        <f t="shared" si="167"/>
        <v>0.93831254424102395</v>
      </c>
      <c r="I785" s="24">
        <f t="shared" si="168"/>
        <v>5.6310673554826884E-5</v>
      </c>
      <c r="J785" s="25">
        <f>INDEX('Default Prob'!$C$3:$C$13, _xlfn.IFNA(MATCH(F785, 'Default Prob'!$B$3:$B$13, 1), 1))</f>
        <v>1.8200000000000001E-2</v>
      </c>
      <c r="K785" s="26">
        <f t="shared" si="159"/>
        <v>0.94778497319117272</v>
      </c>
      <c r="L785" s="27">
        <f t="shared" ca="1" si="160"/>
        <v>0</v>
      </c>
      <c r="M785" s="27">
        <f t="shared" ca="1" si="161"/>
        <v>505.64691258154875</v>
      </c>
      <c r="N785" s="28">
        <f t="shared" ca="1" si="162"/>
        <v>2.698658315375425E-2</v>
      </c>
      <c r="O785" s="29">
        <f t="shared" ca="1" si="163"/>
        <v>600000</v>
      </c>
      <c r="P785" s="30">
        <f t="shared" ca="1" si="164"/>
        <v>32.022246135323087</v>
      </c>
    </row>
    <row r="786" spans="1:16" x14ac:dyDescent="0.25">
      <c r="A786" s="3">
        <f t="shared" si="165"/>
        <v>47212</v>
      </c>
      <c r="B786" s="21">
        <f t="shared" si="156"/>
        <v>36620</v>
      </c>
      <c r="C786" s="21">
        <f t="shared" si="157"/>
        <v>36697</v>
      </c>
      <c r="D786" s="1">
        <f t="shared" si="166"/>
        <v>0</v>
      </c>
      <c r="E786" s="3">
        <f t="array" ref="E786">INDEX($A$9:A785, MAX(IF($D$9:D785=1, ROW(D$9:$D785)-ROW($D$9)+1, 0)))</f>
        <v>47197</v>
      </c>
      <c r="F786" s="23">
        <f t="shared" si="158"/>
        <v>2.9760438056125942</v>
      </c>
      <c r="G786" s="5">
        <f>INDEX('Default Prob'!$P$5:$P$14,MIN(1+_xlfn.IFNA(MATCH(F786,'Default Prob'!$F$5:$F$14,1),0),COUNT('Default Prob'!$P$5:$P$14)))</f>
        <v>2.1918982658777085E-2</v>
      </c>
      <c r="H786" s="5">
        <f t="shared" si="167"/>
        <v>0.93825623694662219</v>
      </c>
      <c r="I786" s="24">
        <f t="shared" si="168"/>
        <v>5.6307294401758412E-5</v>
      </c>
      <c r="J786" s="25">
        <f>INDEX('Default Prob'!$C$3:$C$13, _xlfn.IFNA(MATCH(F786, 'Default Prob'!$B$3:$B$13, 1), 1))</f>
        <v>1.8200000000000001E-2</v>
      </c>
      <c r="K786" s="26">
        <f t="shared" si="159"/>
        <v>0.94773817190090737</v>
      </c>
      <c r="L786" s="27">
        <f t="shared" ca="1" si="160"/>
        <v>0</v>
      </c>
      <c r="M786" s="27">
        <f t="shared" ca="1" si="161"/>
        <v>541.76454919451646</v>
      </c>
      <c r="N786" s="28">
        <f t="shared" ca="1" si="162"/>
        <v>2.8911033433943582E-2</v>
      </c>
      <c r="O786" s="29">
        <f t="shared" ca="1" si="163"/>
        <v>600000</v>
      </c>
      <c r="P786" s="30">
        <f t="shared" ca="1" si="164"/>
        <v>32.018743356605228</v>
      </c>
    </row>
    <row r="787" spans="1:16" x14ac:dyDescent="0.25">
      <c r="A787" s="3">
        <f t="shared" si="165"/>
        <v>47213</v>
      </c>
      <c r="B787" s="21">
        <f t="shared" si="156"/>
        <v>36621</v>
      </c>
      <c r="C787" s="21">
        <f t="shared" si="157"/>
        <v>36697</v>
      </c>
      <c r="D787" s="1">
        <f t="shared" si="166"/>
        <v>0</v>
      </c>
      <c r="E787" s="3">
        <f t="array" ref="E787">INDEX($A$9:A786, MAX(IF($D$9:D786=1, ROW(D$9:$D786)-ROW($D$9)+1, 0)))</f>
        <v>47197</v>
      </c>
      <c r="F787" s="23">
        <f t="shared" si="158"/>
        <v>2.9787816563997263</v>
      </c>
      <c r="G787" s="5">
        <f>INDEX('Default Prob'!$P$5:$P$14,MIN(1+_xlfn.IFNA(MATCH(F787,'Default Prob'!$F$5:$F$14,1),0),COUNT('Default Prob'!$P$5:$P$14)))</f>
        <v>2.1918982658777085E-2</v>
      </c>
      <c r="H787" s="5">
        <f t="shared" si="167"/>
        <v>0.93819993303117066</v>
      </c>
      <c r="I787" s="24">
        <f t="shared" si="168"/>
        <v>5.6303915451527686E-5</v>
      </c>
      <c r="J787" s="25">
        <f>INDEX('Default Prob'!$C$3:$C$13, _xlfn.IFNA(MATCH(F787, 'Default Prob'!$B$3:$B$13, 1), 1))</f>
        <v>1.8200000000000001E-2</v>
      </c>
      <c r="K787" s="26">
        <f t="shared" si="159"/>
        <v>0.9476913729216736</v>
      </c>
      <c r="L787" s="27">
        <f t="shared" ca="1" si="160"/>
        <v>0</v>
      </c>
      <c r="M787" s="27">
        <f t="shared" ca="1" si="161"/>
        <v>577.88218580748423</v>
      </c>
      <c r="N787" s="28">
        <f t="shared" ca="1" si="162"/>
        <v>3.0835062376231688E-2</v>
      </c>
      <c r="O787" s="29">
        <f t="shared" ca="1" si="163"/>
        <v>600000</v>
      </c>
      <c r="P787" s="30">
        <f t="shared" ca="1" si="164"/>
        <v>32.015240961074461</v>
      </c>
    </row>
    <row r="788" spans="1:16" x14ac:dyDescent="0.25">
      <c r="A788" s="3">
        <f t="shared" si="165"/>
        <v>47214</v>
      </c>
      <c r="B788" s="21">
        <f t="shared" si="156"/>
        <v>36622</v>
      </c>
      <c r="C788" s="21">
        <f t="shared" si="157"/>
        <v>36697</v>
      </c>
      <c r="D788" s="1">
        <f t="shared" si="166"/>
        <v>0</v>
      </c>
      <c r="E788" s="3">
        <f t="array" ref="E788">INDEX($A$9:A787, MAX(IF($D$9:D787=1, ROW(D$9:$D787)-ROW($D$9)+1, 0)))</f>
        <v>47197</v>
      </c>
      <c r="F788" s="23">
        <f t="shared" si="158"/>
        <v>2.9815195071868583</v>
      </c>
      <c r="G788" s="5">
        <f>INDEX('Default Prob'!$P$5:$P$14,MIN(1+_xlfn.IFNA(MATCH(F788,'Default Prob'!$F$5:$F$14,1),0),COUNT('Default Prob'!$P$5:$P$14)))</f>
        <v>2.1918982658777085E-2</v>
      </c>
      <c r="H788" s="5">
        <f t="shared" si="167"/>
        <v>0.93814363249446664</v>
      </c>
      <c r="I788" s="24">
        <f t="shared" si="168"/>
        <v>5.6300536704023685E-5</v>
      </c>
      <c r="J788" s="25">
        <f>INDEX('Default Prob'!$C$3:$C$13, _xlfn.IFNA(MATCH(F788, 'Default Prob'!$B$3:$B$13, 1), 1))</f>
        <v>1.8200000000000001E-2</v>
      </c>
      <c r="K788" s="26">
        <f t="shared" si="159"/>
        <v>0.94764457625335707</v>
      </c>
      <c r="L788" s="27">
        <f t="shared" ca="1" si="160"/>
        <v>0</v>
      </c>
      <c r="M788" s="27">
        <f t="shared" ca="1" si="161"/>
        <v>613.99982242045212</v>
      </c>
      <c r="N788" s="28">
        <f t="shared" ca="1" si="162"/>
        <v>3.2758670049717206E-2</v>
      </c>
      <c r="O788" s="29">
        <f t="shared" ca="1" si="163"/>
        <v>600000</v>
      </c>
      <c r="P788" s="30">
        <f t="shared" ca="1" si="164"/>
        <v>32.011738948632662</v>
      </c>
    </row>
    <row r="789" spans="1:16" x14ac:dyDescent="0.25">
      <c r="A789" s="3">
        <f t="shared" si="165"/>
        <v>47217</v>
      </c>
      <c r="B789" s="21">
        <f t="shared" si="156"/>
        <v>36625</v>
      </c>
      <c r="C789" s="21">
        <f t="shared" si="157"/>
        <v>36697</v>
      </c>
      <c r="D789" s="1">
        <f t="shared" si="166"/>
        <v>0</v>
      </c>
      <c r="E789" s="3">
        <f t="array" ref="E789">INDEX($A$9:A788, MAX(IF($D$9:D788=1, ROW(D$9:$D788)-ROW($D$9)+1, 0)))</f>
        <v>47197</v>
      </c>
      <c r="F789" s="23">
        <f t="shared" si="158"/>
        <v>2.9897330595482545</v>
      </c>
      <c r="G789" s="5">
        <f>INDEX('Default Prob'!$P$5:$P$14,MIN(1+_xlfn.IFNA(MATCH(F789,'Default Prob'!$F$5:$F$14,1),0),COUNT('Default Prob'!$P$5:$P$14)))</f>
        <v>2.1918982658777085E-2</v>
      </c>
      <c r="H789" s="5">
        <f t="shared" si="167"/>
        <v>0.93797475115481177</v>
      </c>
      <c r="I789" s="24">
        <f t="shared" si="168"/>
        <v>1.688813396548694E-4</v>
      </c>
      <c r="J789" s="25">
        <f>INDEX('Default Prob'!$C$3:$C$13, _xlfn.IFNA(MATCH(F789, 'Default Prob'!$B$3:$B$13, 1), 1))</f>
        <v>1.8200000000000001E-2</v>
      </c>
      <c r="K789" s="26">
        <f t="shared" si="159"/>
        <v>0.94750420011276926</v>
      </c>
      <c r="L789" s="27">
        <f t="shared" ca="1" si="160"/>
        <v>0</v>
      </c>
      <c r="M789" s="27">
        <f t="shared" ca="1" si="161"/>
        <v>722.35273225935532</v>
      </c>
      <c r="N789" s="28">
        <f t="shared" ca="1" si="162"/>
        <v>0.11558783490785594</v>
      </c>
      <c r="O789" s="29">
        <f t="shared" ca="1" si="163"/>
        <v>600000</v>
      </c>
      <c r="P789" s="30">
        <f t="shared" ca="1" si="164"/>
        <v>96.009467186195948</v>
      </c>
    </row>
    <row r="790" spans="1:16" x14ac:dyDescent="0.25">
      <c r="A790" s="3">
        <f t="shared" si="165"/>
        <v>47218</v>
      </c>
      <c r="B790" s="21">
        <f t="shared" si="156"/>
        <v>36626</v>
      </c>
      <c r="C790" s="21">
        <f t="shared" si="157"/>
        <v>36697</v>
      </c>
      <c r="D790" s="1">
        <f t="shared" si="166"/>
        <v>0</v>
      </c>
      <c r="E790" s="3">
        <f t="array" ref="E790">INDEX($A$9:A789, MAX(IF($D$9:D789=1, ROW(D$9:$D789)-ROW($D$9)+1, 0)))</f>
        <v>47197</v>
      </c>
      <c r="F790" s="23">
        <f t="shared" si="158"/>
        <v>2.9924709103353866</v>
      </c>
      <c r="G790" s="5">
        <f>INDEX('Default Prob'!$P$5:$P$14,MIN(1+_xlfn.IFNA(MATCH(F790,'Default Prob'!$F$5:$F$14,1),0),COUNT('Default Prob'!$P$5:$P$14)))</f>
        <v>2.1918982658777085E-2</v>
      </c>
      <c r="H790" s="5">
        <f t="shared" si="167"/>
        <v>0.93791846413107016</v>
      </c>
      <c r="I790" s="24">
        <f t="shared" si="168"/>
        <v>5.6287023741607989E-5</v>
      </c>
      <c r="J790" s="25">
        <f>INDEX('Default Prob'!$C$3:$C$13, _xlfn.IFNA(MATCH(F790, 'Default Prob'!$B$3:$B$13, 1), 1))</f>
        <v>1.8200000000000001E-2</v>
      </c>
      <c r="K790" s="26">
        <f t="shared" si="159"/>
        <v>0.94745741268698047</v>
      </c>
      <c r="L790" s="27">
        <f t="shared" ca="1" si="160"/>
        <v>0</v>
      </c>
      <c r="M790" s="27">
        <f t="shared" ca="1" si="161"/>
        <v>758.47036887232321</v>
      </c>
      <c r="N790" s="28">
        <f t="shared" ca="1" si="162"/>
        <v>4.0448889438614993E-2</v>
      </c>
      <c r="O790" s="29">
        <f t="shared" ca="1" si="163"/>
        <v>600000</v>
      </c>
      <c r="P790" s="30">
        <f t="shared" ca="1" si="164"/>
        <v>31.99773472924473</v>
      </c>
    </row>
    <row r="791" spans="1:16" x14ac:dyDescent="0.25">
      <c r="A791" s="3">
        <f t="shared" si="165"/>
        <v>47219</v>
      </c>
      <c r="B791" s="21">
        <f t="shared" si="156"/>
        <v>36627</v>
      </c>
      <c r="C791" s="21">
        <f t="shared" si="157"/>
        <v>36697</v>
      </c>
      <c r="D791" s="1">
        <f t="shared" si="166"/>
        <v>0</v>
      </c>
      <c r="E791" s="3">
        <f t="array" ref="E791">INDEX($A$9:A790, MAX(IF($D$9:D790=1, ROW(D$9:$D790)-ROW($D$9)+1, 0)))</f>
        <v>47197</v>
      </c>
      <c r="F791" s="23">
        <f t="shared" si="158"/>
        <v>2.9952087611225187</v>
      </c>
      <c r="G791" s="5">
        <f>INDEX('Default Prob'!$P$5:$P$14,MIN(1+_xlfn.IFNA(MATCH(F791,'Default Prob'!$F$5:$F$14,1),0),COUNT('Default Prob'!$P$5:$P$14)))</f>
        <v>2.1918982658777085E-2</v>
      </c>
      <c r="H791" s="5">
        <f t="shared" si="167"/>
        <v>0.93786218048506242</v>
      </c>
      <c r="I791" s="24">
        <f t="shared" si="168"/>
        <v>5.6283646007737609E-5</v>
      </c>
      <c r="J791" s="25">
        <f>INDEX('Default Prob'!$C$3:$C$13, _xlfn.IFNA(MATCH(F791, 'Default Prob'!$B$3:$B$13, 1), 1))</f>
        <v>1.8200000000000001E-2</v>
      </c>
      <c r="K791" s="26">
        <f t="shared" si="159"/>
        <v>0.94741062757153816</v>
      </c>
      <c r="L791" s="27">
        <f t="shared" ca="1" si="160"/>
        <v>0</v>
      </c>
      <c r="M791" s="27">
        <f t="shared" ca="1" si="161"/>
        <v>794.58800548529086</v>
      </c>
      <c r="N791" s="28">
        <f t="shared" ca="1" si="162"/>
        <v>4.2370391805081987E-2</v>
      </c>
      <c r="O791" s="29">
        <f t="shared" ca="1" si="163"/>
        <v>600000</v>
      </c>
      <c r="P791" s="30">
        <f t="shared" ca="1" si="164"/>
        <v>31.994234631722993</v>
      </c>
    </row>
    <row r="792" spans="1:16" x14ac:dyDescent="0.25">
      <c r="A792" s="3">
        <f t="shared" si="165"/>
        <v>47220</v>
      </c>
      <c r="B792" s="21">
        <f t="shared" si="156"/>
        <v>36628</v>
      </c>
      <c r="C792" s="21">
        <f t="shared" si="157"/>
        <v>36697</v>
      </c>
      <c r="D792" s="1">
        <f t="shared" si="166"/>
        <v>0</v>
      </c>
      <c r="E792" s="3">
        <f t="array" ref="E792">INDEX($A$9:A791, MAX(IF($D$9:D791=1, ROW(D$9:$D791)-ROW($D$9)+1, 0)))</f>
        <v>47197</v>
      </c>
      <c r="F792" s="23">
        <f t="shared" si="158"/>
        <v>2.9979466119096507</v>
      </c>
      <c r="G792" s="5">
        <f>INDEX('Default Prob'!$P$5:$P$14,MIN(1+_xlfn.IFNA(MATCH(F792,'Default Prob'!$F$5:$F$14,1),0),COUNT('Default Prob'!$P$5:$P$14)))</f>
        <v>2.1918982658777085E-2</v>
      </c>
      <c r="H792" s="5">
        <f t="shared" si="167"/>
        <v>0.93780590021658583</v>
      </c>
      <c r="I792" s="24">
        <f t="shared" si="168"/>
        <v>5.6280268476593953E-5</v>
      </c>
      <c r="J792" s="25">
        <f>INDEX('Default Prob'!$C$3:$C$13, _xlfn.IFNA(MATCH(F792, 'Default Prob'!$B$3:$B$13, 1), 1))</f>
        <v>1.8200000000000001E-2</v>
      </c>
      <c r="K792" s="26">
        <f t="shared" si="159"/>
        <v>0.94736384476632884</v>
      </c>
      <c r="L792" s="27">
        <f t="shared" ca="1" si="160"/>
        <v>0</v>
      </c>
      <c r="M792" s="27">
        <f t="shared" ca="1" si="161"/>
        <v>830.70564209825864</v>
      </c>
      <c r="N792" s="28">
        <f t="shared" ca="1" si="162"/>
        <v>4.4291473317480699E-2</v>
      </c>
      <c r="O792" s="29">
        <f t="shared" ca="1" si="163"/>
        <v>600000</v>
      </c>
      <c r="P792" s="30">
        <f t="shared" ca="1" si="164"/>
        <v>31.99073491708036</v>
      </c>
    </row>
    <row r="793" spans="1:16" x14ac:dyDescent="0.25">
      <c r="A793" s="3">
        <f t="shared" si="165"/>
        <v>47221</v>
      </c>
      <c r="B793" s="21">
        <f t="shared" si="156"/>
        <v>36629</v>
      </c>
      <c r="C793" s="21">
        <f t="shared" si="157"/>
        <v>36697</v>
      </c>
      <c r="D793" s="1">
        <f t="shared" si="166"/>
        <v>0</v>
      </c>
      <c r="E793" s="3">
        <f t="array" ref="E793">INDEX($A$9:A792, MAX(IF($D$9:D792=1, ROW(D$9:$D792)-ROW($D$9)+1, 0)))</f>
        <v>47197</v>
      </c>
      <c r="F793" s="23">
        <f t="shared" si="158"/>
        <v>3.0006844626967832</v>
      </c>
      <c r="G793" s="5">
        <f>INDEX('Default Prob'!$P$5:$P$14,MIN(1+_xlfn.IFNA(MATCH(F793,'Default Prob'!$F$5:$F$14,1),0),COUNT('Default Prob'!$P$5:$P$14)))</f>
        <v>2.3050976347889798E-2</v>
      </c>
      <c r="H793" s="5">
        <f t="shared" si="167"/>
        <v>0.93774962332543765</v>
      </c>
      <c r="I793" s="24">
        <f t="shared" si="168"/>
        <v>5.6276891148177022E-5</v>
      </c>
      <c r="J793" s="25">
        <f>INDEX('Default Prob'!$C$3:$C$13, _xlfn.IFNA(MATCH(F793, 'Default Prob'!$B$3:$B$13, 1), 1))</f>
        <v>1.8499999999999999E-2</v>
      </c>
      <c r="K793" s="26">
        <f t="shared" si="159"/>
        <v>0.94648002094230166</v>
      </c>
      <c r="L793" s="27">
        <f t="shared" ca="1" si="160"/>
        <v>0</v>
      </c>
      <c r="M793" s="27">
        <f t="shared" ca="1" si="161"/>
        <v>866.82327871122652</v>
      </c>
      <c r="N793" s="28">
        <f t="shared" ca="1" si="162"/>
        <v>4.6171301297371986E-2</v>
      </c>
      <c r="O793" s="29">
        <f t="shared" ca="1" si="163"/>
        <v>600000</v>
      </c>
      <c r="P793" s="30">
        <f t="shared" ca="1" si="164"/>
        <v>31.95897186749653</v>
      </c>
    </row>
    <row r="794" spans="1:16" x14ac:dyDescent="0.25">
      <c r="A794" s="3">
        <f t="shared" si="165"/>
        <v>47224</v>
      </c>
      <c r="B794" s="21">
        <f t="shared" si="156"/>
        <v>36632</v>
      </c>
      <c r="C794" s="21">
        <f t="shared" si="157"/>
        <v>36697</v>
      </c>
      <c r="D794" s="1">
        <f t="shared" si="166"/>
        <v>0</v>
      </c>
      <c r="E794" s="3">
        <f t="array" ref="E794">INDEX($A$9:A793, MAX(IF($D$9:D793=1, ROW(D$9:$D793)-ROW($D$9)+1, 0)))</f>
        <v>47197</v>
      </c>
      <c r="F794" s="23">
        <f t="shared" si="158"/>
        <v>3.0088980150581794</v>
      </c>
      <c r="G794" s="5">
        <f>INDEX('Default Prob'!$P$5:$P$14,MIN(1+_xlfn.IFNA(MATCH(F794,'Default Prob'!$F$5:$F$14,1),0),COUNT('Default Prob'!$P$5:$P$14)))</f>
        <v>2.3050976347889798E-2</v>
      </c>
      <c r="H794" s="5">
        <f t="shared" si="167"/>
        <v>0.93757209561924071</v>
      </c>
      <c r="I794" s="24">
        <f t="shared" si="168"/>
        <v>1.7752770619694491E-4</v>
      </c>
      <c r="J794" s="25">
        <f>INDEX('Default Prob'!$C$3:$C$13, _xlfn.IFNA(MATCH(F794, 'Default Prob'!$B$3:$B$13, 1), 1))</f>
        <v>1.8499999999999999E-2</v>
      </c>
      <c r="K794" s="26">
        <f t="shared" si="159"/>
        <v>0.94633752748675015</v>
      </c>
      <c r="L794" s="27">
        <f t="shared" ca="1" si="160"/>
        <v>0</v>
      </c>
      <c r="M794" s="27">
        <f t="shared" ca="1" si="161"/>
        <v>975.17618855012961</v>
      </c>
      <c r="N794" s="28">
        <f t="shared" ca="1" si="162"/>
        <v>0.16383070215485124</v>
      </c>
      <c r="O794" s="29">
        <f t="shared" ca="1" si="163"/>
        <v>600000</v>
      </c>
      <c r="P794" s="30">
        <f t="shared" ca="1" si="164"/>
        <v>100.80067832568665</v>
      </c>
    </row>
    <row r="795" spans="1:16" x14ac:dyDescent="0.25">
      <c r="A795" s="3">
        <f t="shared" si="165"/>
        <v>47225</v>
      </c>
      <c r="B795" s="21">
        <f t="shared" si="156"/>
        <v>36633</v>
      </c>
      <c r="C795" s="21">
        <f t="shared" si="157"/>
        <v>36697</v>
      </c>
      <c r="D795" s="1">
        <f t="shared" si="166"/>
        <v>0</v>
      </c>
      <c r="E795" s="3">
        <f t="array" ref="E795">INDEX($A$9:A794, MAX(IF($D$9:D794=1, ROW(D$9:$D794)-ROW($D$9)+1, 0)))</f>
        <v>47197</v>
      </c>
      <c r="F795" s="23">
        <f t="shared" si="158"/>
        <v>3.0116358658453115</v>
      </c>
      <c r="G795" s="5">
        <f>INDEX('Default Prob'!$P$5:$P$14,MIN(1+_xlfn.IFNA(MATCH(F795,'Default Prob'!$F$5:$F$14,1),0),COUNT('Default Prob'!$P$5:$P$14)))</f>
        <v>2.3050976347889798E-2</v>
      </c>
      <c r="H795" s="5">
        <f t="shared" si="167"/>
        <v>0.93751292718598045</v>
      </c>
      <c r="I795" s="24">
        <f t="shared" si="168"/>
        <v>5.9168433260259334E-5</v>
      </c>
      <c r="J795" s="25">
        <f>INDEX('Default Prob'!$C$3:$C$13, _xlfn.IFNA(MATCH(F795, 'Default Prob'!$B$3:$B$13, 1), 1))</f>
        <v>1.8499999999999999E-2</v>
      </c>
      <c r="K795" s="26">
        <f t="shared" si="159"/>
        <v>0.94629003443561988</v>
      </c>
      <c r="L795" s="27">
        <f t="shared" ca="1" si="160"/>
        <v>0</v>
      </c>
      <c r="M795" s="27">
        <f t="shared" ca="1" si="161"/>
        <v>1011.2938251630975</v>
      </c>
      <c r="N795" s="28">
        <f t="shared" ca="1" si="162"/>
        <v>5.6622845650999704E-2</v>
      </c>
      <c r="O795" s="29">
        <f t="shared" ca="1" si="163"/>
        <v>600000</v>
      </c>
      <c r="P795" s="30">
        <f t="shared" ca="1" si="164"/>
        <v>33.594299248411488</v>
      </c>
    </row>
    <row r="796" spans="1:16" x14ac:dyDescent="0.25">
      <c r="A796" s="3">
        <f t="shared" si="165"/>
        <v>47226</v>
      </c>
      <c r="B796" s="21">
        <f t="shared" si="156"/>
        <v>36634</v>
      </c>
      <c r="C796" s="21">
        <f t="shared" si="157"/>
        <v>36697</v>
      </c>
      <c r="D796" s="1">
        <f t="shared" si="166"/>
        <v>0</v>
      </c>
      <c r="E796" s="3">
        <f t="array" ref="E796">INDEX($A$9:A795, MAX(IF($D$9:D795=1, ROW(D$9:$D795)-ROW($D$9)+1, 0)))</f>
        <v>47197</v>
      </c>
      <c r="F796" s="23">
        <f t="shared" si="158"/>
        <v>3.0143737166324436</v>
      </c>
      <c r="G796" s="5">
        <f>INDEX('Default Prob'!$P$5:$P$14,MIN(1+_xlfn.IFNA(MATCH(F796,'Default Prob'!$F$5:$F$14,1),0),COUNT('Default Prob'!$P$5:$P$14)))</f>
        <v>2.3050976347889798E-2</v>
      </c>
      <c r="H796" s="5">
        <f t="shared" si="167"/>
        <v>0.93745376248673007</v>
      </c>
      <c r="I796" s="24">
        <f t="shared" si="168"/>
        <v>5.9164699250380259E-5</v>
      </c>
      <c r="J796" s="25">
        <f>INDEX('Default Prob'!$C$3:$C$13, _xlfn.IFNA(MATCH(F796, 'Default Prob'!$B$3:$B$13, 1), 1))</f>
        <v>1.8499999999999999E-2</v>
      </c>
      <c r="K796" s="26">
        <f t="shared" si="159"/>
        <v>0.94624254376798378</v>
      </c>
      <c r="L796" s="27">
        <f t="shared" ca="1" si="160"/>
        <v>0</v>
      </c>
      <c r="M796" s="27">
        <f t="shared" ca="1" si="161"/>
        <v>1047.4114617760652</v>
      </c>
      <c r="N796" s="28">
        <f t="shared" ca="1" si="162"/>
        <v>5.8638446169446821E-2</v>
      </c>
      <c r="O796" s="29">
        <f t="shared" ca="1" si="163"/>
        <v>600000</v>
      </c>
      <c r="P796" s="30">
        <f t="shared" ca="1" si="164"/>
        <v>33.590493311968523</v>
      </c>
    </row>
    <row r="797" spans="1:16" x14ac:dyDescent="0.25">
      <c r="A797" s="3">
        <f t="shared" si="165"/>
        <v>47227</v>
      </c>
      <c r="B797" s="21">
        <f t="shared" si="156"/>
        <v>36635</v>
      </c>
      <c r="C797" s="21">
        <f t="shared" si="157"/>
        <v>36697</v>
      </c>
      <c r="D797" s="1">
        <f t="shared" si="166"/>
        <v>0</v>
      </c>
      <c r="E797" s="3">
        <f t="array" ref="E797">INDEX($A$9:A796, MAX(IF($D$9:D796=1, ROW(D$9:$D796)-ROW($D$9)+1, 0)))</f>
        <v>47197</v>
      </c>
      <c r="F797" s="23">
        <f t="shared" si="158"/>
        <v>3.0171115674195756</v>
      </c>
      <c r="G797" s="5">
        <f>INDEX('Default Prob'!$P$5:$P$14,MIN(1+_xlfn.IFNA(MATCH(F797,'Default Prob'!$F$5:$F$14,1),0),COUNT('Default Prob'!$P$5:$P$14)))</f>
        <v>2.3050976347889798E-2</v>
      </c>
      <c r="H797" s="5">
        <f t="shared" si="167"/>
        <v>0.93739460152125398</v>
      </c>
      <c r="I797" s="24">
        <f t="shared" si="168"/>
        <v>5.916096547609051E-5</v>
      </c>
      <c r="J797" s="25">
        <f>INDEX('Default Prob'!$C$3:$C$13, _xlfn.IFNA(MATCH(F797, 'Default Prob'!$B$3:$B$13, 1), 1))</f>
        <v>1.8499999999999999E-2</v>
      </c>
      <c r="K797" s="26">
        <f t="shared" si="159"/>
        <v>0.94619505548372218</v>
      </c>
      <c r="L797" s="27">
        <f t="shared" ca="1" si="160"/>
        <v>0</v>
      </c>
      <c r="M797" s="27">
        <f t="shared" ca="1" si="161"/>
        <v>1083.5290983890329</v>
      </c>
      <c r="N797" s="28">
        <f t="shared" ca="1" si="162"/>
        <v>6.0653589261728771E-2</v>
      </c>
      <c r="O797" s="29">
        <f t="shared" ca="1" si="163"/>
        <v>600000</v>
      </c>
      <c r="P797" s="30">
        <f t="shared" ca="1" si="164"/>
        <v>33.586687806672018</v>
      </c>
    </row>
    <row r="798" spans="1:16" x14ac:dyDescent="0.25">
      <c r="A798" s="3">
        <f t="shared" si="165"/>
        <v>47228</v>
      </c>
      <c r="B798" s="21">
        <f t="shared" si="156"/>
        <v>36636</v>
      </c>
      <c r="C798" s="21">
        <f t="shared" si="157"/>
        <v>36697</v>
      </c>
      <c r="D798" s="1">
        <f t="shared" si="166"/>
        <v>0</v>
      </c>
      <c r="E798" s="3">
        <f t="array" ref="E798">INDEX($A$9:A797, MAX(IF($D$9:D797=1, ROW(D$9:$D797)-ROW($D$9)+1, 0)))</f>
        <v>47197</v>
      </c>
      <c r="F798" s="23">
        <f t="shared" si="158"/>
        <v>3.0198494182067077</v>
      </c>
      <c r="G798" s="5">
        <f>INDEX('Default Prob'!$P$5:$P$14,MIN(1+_xlfn.IFNA(MATCH(F798,'Default Prob'!$F$5:$F$14,1),0),COUNT('Default Prob'!$P$5:$P$14)))</f>
        <v>2.3050976347889798E-2</v>
      </c>
      <c r="H798" s="5">
        <f t="shared" si="167"/>
        <v>0.93733544428931648</v>
      </c>
      <c r="I798" s="24">
        <f t="shared" si="168"/>
        <v>5.9157231937501109E-5</v>
      </c>
      <c r="J798" s="25">
        <f>INDEX('Default Prob'!$C$3:$C$13, _xlfn.IFNA(MATCH(F798, 'Default Prob'!$B$3:$B$13, 1), 1))</f>
        <v>1.8499999999999999E-2</v>
      </c>
      <c r="K798" s="26">
        <f t="shared" si="159"/>
        <v>0.94614756958271529</v>
      </c>
      <c r="L798" s="27">
        <f t="shared" ca="1" si="160"/>
        <v>0</v>
      </c>
      <c r="M798" s="27">
        <f t="shared" ca="1" si="161"/>
        <v>1119.6467350020009</v>
      </c>
      <c r="N798" s="28">
        <f t="shared" ca="1" si="162"/>
        <v>6.2668275005747717E-2</v>
      </c>
      <c r="O798" s="29">
        <f t="shared" ca="1" si="163"/>
        <v>600000</v>
      </c>
      <c r="P798" s="30">
        <f t="shared" ca="1" si="164"/>
        <v>33.582882732544597</v>
      </c>
    </row>
    <row r="799" spans="1:16" x14ac:dyDescent="0.25">
      <c r="A799" s="3">
        <f t="shared" si="165"/>
        <v>47231</v>
      </c>
      <c r="B799" s="21">
        <f t="shared" si="156"/>
        <v>36639</v>
      </c>
      <c r="C799" s="21">
        <f t="shared" si="157"/>
        <v>36697</v>
      </c>
      <c r="D799" s="1">
        <f t="shared" si="166"/>
        <v>0</v>
      </c>
      <c r="E799" s="3">
        <f t="array" ref="E799">INDEX($A$9:A798, MAX(IF($D$9:D798=1, ROW(D$9:$D798)-ROW($D$9)+1, 0)))</f>
        <v>47197</v>
      </c>
      <c r="F799" s="23">
        <f t="shared" si="158"/>
        <v>3.0280629705681039</v>
      </c>
      <c r="G799" s="5">
        <f>INDEX('Default Prob'!$P$5:$P$14,MIN(1+_xlfn.IFNA(MATCH(F799,'Default Prob'!$F$5:$F$14,1),0),COUNT('Default Prob'!$P$5:$P$14)))</f>
        <v>2.3050976347889798E-2</v>
      </c>
      <c r="H799" s="5">
        <f t="shared" si="167"/>
        <v>0.93715799499237973</v>
      </c>
      <c r="I799" s="24">
        <f t="shared" si="168"/>
        <v>1.7744929693674916E-4</v>
      </c>
      <c r="J799" s="25">
        <f>INDEX('Default Prob'!$C$3:$C$13, _xlfn.IFNA(MATCH(F799, 'Default Prob'!$B$3:$B$13, 1), 1))</f>
        <v>1.8499999999999999E-2</v>
      </c>
      <c r="K799" s="26">
        <f t="shared" si="159"/>
        <v>0.94600512617802812</v>
      </c>
      <c r="L799" s="27">
        <f t="shared" ca="1" si="160"/>
        <v>0</v>
      </c>
      <c r="M799" s="27">
        <f t="shared" ca="1" si="161"/>
        <v>1227.9996448409042</v>
      </c>
      <c r="N799" s="28">
        <f t="shared" ca="1" si="162"/>
        <v>0.20614177627388258</v>
      </c>
      <c r="O799" s="29">
        <f t="shared" ca="1" si="163"/>
        <v>600000</v>
      </c>
      <c r="P799" s="30">
        <f t="shared" ca="1" si="164"/>
        <v>100.72076672331106</v>
      </c>
    </row>
    <row r="800" spans="1:16" x14ac:dyDescent="0.25">
      <c r="A800" s="3">
        <f t="shared" si="165"/>
        <v>47232</v>
      </c>
      <c r="B800" s="21">
        <f t="shared" si="156"/>
        <v>36640</v>
      </c>
      <c r="C800" s="21">
        <f t="shared" si="157"/>
        <v>36697</v>
      </c>
      <c r="D800" s="1">
        <f t="shared" si="166"/>
        <v>0</v>
      </c>
      <c r="E800" s="3">
        <f t="array" ref="E800">INDEX($A$9:A799, MAX(IF($D$9:D799=1, ROW(D$9:$D799)-ROW($D$9)+1, 0)))</f>
        <v>47197</v>
      </c>
      <c r="F800" s="23">
        <f t="shared" si="158"/>
        <v>3.030800821355236</v>
      </c>
      <c r="G800" s="5">
        <f>INDEX('Default Prob'!$P$5:$P$14,MIN(1+_xlfn.IFNA(MATCH(F800,'Default Prob'!$F$5:$F$14,1),0),COUNT('Default Prob'!$P$5:$P$14)))</f>
        <v>2.3050976347889798E-2</v>
      </c>
      <c r="H800" s="5">
        <f t="shared" si="167"/>
        <v>0.93709885269224069</v>
      </c>
      <c r="I800" s="24">
        <f t="shared" si="168"/>
        <v>5.9142300139036763E-5</v>
      </c>
      <c r="J800" s="25">
        <f>INDEX('Default Prob'!$C$3:$C$13, _xlfn.IFNA(MATCH(F800, 'Default Prob'!$B$3:$B$13, 1), 1))</f>
        <v>1.8499999999999999E-2</v>
      </c>
      <c r="K800" s="26">
        <f t="shared" si="159"/>
        <v>0.94595764980884478</v>
      </c>
      <c r="L800" s="27">
        <f t="shared" ca="1" si="160"/>
        <v>0</v>
      </c>
      <c r="M800" s="27">
        <f t="shared" ca="1" si="161"/>
        <v>1264.1172814538718</v>
      </c>
      <c r="N800" s="28">
        <f t="shared" ca="1" si="162"/>
        <v>7.0722446053444174E-2</v>
      </c>
      <c r="O800" s="29">
        <f t="shared" ca="1" si="163"/>
        <v>600000</v>
      </c>
      <c r="P800" s="30">
        <f t="shared" ca="1" si="164"/>
        <v>33.567666746287522</v>
      </c>
    </row>
    <row r="801" spans="1:16" x14ac:dyDescent="0.25">
      <c r="A801" s="3">
        <f t="shared" si="165"/>
        <v>47233</v>
      </c>
      <c r="B801" s="21">
        <f t="shared" si="156"/>
        <v>36641</v>
      </c>
      <c r="C801" s="21">
        <f t="shared" si="157"/>
        <v>36697</v>
      </c>
      <c r="D801" s="1">
        <f t="shared" si="166"/>
        <v>0</v>
      </c>
      <c r="E801" s="3">
        <f t="array" ref="E801">INDEX($A$9:A800, MAX(IF($D$9:D800=1, ROW(D$9:$D800)-ROW($D$9)+1, 0)))</f>
        <v>47197</v>
      </c>
      <c r="F801" s="23">
        <f t="shared" si="158"/>
        <v>3.0335386721423681</v>
      </c>
      <c r="G801" s="5">
        <f>INDEX('Default Prob'!$P$5:$P$14,MIN(1+_xlfn.IFNA(MATCH(F801,'Default Prob'!$F$5:$F$14,1),0),COUNT('Default Prob'!$P$5:$P$14)))</f>
        <v>2.3050976347889798E-2</v>
      </c>
      <c r="H801" s="5">
        <f t="shared" si="167"/>
        <v>0.93703971412446241</v>
      </c>
      <c r="I801" s="24">
        <f t="shared" si="168"/>
        <v>5.9138567778282969E-5</v>
      </c>
      <c r="J801" s="25">
        <f>INDEX('Default Prob'!$C$3:$C$13, _xlfn.IFNA(MATCH(F801, 'Default Prob'!$B$3:$B$13, 1), 1))</f>
        <v>1.8499999999999999E-2</v>
      </c>
      <c r="K801" s="26">
        <f t="shared" si="159"/>
        <v>0.94591017582231829</v>
      </c>
      <c r="L801" s="27">
        <f t="shared" ca="1" si="160"/>
        <v>0</v>
      </c>
      <c r="M801" s="27">
        <f t="shared" ca="1" si="161"/>
        <v>1300.2349180668396</v>
      </c>
      <c r="N801" s="28">
        <f t="shared" ca="1" si="162"/>
        <v>7.2734846221889637E-2</v>
      </c>
      <c r="O801" s="29">
        <f t="shared" ca="1" si="163"/>
        <v>600000</v>
      </c>
      <c r="P801" s="30">
        <f t="shared" ca="1" si="164"/>
        <v>33.563863827021436</v>
      </c>
    </row>
    <row r="802" spans="1:16" x14ac:dyDescent="0.25">
      <c r="A802" s="3">
        <f t="shared" si="165"/>
        <v>47234</v>
      </c>
      <c r="B802" s="21">
        <f t="shared" si="156"/>
        <v>36642</v>
      </c>
      <c r="C802" s="21">
        <f t="shared" si="157"/>
        <v>36697</v>
      </c>
      <c r="D802" s="1">
        <f t="shared" si="166"/>
        <v>0</v>
      </c>
      <c r="E802" s="3">
        <f t="array" ref="E802">INDEX($A$9:A801, MAX(IF($D$9:D801=1, ROW(D$9:$D801)-ROW($D$9)+1, 0)))</f>
        <v>47197</v>
      </c>
      <c r="F802" s="23">
        <f t="shared" si="158"/>
        <v>3.0362765229295001</v>
      </c>
      <c r="G802" s="5">
        <f>INDEX('Default Prob'!$P$5:$P$14,MIN(1+_xlfn.IFNA(MATCH(F802,'Default Prob'!$F$5:$F$14,1),0),COUNT('Default Prob'!$P$5:$P$14)))</f>
        <v>2.3050976347889798E-2</v>
      </c>
      <c r="H802" s="5">
        <f t="shared" si="167"/>
        <v>0.93698057928880929</v>
      </c>
      <c r="I802" s="24">
        <f t="shared" si="168"/>
        <v>5.91348356531185E-5</v>
      </c>
      <c r="J802" s="25">
        <f>INDEX('Default Prob'!$C$3:$C$13, _xlfn.IFNA(MATCH(F802, 'Default Prob'!$B$3:$B$13, 1), 1))</f>
        <v>1.8499999999999999E-2</v>
      </c>
      <c r="K802" s="26">
        <f t="shared" si="159"/>
        <v>0.94586270421832908</v>
      </c>
      <c r="L802" s="27">
        <f t="shared" ca="1" si="160"/>
        <v>0</v>
      </c>
      <c r="M802" s="27">
        <f t="shared" ca="1" si="161"/>
        <v>1336.3525546798076</v>
      </c>
      <c r="N802" s="28">
        <f t="shared" ca="1" si="162"/>
        <v>7.4746789508457742E-2</v>
      </c>
      <c r="O802" s="29">
        <f t="shared" ca="1" si="163"/>
        <v>600000</v>
      </c>
      <c r="P802" s="30">
        <f t="shared" ca="1" si="164"/>
        <v>33.560061338619072</v>
      </c>
    </row>
    <row r="803" spans="1:16" x14ac:dyDescent="0.25">
      <c r="A803" s="3">
        <f t="shared" si="165"/>
        <v>47235</v>
      </c>
      <c r="B803" s="21">
        <f t="shared" si="156"/>
        <v>36643</v>
      </c>
      <c r="C803" s="21">
        <f t="shared" si="157"/>
        <v>36697</v>
      </c>
      <c r="D803" s="1">
        <f t="shared" si="166"/>
        <v>0</v>
      </c>
      <c r="E803" s="3">
        <f t="array" ref="E803">INDEX($A$9:A802, MAX(IF($D$9:D802=1, ROW(D$9:$D802)-ROW($D$9)+1, 0)))</f>
        <v>47197</v>
      </c>
      <c r="F803" s="23">
        <f t="shared" si="158"/>
        <v>3.0390143737166326</v>
      </c>
      <c r="G803" s="5">
        <f>INDEX('Default Prob'!$P$5:$P$14,MIN(1+_xlfn.IFNA(MATCH(F803,'Default Prob'!$F$5:$F$14,1),0),COUNT('Default Prob'!$P$5:$P$14)))</f>
        <v>2.3050976347889798E-2</v>
      </c>
      <c r="H803" s="5">
        <f t="shared" si="167"/>
        <v>0.93692144818504575</v>
      </c>
      <c r="I803" s="24">
        <f t="shared" si="168"/>
        <v>5.9131103763543358E-5</v>
      </c>
      <c r="J803" s="25">
        <f>INDEX('Default Prob'!$C$3:$C$13, _xlfn.IFNA(MATCH(F803, 'Default Prob'!$B$3:$B$13, 1), 1))</f>
        <v>1.8499999999999999E-2</v>
      </c>
      <c r="K803" s="26">
        <f t="shared" si="159"/>
        <v>0.94581523499675779</v>
      </c>
      <c r="L803" s="27">
        <f t="shared" ca="1" si="160"/>
        <v>0</v>
      </c>
      <c r="M803" s="27">
        <f t="shared" ca="1" si="161"/>
        <v>1372.4701912927751</v>
      </c>
      <c r="N803" s="28">
        <f t="shared" ca="1" si="162"/>
        <v>7.6758275990865002E-2</v>
      </c>
      <c r="O803" s="29">
        <f t="shared" ca="1" si="163"/>
        <v>600000</v>
      </c>
      <c r="P803" s="30">
        <f t="shared" ca="1" si="164"/>
        <v>33.556259281040056</v>
      </c>
    </row>
    <row r="804" spans="1:16" x14ac:dyDescent="0.25">
      <c r="A804" s="3">
        <f t="shared" si="165"/>
        <v>47238</v>
      </c>
      <c r="B804" s="21">
        <f t="shared" si="156"/>
        <v>36646</v>
      </c>
      <c r="C804" s="21">
        <f t="shared" si="157"/>
        <v>36697</v>
      </c>
      <c r="D804" s="1">
        <f t="shared" si="166"/>
        <v>0</v>
      </c>
      <c r="E804" s="3">
        <f t="array" ref="E804">INDEX($A$9:A803, MAX(IF($D$9:D803=1, ROW(D$9:$D803)-ROW($D$9)+1, 0)))</f>
        <v>47197</v>
      </c>
      <c r="F804" s="23">
        <f t="shared" si="158"/>
        <v>3.0472279260780288</v>
      </c>
      <c r="G804" s="5">
        <f>INDEX('Default Prob'!$P$5:$P$14,MIN(1+_xlfn.IFNA(MATCH(F804,'Default Prob'!$F$5:$F$14,1),0),COUNT('Default Prob'!$P$5:$P$14)))</f>
        <v>2.3050976347889798E-2</v>
      </c>
      <c r="H804" s="5">
        <f t="shared" si="167"/>
        <v>0.93674407726273801</v>
      </c>
      <c r="I804" s="24">
        <f t="shared" si="168"/>
        <v>1.7737092230774021E-4</v>
      </c>
      <c r="J804" s="25">
        <f>INDEX('Default Prob'!$C$3:$C$13, _xlfn.IFNA(MATCH(F804, 'Default Prob'!$B$3:$B$13, 1), 1))</f>
        <v>1.8499999999999999E-2</v>
      </c>
      <c r="K804" s="26">
        <f t="shared" si="159"/>
        <v>0.94567284162535437</v>
      </c>
      <c r="L804" s="27">
        <f t="shared" ca="1" si="160"/>
        <v>0</v>
      </c>
      <c r="M804" s="27">
        <f t="shared" ca="1" si="161"/>
        <v>1480.8231011316784</v>
      </c>
      <c r="N804" s="28">
        <f t="shared" ca="1" si="162"/>
        <v>0.24838566165477602</v>
      </c>
      <c r="O804" s="29">
        <f t="shared" ca="1" si="163"/>
        <v>600000</v>
      </c>
      <c r="P804" s="30">
        <f t="shared" ca="1" si="164"/>
        <v>100.64091847228238</v>
      </c>
    </row>
    <row r="805" spans="1:16" x14ac:dyDescent="0.25">
      <c r="A805" s="3">
        <f t="shared" si="165"/>
        <v>47239</v>
      </c>
      <c r="B805" s="21">
        <f t="shared" si="156"/>
        <v>36647</v>
      </c>
      <c r="C805" s="21">
        <f t="shared" si="157"/>
        <v>36697</v>
      </c>
      <c r="D805" s="1">
        <f t="shared" si="166"/>
        <v>0</v>
      </c>
      <c r="E805" s="3">
        <f t="array" ref="E805">INDEX($A$9:A804, MAX(IF($D$9:D804=1, ROW(D$9:$D804)-ROW($D$9)+1, 0)))</f>
        <v>47197</v>
      </c>
      <c r="F805" s="23">
        <f t="shared" si="158"/>
        <v>3.0499657768651609</v>
      </c>
      <c r="G805" s="5">
        <f>INDEX('Default Prob'!$P$5:$P$14,MIN(1+_xlfn.IFNA(MATCH(F805,'Default Prob'!$F$5:$F$14,1),0),COUNT('Default Prob'!$P$5:$P$14)))</f>
        <v>2.3050976347889798E-2</v>
      </c>
      <c r="H805" s="5">
        <f t="shared" si="167"/>
        <v>0.93668496108417798</v>
      </c>
      <c r="I805" s="24">
        <f t="shared" si="168"/>
        <v>5.9116178560025823E-5</v>
      </c>
      <c r="J805" s="25">
        <f>INDEX('Default Prob'!$C$3:$C$13, _xlfn.IFNA(MATCH(F805, 'Default Prob'!$B$3:$B$13, 1), 1))</f>
        <v>1.8499999999999999E-2</v>
      </c>
      <c r="K805" s="26">
        <f t="shared" si="159"/>
        <v>0.9456253819322582</v>
      </c>
      <c r="L805" s="27">
        <f t="shared" ca="1" si="160"/>
        <v>0</v>
      </c>
      <c r="M805" s="27">
        <f t="shared" ca="1" si="161"/>
        <v>1516.9407377446464</v>
      </c>
      <c r="N805" s="28">
        <f t="shared" ca="1" si="162"/>
        <v>8.479965543128401E-2</v>
      </c>
      <c r="O805" s="29">
        <f t="shared" ca="1" si="163"/>
        <v>600000</v>
      </c>
      <c r="P805" s="30">
        <f t="shared" ca="1" si="164"/>
        <v>33.541055357519994</v>
      </c>
    </row>
    <row r="806" spans="1:16" x14ac:dyDescent="0.25">
      <c r="A806" s="3">
        <f t="shared" si="165"/>
        <v>47240</v>
      </c>
      <c r="B806" s="21">
        <f t="shared" si="156"/>
        <v>36648</v>
      </c>
      <c r="C806" s="21">
        <f t="shared" si="157"/>
        <v>36697</v>
      </c>
      <c r="D806" s="1">
        <f t="shared" si="166"/>
        <v>0</v>
      </c>
      <c r="E806" s="3">
        <f t="array" ref="E806">INDEX($A$9:A805, MAX(IF($D$9:D805=1, ROW(D$9:$D805)-ROW($D$9)+1, 0)))</f>
        <v>47197</v>
      </c>
      <c r="F806" s="23">
        <f t="shared" si="158"/>
        <v>3.052703627652293</v>
      </c>
      <c r="G806" s="5">
        <f>INDEX('Default Prob'!$P$5:$P$14,MIN(1+_xlfn.IFNA(MATCH(F806,'Default Prob'!$F$5:$F$14,1),0),COUNT('Default Prob'!$P$5:$P$14)))</f>
        <v>2.3050976347889798E-2</v>
      </c>
      <c r="H806" s="5">
        <f t="shared" si="167"/>
        <v>0.93662584863633014</v>
      </c>
      <c r="I806" s="24">
        <f t="shared" si="168"/>
        <v>5.9112447847842198E-5</v>
      </c>
      <c r="J806" s="25">
        <f>INDEX('Default Prob'!$C$3:$C$13, _xlfn.IFNA(MATCH(F806, 'Default Prob'!$B$3:$B$13, 1), 1))</f>
        <v>1.8499999999999999E-2</v>
      </c>
      <c r="K806" s="26">
        <f t="shared" si="159"/>
        <v>0.94557792462098222</v>
      </c>
      <c r="L806" s="27">
        <f t="shared" ca="1" si="160"/>
        <v>0</v>
      </c>
      <c r="M806" s="27">
        <f t="shared" ca="1" si="161"/>
        <v>1553.0583743576142</v>
      </c>
      <c r="N806" s="28">
        <f t="shared" ca="1" si="162"/>
        <v>8.6808859057442164E-2</v>
      </c>
      <c r="O806" s="29">
        <f t="shared" ca="1" si="163"/>
        <v>600000</v>
      </c>
      <c r="P806" s="30">
        <f t="shared" ca="1" si="164"/>
        <v>33.537255453137206</v>
      </c>
    </row>
    <row r="807" spans="1:16" x14ac:dyDescent="0.25">
      <c r="A807" s="3">
        <f t="shared" si="165"/>
        <v>47241</v>
      </c>
      <c r="B807" s="21">
        <f t="shared" si="156"/>
        <v>36649</v>
      </c>
      <c r="C807" s="21">
        <f t="shared" si="157"/>
        <v>36697</v>
      </c>
      <c r="D807" s="1">
        <f t="shared" si="166"/>
        <v>0</v>
      </c>
      <c r="E807" s="3">
        <f t="array" ref="E807">INDEX($A$9:A806, MAX(IF($D$9:D806=1, ROW(D$9:$D806)-ROW($D$9)+1, 0)))</f>
        <v>47197</v>
      </c>
      <c r="F807" s="23">
        <f t="shared" si="158"/>
        <v>3.055441478439425</v>
      </c>
      <c r="G807" s="5">
        <f>INDEX('Default Prob'!$P$5:$P$14,MIN(1+_xlfn.IFNA(MATCH(F807,'Default Prob'!$F$5:$F$14,1),0),COUNT('Default Prob'!$P$5:$P$14)))</f>
        <v>2.3050976347889798E-2</v>
      </c>
      <c r="H807" s="5">
        <f t="shared" si="167"/>
        <v>0.93656673991895911</v>
      </c>
      <c r="I807" s="24">
        <f t="shared" si="168"/>
        <v>5.9108717371025854E-5</v>
      </c>
      <c r="J807" s="25">
        <f>INDEX('Default Prob'!$C$3:$C$13, _xlfn.IFNA(MATCH(F807, 'Default Prob'!$B$3:$B$13, 1), 1))</f>
        <v>1.8499999999999999E-2</v>
      </c>
      <c r="K807" s="26">
        <f t="shared" si="159"/>
        <v>0.94553046969140664</v>
      </c>
      <c r="L807" s="27">
        <f t="shared" ca="1" si="160"/>
        <v>0</v>
      </c>
      <c r="M807" s="27">
        <f t="shared" ca="1" si="161"/>
        <v>1589.1760109705817</v>
      </c>
      <c r="N807" s="28">
        <f t="shared" ca="1" si="162"/>
        <v>8.8817606345163211E-2</v>
      </c>
      <c r="O807" s="29">
        <f t="shared" ca="1" si="163"/>
        <v>600000</v>
      </c>
      <c r="P807" s="30">
        <f t="shared" ca="1" si="164"/>
        <v>33.533455979209606</v>
      </c>
    </row>
    <row r="808" spans="1:16" x14ac:dyDescent="0.25">
      <c r="A808" s="3">
        <f t="shared" si="165"/>
        <v>47242</v>
      </c>
      <c r="B808" s="21">
        <f t="shared" si="156"/>
        <v>36650</v>
      </c>
      <c r="C808" s="21">
        <f t="shared" si="157"/>
        <v>36697</v>
      </c>
      <c r="D808" s="1">
        <f t="shared" si="166"/>
        <v>0</v>
      </c>
      <c r="E808" s="3">
        <f t="array" ref="E808">INDEX($A$9:A807, MAX(IF($D$9:D807=1, ROW(D$9:$D807)-ROW($D$9)+1, 0)))</f>
        <v>47197</v>
      </c>
      <c r="F808" s="23">
        <f t="shared" si="158"/>
        <v>3.0581793292265571</v>
      </c>
      <c r="G808" s="5">
        <f>INDEX('Default Prob'!$P$5:$P$14,MIN(1+_xlfn.IFNA(MATCH(F808,'Default Prob'!$F$5:$F$14,1),0),COUNT('Default Prob'!$P$5:$P$14)))</f>
        <v>2.3050976347889798E-2</v>
      </c>
      <c r="H808" s="5">
        <f t="shared" si="167"/>
        <v>0.93650763493182942</v>
      </c>
      <c r="I808" s="24">
        <f t="shared" si="168"/>
        <v>5.9104987129687814E-5</v>
      </c>
      <c r="J808" s="25">
        <f>INDEX('Default Prob'!$C$3:$C$13, _xlfn.IFNA(MATCH(F808, 'Default Prob'!$B$3:$B$13, 1), 1))</f>
        <v>1.8499999999999999E-2</v>
      </c>
      <c r="K808" s="26">
        <f t="shared" si="159"/>
        <v>0.94548301714341176</v>
      </c>
      <c r="L808" s="27">
        <f t="shared" ca="1" si="160"/>
        <v>0</v>
      </c>
      <c r="M808" s="27">
        <f t="shared" ca="1" si="161"/>
        <v>1625.2936475835495</v>
      </c>
      <c r="N808" s="28">
        <f t="shared" ca="1" si="162"/>
        <v>9.0825897372243655E-2</v>
      </c>
      <c r="O808" s="29">
        <f t="shared" ca="1" si="163"/>
        <v>600000</v>
      </c>
      <c r="P808" s="30">
        <f t="shared" ca="1" si="164"/>
        <v>33.529656935759853</v>
      </c>
    </row>
    <row r="809" spans="1:16" x14ac:dyDescent="0.25">
      <c r="A809" s="3">
        <f t="shared" si="165"/>
        <v>47245</v>
      </c>
      <c r="B809" s="21">
        <f t="shared" si="156"/>
        <v>36653</v>
      </c>
      <c r="C809" s="21">
        <f t="shared" si="157"/>
        <v>36697</v>
      </c>
      <c r="D809" s="1">
        <f t="shared" si="166"/>
        <v>0</v>
      </c>
      <c r="E809" s="3">
        <f t="array" ref="E809">INDEX($A$9:A808, MAX(IF($D$9:D808=1, ROW(D$9:$D808)-ROW($D$9)+1, 0)))</f>
        <v>47197</v>
      </c>
      <c r="F809" s="23">
        <f t="shared" si="158"/>
        <v>3.0663928815879533</v>
      </c>
      <c r="G809" s="5">
        <f>INDEX('Default Prob'!$P$5:$P$14,MIN(1+_xlfn.IFNA(MATCH(F809,'Default Prob'!$F$5:$F$14,1),0),COUNT('Default Prob'!$P$5:$P$14)))</f>
        <v>2.3050976347889798E-2</v>
      </c>
      <c r="H809" s="5">
        <f t="shared" si="167"/>
        <v>0.93633034234953461</v>
      </c>
      <c r="I809" s="24">
        <f t="shared" si="168"/>
        <v>1.7729258229481903E-4</v>
      </c>
      <c r="J809" s="25">
        <f>INDEX('Default Prob'!$C$3:$C$13, _xlfn.IFNA(MATCH(F809, 'Default Prob'!$B$3:$B$13, 1), 1))</f>
        <v>1.8499999999999999E-2</v>
      </c>
      <c r="K809" s="26">
        <f t="shared" si="159"/>
        <v>0.94534067378771802</v>
      </c>
      <c r="L809" s="27">
        <f t="shared" ca="1" si="160"/>
        <v>0</v>
      </c>
      <c r="M809" s="27">
        <f t="shared" ca="1" si="161"/>
        <v>1733.646557422453</v>
      </c>
      <c r="N809" s="28">
        <f t="shared" ca="1" si="162"/>
        <v>0.29056243823627176</v>
      </c>
      <c r="O809" s="29">
        <f t="shared" ca="1" si="163"/>
        <v>600000</v>
      </c>
      <c r="P809" s="30">
        <f t="shared" ca="1" si="164"/>
        <v>100.56113352248921</v>
      </c>
    </row>
    <row r="810" spans="1:16" x14ac:dyDescent="0.25">
      <c r="A810" s="3">
        <f t="shared" si="165"/>
        <v>47246</v>
      </c>
      <c r="B810" s="21">
        <f t="shared" si="156"/>
        <v>36654</v>
      </c>
      <c r="C810" s="21">
        <f t="shared" si="157"/>
        <v>36697</v>
      </c>
      <c r="D810" s="1">
        <f t="shared" si="166"/>
        <v>0</v>
      </c>
      <c r="E810" s="3">
        <f t="array" ref="E810">INDEX($A$9:A809, MAX(IF($D$9:D809=1, ROW(D$9:$D809)-ROW($D$9)+1, 0)))</f>
        <v>47197</v>
      </c>
      <c r="F810" s="23">
        <f t="shared" si="158"/>
        <v>3.0691307323750854</v>
      </c>
      <c r="G810" s="5">
        <f>INDEX('Default Prob'!$P$5:$P$14,MIN(1+_xlfn.IFNA(MATCH(F810,'Default Prob'!$F$5:$F$14,1),0),COUNT('Default Prob'!$P$5:$P$14)))</f>
        <v>2.3050976347889798E-2</v>
      </c>
      <c r="H810" s="5">
        <f t="shared" si="167"/>
        <v>0.93627125228101638</v>
      </c>
      <c r="I810" s="24">
        <f t="shared" si="168"/>
        <v>5.909006851823051E-5</v>
      </c>
      <c r="J810" s="25">
        <f>INDEX('Default Prob'!$C$3:$C$13, _xlfn.IFNA(MATCH(F810, 'Default Prob'!$B$3:$B$13, 1), 1))</f>
        <v>1.8499999999999999E-2</v>
      </c>
      <c r="K810" s="26">
        <f t="shared" si="159"/>
        <v>0.94529323076485194</v>
      </c>
      <c r="L810" s="27">
        <f t="shared" ca="1" si="160"/>
        <v>0</v>
      </c>
      <c r="M810" s="27">
        <f t="shared" ca="1" si="161"/>
        <v>1769.7641940354208</v>
      </c>
      <c r="N810" s="28">
        <f t="shared" ca="1" si="162"/>
        <v>9.8854500425077971E-2</v>
      </c>
      <c r="O810" s="29">
        <f t="shared" ca="1" si="163"/>
        <v>600000</v>
      </c>
      <c r="P810" s="30">
        <f t="shared" ca="1" si="164"/>
        <v>33.514465065428752</v>
      </c>
    </row>
    <row r="811" spans="1:16" x14ac:dyDescent="0.25">
      <c r="A811" s="3">
        <f t="shared" si="165"/>
        <v>47247</v>
      </c>
      <c r="B811" s="21">
        <f t="shared" si="156"/>
        <v>36655</v>
      </c>
      <c r="C811" s="21">
        <f t="shared" si="157"/>
        <v>36697</v>
      </c>
      <c r="D811" s="1">
        <f t="shared" si="166"/>
        <v>0</v>
      </c>
      <c r="E811" s="3">
        <f t="array" ref="E811">INDEX($A$9:A810, MAX(IF($D$9:D810=1, ROW(D$9:$D810)-ROW($D$9)+1, 0)))</f>
        <v>47197</v>
      </c>
      <c r="F811" s="23">
        <f t="shared" si="158"/>
        <v>3.0718685831622174</v>
      </c>
      <c r="G811" s="5">
        <f>INDEX('Default Prob'!$P$5:$P$14,MIN(1+_xlfn.IFNA(MATCH(F811,'Default Prob'!$F$5:$F$14,1),0),COUNT('Default Prob'!$P$5:$P$14)))</f>
        <v>2.3050976347889798E-2</v>
      </c>
      <c r="H811" s="5">
        <f t="shared" si="167"/>
        <v>0.93621216594156265</v>
      </c>
      <c r="I811" s="24">
        <f t="shared" si="168"/>
        <v>5.9086339453728876E-5</v>
      </c>
      <c r="J811" s="25">
        <f>INDEX('Default Prob'!$C$3:$C$13, _xlfn.IFNA(MATCH(F811, 'Default Prob'!$B$3:$B$13, 1), 1))</f>
        <v>1.8499999999999999E-2</v>
      </c>
      <c r="K811" s="26">
        <f t="shared" si="159"/>
        <v>0.94524579012296928</v>
      </c>
      <c r="L811" s="27">
        <f t="shared" ca="1" si="160"/>
        <v>0</v>
      </c>
      <c r="M811" s="27">
        <f t="shared" ca="1" si="161"/>
        <v>1805.8818306483884</v>
      </c>
      <c r="N811" s="28">
        <f t="shared" ca="1" si="162"/>
        <v>0.10086051131219599</v>
      </c>
      <c r="O811" s="29">
        <f t="shared" ca="1" si="163"/>
        <v>600000</v>
      </c>
      <c r="P811" s="30">
        <f t="shared" ca="1" si="164"/>
        <v>33.510668173448352</v>
      </c>
    </row>
    <row r="812" spans="1:16" x14ac:dyDescent="0.25">
      <c r="A812" s="3">
        <f t="shared" si="165"/>
        <v>47248</v>
      </c>
      <c r="B812" s="21">
        <f t="shared" si="156"/>
        <v>36656</v>
      </c>
      <c r="C812" s="21">
        <f t="shared" si="157"/>
        <v>36697</v>
      </c>
      <c r="D812" s="1">
        <f t="shared" si="166"/>
        <v>0</v>
      </c>
      <c r="E812" s="3">
        <f t="array" ref="E812">INDEX($A$9:A811, MAX(IF($D$9:D811=1, ROW(D$9:$D811)-ROW($D$9)+1, 0)))</f>
        <v>47197</v>
      </c>
      <c r="F812" s="23">
        <f t="shared" si="158"/>
        <v>3.07460643394935</v>
      </c>
      <c r="G812" s="5">
        <f>INDEX('Default Prob'!$P$5:$P$14,MIN(1+_xlfn.IFNA(MATCH(F812,'Default Prob'!$F$5:$F$14,1),0),COUNT('Default Prob'!$P$5:$P$14)))</f>
        <v>2.3050976347889798E-2</v>
      </c>
      <c r="H812" s="5">
        <f t="shared" si="167"/>
        <v>0.93615308333093805</v>
      </c>
      <c r="I812" s="24">
        <f t="shared" si="168"/>
        <v>5.9082610624594523E-5</v>
      </c>
      <c r="J812" s="25">
        <f>INDEX('Default Prob'!$C$3:$C$13, _xlfn.IFNA(MATCH(F812, 'Default Prob'!$B$3:$B$13, 1), 1))</f>
        <v>1.8499999999999999E-2</v>
      </c>
      <c r="K812" s="26">
        <f t="shared" si="159"/>
        <v>0.94519835186195011</v>
      </c>
      <c r="L812" s="27">
        <f t="shared" ca="1" si="160"/>
        <v>0</v>
      </c>
      <c r="M812" s="27">
        <f t="shared" ca="1" si="161"/>
        <v>1841.9994672613561</v>
      </c>
      <c r="N812" s="28">
        <f t="shared" ca="1" si="162"/>
        <v>0.10286606640406176</v>
      </c>
      <c r="O812" s="29">
        <f t="shared" ca="1" si="163"/>
        <v>600000</v>
      </c>
      <c r="P812" s="30">
        <f t="shared" ca="1" si="164"/>
        <v>33.506871711640855</v>
      </c>
    </row>
    <row r="813" spans="1:16" x14ac:dyDescent="0.25">
      <c r="A813" s="3">
        <f t="shared" si="165"/>
        <v>47249</v>
      </c>
      <c r="B813" s="21">
        <f t="shared" si="156"/>
        <v>36657</v>
      </c>
      <c r="C813" s="21">
        <f t="shared" si="157"/>
        <v>36697</v>
      </c>
      <c r="D813" s="1">
        <f t="shared" si="166"/>
        <v>0</v>
      </c>
      <c r="E813" s="3">
        <f t="array" ref="E813">INDEX($A$9:A812, MAX(IF($D$9:D812=1, ROW(D$9:$D812)-ROW($D$9)+1, 0)))</f>
        <v>47197</v>
      </c>
      <c r="F813" s="23">
        <f t="shared" si="158"/>
        <v>3.077344284736482</v>
      </c>
      <c r="G813" s="5">
        <f>INDEX('Default Prob'!$P$5:$P$14,MIN(1+_xlfn.IFNA(MATCH(F813,'Default Prob'!$F$5:$F$14,1),0),COUNT('Default Prob'!$P$5:$P$14)))</f>
        <v>2.3050976347889798E-2</v>
      </c>
      <c r="H813" s="5">
        <f t="shared" si="167"/>
        <v>0.93609400444890722</v>
      </c>
      <c r="I813" s="24">
        <f t="shared" si="168"/>
        <v>5.9078882030827451E-5</v>
      </c>
      <c r="J813" s="25">
        <f>INDEX('Default Prob'!$C$3:$C$13, _xlfn.IFNA(MATCH(F813, 'Default Prob'!$B$3:$B$13, 1), 1))</f>
        <v>1.8499999999999999E-2</v>
      </c>
      <c r="K813" s="26">
        <f t="shared" si="159"/>
        <v>0.94515091598167555</v>
      </c>
      <c r="L813" s="27">
        <f t="shared" ca="1" si="160"/>
        <v>0</v>
      </c>
      <c r="M813" s="27">
        <f t="shared" ca="1" si="161"/>
        <v>1878.1171038743239</v>
      </c>
      <c r="N813" s="28">
        <f t="shared" ca="1" si="162"/>
        <v>0.10487116577823324</v>
      </c>
      <c r="O813" s="29">
        <f t="shared" ca="1" si="163"/>
        <v>600000</v>
      </c>
      <c r="P813" s="30">
        <f t="shared" ca="1" si="164"/>
        <v>33.503075679965953</v>
      </c>
    </row>
    <row r="814" spans="1:16" x14ac:dyDescent="0.25">
      <c r="A814" s="3">
        <f t="shared" si="165"/>
        <v>47252</v>
      </c>
      <c r="B814" s="21">
        <f t="shared" si="156"/>
        <v>36660</v>
      </c>
      <c r="C814" s="21">
        <f t="shared" si="157"/>
        <v>36697</v>
      </c>
      <c r="D814" s="1">
        <f t="shared" si="166"/>
        <v>0</v>
      </c>
      <c r="E814" s="3">
        <f t="array" ref="E814">INDEX($A$9:A813, MAX(IF($D$9:D813=1, ROW(D$9:$D813)-ROW($D$9)+1, 0)))</f>
        <v>47197</v>
      </c>
      <c r="F814" s="23">
        <f t="shared" si="158"/>
        <v>3.0855578370978782</v>
      </c>
      <c r="G814" s="5">
        <f>INDEX('Default Prob'!$P$5:$P$14,MIN(1+_xlfn.IFNA(MATCH(F814,'Default Prob'!$F$5:$F$14,1),0),COUNT('Default Prob'!$P$5:$P$14)))</f>
        <v>2.3050976347889798E-2</v>
      </c>
      <c r="H814" s="5">
        <f t="shared" si="167"/>
        <v>0.93591679017202467</v>
      </c>
      <c r="I814" s="24">
        <f t="shared" si="168"/>
        <v>1.7721427688255353E-4</v>
      </c>
      <c r="J814" s="25">
        <f>INDEX('Default Prob'!$C$3:$C$13, _xlfn.IFNA(MATCH(F814, 'Default Prob'!$B$3:$B$13, 1), 1))</f>
        <v>1.8499999999999999E-2</v>
      </c>
      <c r="K814" s="26">
        <f t="shared" si="159"/>
        <v>0.94500862262412344</v>
      </c>
      <c r="L814" s="27">
        <f t="shared" ca="1" si="160"/>
        <v>0</v>
      </c>
      <c r="M814" s="27">
        <f t="shared" ca="1" si="161"/>
        <v>1986.4700137132272</v>
      </c>
      <c r="N814" s="28">
        <f t="shared" ca="1" si="162"/>
        <v>0.33267218587214098</v>
      </c>
      <c r="O814" s="29">
        <f t="shared" ca="1" si="163"/>
        <v>600000</v>
      </c>
      <c r="P814" s="30">
        <f t="shared" ca="1" si="164"/>
        <v>100.48141182366717</v>
      </c>
    </row>
    <row r="815" spans="1:16" x14ac:dyDescent="0.25">
      <c r="A815" s="3">
        <f t="shared" si="165"/>
        <v>47253</v>
      </c>
      <c r="B815" s="21">
        <f t="shared" si="156"/>
        <v>36661</v>
      </c>
      <c r="C815" s="21">
        <f t="shared" si="157"/>
        <v>36697</v>
      </c>
      <c r="D815" s="1">
        <f t="shared" si="166"/>
        <v>0</v>
      </c>
      <c r="E815" s="3">
        <f t="array" ref="E815">INDEX($A$9:A814, MAX(IF($D$9:D814=1, ROW(D$9:$D814)-ROW($D$9)+1, 0)))</f>
        <v>47197</v>
      </c>
      <c r="F815" s="23">
        <f t="shared" si="158"/>
        <v>3.0882956878850103</v>
      </c>
      <c r="G815" s="5">
        <f>INDEX('Default Prob'!$P$5:$P$14,MIN(1+_xlfn.IFNA(MATCH(F815,'Default Prob'!$F$5:$F$14,1),0),COUNT('Default Prob'!$P$5:$P$14)))</f>
        <v>2.3050976347889798E-2</v>
      </c>
      <c r="H815" s="5">
        <f t="shared" si="167"/>
        <v>0.93585772620201613</v>
      </c>
      <c r="I815" s="24">
        <f t="shared" si="168"/>
        <v>5.9063970008543798E-5</v>
      </c>
      <c r="J815" s="25">
        <f>INDEX('Default Prob'!$C$3:$C$13, _xlfn.IFNA(MATCH(F815, 'Default Prob'!$B$3:$B$13, 1), 1))</f>
        <v>1.8499999999999999E-2</v>
      </c>
      <c r="K815" s="26">
        <f t="shared" si="159"/>
        <v>0.9449611962656318</v>
      </c>
      <c r="L815" s="27">
        <f t="shared" ca="1" si="160"/>
        <v>0</v>
      </c>
      <c r="M815" s="27">
        <f t="shared" ca="1" si="161"/>
        <v>2022.587650326195</v>
      </c>
      <c r="N815" s="28">
        <f t="shared" ca="1" si="162"/>
        <v>0.11288700764709853</v>
      </c>
      <c r="O815" s="29">
        <f t="shared" ca="1" si="163"/>
        <v>600000</v>
      </c>
      <c r="P815" s="30">
        <f t="shared" ca="1" si="164"/>
        <v>33.487895853282566</v>
      </c>
    </row>
    <row r="816" spans="1:16" x14ac:dyDescent="0.25">
      <c r="A816" s="3">
        <f t="shared" si="165"/>
        <v>47254</v>
      </c>
      <c r="B816" s="21">
        <f t="shared" si="156"/>
        <v>36662</v>
      </c>
      <c r="C816" s="21">
        <f t="shared" si="157"/>
        <v>36697</v>
      </c>
      <c r="D816" s="1">
        <f t="shared" si="166"/>
        <v>0</v>
      </c>
      <c r="E816" s="3">
        <f t="array" ref="E816">INDEX($A$9:A815, MAX(IF($D$9:D815=1, ROW(D$9:$D815)-ROW($D$9)+1, 0)))</f>
        <v>47197</v>
      </c>
      <c r="F816" s="23">
        <f t="shared" si="158"/>
        <v>3.0910335386721424</v>
      </c>
      <c r="G816" s="5">
        <f>INDEX('Default Prob'!$P$5:$P$14,MIN(1+_xlfn.IFNA(MATCH(F816,'Default Prob'!$F$5:$F$14,1),0),COUNT('Default Prob'!$P$5:$P$14)))</f>
        <v>2.3050976347889798E-2</v>
      </c>
      <c r="H816" s="5">
        <f t="shared" si="167"/>
        <v>0.93579866595942507</v>
      </c>
      <c r="I816" s="24">
        <f t="shared" si="168"/>
        <v>5.9060242591058021E-5</v>
      </c>
      <c r="J816" s="25">
        <f>INDEX('Default Prob'!$C$3:$C$13, _xlfn.IFNA(MATCH(F816, 'Default Prob'!$B$3:$B$13, 1), 1))</f>
        <v>1.8499999999999999E-2</v>
      </c>
      <c r="K816" s="26">
        <f t="shared" si="159"/>
        <v>0.9449137722872869</v>
      </c>
      <c r="L816" s="27">
        <f t="shared" ca="1" si="160"/>
        <v>0</v>
      </c>
      <c r="M816" s="27">
        <f t="shared" ca="1" si="161"/>
        <v>2058.7052869391628</v>
      </c>
      <c r="N816" s="28">
        <f t="shared" ca="1" si="162"/>
        <v>0.11488982959471845</v>
      </c>
      <c r="O816" s="29">
        <f t="shared" ca="1" si="163"/>
        <v>600000</v>
      </c>
      <c r="P816" s="30">
        <f t="shared" ca="1" si="164"/>
        <v>33.48410197135135</v>
      </c>
    </row>
    <row r="817" spans="1:16" x14ac:dyDescent="0.25">
      <c r="A817" s="3">
        <f t="shared" si="165"/>
        <v>47255</v>
      </c>
      <c r="B817" s="21">
        <f t="shared" si="156"/>
        <v>36663</v>
      </c>
      <c r="C817" s="21">
        <f t="shared" si="157"/>
        <v>36697</v>
      </c>
      <c r="D817" s="1">
        <f t="shared" si="166"/>
        <v>0</v>
      </c>
      <c r="E817" s="3">
        <f t="array" ref="E817">INDEX($A$9:A816, MAX(IF($D$9:D816=1, ROW(D$9:$D816)-ROW($D$9)+1, 0)))</f>
        <v>47197</v>
      </c>
      <c r="F817" s="23">
        <f t="shared" si="158"/>
        <v>3.0937713894592744</v>
      </c>
      <c r="G817" s="5">
        <f>INDEX('Default Prob'!$P$5:$P$14,MIN(1+_xlfn.IFNA(MATCH(F817,'Default Prob'!$F$5:$F$14,1),0),COUNT('Default Prob'!$P$5:$P$14)))</f>
        <v>2.3050976347889798E-2</v>
      </c>
      <c r="H817" s="5">
        <f t="shared" si="167"/>
        <v>0.93573960944401613</v>
      </c>
      <c r="I817" s="24">
        <f t="shared" si="168"/>
        <v>5.9056515408939525E-5</v>
      </c>
      <c r="J817" s="25">
        <f>INDEX('Default Prob'!$C$3:$C$13, _xlfn.IFNA(MATCH(F817, 'Default Prob'!$B$3:$B$13, 1), 1))</f>
        <v>1.8499999999999999E-2</v>
      </c>
      <c r="K817" s="26">
        <f t="shared" si="159"/>
        <v>0.94486635068896996</v>
      </c>
      <c r="L817" s="27">
        <f t="shared" ca="1" si="160"/>
        <v>0</v>
      </c>
      <c r="M817" s="27">
        <f t="shared" ca="1" si="161"/>
        <v>2094.8229235521303</v>
      </c>
      <c r="N817" s="28">
        <f t="shared" ca="1" si="162"/>
        <v>0.11689219628975049</v>
      </c>
      <c r="O817" s="29">
        <f t="shared" ca="1" si="163"/>
        <v>600000</v>
      </c>
      <c r="P817" s="30">
        <f t="shared" ca="1" si="164"/>
        <v>33.480308519310967</v>
      </c>
    </row>
    <row r="818" spans="1:16" x14ac:dyDescent="0.25">
      <c r="A818" s="3">
        <f t="shared" si="165"/>
        <v>47256</v>
      </c>
      <c r="B818" s="21">
        <f t="shared" si="156"/>
        <v>36664</v>
      </c>
      <c r="C818" s="21">
        <f t="shared" si="157"/>
        <v>36697</v>
      </c>
      <c r="D818" s="1">
        <f t="shared" si="166"/>
        <v>0</v>
      </c>
      <c r="E818" s="3">
        <f t="array" ref="E818">INDEX($A$9:A817, MAX(IF($D$9:D817=1, ROW(D$9:$D817)-ROW($D$9)+1, 0)))</f>
        <v>47197</v>
      </c>
      <c r="F818" s="23">
        <f t="shared" si="158"/>
        <v>3.0965092402464065</v>
      </c>
      <c r="G818" s="5">
        <f>INDEX('Default Prob'!$P$5:$P$14,MIN(1+_xlfn.IFNA(MATCH(F818,'Default Prob'!$F$5:$F$14,1),0),COUNT('Default Prob'!$P$5:$P$14)))</f>
        <v>2.3050976347889798E-2</v>
      </c>
      <c r="H818" s="5">
        <f t="shared" si="167"/>
        <v>0.93568055665555416</v>
      </c>
      <c r="I818" s="24">
        <f t="shared" si="168"/>
        <v>5.9052788461966266E-5</v>
      </c>
      <c r="J818" s="25">
        <f>INDEX('Default Prob'!$C$3:$C$13, _xlfn.IFNA(MATCH(F818, 'Default Prob'!$B$3:$B$13, 1), 1))</f>
        <v>1.8499999999999999E-2</v>
      </c>
      <c r="K818" s="26">
        <f t="shared" si="159"/>
        <v>0.94481893147056095</v>
      </c>
      <c r="L818" s="27">
        <f t="shared" ca="1" si="160"/>
        <v>0</v>
      </c>
      <c r="M818" s="27">
        <f t="shared" ca="1" si="161"/>
        <v>2130.9405601650983</v>
      </c>
      <c r="N818" s="28">
        <f t="shared" ca="1" si="162"/>
        <v>0.11889410780923765</v>
      </c>
      <c r="O818" s="29">
        <f t="shared" ca="1" si="163"/>
        <v>600000</v>
      </c>
      <c r="P818" s="30">
        <f t="shared" ca="1" si="164"/>
        <v>33.476515496995219</v>
      </c>
    </row>
    <row r="819" spans="1:16" x14ac:dyDescent="0.25">
      <c r="A819" s="3">
        <f t="shared" si="165"/>
        <v>47259</v>
      </c>
      <c r="B819" s="21">
        <f t="shared" si="156"/>
        <v>36667</v>
      </c>
      <c r="C819" s="21">
        <f t="shared" si="157"/>
        <v>36697</v>
      </c>
      <c r="D819" s="1">
        <f t="shared" si="166"/>
        <v>0</v>
      </c>
      <c r="E819" s="3">
        <f t="array" ref="E819">INDEX($A$9:A818, MAX(IF($D$9:D818=1, ROW(D$9:$D818)-ROW($D$9)+1, 0)))</f>
        <v>47197</v>
      </c>
      <c r="F819" s="23">
        <f t="shared" si="158"/>
        <v>3.1047227926078027</v>
      </c>
      <c r="G819" s="5">
        <f>INDEX('Default Prob'!$P$5:$P$14,MIN(1+_xlfn.IFNA(MATCH(F819,'Default Prob'!$F$5:$F$14,1),0),COUNT('Default Prob'!$P$5:$P$14)))</f>
        <v>2.3050976347889798E-2</v>
      </c>
      <c r="H819" s="5">
        <f t="shared" si="167"/>
        <v>0.93550342064949843</v>
      </c>
      <c r="I819" s="24">
        <f t="shared" si="168"/>
        <v>1.7713600605573365E-4</v>
      </c>
      <c r="J819" s="25">
        <f>INDEX('Default Prob'!$C$3:$C$13, _xlfn.IFNA(MATCH(F819, 'Default Prob'!$B$3:$B$13, 1), 1))</f>
        <v>1.8499999999999999E-2</v>
      </c>
      <c r="K819" s="26">
        <f t="shared" si="159"/>
        <v>0.94467668809358862</v>
      </c>
      <c r="L819" s="27">
        <f t="shared" ca="1" si="160"/>
        <v>0</v>
      </c>
      <c r="M819" s="27">
        <f t="shared" ca="1" si="161"/>
        <v>2239.2934700040018</v>
      </c>
      <c r="N819" s="28">
        <f t="shared" ca="1" si="162"/>
        <v>0.37471498433203915</v>
      </c>
      <c r="O819" s="29">
        <f t="shared" ca="1" si="163"/>
        <v>600000</v>
      </c>
      <c r="P819" s="30">
        <f t="shared" ca="1" si="164"/>
        <v>100.4017533257138</v>
      </c>
    </row>
    <row r="820" spans="1:16" x14ac:dyDescent="0.25">
      <c r="A820" s="3">
        <f t="shared" si="165"/>
        <v>47260</v>
      </c>
      <c r="B820" s="21">
        <f t="shared" si="156"/>
        <v>36668</v>
      </c>
      <c r="C820" s="21">
        <f t="shared" si="157"/>
        <v>36697</v>
      </c>
      <c r="D820" s="1">
        <f t="shared" si="166"/>
        <v>0</v>
      </c>
      <c r="E820" s="3">
        <f t="array" ref="E820">INDEX($A$9:A819, MAX(IF($D$9:D819=1, ROW(D$9:$D819)-ROW($D$9)+1, 0)))</f>
        <v>47197</v>
      </c>
      <c r="F820" s="23">
        <f t="shared" si="158"/>
        <v>3.1074606433949348</v>
      </c>
      <c r="G820" s="5">
        <f>INDEX('Default Prob'!$P$5:$P$14,MIN(1+_xlfn.IFNA(MATCH(F820,'Default Prob'!$F$5:$F$14,1),0),COUNT('Default Prob'!$P$5:$P$14)))</f>
        <v>2.3050976347889798E-2</v>
      </c>
      <c r="H820" s="5">
        <f t="shared" si="167"/>
        <v>0.93544438276647257</v>
      </c>
      <c r="I820" s="24">
        <f t="shared" si="168"/>
        <v>5.9037883025858662E-5</v>
      </c>
      <c r="J820" s="25">
        <f>INDEX('Default Prob'!$C$3:$C$13, _xlfn.IFNA(MATCH(F820, 'Default Prob'!$B$3:$B$13, 1), 1))</f>
        <v>1.8499999999999999E-2</v>
      </c>
      <c r="K820" s="26">
        <f t="shared" si="159"/>
        <v>0.94462927839361788</v>
      </c>
      <c r="L820" s="27">
        <f t="shared" ca="1" si="160"/>
        <v>0</v>
      </c>
      <c r="M820" s="27">
        <f t="shared" ca="1" si="161"/>
        <v>2275.4111066169694</v>
      </c>
      <c r="N820" s="28">
        <f t="shared" ca="1" si="162"/>
        <v>0.12689720368146334</v>
      </c>
      <c r="O820" s="29">
        <f t="shared" ca="1" si="163"/>
        <v>600000</v>
      </c>
      <c r="P820" s="30">
        <f t="shared" ca="1" si="164"/>
        <v>33.461347704362211</v>
      </c>
    </row>
    <row r="821" spans="1:16" x14ac:dyDescent="0.25">
      <c r="A821" s="3">
        <f t="shared" si="165"/>
        <v>47261</v>
      </c>
      <c r="B821" s="21">
        <f t="shared" si="156"/>
        <v>36669</v>
      </c>
      <c r="C821" s="21">
        <f t="shared" si="157"/>
        <v>36697</v>
      </c>
      <c r="D821" s="1">
        <f t="shared" si="166"/>
        <v>0</v>
      </c>
      <c r="E821" s="3">
        <f t="array" ref="E821">INDEX($A$9:A820, MAX(IF($D$9:D820=1, ROW(D$9:$D820)-ROW($D$9)+1, 0)))</f>
        <v>47197</v>
      </c>
      <c r="F821" s="23">
        <f t="shared" si="158"/>
        <v>3.1101984941820673</v>
      </c>
      <c r="G821" s="5">
        <f>INDEX('Default Prob'!$P$5:$P$14,MIN(1+_xlfn.IFNA(MATCH(F821,'Default Prob'!$F$5:$F$14,1),0),COUNT('Default Prob'!$P$5:$P$14)))</f>
        <v>2.3050976347889798E-2</v>
      </c>
      <c r="H821" s="5">
        <f t="shared" si="167"/>
        <v>0.93538534860921785</v>
      </c>
      <c r="I821" s="24">
        <f t="shared" si="168"/>
        <v>5.9034157254722608E-5</v>
      </c>
      <c r="J821" s="25">
        <f>INDEX('Default Prob'!$C$3:$C$13, _xlfn.IFNA(MATCH(F821, 'Default Prob'!$B$3:$B$13, 1), 1))</f>
        <v>1.8499999999999999E-2</v>
      </c>
      <c r="K821" s="26">
        <f t="shared" si="159"/>
        <v>0.94458187107295821</v>
      </c>
      <c r="L821" s="27">
        <f t="shared" ca="1" si="160"/>
        <v>0</v>
      </c>
      <c r="M821" s="27">
        <f t="shared" ca="1" si="161"/>
        <v>2311.5287432299369</v>
      </c>
      <c r="N821" s="28">
        <f t="shared" ca="1" si="162"/>
        <v>0.12889684048515254</v>
      </c>
      <c r="O821" s="29">
        <f t="shared" ca="1" si="163"/>
        <v>600000</v>
      </c>
      <c r="P821" s="30">
        <f t="shared" ca="1" si="164"/>
        <v>33.457556830128681</v>
      </c>
    </row>
    <row r="822" spans="1:16" x14ac:dyDescent="0.25">
      <c r="A822" s="3">
        <f t="shared" si="165"/>
        <v>47262</v>
      </c>
      <c r="B822" s="21">
        <f t="shared" si="156"/>
        <v>36670</v>
      </c>
      <c r="C822" s="21">
        <f t="shared" si="157"/>
        <v>36697</v>
      </c>
      <c r="D822" s="1">
        <f t="shared" si="166"/>
        <v>0</v>
      </c>
      <c r="E822" s="3">
        <f t="array" ref="E822">INDEX($A$9:A821, MAX(IF($D$9:D821=1, ROW(D$9:$D821)-ROW($D$9)+1, 0)))</f>
        <v>47197</v>
      </c>
      <c r="F822" s="23">
        <f t="shared" si="158"/>
        <v>3.1129363449691994</v>
      </c>
      <c r="G822" s="5">
        <f>INDEX('Default Prob'!$P$5:$P$14,MIN(1+_xlfn.IFNA(MATCH(F822,'Default Prob'!$F$5:$F$14,1),0),COUNT('Default Prob'!$P$5:$P$14)))</f>
        <v>2.3050976347889798E-2</v>
      </c>
      <c r="H822" s="5">
        <f t="shared" si="167"/>
        <v>0.93532631817749912</v>
      </c>
      <c r="I822" s="24">
        <f t="shared" si="168"/>
        <v>5.9030431718731791E-5</v>
      </c>
      <c r="J822" s="25">
        <f>INDEX('Default Prob'!$C$3:$C$13, _xlfn.IFNA(MATCH(F822, 'Default Prob'!$B$3:$B$13, 1), 1))</f>
        <v>1.8499999999999999E-2</v>
      </c>
      <c r="K822" s="26">
        <f t="shared" si="159"/>
        <v>0.94453446613149006</v>
      </c>
      <c r="L822" s="27">
        <f t="shared" ca="1" si="160"/>
        <v>0</v>
      </c>
      <c r="M822" s="27">
        <f t="shared" ca="1" si="161"/>
        <v>2347.6463798429049</v>
      </c>
      <c r="N822" s="28">
        <f t="shared" ca="1" si="162"/>
        <v>0.13089602257790575</v>
      </c>
      <c r="O822" s="29">
        <f t="shared" ca="1" si="163"/>
        <v>600000</v>
      </c>
      <c r="P822" s="30">
        <f t="shared" ca="1" si="164"/>
        <v>33.453766385378223</v>
      </c>
    </row>
    <row r="823" spans="1:16" x14ac:dyDescent="0.25">
      <c r="A823" s="3">
        <f t="shared" si="165"/>
        <v>47263</v>
      </c>
      <c r="B823" s="21">
        <f t="shared" si="156"/>
        <v>36671</v>
      </c>
      <c r="C823" s="21">
        <f t="shared" si="157"/>
        <v>36697</v>
      </c>
      <c r="D823" s="1">
        <f t="shared" si="166"/>
        <v>0</v>
      </c>
      <c r="E823" s="3">
        <f t="array" ref="E823">INDEX($A$9:A822, MAX(IF($D$9:D822=1, ROW(D$9:$D822)-ROW($D$9)+1, 0)))</f>
        <v>47197</v>
      </c>
      <c r="F823" s="23">
        <f t="shared" si="158"/>
        <v>3.1156741957563314</v>
      </c>
      <c r="G823" s="5">
        <f>INDEX('Default Prob'!$P$5:$P$14,MIN(1+_xlfn.IFNA(MATCH(F823,'Default Prob'!$F$5:$F$14,1),0),COUNT('Default Prob'!$P$5:$P$14)))</f>
        <v>2.3050976347889798E-2</v>
      </c>
      <c r="H823" s="5">
        <f t="shared" si="167"/>
        <v>0.93526729147108123</v>
      </c>
      <c r="I823" s="24">
        <f t="shared" si="168"/>
        <v>5.902670641788621E-5</v>
      </c>
      <c r="J823" s="25">
        <f>INDEX('Default Prob'!$C$3:$C$13, _xlfn.IFNA(MATCH(F823, 'Default Prob'!$B$3:$B$13, 1), 1))</f>
        <v>1.8499999999999999E-2</v>
      </c>
      <c r="K823" s="26">
        <f t="shared" si="159"/>
        <v>0.94448706356909418</v>
      </c>
      <c r="L823" s="27">
        <f t="shared" ca="1" si="160"/>
        <v>0</v>
      </c>
      <c r="M823" s="27">
        <f t="shared" ca="1" si="161"/>
        <v>2383.7640164558725</v>
      </c>
      <c r="N823" s="28">
        <f t="shared" ca="1" si="162"/>
        <v>0.13289475003712256</v>
      </c>
      <c r="O823" s="29">
        <f t="shared" ca="1" si="163"/>
        <v>600000</v>
      </c>
      <c r="P823" s="30">
        <f t="shared" ca="1" si="164"/>
        <v>33.449976370070608</v>
      </c>
    </row>
    <row r="824" spans="1:16" x14ac:dyDescent="0.25">
      <c r="A824" s="3">
        <f t="shared" si="165"/>
        <v>47266</v>
      </c>
      <c r="B824" s="21">
        <f t="shared" si="156"/>
        <v>36674</v>
      </c>
      <c r="C824" s="21">
        <f t="shared" si="157"/>
        <v>36697</v>
      </c>
      <c r="D824" s="1">
        <f t="shared" si="166"/>
        <v>0</v>
      </c>
      <c r="E824" s="3">
        <f t="array" ref="E824">INDEX($A$9:A823, MAX(IF($D$9:D823=1, ROW(D$9:$D823)-ROW($D$9)+1, 0)))</f>
        <v>47197</v>
      </c>
      <c r="F824" s="23">
        <f t="shared" si="158"/>
        <v>3.1238877481177276</v>
      </c>
      <c r="G824" s="5">
        <f>INDEX('Default Prob'!$P$5:$P$14,MIN(1+_xlfn.IFNA(MATCH(F824,'Default Prob'!$F$5:$F$14,1),0),COUNT('Default Prob'!$P$5:$P$14)))</f>
        <v>2.3050976347889798E-2</v>
      </c>
      <c r="H824" s="5">
        <f t="shared" si="167"/>
        <v>0.93509023370128219</v>
      </c>
      <c r="I824" s="24">
        <f t="shared" si="168"/>
        <v>1.7705776979903831E-4</v>
      </c>
      <c r="J824" s="25">
        <f>INDEX('Default Prob'!$C$3:$C$13, _xlfn.IFNA(MATCH(F824, 'Default Prob'!$B$3:$B$13, 1), 1))</f>
        <v>1.8499999999999999E-2</v>
      </c>
      <c r="K824" s="26">
        <f t="shared" si="159"/>
        <v>0.9443448701551459</v>
      </c>
      <c r="L824" s="27">
        <f t="shared" ca="1" si="160"/>
        <v>0</v>
      </c>
      <c r="M824" s="27">
        <f t="shared" ca="1" si="161"/>
        <v>2492.116926294776</v>
      </c>
      <c r="N824" s="28">
        <f t="shared" ca="1" si="162"/>
        <v>0.416690913301062</v>
      </c>
      <c r="O824" s="29">
        <f t="shared" ca="1" si="163"/>
        <v>600000</v>
      </c>
      <c r="P824" s="30">
        <f t="shared" ca="1" si="164"/>
        <v>100.32215797849953</v>
      </c>
    </row>
    <row r="825" spans="1:16" x14ac:dyDescent="0.25">
      <c r="A825" s="3">
        <f t="shared" si="165"/>
        <v>47267</v>
      </c>
      <c r="B825" s="21">
        <f t="shared" si="156"/>
        <v>36675</v>
      </c>
      <c r="C825" s="21">
        <f t="shared" si="157"/>
        <v>36697</v>
      </c>
      <c r="D825" s="1">
        <f t="shared" si="166"/>
        <v>0</v>
      </c>
      <c r="E825" s="3">
        <f t="array" ref="E825">INDEX($A$9:A824, MAX(IF($D$9:D824=1, ROW(D$9:$D824)-ROW($D$9)+1, 0)))</f>
        <v>47197</v>
      </c>
      <c r="F825" s="23">
        <f t="shared" si="158"/>
        <v>3.1266255989048597</v>
      </c>
      <c r="G825" s="5">
        <f>INDEX('Default Prob'!$P$5:$P$14,MIN(1+_xlfn.IFNA(MATCH(F825,'Default Prob'!$F$5:$F$14,1),0),COUNT('Default Prob'!$P$5:$P$14)))</f>
        <v>2.3050976347889798E-2</v>
      </c>
      <c r="H825" s="5">
        <f t="shared" si="167"/>
        <v>0.93503122189371712</v>
      </c>
      <c r="I825" s="24">
        <f t="shared" si="168"/>
        <v>5.9011807565068075E-5</v>
      </c>
      <c r="J825" s="25">
        <f>INDEX('Default Prob'!$C$3:$C$13, _xlfn.IFNA(MATCH(F825, 'Default Prob'!$B$3:$B$13, 1), 1))</f>
        <v>1.8499999999999999E-2</v>
      </c>
      <c r="K825" s="26">
        <f t="shared" si="159"/>
        <v>0.94429747710784484</v>
      </c>
      <c r="L825" s="27">
        <f t="shared" ca="1" si="160"/>
        <v>0</v>
      </c>
      <c r="M825" s="27">
        <f t="shared" ca="1" si="161"/>
        <v>2528.2345629077436</v>
      </c>
      <c r="N825" s="28">
        <f t="shared" ca="1" si="162"/>
        <v>0.14088511508416049</v>
      </c>
      <c r="O825" s="29">
        <f t="shared" ca="1" si="163"/>
        <v>600000</v>
      </c>
      <c r="P825" s="30">
        <f t="shared" ca="1" si="164"/>
        <v>33.434820601960446</v>
      </c>
    </row>
    <row r="826" spans="1:16" x14ac:dyDescent="0.25">
      <c r="A826" s="3">
        <f t="shared" si="165"/>
        <v>47268</v>
      </c>
      <c r="B826" s="21">
        <f t="shared" si="156"/>
        <v>36676</v>
      </c>
      <c r="C826" s="21">
        <f t="shared" si="157"/>
        <v>36697</v>
      </c>
      <c r="D826" s="1">
        <f t="shared" si="166"/>
        <v>0</v>
      </c>
      <c r="E826" s="3">
        <f t="array" ref="E826">INDEX($A$9:A825, MAX(IF($D$9:D825=1, ROW(D$9:$D825)-ROW($D$9)+1, 0)))</f>
        <v>47197</v>
      </c>
      <c r="F826" s="23">
        <f t="shared" si="158"/>
        <v>3.1293634496919918</v>
      </c>
      <c r="G826" s="5">
        <f>INDEX('Default Prob'!$P$5:$P$14,MIN(1+_xlfn.IFNA(MATCH(F826,'Default Prob'!$F$5:$F$14,1),0),COUNT('Default Prob'!$P$5:$P$14)))</f>
        <v>2.3050976347889798E-2</v>
      </c>
      <c r="H826" s="5">
        <f t="shared" si="167"/>
        <v>0.93497221381027751</v>
      </c>
      <c r="I826" s="24">
        <f t="shared" si="168"/>
        <v>5.9008083439615611E-5</v>
      </c>
      <c r="J826" s="25">
        <f>INDEX('Default Prob'!$C$3:$C$13, _xlfn.IFNA(MATCH(F826, 'Default Prob'!$B$3:$B$13, 1), 1))</f>
        <v>1.8499999999999999E-2</v>
      </c>
      <c r="K826" s="26">
        <f t="shared" si="159"/>
        <v>0.94425008643901931</v>
      </c>
      <c r="L826" s="27">
        <f t="shared" ca="1" si="160"/>
        <v>0</v>
      </c>
      <c r="M826" s="27">
        <f t="shared" ca="1" si="161"/>
        <v>2564.3521995207116</v>
      </c>
      <c r="N826" s="28">
        <f t="shared" ca="1" si="162"/>
        <v>0.1428815705355152</v>
      </c>
      <c r="O826" s="29">
        <f t="shared" ca="1" si="163"/>
        <v>600000</v>
      </c>
      <c r="P826" s="30">
        <f t="shared" ca="1" si="164"/>
        <v>33.431032733074744</v>
      </c>
    </row>
    <row r="827" spans="1:16" x14ac:dyDescent="0.25">
      <c r="A827" s="3">
        <f t="shared" si="165"/>
        <v>47269</v>
      </c>
      <c r="B827" s="21">
        <f t="shared" si="156"/>
        <v>36677</v>
      </c>
      <c r="C827" s="21">
        <f t="shared" si="157"/>
        <v>36697</v>
      </c>
      <c r="D827" s="1">
        <f t="shared" si="166"/>
        <v>0</v>
      </c>
      <c r="E827" s="3">
        <f t="array" ref="E827">INDEX($A$9:A826, MAX(IF($D$9:D826=1, ROW(D$9:$D826)-ROW($D$9)+1, 0)))</f>
        <v>47197</v>
      </c>
      <c r="F827" s="23">
        <f t="shared" si="158"/>
        <v>3.1321013004791238</v>
      </c>
      <c r="G827" s="5">
        <f>INDEX('Default Prob'!$P$5:$P$14,MIN(1+_xlfn.IFNA(MATCH(F827,'Default Prob'!$F$5:$F$14,1),0),COUNT('Default Prob'!$P$5:$P$14)))</f>
        <v>2.3050976347889798E-2</v>
      </c>
      <c r="H827" s="5">
        <f t="shared" si="167"/>
        <v>0.93491320945072842</v>
      </c>
      <c r="I827" s="24">
        <f t="shared" si="168"/>
        <v>5.9004359549086338E-5</v>
      </c>
      <c r="J827" s="25">
        <f>INDEX('Default Prob'!$C$3:$C$13, _xlfn.IFNA(MATCH(F827, 'Default Prob'!$B$3:$B$13, 1), 1))</f>
        <v>1.8499999999999999E-2</v>
      </c>
      <c r="K827" s="26">
        <f t="shared" si="159"/>
        <v>0.94420269814854951</v>
      </c>
      <c r="L827" s="27">
        <f t="shared" ca="1" si="160"/>
        <v>0</v>
      </c>
      <c r="M827" s="27">
        <f t="shared" ca="1" si="161"/>
        <v>2600.4698361336791</v>
      </c>
      <c r="N827" s="28">
        <f t="shared" ca="1" si="162"/>
        <v>0.14487757181696045</v>
      </c>
      <c r="O827" s="29">
        <f t="shared" ca="1" si="163"/>
        <v>600000</v>
      </c>
      <c r="P827" s="30">
        <f t="shared" ca="1" si="164"/>
        <v>33.427245293264669</v>
      </c>
    </row>
    <row r="828" spans="1:16" x14ac:dyDescent="0.25">
      <c r="A828" s="3">
        <f t="shared" si="165"/>
        <v>47270</v>
      </c>
      <c r="B828" s="21">
        <f t="shared" si="156"/>
        <v>36678</v>
      </c>
      <c r="C828" s="21">
        <f t="shared" si="157"/>
        <v>36697</v>
      </c>
      <c r="D828" s="1">
        <f t="shared" si="166"/>
        <v>0</v>
      </c>
      <c r="E828" s="3">
        <f t="array" ref="E828">INDEX($A$9:A827, MAX(IF($D$9:D827=1, ROW(D$9:$D827)-ROW($D$9)+1, 0)))</f>
        <v>47197</v>
      </c>
      <c r="F828" s="23">
        <f t="shared" si="158"/>
        <v>3.1348391512662559</v>
      </c>
      <c r="G828" s="5">
        <f>INDEX('Default Prob'!$P$5:$P$14,MIN(1+_xlfn.IFNA(MATCH(F828,'Default Prob'!$F$5:$F$14,1),0),COUNT('Default Prob'!$P$5:$P$14)))</f>
        <v>2.3050976347889798E-2</v>
      </c>
      <c r="H828" s="5">
        <f t="shared" si="167"/>
        <v>0.93485420881483494</v>
      </c>
      <c r="I828" s="24">
        <f t="shared" si="168"/>
        <v>5.9000635893480258E-5</v>
      </c>
      <c r="J828" s="25">
        <f>INDEX('Default Prob'!$C$3:$C$13, _xlfn.IFNA(MATCH(F828, 'Default Prob'!$B$3:$B$13, 1), 1))</f>
        <v>1.8499999999999999E-2</v>
      </c>
      <c r="K828" s="26">
        <f t="shared" si="159"/>
        <v>0.94415531223631632</v>
      </c>
      <c r="L828" s="27">
        <f t="shared" ca="1" si="160"/>
        <v>0</v>
      </c>
      <c r="M828" s="27">
        <f t="shared" ca="1" si="161"/>
        <v>2636.5874727466467</v>
      </c>
      <c r="N828" s="28">
        <f t="shared" ca="1" si="162"/>
        <v>0.14687311900580563</v>
      </c>
      <c r="O828" s="29">
        <f t="shared" ca="1" si="163"/>
        <v>600000</v>
      </c>
      <c r="P828" s="30">
        <f t="shared" ca="1" si="164"/>
        <v>33.423458282490039</v>
      </c>
    </row>
    <row r="829" spans="1:16" x14ac:dyDescent="0.25">
      <c r="A829" s="3">
        <f t="shared" si="165"/>
        <v>47273</v>
      </c>
      <c r="B829" s="21">
        <f t="shared" si="156"/>
        <v>36681</v>
      </c>
      <c r="C829" s="21">
        <f t="shared" si="157"/>
        <v>36697</v>
      </c>
      <c r="D829" s="1">
        <f t="shared" si="166"/>
        <v>0</v>
      </c>
      <c r="E829" s="3">
        <f t="array" ref="E829">INDEX($A$9:A828, MAX(IF($D$9:D828=1, ROW(D$9:$D828)-ROW($D$9)+1, 0)))</f>
        <v>47197</v>
      </c>
      <c r="F829" s="23">
        <f t="shared" si="158"/>
        <v>3.1430527036276521</v>
      </c>
      <c r="G829" s="5">
        <f>INDEX('Default Prob'!$P$5:$P$14,MIN(1+_xlfn.IFNA(MATCH(F829,'Default Prob'!$F$5:$F$14,1),0),COUNT('Default Prob'!$P$5:$P$14)))</f>
        <v>2.3050976347889798E-2</v>
      </c>
      <c r="H829" s="5">
        <f t="shared" si="167"/>
        <v>0.93467722924673768</v>
      </c>
      <c r="I829" s="24">
        <f t="shared" si="168"/>
        <v>1.7697956809725746E-4</v>
      </c>
      <c r="J829" s="25">
        <f>INDEX('Default Prob'!$C$3:$C$13, _xlfn.IFNA(MATCH(F829, 'Default Prob'!$B$3:$B$13, 1), 1))</f>
        <v>1.8499999999999999E-2</v>
      </c>
      <c r="K829" s="26">
        <f t="shared" si="159"/>
        <v>0.94401316876784258</v>
      </c>
      <c r="L829" s="27">
        <f t="shared" ca="1" si="160"/>
        <v>0</v>
      </c>
      <c r="M829" s="27">
        <f t="shared" ca="1" si="161"/>
        <v>2744.9403825855502</v>
      </c>
      <c r="N829" s="28">
        <f t="shared" ca="1" si="162"/>
        <v>0.45860005238026491</v>
      </c>
      <c r="O829" s="29">
        <f t="shared" ca="1" si="163"/>
        <v>600000</v>
      </c>
      <c r="P829" s="30">
        <f t="shared" ca="1" si="164"/>
        <v>100.24262573199371</v>
      </c>
    </row>
    <row r="830" spans="1:16" x14ac:dyDescent="0.25">
      <c r="A830" s="3">
        <f t="shared" si="165"/>
        <v>47274</v>
      </c>
      <c r="B830" s="21">
        <f t="shared" si="156"/>
        <v>36682</v>
      </c>
      <c r="C830" s="21">
        <f t="shared" si="157"/>
        <v>36697</v>
      </c>
      <c r="D830" s="1">
        <f t="shared" si="166"/>
        <v>0</v>
      </c>
      <c r="E830" s="3">
        <f t="array" ref="E830">INDEX($A$9:A829, MAX(IF($D$9:D829=1, ROW(D$9:$D829)-ROW($D$9)+1, 0)))</f>
        <v>47197</v>
      </c>
      <c r="F830" s="23">
        <f t="shared" si="158"/>
        <v>3.1457905544147846</v>
      </c>
      <c r="G830" s="5">
        <f>INDEX('Default Prob'!$P$5:$P$14,MIN(1+_xlfn.IFNA(MATCH(F830,'Default Prob'!$F$5:$F$14,1),0),COUNT('Default Prob'!$P$5:$P$14)))</f>
        <v>2.3050976347889798E-2</v>
      </c>
      <c r="H830" s="5">
        <f t="shared" si="167"/>
        <v>0.93461824350311651</v>
      </c>
      <c r="I830" s="24">
        <f t="shared" si="168"/>
        <v>5.8985743621176034E-5</v>
      </c>
      <c r="J830" s="25">
        <f>INDEX('Default Prob'!$C$3:$C$13, _xlfn.IFNA(MATCH(F830, 'Default Prob'!$B$3:$B$13, 1), 1))</f>
        <v>1.8499999999999999E-2</v>
      </c>
      <c r="K830" s="26">
        <f t="shared" si="159"/>
        <v>0.94396579236736222</v>
      </c>
      <c r="L830" s="27">
        <f t="shared" ca="1" si="160"/>
        <v>0</v>
      </c>
      <c r="M830" s="27">
        <f t="shared" ca="1" si="161"/>
        <v>2781.0580191985182</v>
      </c>
      <c r="N830" s="28">
        <f t="shared" ca="1" si="162"/>
        <v>0.15485076838336523</v>
      </c>
      <c r="O830" s="29">
        <f t="shared" ca="1" si="163"/>
        <v>600000</v>
      </c>
      <c r="P830" s="30">
        <f t="shared" ca="1" si="164"/>
        <v>33.408314529444908</v>
      </c>
    </row>
    <row r="831" spans="1:16" x14ac:dyDescent="0.25">
      <c r="A831" s="3">
        <f t="shared" si="165"/>
        <v>47275</v>
      </c>
      <c r="B831" s="21">
        <f t="shared" si="156"/>
        <v>36683</v>
      </c>
      <c r="C831" s="21">
        <f t="shared" si="157"/>
        <v>36697</v>
      </c>
      <c r="D831" s="1">
        <f t="shared" si="166"/>
        <v>0</v>
      </c>
      <c r="E831" s="3">
        <f t="array" ref="E831">INDEX($A$9:A830, MAX(IF($D$9:D830=1, ROW(D$9:$D830)-ROW($D$9)+1, 0)))</f>
        <v>47197</v>
      </c>
      <c r="F831" s="23">
        <f t="shared" si="158"/>
        <v>3.1485284052019167</v>
      </c>
      <c r="G831" s="5">
        <f>INDEX('Default Prob'!$P$5:$P$14,MIN(1+_xlfn.IFNA(MATCH(F831,'Default Prob'!$F$5:$F$14,1),0),COUNT('Default Prob'!$P$5:$P$14)))</f>
        <v>2.3050976347889798E-2</v>
      </c>
      <c r="H831" s="5">
        <f t="shared" si="167"/>
        <v>0.93455926148197599</v>
      </c>
      <c r="I831" s="24">
        <f t="shared" si="168"/>
        <v>5.8982021140518981E-5</v>
      </c>
      <c r="J831" s="25">
        <f>INDEX('Default Prob'!$C$3:$C$13, _xlfn.IFNA(MATCH(F831, 'Default Prob'!$B$3:$B$13, 1), 1))</f>
        <v>1.8499999999999999E-2</v>
      </c>
      <c r="K831" s="26">
        <f t="shared" si="159"/>
        <v>0.9439184183445215</v>
      </c>
      <c r="L831" s="27">
        <f t="shared" ca="1" si="160"/>
        <v>0</v>
      </c>
      <c r="M831" s="27">
        <f t="shared" ca="1" si="161"/>
        <v>2817.1756558114857</v>
      </c>
      <c r="N831" s="28">
        <f t="shared" ca="1" si="162"/>
        <v>0.15684404626942722</v>
      </c>
      <c r="O831" s="29">
        <f t="shared" ca="1" si="163"/>
        <v>600000</v>
      </c>
      <c r="P831" s="30">
        <f t="shared" ca="1" si="164"/>
        <v>33.404529663433081</v>
      </c>
    </row>
    <row r="832" spans="1:16" x14ac:dyDescent="0.25">
      <c r="A832" s="3">
        <f t="shared" si="165"/>
        <v>47276</v>
      </c>
      <c r="B832" s="21">
        <f t="shared" si="156"/>
        <v>36684</v>
      </c>
      <c r="C832" s="21">
        <f t="shared" si="157"/>
        <v>36697</v>
      </c>
      <c r="D832" s="1">
        <f t="shared" si="166"/>
        <v>0</v>
      </c>
      <c r="E832" s="3">
        <f t="array" ref="E832">INDEX($A$9:A831, MAX(IF($D$9:D831=1, ROW(D$9:$D831)-ROW($D$9)+1, 0)))</f>
        <v>47197</v>
      </c>
      <c r="F832" s="23">
        <f t="shared" si="158"/>
        <v>3.1512662559890487</v>
      </c>
      <c r="G832" s="5">
        <f>INDEX('Default Prob'!$P$5:$P$14,MIN(1+_xlfn.IFNA(MATCH(F832,'Default Prob'!$F$5:$F$14,1),0),COUNT('Default Prob'!$P$5:$P$14)))</f>
        <v>2.3050976347889798E-2</v>
      </c>
      <c r="H832" s="5">
        <f t="shared" si="167"/>
        <v>0.9345002831830812</v>
      </c>
      <c r="I832" s="24">
        <f t="shared" si="168"/>
        <v>5.8978298894785119E-5</v>
      </c>
      <c r="J832" s="25">
        <f>INDEX('Default Prob'!$C$3:$C$13, _xlfn.IFNA(MATCH(F832, 'Default Prob'!$B$3:$B$13, 1), 1))</f>
        <v>1.8499999999999999E-2</v>
      </c>
      <c r="K832" s="26">
        <f t="shared" si="159"/>
        <v>0.9438710466992013</v>
      </c>
      <c r="L832" s="27">
        <f t="shared" ca="1" si="160"/>
        <v>0</v>
      </c>
      <c r="M832" s="27">
        <f t="shared" ca="1" si="161"/>
        <v>2853.2932924244533</v>
      </c>
      <c r="N832" s="28">
        <f t="shared" ca="1" si="162"/>
        <v>0.15883687052656464</v>
      </c>
      <c r="O832" s="29">
        <f t="shared" ca="1" si="163"/>
        <v>600000</v>
      </c>
      <c r="P832" s="30">
        <f t="shared" ca="1" si="164"/>
        <v>33.400745226215506</v>
      </c>
    </row>
    <row r="833" spans="1:16" x14ac:dyDescent="0.25">
      <c r="A833" s="3">
        <f t="shared" si="165"/>
        <v>47277</v>
      </c>
      <c r="B833" s="21">
        <f t="shared" si="156"/>
        <v>36685</v>
      </c>
      <c r="C833" s="21">
        <f t="shared" si="157"/>
        <v>36697</v>
      </c>
      <c r="D833" s="1">
        <f t="shared" si="166"/>
        <v>0</v>
      </c>
      <c r="E833" s="3">
        <f t="array" ref="E833">INDEX($A$9:A832, MAX(IF($D$9:D832=1, ROW(D$9:$D832)-ROW($D$9)+1, 0)))</f>
        <v>47197</v>
      </c>
      <c r="F833" s="23">
        <f t="shared" si="158"/>
        <v>3.1540041067761808</v>
      </c>
      <c r="G833" s="5">
        <f>INDEX('Default Prob'!$P$5:$P$14,MIN(1+_xlfn.IFNA(MATCH(F833,'Default Prob'!$F$5:$F$14,1),0),COUNT('Default Prob'!$P$5:$P$14)))</f>
        <v>2.3050976347889798E-2</v>
      </c>
      <c r="H833" s="5">
        <f t="shared" si="167"/>
        <v>0.93444130860619734</v>
      </c>
      <c r="I833" s="24">
        <f t="shared" si="168"/>
        <v>5.8974576883863428E-5</v>
      </c>
      <c r="J833" s="25">
        <f>INDEX('Default Prob'!$C$3:$C$13, _xlfn.IFNA(MATCH(F833, 'Default Prob'!$B$3:$B$13, 1), 1))</f>
        <v>1.8499999999999999E-2</v>
      </c>
      <c r="K833" s="26">
        <f t="shared" si="159"/>
        <v>0.94382367743128248</v>
      </c>
      <c r="L833" s="27">
        <f t="shared" ca="1" si="160"/>
        <v>0</v>
      </c>
      <c r="M833" s="27">
        <f t="shared" ca="1" si="161"/>
        <v>2889.4109290374213</v>
      </c>
      <c r="N833" s="28">
        <f t="shared" ca="1" si="162"/>
        <v>0.16082924123171646</v>
      </c>
      <c r="O833" s="29">
        <f t="shared" ca="1" si="163"/>
        <v>600000</v>
      </c>
      <c r="P833" s="30">
        <f t="shared" ca="1" si="164"/>
        <v>33.396961217689132</v>
      </c>
    </row>
    <row r="834" spans="1:16" x14ac:dyDescent="0.25">
      <c r="A834" s="3">
        <f t="shared" si="165"/>
        <v>47280</v>
      </c>
      <c r="B834" s="21">
        <f t="shared" si="156"/>
        <v>36688</v>
      </c>
      <c r="C834" s="21">
        <f t="shared" si="157"/>
        <v>36697</v>
      </c>
      <c r="D834" s="1">
        <f t="shared" si="166"/>
        <v>0</v>
      </c>
      <c r="E834" s="3">
        <f t="array" ref="E834">INDEX($A$9:A833, MAX(IF($D$9:D833=1, ROW(D$9:$D833)-ROW($D$9)+1, 0)))</f>
        <v>47197</v>
      </c>
      <c r="F834" s="23">
        <f t="shared" si="158"/>
        <v>3.162217659137577</v>
      </c>
      <c r="G834" s="5">
        <f>INDEX('Default Prob'!$P$5:$P$14,MIN(1+_xlfn.IFNA(MATCH(F834,'Default Prob'!$F$5:$F$14,1),0),COUNT('Default Prob'!$P$5:$P$14)))</f>
        <v>2.3050976347889798E-2</v>
      </c>
      <c r="H834" s="5">
        <f t="shared" si="167"/>
        <v>0.93426440720526238</v>
      </c>
      <c r="I834" s="24">
        <f t="shared" si="168"/>
        <v>1.7690140093495899E-4</v>
      </c>
      <c r="J834" s="25">
        <f>INDEX('Default Prob'!$C$3:$C$13, _xlfn.IFNA(MATCH(F834, 'Default Prob'!$B$3:$B$13, 1), 1))</f>
        <v>1.8499999999999999E-2</v>
      </c>
      <c r="K834" s="26">
        <f t="shared" si="159"/>
        <v>0.94368158389073986</v>
      </c>
      <c r="L834" s="27">
        <f t="shared" ca="1" si="160"/>
        <v>0</v>
      </c>
      <c r="M834" s="27">
        <f t="shared" ca="1" si="161"/>
        <v>2997.7638388763244</v>
      </c>
      <c r="N834" s="28">
        <f t="shared" ca="1" si="162"/>
        <v>0.5004424810859277</v>
      </c>
      <c r="O834" s="29">
        <f t="shared" ca="1" si="163"/>
        <v>600000</v>
      </c>
      <c r="P834" s="30">
        <f t="shared" ca="1" si="164"/>
        <v>100.16315653607575</v>
      </c>
    </row>
    <row r="835" spans="1:16" x14ac:dyDescent="0.25">
      <c r="A835" s="3">
        <f t="shared" si="165"/>
        <v>47281</v>
      </c>
      <c r="B835" s="21">
        <f t="shared" si="156"/>
        <v>36689</v>
      </c>
      <c r="C835" s="21">
        <f t="shared" si="157"/>
        <v>36697</v>
      </c>
      <c r="D835" s="1">
        <f t="shared" si="166"/>
        <v>0</v>
      </c>
      <c r="E835" s="3">
        <f t="array" ref="E835">INDEX($A$9:A834, MAX(IF($D$9:D834=1, ROW(D$9:$D834)-ROW($D$9)+1, 0)))</f>
        <v>47197</v>
      </c>
      <c r="F835" s="23">
        <f t="shared" si="158"/>
        <v>3.1649555099247091</v>
      </c>
      <c r="G835" s="5">
        <f>INDEX('Default Prob'!$P$5:$P$14,MIN(1+_xlfn.IFNA(MATCH(F835,'Default Prob'!$F$5:$F$14,1),0),COUNT('Default Prob'!$P$5:$P$14)))</f>
        <v>2.3050976347889798E-2</v>
      </c>
      <c r="H835" s="5">
        <f t="shared" si="167"/>
        <v>0.93420544751407331</v>
      </c>
      <c r="I835" s="24">
        <f t="shared" si="168"/>
        <v>5.8959691189075514E-5</v>
      </c>
      <c r="J835" s="25">
        <f>INDEX('Default Prob'!$C$3:$C$13, _xlfn.IFNA(MATCH(F835, 'Default Prob'!$B$3:$B$13, 1), 1))</f>
        <v>1.8499999999999999E-2</v>
      </c>
      <c r="K835" s="26">
        <f t="shared" si="159"/>
        <v>0.94363422413123266</v>
      </c>
      <c r="L835" s="27">
        <f t="shared" ca="1" si="160"/>
        <v>0</v>
      </c>
      <c r="M835" s="27">
        <f t="shared" ca="1" si="161"/>
        <v>3033.8814754892928</v>
      </c>
      <c r="N835" s="28">
        <f t="shared" ca="1" si="162"/>
        <v>0.1687941900789611</v>
      </c>
      <c r="O835" s="29">
        <f t="shared" ca="1" si="163"/>
        <v>600000</v>
      </c>
      <c r="P835" s="30">
        <f t="shared" ca="1" si="164"/>
        <v>33.38182947013221</v>
      </c>
    </row>
    <row r="836" spans="1:16" x14ac:dyDescent="0.25">
      <c r="A836" s="3">
        <f t="shared" si="165"/>
        <v>47282</v>
      </c>
      <c r="B836" s="21">
        <f t="shared" si="156"/>
        <v>36690</v>
      </c>
      <c r="C836" s="21">
        <f t="shared" si="157"/>
        <v>36697</v>
      </c>
      <c r="D836" s="1">
        <f t="shared" si="166"/>
        <v>0</v>
      </c>
      <c r="E836" s="3">
        <f t="array" ref="E836">INDEX($A$9:A835, MAX(IF($D$9:D835=1, ROW(D$9:$D835)-ROW($D$9)+1, 0)))</f>
        <v>47197</v>
      </c>
      <c r="F836" s="23">
        <f t="shared" si="158"/>
        <v>3.1676933607118412</v>
      </c>
      <c r="G836" s="5">
        <f>INDEX('Default Prob'!$P$5:$P$14,MIN(1+_xlfn.IFNA(MATCH(F836,'Default Prob'!$F$5:$F$14,1),0),COUNT('Default Prob'!$P$5:$P$14)))</f>
        <v>2.3050976347889798E-2</v>
      </c>
      <c r="H836" s="5">
        <f t="shared" si="167"/>
        <v>0.93414649154372087</v>
      </c>
      <c r="I836" s="24">
        <f t="shared" si="168"/>
        <v>5.8955970352436715E-5</v>
      </c>
      <c r="J836" s="25">
        <f>INDEX('Default Prob'!$C$3:$C$13, _xlfn.IFNA(MATCH(F836, 'Default Prob'!$B$3:$B$13, 1), 1))</f>
        <v>1.8499999999999999E-2</v>
      </c>
      <c r="K836" s="26">
        <f t="shared" si="159"/>
        <v>0.94358686674853021</v>
      </c>
      <c r="L836" s="27">
        <f t="shared" ca="1" si="160"/>
        <v>0</v>
      </c>
      <c r="M836" s="27">
        <f t="shared" ca="1" si="161"/>
        <v>3069.9991121022604</v>
      </c>
      <c r="N836" s="28">
        <f t="shared" ca="1" si="162"/>
        <v>0.17078429418297156</v>
      </c>
      <c r="O836" s="29">
        <f t="shared" ca="1" si="163"/>
        <v>600000</v>
      </c>
      <c r="P836" s="30">
        <f t="shared" ca="1" si="164"/>
        <v>33.378047604584999</v>
      </c>
    </row>
    <row r="837" spans="1:16" x14ac:dyDescent="0.25">
      <c r="A837" s="3">
        <f t="shared" si="165"/>
        <v>47283</v>
      </c>
      <c r="B837" s="21">
        <f t="shared" si="156"/>
        <v>36691</v>
      </c>
      <c r="C837" s="21">
        <f t="shared" si="157"/>
        <v>36697</v>
      </c>
      <c r="D837" s="1">
        <f t="shared" si="166"/>
        <v>0</v>
      </c>
      <c r="E837" s="3">
        <f t="array" ref="E837">INDEX($A$9:A836, MAX(IF($D$9:D836=1, ROW(D$9:$D836)-ROW($D$9)+1, 0)))</f>
        <v>47197</v>
      </c>
      <c r="F837" s="23">
        <f t="shared" si="158"/>
        <v>3.1704312114989732</v>
      </c>
      <c r="G837" s="5">
        <f>INDEX('Default Prob'!$P$5:$P$14,MIN(1+_xlfn.IFNA(MATCH(F837,'Default Prob'!$F$5:$F$14,1),0),COUNT('Default Prob'!$P$5:$P$14)))</f>
        <v>2.3050976347889798E-2</v>
      </c>
      <c r="H837" s="5">
        <f t="shared" si="167"/>
        <v>0.93408753929397015</v>
      </c>
      <c r="I837" s="24">
        <f t="shared" si="168"/>
        <v>5.8952249750721109E-5</v>
      </c>
      <c r="J837" s="25">
        <f>INDEX('Default Prob'!$C$3:$C$13, _xlfn.IFNA(MATCH(F837, 'Default Prob'!$B$3:$B$13, 1), 1))</f>
        <v>1.8499999999999999E-2</v>
      </c>
      <c r="K837" s="26">
        <f t="shared" si="159"/>
        <v>0.94353951174251316</v>
      </c>
      <c r="L837" s="27">
        <f t="shared" ca="1" si="160"/>
        <v>0</v>
      </c>
      <c r="M837" s="27">
        <f t="shared" ca="1" si="161"/>
        <v>3106.1167487152284</v>
      </c>
      <c r="N837" s="28">
        <f t="shared" ca="1" si="162"/>
        <v>0.17277394519851616</v>
      </c>
      <c r="O837" s="29">
        <f t="shared" ca="1" si="163"/>
        <v>600000</v>
      </c>
      <c r="P837" s="30">
        <f t="shared" ca="1" si="164"/>
        <v>33.37426616755085</v>
      </c>
    </row>
    <row r="838" spans="1:16" x14ac:dyDescent="0.25">
      <c r="A838" s="3">
        <f t="shared" si="165"/>
        <v>47284</v>
      </c>
      <c r="B838" s="21">
        <f t="shared" si="156"/>
        <v>36692</v>
      </c>
      <c r="C838" s="21">
        <f t="shared" si="157"/>
        <v>36697</v>
      </c>
      <c r="D838" s="1">
        <f t="shared" si="166"/>
        <v>0</v>
      </c>
      <c r="E838" s="3">
        <f t="array" ref="E838">INDEX($A$9:A837, MAX(IF($D$9:D837=1, ROW(D$9:$D837)-ROW($D$9)+1, 0)))</f>
        <v>47197</v>
      </c>
      <c r="F838" s="23">
        <f t="shared" si="158"/>
        <v>3.1731690622861053</v>
      </c>
      <c r="G838" s="5">
        <f>INDEX('Default Prob'!$P$5:$P$14,MIN(1+_xlfn.IFNA(MATCH(F838,'Default Prob'!$F$5:$F$14,1),0),COUNT('Default Prob'!$P$5:$P$14)))</f>
        <v>2.3050976347889798E-2</v>
      </c>
      <c r="H838" s="5">
        <f t="shared" si="167"/>
        <v>0.93402859076458644</v>
      </c>
      <c r="I838" s="24">
        <f t="shared" si="168"/>
        <v>5.8948529383706649E-5</v>
      </c>
      <c r="J838" s="25">
        <f>INDEX('Default Prob'!$C$3:$C$13, _xlfn.IFNA(MATCH(F838, 'Default Prob'!$B$3:$B$13, 1), 1))</f>
        <v>1.8499999999999999E-2</v>
      </c>
      <c r="K838" s="26">
        <f t="shared" si="159"/>
        <v>0.94349215911306228</v>
      </c>
      <c r="L838" s="27">
        <f t="shared" ca="1" si="160"/>
        <v>0</v>
      </c>
      <c r="M838" s="27">
        <f t="shared" ca="1" si="161"/>
        <v>3142.2343853281959</v>
      </c>
      <c r="N838" s="28">
        <f t="shared" ca="1" si="162"/>
        <v>0.1747631432021107</v>
      </c>
      <c r="O838" s="29">
        <f t="shared" ca="1" si="163"/>
        <v>600000</v>
      </c>
      <c r="P838" s="30">
        <f t="shared" ca="1" si="164"/>
        <v>33.370485158863907</v>
      </c>
    </row>
    <row r="839" spans="1:16" x14ac:dyDescent="0.25">
      <c r="A839" s="3">
        <f t="shared" si="165"/>
        <v>47287</v>
      </c>
      <c r="B839" s="21">
        <f t="shared" si="156"/>
        <v>36695</v>
      </c>
      <c r="C839" s="21">
        <f t="shared" si="157"/>
        <v>36697</v>
      </c>
      <c r="D839" s="1">
        <f t="shared" si="166"/>
        <v>0</v>
      </c>
      <c r="E839" s="3">
        <f t="array" ref="E839">INDEX($A$9:A838, MAX(IF($D$9:D838=1, ROW(D$9:$D838)-ROW($D$9)+1, 0)))</f>
        <v>47197</v>
      </c>
      <c r="F839" s="23">
        <f t="shared" si="158"/>
        <v>3.1813826146475015</v>
      </c>
      <c r="G839" s="5">
        <f>INDEX('Default Prob'!$P$5:$P$14,MIN(1+_xlfn.IFNA(MATCH(F839,'Default Prob'!$F$5:$F$14,1),0),COUNT('Default Prob'!$P$5:$P$14)))</f>
        <v>2.3050976347889798E-2</v>
      </c>
      <c r="H839" s="5">
        <f t="shared" si="167"/>
        <v>0.93385176749628929</v>
      </c>
      <c r="I839" s="24">
        <f t="shared" si="168"/>
        <v>1.7682326829715489E-4</v>
      </c>
      <c r="J839" s="25">
        <f>INDEX('Default Prob'!$C$3:$C$13, _xlfn.IFNA(MATCH(F839, 'Default Prob'!$B$3:$B$13, 1), 1))</f>
        <v>1.8499999999999999E-2</v>
      </c>
      <c r="K839" s="26">
        <f t="shared" si="159"/>
        <v>0.94335011548291359</v>
      </c>
      <c r="L839" s="27">
        <f t="shared" ca="1" si="160"/>
        <v>0</v>
      </c>
      <c r="M839" s="27">
        <f t="shared" ca="1" si="161"/>
        <v>3250.587295167099</v>
      </c>
      <c r="N839" s="28">
        <f t="shared" ca="1" si="162"/>
        <v>0.54221827885140916</v>
      </c>
      <c r="O839" s="29">
        <f t="shared" ca="1" si="163"/>
        <v>600000</v>
      </c>
      <c r="P839" s="30">
        <f t="shared" ca="1" si="164"/>
        <v>100.08375034091236</v>
      </c>
    </row>
    <row r="840" spans="1:16" x14ac:dyDescent="0.25">
      <c r="A840" s="3">
        <f t="shared" si="165"/>
        <v>47288</v>
      </c>
      <c r="B840" s="21">
        <f t="shared" si="156"/>
        <v>36696</v>
      </c>
      <c r="C840" s="21">
        <f t="shared" si="157"/>
        <v>36697</v>
      </c>
      <c r="D840" s="1">
        <f t="shared" si="166"/>
        <v>0</v>
      </c>
      <c r="E840" s="3">
        <f t="array" ref="E840">INDEX($A$9:A839, MAX(IF($D$9:D839=1, ROW(D$9:$D839)-ROW($D$9)+1, 0)))</f>
        <v>47197</v>
      </c>
      <c r="F840" s="23">
        <f t="shared" si="158"/>
        <v>3.184120465434634</v>
      </c>
      <c r="G840" s="5">
        <f>INDEX('Default Prob'!$P$5:$P$14,MIN(1+_xlfn.IFNA(MATCH(F840,'Default Prob'!$F$5:$F$14,1),0),COUNT('Default Prob'!$P$5:$P$14)))</f>
        <v>2.3050976347889798E-2</v>
      </c>
      <c r="H840" s="5">
        <f t="shared" si="167"/>
        <v>0.93379283384602574</v>
      </c>
      <c r="I840" s="24">
        <f t="shared" si="168"/>
        <v>5.8933650263548465E-5</v>
      </c>
      <c r="J840" s="25">
        <f>INDEX('Default Prob'!$C$3:$C$13, _xlfn.IFNA(MATCH(F840, 'Default Prob'!$B$3:$B$13, 1), 1))</f>
        <v>1.8499999999999999E-2</v>
      </c>
      <c r="K840" s="26">
        <f t="shared" si="159"/>
        <v>0.94330277235853466</v>
      </c>
      <c r="L840" s="27">
        <f t="shared" ca="1" si="160"/>
        <v>0</v>
      </c>
      <c r="M840" s="27">
        <f t="shared" ca="1" si="161"/>
        <v>3286.7049317800665</v>
      </c>
      <c r="N840" s="28">
        <f t="shared" ca="1" si="162"/>
        <v>0.18271540664243355</v>
      </c>
      <c r="O840" s="29">
        <f t="shared" ca="1" si="163"/>
        <v>600000</v>
      </c>
      <c r="P840" s="30">
        <f t="shared" ca="1" si="164"/>
        <v>33.355365407288133</v>
      </c>
    </row>
    <row r="841" spans="1:16" x14ac:dyDescent="0.25">
      <c r="A841" s="3">
        <f t="shared" si="165"/>
        <v>47289</v>
      </c>
      <c r="B841" s="21">
        <f t="shared" ref="B841:B904" si="169">DATE(2000, MONTH(A841), DAY(A841))</f>
        <v>36697</v>
      </c>
      <c r="C841" s="21">
        <f t="shared" ref="C841:C904" si="170">VLOOKUP(B841, $R$9:$S$13, 2)</f>
        <v>36697</v>
      </c>
      <c r="D841" s="1">
        <f t="shared" si="166"/>
        <v>1</v>
      </c>
      <c r="E841" s="3">
        <f t="array" ref="E841">INDEX($A$9:A840, MAX(IF($D$9:D840=1, ROW(D$9:$D840)-ROW($D$9)+1, 0)))</f>
        <v>47197</v>
      </c>
      <c r="F841" s="23">
        <f t="shared" ref="F841:F904" si="171">(A841-$A$2)/365.25</f>
        <v>3.1868583162217661</v>
      </c>
      <c r="G841" s="5">
        <f>INDEX('Default Prob'!$P$5:$P$14,MIN(1+_xlfn.IFNA(MATCH(F841,'Default Prob'!$F$5:$F$14,1),0),COUNT('Default Prob'!$P$5:$P$14)))</f>
        <v>2.3050976347889798E-2</v>
      </c>
      <c r="H841" s="5">
        <f t="shared" si="167"/>
        <v>0.93373390391495537</v>
      </c>
      <c r="I841" s="24">
        <f t="shared" si="168"/>
        <v>5.892993107037281E-5</v>
      </c>
      <c r="J841" s="25">
        <f>INDEX('Default Prob'!$C$3:$C$13, _xlfn.IFNA(MATCH(F841, 'Default Prob'!$B$3:$B$13, 1), 1))</f>
        <v>1.8499999999999999E-2</v>
      </c>
      <c r="K841" s="26">
        <f t="shared" ref="K841:K904" si="172">1/((1+J841)^F841)</f>
        <v>0.94325543161012548</v>
      </c>
      <c r="L841" s="27">
        <f t="shared" ref="L841:L904" ca="1" si="173">IF(AND(D841, A841 &lt;= $G$2), $D$5*$D$2*(A841-E841)/365.25, 0)</f>
        <v>3322.8225683930345</v>
      </c>
      <c r="M841" s="27">
        <f t="shared" ref="M841:M904" ca="1" si="174">IF(A841&lt;=$G$2, $D$5*$D$2*(A841-E841)/365.25, 0)</f>
        <v>3322.8225683930345</v>
      </c>
      <c r="N841" s="28">
        <f t="shared" ref="N841:N904" ca="1" si="175">(L841*H841 + M841*I841) * K841</f>
        <v>2926.7592723914272</v>
      </c>
      <c r="O841" s="29">
        <f t="shared" ref="O841:O904" ca="1" si="176">IF(A841&lt;=$G$2, $D$2*(1-$D$3), 0)</f>
        <v>600000</v>
      </c>
      <c r="P841" s="30">
        <f t="shared" ref="P841:P904" ca="1" si="177">O841*I841*K841</f>
        <v>33.351586539923666</v>
      </c>
    </row>
    <row r="842" spans="1:16" x14ac:dyDescent="0.25">
      <c r="A842" s="3">
        <f t="shared" ref="A842:A905" si="178">WORKDAY(A841, 1)</f>
        <v>47290</v>
      </c>
      <c r="B842" s="21">
        <f t="shared" si="169"/>
        <v>36698</v>
      </c>
      <c r="C842" s="21">
        <f t="shared" si="170"/>
        <v>36789</v>
      </c>
      <c r="D842" s="1">
        <f t="shared" ref="D842:D905" si="179">IF(OR(C842=B842, AND(C842&lt;&gt;C841, C841&gt;B841)), 1, 0)</f>
        <v>0</v>
      </c>
      <c r="E842" s="3">
        <f t="array" ref="E842">INDEX($A$9:A841, MAX(IF($D$9:D841=1, ROW(D$9:$D841)-ROW($D$9)+1, 0)))</f>
        <v>47289</v>
      </c>
      <c r="F842" s="23">
        <f t="shared" si="171"/>
        <v>3.1895961670088981</v>
      </c>
      <c r="G842" s="5">
        <f>INDEX('Default Prob'!$P$5:$P$14,MIN(1+_xlfn.IFNA(MATCH(F842,'Default Prob'!$F$5:$F$14,1),0),COUNT('Default Prob'!$P$5:$P$14)))</f>
        <v>2.3050976347889798E-2</v>
      </c>
      <c r="H842" s="5">
        <f t="shared" ref="H842:H905" si="180">H841*EXP(-G841*(F842-F841))</f>
        <v>0.93367497770284347</v>
      </c>
      <c r="I842" s="24">
        <f t="shared" ref="I842:I905" si="181">H841-H842</f>
        <v>5.8926212111898302E-5</v>
      </c>
      <c r="J842" s="25">
        <f>INDEX('Default Prob'!$C$3:$C$13, _xlfn.IFNA(MATCH(F842, 'Default Prob'!$B$3:$B$13, 1), 1))</f>
        <v>1.8499999999999999E-2</v>
      </c>
      <c r="K842" s="26">
        <f t="shared" si="172"/>
        <v>0.94320809323756705</v>
      </c>
      <c r="L842" s="27">
        <f t="shared" ca="1" si="173"/>
        <v>0</v>
      </c>
      <c r="M842" s="27">
        <f t="shared" ca="1" si="174"/>
        <v>36.117636612967765</v>
      </c>
      <c r="N842" s="28">
        <f t="shared" ca="1" si="175"/>
        <v>2.0074066913647057E-3</v>
      </c>
      <c r="O842" s="29">
        <f t="shared" ca="1" si="176"/>
        <v>600000</v>
      </c>
      <c r="P842" s="30">
        <f t="shared" ca="1" si="177"/>
        <v>33.347808100665617</v>
      </c>
    </row>
    <row r="843" spans="1:16" x14ac:dyDescent="0.25">
      <c r="A843" s="3">
        <f t="shared" si="178"/>
        <v>47291</v>
      </c>
      <c r="B843" s="21">
        <f t="shared" si="169"/>
        <v>36699</v>
      </c>
      <c r="C843" s="21">
        <f t="shared" si="170"/>
        <v>36789</v>
      </c>
      <c r="D843" s="1">
        <f t="shared" si="179"/>
        <v>0</v>
      </c>
      <c r="E843" s="3">
        <f t="array" ref="E843">INDEX($A$9:A842, MAX(IF($D$9:D842=1, ROW(D$9:$D842)-ROW($D$9)+1, 0)))</f>
        <v>47289</v>
      </c>
      <c r="F843" s="23">
        <f t="shared" si="171"/>
        <v>3.1923340177960302</v>
      </c>
      <c r="G843" s="5">
        <f>INDEX('Default Prob'!$P$5:$P$14,MIN(1+_xlfn.IFNA(MATCH(F843,'Default Prob'!$F$5:$F$14,1),0),COUNT('Default Prob'!$P$5:$P$14)))</f>
        <v>2.3050976347889798E-2</v>
      </c>
      <c r="H843" s="5">
        <f t="shared" si="180"/>
        <v>0.93361605520945534</v>
      </c>
      <c r="I843" s="24">
        <f t="shared" si="181"/>
        <v>5.8922493388124941E-5</v>
      </c>
      <c r="J843" s="25">
        <f>INDEX('Default Prob'!$C$3:$C$13, _xlfn.IFNA(MATCH(F843, 'Default Prob'!$B$3:$B$13, 1), 1))</f>
        <v>1.8499999999999999E-2</v>
      </c>
      <c r="K843" s="26">
        <f t="shared" si="172"/>
        <v>0.94316075724073967</v>
      </c>
      <c r="L843" s="27">
        <f t="shared" ca="1" si="173"/>
        <v>0</v>
      </c>
      <c r="M843" s="27">
        <f t="shared" ca="1" si="174"/>
        <v>72.235273225935529</v>
      </c>
      <c r="N843" s="28">
        <f t="shared" ca="1" si="175"/>
        <v>4.0143585399449299E-3</v>
      </c>
      <c r="O843" s="29">
        <f t="shared" ca="1" si="176"/>
        <v>600000</v>
      </c>
      <c r="P843" s="30">
        <f t="shared" ca="1" si="177"/>
        <v>33.34403008947384</v>
      </c>
    </row>
    <row r="844" spans="1:16" x14ac:dyDescent="0.25">
      <c r="A844" s="3">
        <f t="shared" si="178"/>
        <v>47294</v>
      </c>
      <c r="B844" s="21">
        <f t="shared" si="169"/>
        <v>36702</v>
      </c>
      <c r="C844" s="21">
        <f t="shared" si="170"/>
        <v>36789</v>
      </c>
      <c r="D844" s="1">
        <f t="shared" si="179"/>
        <v>0</v>
      </c>
      <c r="E844" s="3">
        <f t="array" ref="E844">INDEX($A$9:A843, MAX(IF($D$9:D843=1, ROW(D$9:$D843)-ROW($D$9)+1, 0)))</f>
        <v>47289</v>
      </c>
      <c r="F844" s="23">
        <f t="shared" si="171"/>
        <v>3.2005475701574264</v>
      </c>
      <c r="G844" s="5">
        <f>INDEX('Default Prob'!$P$5:$P$14,MIN(1+_xlfn.IFNA(MATCH(F844,'Default Prob'!$F$5:$F$14,1),0),COUNT('Default Prob'!$P$5:$P$14)))</f>
        <v>2.3050976347889798E-2</v>
      </c>
      <c r="H844" s="5">
        <f t="shared" si="180"/>
        <v>0.93343931003928693</v>
      </c>
      <c r="I844" s="24">
        <f t="shared" si="181"/>
        <v>1.7674517016841307E-4</v>
      </c>
      <c r="J844" s="25">
        <f>INDEX('Default Prob'!$C$3:$C$13, _xlfn.IFNA(MATCH(F844, 'Default Prob'!$B$3:$B$13, 1), 1))</f>
        <v>1.8499999999999999E-2</v>
      </c>
      <c r="K844" s="26">
        <f t="shared" si="172"/>
        <v>0.94301876350345415</v>
      </c>
      <c r="L844" s="27">
        <f t="shared" ca="1" si="173"/>
        <v>0</v>
      </c>
      <c r="M844" s="27">
        <f t="shared" ca="1" si="174"/>
        <v>180.58818306483883</v>
      </c>
      <c r="N844" s="28">
        <f t="shared" ca="1" si="175"/>
        <v>3.0099356960042047E-2</v>
      </c>
      <c r="O844" s="29">
        <f t="shared" ca="1" si="176"/>
        <v>600000</v>
      </c>
      <c r="P844" s="30">
        <f t="shared" ca="1" si="177"/>
        <v>100.00440709645468</v>
      </c>
    </row>
    <row r="845" spans="1:16" x14ac:dyDescent="0.25">
      <c r="A845" s="3">
        <f t="shared" si="178"/>
        <v>47295</v>
      </c>
      <c r="B845" s="21">
        <f t="shared" si="169"/>
        <v>36703</v>
      </c>
      <c r="C845" s="21">
        <f t="shared" si="170"/>
        <v>36789</v>
      </c>
      <c r="D845" s="1">
        <f t="shared" si="179"/>
        <v>0</v>
      </c>
      <c r="E845" s="3">
        <f t="array" ref="E845">INDEX($A$9:A844, MAX(IF($D$9:D844=1, ROW(D$9:$D844)-ROW($D$9)+1, 0)))</f>
        <v>47289</v>
      </c>
      <c r="F845" s="23">
        <f t="shared" si="171"/>
        <v>3.2032854209445585</v>
      </c>
      <c r="G845" s="5">
        <f>INDEX('Default Prob'!$P$5:$P$14,MIN(1+_xlfn.IFNA(MATCH(F845,'Default Prob'!$F$5:$F$14,1),0),COUNT('Default Prob'!$P$5:$P$14)))</f>
        <v>2.3050976347889798E-2</v>
      </c>
      <c r="H845" s="5">
        <f t="shared" si="180"/>
        <v>0.93338040241844722</v>
      </c>
      <c r="I845" s="24">
        <f t="shared" si="181"/>
        <v>5.8907620839709907E-5</v>
      </c>
      <c r="J845" s="25">
        <f>INDEX('Default Prob'!$C$3:$C$13, _xlfn.IFNA(MATCH(F845, 'Default Prob'!$B$3:$B$13, 1), 1))</f>
        <v>1.8499999999999999E-2</v>
      </c>
      <c r="K845" s="26">
        <f t="shared" si="172"/>
        <v>0.94297143700836017</v>
      </c>
      <c r="L845" s="27">
        <f t="shared" ca="1" si="173"/>
        <v>0</v>
      </c>
      <c r="M845" s="27">
        <f t="shared" ca="1" si="174"/>
        <v>216.70581967780663</v>
      </c>
      <c r="N845" s="28">
        <f t="shared" ca="1" si="175"/>
        <v>1.2037619052137473E-2</v>
      </c>
      <c r="O845" s="29">
        <f t="shared" ca="1" si="176"/>
        <v>600000</v>
      </c>
      <c r="P845" s="30">
        <f t="shared" ca="1" si="177"/>
        <v>33.328922324378922</v>
      </c>
    </row>
    <row r="846" spans="1:16" x14ac:dyDescent="0.25">
      <c r="A846" s="3">
        <f t="shared" si="178"/>
        <v>47296</v>
      </c>
      <c r="B846" s="21">
        <f t="shared" si="169"/>
        <v>36704</v>
      </c>
      <c r="C846" s="21">
        <f t="shared" si="170"/>
        <v>36789</v>
      </c>
      <c r="D846" s="1">
        <f t="shared" si="179"/>
        <v>0</v>
      </c>
      <c r="E846" s="3">
        <f t="array" ref="E846">INDEX($A$9:A845, MAX(IF($D$9:D845=1, ROW(D$9:$D845)-ROW($D$9)+1, 0)))</f>
        <v>47289</v>
      </c>
      <c r="F846" s="23">
        <f t="shared" si="171"/>
        <v>3.2060232717316905</v>
      </c>
      <c r="G846" s="5">
        <f>INDEX('Default Prob'!$P$5:$P$14,MIN(1+_xlfn.IFNA(MATCH(F846,'Default Prob'!$F$5:$F$14,1),0),COUNT('Default Prob'!$P$5:$P$14)))</f>
        <v>2.3050976347889798E-2</v>
      </c>
      <c r="H846" s="5">
        <f t="shared" si="180"/>
        <v>0.93332149851515811</v>
      </c>
      <c r="I846" s="24">
        <f t="shared" si="181"/>
        <v>5.8903903289109216E-5</v>
      </c>
      <c r="J846" s="25">
        <f>INDEX('Default Prob'!$C$3:$C$13, _xlfn.IFNA(MATCH(F846, 'Default Prob'!$B$3:$B$13, 1), 1))</f>
        <v>1.8499999999999999E-2</v>
      </c>
      <c r="K846" s="26">
        <f t="shared" si="172"/>
        <v>0.94292411288840139</v>
      </c>
      <c r="L846" s="27">
        <f t="shared" ca="1" si="173"/>
        <v>0</v>
      </c>
      <c r="M846" s="27">
        <f t="shared" ca="1" si="174"/>
        <v>252.82345629077437</v>
      </c>
      <c r="N846" s="28">
        <f t="shared" ca="1" si="175"/>
        <v>1.4042297845958429E-2</v>
      </c>
      <c r="O846" s="29">
        <f t="shared" ca="1" si="176"/>
        <v>600000</v>
      </c>
      <c r="P846" s="30">
        <f t="shared" ca="1" si="177"/>
        <v>33.325146452728497</v>
      </c>
    </row>
    <row r="847" spans="1:16" x14ac:dyDescent="0.25">
      <c r="A847" s="3">
        <f t="shared" si="178"/>
        <v>47297</v>
      </c>
      <c r="B847" s="21">
        <f t="shared" si="169"/>
        <v>36705</v>
      </c>
      <c r="C847" s="21">
        <f t="shared" si="170"/>
        <v>36789</v>
      </c>
      <c r="D847" s="1">
        <f t="shared" si="179"/>
        <v>0</v>
      </c>
      <c r="E847" s="3">
        <f t="array" ref="E847">INDEX($A$9:A846, MAX(IF($D$9:D846=1, ROW(D$9:$D846)-ROW($D$9)+1, 0)))</f>
        <v>47289</v>
      </c>
      <c r="F847" s="23">
        <f t="shared" si="171"/>
        <v>3.2087611225188226</v>
      </c>
      <c r="G847" s="5">
        <f>INDEX('Default Prob'!$P$5:$P$14,MIN(1+_xlfn.IFNA(MATCH(F847,'Default Prob'!$F$5:$F$14,1),0),COUNT('Default Prob'!$P$5:$P$14)))</f>
        <v>2.3050976347889798E-2</v>
      </c>
      <c r="H847" s="5">
        <f t="shared" si="180"/>
        <v>0.9332625983291849</v>
      </c>
      <c r="I847" s="24">
        <f t="shared" si="181"/>
        <v>5.8900185973209673E-5</v>
      </c>
      <c r="J847" s="25">
        <f>INDEX('Default Prob'!$C$3:$C$13, _xlfn.IFNA(MATCH(F847, 'Default Prob'!$B$3:$B$13, 1), 1))</f>
        <v>1.8499999999999999E-2</v>
      </c>
      <c r="K847" s="26">
        <f t="shared" si="172"/>
        <v>0.9428767911434589</v>
      </c>
      <c r="L847" s="27">
        <f t="shared" ca="1" si="173"/>
        <v>0</v>
      </c>
      <c r="M847" s="27">
        <f t="shared" ca="1" si="174"/>
        <v>288.94109290374212</v>
      </c>
      <c r="N847" s="28">
        <f t="shared" ca="1" si="175"/>
        <v>1.6046522260606193E-2</v>
      </c>
      <c r="O847" s="29">
        <f t="shared" ca="1" si="176"/>
        <v>600000</v>
      </c>
      <c r="P847" s="30">
        <f t="shared" ca="1" si="177"/>
        <v>33.321371008903746</v>
      </c>
    </row>
    <row r="848" spans="1:16" x14ac:dyDescent="0.25">
      <c r="A848" s="3">
        <f t="shared" si="178"/>
        <v>47298</v>
      </c>
      <c r="B848" s="21">
        <f t="shared" si="169"/>
        <v>36706</v>
      </c>
      <c r="C848" s="21">
        <f t="shared" si="170"/>
        <v>36789</v>
      </c>
      <c r="D848" s="1">
        <f t="shared" si="179"/>
        <v>0</v>
      </c>
      <c r="E848" s="3">
        <f t="array" ref="E848">INDEX($A$9:A847, MAX(IF($D$9:D847=1, ROW(D$9:$D847)-ROW($D$9)+1, 0)))</f>
        <v>47289</v>
      </c>
      <c r="F848" s="23">
        <f t="shared" si="171"/>
        <v>3.2114989733059547</v>
      </c>
      <c r="G848" s="5">
        <f>INDEX('Default Prob'!$P$5:$P$14,MIN(1+_xlfn.IFNA(MATCH(F848,'Default Prob'!$F$5:$F$14,1),0),COUNT('Default Prob'!$P$5:$P$14)))</f>
        <v>2.3050976347889798E-2</v>
      </c>
      <c r="H848" s="5">
        <f t="shared" si="180"/>
        <v>0.933203701860293</v>
      </c>
      <c r="I848" s="24">
        <f t="shared" si="181"/>
        <v>5.8896468891900255E-5</v>
      </c>
      <c r="J848" s="25">
        <f>INDEX('Default Prob'!$C$3:$C$13, _xlfn.IFNA(MATCH(F848, 'Default Prob'!$B$3:$B$13, 1), 1))</f>
        <v>1.8499999999999999E-2</v>
      </c>
      <c r="K848" s="26">
        <f t="shared" si="172"/>
        <v>0.94282947177341303</v>
      </c>
      <c r="L848" s="27">
        <f t="shared" ca="1" si="173"/>
        <v>0</v>
      </c>
      <c r="M848" s="27">
        <f t="shared" ca="1" si="174"/>
        <v>325.05872951670989</v>
      </c>
      <c r="N848" s="28">
        <f t="shared" ca="1" si="175"/>
        <v>1.8050292373285263E-2</v>
      </c>
      <c r="O848" s="29">
        <f t="shared" ca="1" si="176"/>
        <v>600000</v>
      </c>
      <c r="P848" s="30">
        <f t="shared" ca="1" si="177"/>
        <v>33.317595992801742</v>
      </c>
    </row>
    <row r="849" spans="1:16" x14ac:dyDescent="0.25">
      <c r="A849" s="3">
        <f t="shared" si="178"/>
        <v>47301</v>
      </c>
      <c r="B849" s="21">
        <f t="shared" si="169"/>
        <v>36709</v>
      </c>
      <c r="C849" s="21">
        <f t="shared" si="170"/>
        <v>36789</v>
      </c>
      <c r="D849" s="1">
        <f t="shared" si="179"/>
        <v>0</v>
      </c>
      <c r="E849" s="3">
        <f t="array" ref="E849">INDEX($A$9:A848, MAX(IF($D$9:D848=1, ROW(D$9:$D848)-ROW($D$9)+1, 0)))</f>
        <v>47289</v>
      </c>
      <c r="F849" s="23">
        <f t="shared" si="171"/>
        <v>3.2197125256673513</v>
      </c>
      <c r="G849" s="5">
        <f>INDEX('Default Prob'!$P$5:$P$14,MIN(1+_xlfn.IFNA(MATCH(F849,'Default Prob'!$F$5:$F$14,1),0),COUNT('Default Prob'!$P$5:$P$14)))</f>
        <v>2.3050976347889798E-2</v>
      </c>
      <c r="H849" s="5">
        <f t="shared" si="180"/>
        <v>0.93302703475375948</v>
      </c>
      <c r="I849" s="24">
        <f t="shared" si="181"/>
        <v>1.7666710653352347E-4</v>
      </c>
      <c r="J849" s="25">
        <f>INDEX('Default Prob'!$C$3:$C$13, _xlfn.IFNA(MATCH(F849, 'Default Prob'!$B$3:$B$13, 1), 1))</f>
        <v>1.8499999999999999E-2</v>
      </c>
      <c r="K849" s="26">
        <f t="shared" si="172"/>
        <v>0.94268752791146548</v>
      </c>
      <c r="L849" s="27">
        <f t="shared" ca="1" si="173"/>
        <v>0</v>
      </c>
      <c r="M849" s="27">
        <f t="shared" ca="1" si="174"/>
        <v>433.41163935561326</v>
      </c>
      <c r="N849" s="28">
        <f t="shared" ca="1" si="175"/>
        <v>7.2181188331258514E-2</v>
      </c>
      <c r="O849" s="29">
        <f t="shared" ca="1" si="176"/>
        <v>600000</v>
      </c>
      <c r="P849" s="30">
        <f t="shared" ca="1" si="177"/>
        <v>99.925126752815245</v>
      </c>
    </row>
    <row r="850" spans="1:16" x14ac:dyDescent="0.25">
      <c r="A850" s="3">
        <f t="shared" si="178"/>
        <v>47302</v>
      </c>
      <c r="B850" s="21">
        <f t="shared" si="169"/>
        <v>36710</v>
      </c>
      <c r="C850" s="21">
        <f t="shared" si="170"/>
        <v>36789</v>
      </c>
      <c r="D850" s="1">
        <f t="shared" si="179"/>
        <v>0</v>
      </c>
      <c r="E850" s="3">
        <f t="array" ref="E850">INDEX($A$9:A849, MAX(IF($D$9:D849=1, ROW(D$9:$D849)-ROW($D$9)+1, 0)))</f>
        <v>47289</v>
      </c>
      <c r="F850" s="23">
        <f t="shared" si="171"/>
        <v>3.2224503764544834</v>
      </c>
      <c r="G850" s="5">
        <f>INDEX('Default Prob'!$P$5:$P$14,MIN(1+_xlfn.IFNA(MATCH(F850,'Default Prob'!$F$5:$F$14,1),0),COUNT('Default Prob'!$P$5:$P$14)))</f>
        <v>2.3050976347889798E-2</v>
      </c>
      <c r="H850" s="5">
        <f t="shared" si="180"/>
        <v>0.93296815315084725</v>
      </c>
      <c r="I850" s="24">
        <f t="shared" si="181"/>
        <v>5.8881602912230768E-5</v>
      </c>
      <c r="J850" s="25">
        <f>INDEX('Default Prob'!$C$3:$C$13, _xlfn.IFNA(MATCH(F850, 'Default Prob'!$B$3:$B$13, 1), 1))</f>
        <v>1.8499999999999999E-2</v>
      </c>
      <c r="K850" s="26">
        <f t="shared" si="172"/>
        <v>0.94264021803981568</v>
      </c>
      <c r="L850" s="27">
        <f t="shared" ca="1" si="173"/>
        <v>0</v>
      </c>
      <c r="M850" s="27">
        <f t="shared" ca="1" si="174"/>
        <v>469.52927596858098</v>
      </c>
      <c r="N850" s="28">
        <f t="shared" ca="1" si="175"/>
        <v>2.6060831348373528E-2</v>
      </c>
      <c r="O850" s="29">
        <f t="shared" ca="1" si="176"/>
        <v>600000</v>
      </c>
      <c r="P850" s="30">
        <f t="shared" ca="1" si="177"/>
        <v>33.302500204631436</v>
      </c>
    </row>
    <row r="851" spans="1:16" x14ac:dyDescent="0.25">
      <c r="A851" s="3">
        <f t="shared" si="178"/>
        <v>47303</v>
      </c>
      <c r="B851" s="21">
        <f t="shared" si="169"/>
        <v>36711</v>
      </c>
      <c r="C851" s="21">
        <f t="shared" si="170"/>
        <v>36789</v>
      </c>
      <c r="D851" s="1">
        <f t="shared" si="179"/>
        <v>0</v>
      </c>
      <c r="E851" s="3">
        <f t="array" ref="E851">INDEX($A$9:A850, MAX(IF($D$9:D850=1, ROW(D$9:$D850)-ROW($D$9)+1, 0)))</f>
        <v>47289</v>
      </c>
      <c r="F851" s="23">
        <f t="shared" si="171"/>
        <v>3.2251882272416155</v>
      </c>
      <c r="G851" s="5">
        <f>INDEX('Default Prob'!$P$5:$P$14,MIN(1+_xlfn.IFNA(MATCH(F851,'Default Prob'!$F$5:$F$14,1),0),COUNT('Default Prob'!$P$5:$P$14)))</f>
        <v>2.3050976347889798E-2</v>
      </c>
      <c r="H851" s="5">
        <f t="shared" si="180"/>
        <v>0.9329092752638436</v>
      </c>
      <c r="I851" s="24">
        <f t="shared" si="181"/>
        <v>5.8877887003649931E-5</v>
      </c>
      <c r="J851" s="25">
        <f>INDEX('Default Prob'!$C$3:$C$13, _xlfn.IFNA(MATCH(F851, 'Default Prob'!$B$3:$B$13, 1), 1))</f>
        <v>1.8499999999999999E-2</v>
      </c>
      <c r="K851" s="26">
        <f t="shared" si="172"/>
        <v>0.94259291054246663</v>
      </c>
      <c r="L851" s="27">
        <f t="shared" ca="1" si="173"/>
        <v>0</v>
      </c>
      <c r="M851" s="27">
        <f t="shared" ca="1" si="174"/>
        <v>505.64691258154875</v>
      </c>
      <c r="N851" s="28">
        <f t="shared" ca="1" si="175"/>
        <v>2.8062331109162265E-2</v>
      </c>
      <c r="O851" s="29">
        <f t="shared" ca="1" si="176"/>
        <v>600000</v>
      </c>
      <c r="P851" s="30">
        <f t="shared" ca="1" si="177"/>
        <v>33.298727326416518</v>
      </c>
    </row>
    <row r="852" spans="1:16" x14ac:dyDescent="0.25">
      <c r="A852" s="3">
        <f t="shared" si="178"/>
        <v>47304</v>
      </c>
      <c r="B852" s="21">
        <f t="shared" si="169"/>
        <v>36712</v>
      </c>
      <c r="C852" s="21">
        <f t="shared" si="170"/>
        <v>36789</v>
      </c>
      <c r="D852" s="1">
        <f t="shared" si="179"/>
        <v>0</v>
      </c>
      <c r="E852" s="3">
        <f t="array" ref="E852">INDEX($A$9:A851, MAX(IF($D$9:D851=1, ROW(D$9:$D851)-ROW($D$9)+1, 0)))</f>
        <v>47289</v>
      </c>
      <c r="F852" s="23">
        <f t="shared" si="171"/>
        <v>3.2279260780287475</v>
      </c>
      <c r="G852" s="5">
        <f>INDEX('Default Prob'!$P$5:$P$14,MIN(1+_xlfn.IFNA(MATCH(F852,'Default Prob'!$F$5:$F$14,1),0),COUNT('Default Prob'!$P$5:$P$14)))</f>
        <v>2.3050976347889798E-2</v>
      </c>
      <c r="H852" s="5">
        <f t="shared" si="180"/>
        <v>0.93285040109251394</v>
      </c>
      <c r="I852" s="24">
        <f t="shared" si="181"/>
        <v>5.887417132965922E-5</v>
      </c>
      <c r="J852" s="25">
        <f>INDEX('Default Prob'!$C$3:$C$13, _xlfn.IFNA(MATCH(F852, 'Default Prob'!$B$3:$B$13, 1), 1))</f>
        <v>1.8499999999999999E-2</v>
      </c>
      <c r="K852" s="26">
        <f t="shared" si="172"/>
        <v>0.94254560541929955</v>
      </c>
      <c r="L852" s="27">
        <f t="shared" ca="1" si="173"/>
        <v>0</v>
      </c>
      <c r="M852" s="27">
        <f t="shared" ca="1" si="174"/>
        <v>541.76454919451646</v>
      </c>
      <c r="N852" s="28">
        <f t="shared" ca="1" si="175"/>
        <v>3.006337703112779E-2</v>
      </c>
      <c r="O852" s="29">
        <f t="shared" ca="1" si="176"/>
        <v>600000</v>
      </c>
      <c r="P852" s="30">
        <f t="shared" ca="1" si="177"/>
        <v>33.294954875683928</v>
      </c>
    </row>
    <row r="853" spans="1:16" x14ac:dyDescent="0.25">
      <c r="A853" s="3">
        <f t="shared" si="178"/>
        <v>47305</v>
      </c>
      <c r="B853" s="21">
        <f t="shared" si="169"/>
        <v>36713</v>
      </c>
      <c r="C853" s="21">
        <f t="shared" si="170"/>
        <v>36789</v>
      </c>
      <c r="D853" s="1">
        <f t="shared" si="179"/>
        <v>0</v>
      </c>
      <c r="E853" s="3">
        <f t="array" ref="E853">INDEX($A$9:A852, MAX(IF($D$9:D852=1, ROW(D$9:$D852)-ROW($D$9)+1, 0)))</f>
        <v>47289</v>
      </c>
      <c r="F853" s="23">
        <f t="shared" si="171"/>
        <v>3.2306639288158796</v>
      </c>
      <c r="G853" s="5">
        <f>INDEX('Default Prob'!$P$5:$P$14,MIN(1+_xlfn.IFNA(MATCH(F853,'Default Prob'!$F$5:$F$14,1),0),COUNT('Default Prob'!$P$5:$P$14)))</f>
        <v>2.3050976347889798E-2</v>
      </c>
      <c r="H853" s="5">
        <f t="shared" si="180"/>
        <v>0.9327915306366239</v>
      </c>
      <c r="I853" s="24">
        <f t="shared" si="181"/>
        <v>5.8870455890036588E-5</v>
      </c>
      <c r="J853" s="25">
        <f>INDEX('Default Prob'!$C$3:$C$13, _xlfn.IFNA(MATCH(F853, 'Default Prob'!$B$3:$B$13, 1), 1))</f>
        <v>1.8499999999999999E-2</v>
      </c>
      <c r="K853" s="26">
        <f t="shared" si="172"/>
        <v>0.9424983026701953</v>
      </c>
      <c r="L853" s="27">
        <f t="shared" ca="1" si="173"/>
        <v>0</v>
      </c>
      <c r="M853" s="27">
        <f t="shared" ca="1" si="174"/>
        <v>577.88218580748423</v>
      </c>
      <c r="N853" s="28">
        <f t="shared" ca="1" si="175"/>
        <v>3.2063969191308835E-2</v>
      </c>
      <c r="O853" s="29">
        <f t="shared" ca="1" si="176"/>
        <v>600000</v>
      </c>
      <c r="P853" s="30">
        <f t="shared" ca="1" si="177"/>
        <v>33.291182852268051</v>
      </c>
    </row>
    <row r="854" spans="1:16" x14ac:dyDescent="0.25">
      <c r="A854" s="3">
        <f t="shared" si="178"/>
        <v>47308</v>
      </c>
      <c r="B854" s="21">
        <f t="shared" si="169"/>
        <v>36716</v>
      </c>
      <c r="C854" s="21">
        <f t="shared" si="170"/>
        <v>36789</v>
      </c>
      <c r="D854" s="1">
        <f t="shared" si="179"/>
        <v>0</v>
      </c>
      <c r="E854" s="3">
        <f t="array" ref="E854">INDEX($A$9:A853, MAX(IF($D$9:D853=1, ROW(D$9:$D853)-ROW($D$9)+1, 0)))</f>
        <v>47289</v>
      </c>
      <c r="F854" s="23">
        <f t="shared" si="171"/>
        <v>3.2388774811772758</v>
      </c>
      <c r="G854" s="5">
        <f>INDEX('Default Prob'!$P$5:$P$14,MIN(1+_xlfn.IFNA(MATCH(F854,'Default Prob'!$F$5:$F$14,1),0),COUNT('Default Prob'!$P$5:$P$14)))</f>
        <v>2.3050976347889798E-2</v>
      </c>
      <c r="H854" s="5">
        <f t="shared" si="180"/>
        <v>0.93261494155924674</v>
      </c>
      <c r="I854" s="24">
        <f t="shared" si="181"/>
        <v>1.76589077377165E-4</v>
      </c>
      <c r="J854" s="25">
        <f>INDEX('Default Prob'!$C$3:$C$13, _xlfn.IFNA(MATCH(F854, 'Default Prob'!$B$3:$B$13, 1), 1))</f>
        <v>1.8499999999999999E-2</v>
      </c>
      <c r="K854" s="26">
        <f t="shared" si="172"/>
        <v>0.94235640866606696</v>
      </c>
      <c r="L854" s="27">
        <f t="shared" ca="1" si="173"/>
        <v>0</v>
      </c>
      <c r="M854" s="27">
        <f t="shared" ca="1" si="174"/>
        <v>686.23509564638755</v>
      </c>
      <c r="N854" s="28">
        <f t="shared" ca="1" si="175"/>
        <v>0.11419627848498549</v>
      </c>
      <c r="O854" s="29">
        <f t="shared" ca="1" si="176"/>
        <v>600000</v>
      </c>
      <c r="P854" s="30">
        <f t="shared" ca="1" si="177"/>
        <v>99.845909260079651</v>
      </c>
    </row>
    <row r="855" spans="1:16" x14ac:dyDescent="0.25">
      <c r="A855" s="3">
        <f t="shared" si="178"/>
        <v>47309</v>
      </c>
      <c r="B855" s="21">
        <f t="shared" si="169"/>
        <v>36717</v>
      </c>
      <c r="C855" s="21">
        <f t="shared" si="170"/>
        <v>36789</v>
      </c>
      <c r="D855" s="1">
        <f t="shared" si="179"/>
        <v>0</v>
      </c>
      <c r="E855" s="3">
        <f t="array" ref="E855">INDEX($A$9:A854, MAX(IF($D$9:D854=1, ROW(D$9:$D854)-ROW($D$9)+1, 0)))</f>
        <v>47289</v>
      </c>
      <c r="F855" s="23">
        <f t="shared" si="171"/>
        <v>3.2416153319644079</v>
      </c>
      <c r="G855" s="5">
        <f>INDEX('Default Prob'!$P$5:$P$14,MIN(1+_xlfn.IFNA(MATCH(F855,'Default Prob'!$F$5:$F$14,1),0),COUNT('Default Prob'!$P$5:$P$14)))</f>
        <v>2.3050976347889798E-2</v>
      </c>
      <c r="H855" s="5">
        <f t="shared" si="180"/>
        <v>0.9325560859627704</v>
      </c>
      <c r="I855" s="24">
        <f t="shared" si="181"/>
        <v>5.8855596476337091E-5</v>
      </c>
      <c r="J855" s="25">
        <f>INDEX('Default Prob'!$C$3:$C$13, _xlfn.IFNA(MATCH(F855, 'Default Prob'!$B$3:$B$13, 1), 1))</f>
        <v>1.8499999999999999E-2</v>
      </c>
      <c r="K855" s="26">
        <f t="shared" si="172"/>
        <v>0.94230911541202211</v>
      </c>
      <c r="L855" s="27">
        <f t="shared" ca="1" si="173"/>
        <v>0</v>
      </c>
      <c r="M855" s="27">
        <f t="shared" ca="1" si="174"/>
        <v>722.35273225935532</v>
      </c>
      <c r="N855" s="28">
        <f t="shared" ca="1" si="175"/>
        <v>4.0061801757346749E-2</v>
      </c>
      <c r="O855" s="29">
        <f t="shared" ca="1" si="176"/>
        <v>600000</v>
      </c>
      <c r="P855" s="30">
        <f t="shared" ca="1" si="177"/>
        <v>33.276099031598477</v>
      </c>
    </row>
    <row r="856" spans="1:16" x14ac:dyDescent="0.25">
      <c r="A856" s="3">
        <f t="shared" si="178"/>
        <v>47310</v>
      </c>
      <c r="B856" s="21">
        <f t="shared" si="169"/>
        <v>36718</v>
      </c>
      <c r="C856" s="21">
        <f t="shared" si="170"/>
        <v>36789</v>
      </c>
      <c r="D856" s="1">
        <f t="shared" si="179"/>
        <v>0</v>
      </c>
      <c r="E856" s="3">
        <f t="array" ref="E856">INDEX($A$9:A855, MAX(IF($D$9:D855=1, ROW(D$9:$D855)-ROW($D$9)+1, 0)))</f>
        <v>47289</v>
      </c>
      <c r="F856" s="23">
        <f t="shared" si="171"/>
        <v>3.2443531827515399</v>
      </c>
      <c r="G856" s="5">
        <f>INDEX('Default Prob'!$P$5:$P$14,MIN(1+_xlfn.IFNA(MATCH(F856,'Default Prob'!$F$5:$F$14,1),0),COUNT('Default Prob'!$P$5:$P$14)))</f>
        <v>2.3050976347889798E-2</v>
      </c>
      <c r="H856" s="5">
        <f t="shared" si="180"/>
        <v>0.93249723408056151</v>
      </c>
      <c r="I856" s="24">
        <f t="shared" si="181"/>
        <v>5.8851882208887929E-5</v>
      </c>
      <c r="J856" s="25">
        <f>INDEX('Default Prob'!$C$3:$C$13, _xlfn.IFNA(MATCH(F856, 'Default Prob'!$B$3:$B$13, 1), 1))</f>
        <v>1.8499999999999999E-2</v>
      </c>
      <c r="K856" s="26">
        <f t="shared" si="172"/>
        <v>0.94226182453144425</v>
      </c>
      <c r="L856" s="27">
        <f t="shared" ca="1" si="173"/>
        <v>0</v>
      </c>
      <c r="M856" s="27">
        <f t="shared" ca="1" si="174"/>
        <v>758.47036887232321</v>
      </c>
      <c r="N856" s="28">
        <f t="shared" ca="1" si="175"/>
        <v>4.2060126265598997E-2</v>
      </c>
      <c r="O856" s="29">
        <f t="shared" ca="1" si="176"/>
        <v>600000</v>
      </c>
      <c r="P856" s="30">
        <f t="shared" ca="1" si="177"/>
        <v>33.272329144353833</v>
      </c>
    </row>
    <row r="857" spans="1:16" x14ac:dyDescent="0.25">
      <c r="A857" s="3">
        <f t="shared" si="178"/>
        <v>47311</v>
      </c>
      <c r="B857" s="21">
        <f t="shared" si="169"/>
        <v>36719</v>
      </c>
      <c r="C857" s="21">
        <f t="shared" si="170"/>
        <v>36789</v>
      </c>
      <c r="D857" s="1">
        <f t="shared" si="179"/>
        <v>0</v>
      </c>
      <c r="E857" s="3">
        <f t="array" ref="E857">INDEX($A$9:A856, MAX(IF($D$9:D856=1, ROW(D$9:$D856)-ROW($D$9)+1, 0)))</f>
        <v>47289</v>
      </c>
      <c r="F857" s="23">
        <f t="shared" si="171"/>
        <v>3.247091033538672</v>
      </c>
      <c r="G857" s="5">
        <f>INDEX('Default Prob'!$P$5:$P$14,MIN(1+_xlfn.IFNA(MATCH(F857,'Default Prob'!$F$5:$F$14,1),0),COUNT('Default Prob'!$P$5:$P$14)))</f>
        <v>2.3050976347889798E-2</v>
      </c>
      <c r="H857" s="5">
        <f t="shared" si="180"/>
        <v>0.93243838591238548</v>
      </c>
      <c r="I857" s="24">
        <f t="shared" si="181"/>
        <v>5.8848168176028892E-5</v>
      </c>
      <c r="J857" s="25">
        <f>INDEX('Default Prob'!$C$3:$C$13, _xlfn.IFNA(MATCH(F857, 'Default Prob'!$B$3:$B$13, 1), 1))</f>
        <v>1.8499999999999999E-2</v>
      </c>
      <c r="K857" s="26">
        <f t="shared" si="172"/>
        <v>0.94221453602421423</v>
      </c>
      <c r="L857" s="27">
        <f t="shared" ca="1" si="173"/>
        <v>0</v>
      </c>
      <c r="M857" s="27">
        <f t="shared" ca="1" si="174"/>
        <v>794.58800548529086</v>
      </c>
      <c r="N857" s="28">
        <f t="shared" ca="1" si="175"/>
        <v>4.4057997474875314E-2</v>
      </c>
      <c r="O857" s="29">
        <f t="shared" ca="1" si="176"/>
        <v>600000</v>
      </c>
      <c r="P857" s="30">
        <f t="shared" ca="1" si="177"/>
        <v>33.268559684311192</v>
      </c>
    </row>
    <row r="858" spans="1:16" x14ac:dyDescent="0.25">
      <c r="A858" s="3">
        <f t="shared" si="178"/>
        <v>47312</v>
      </c>
      <c r="B858" s="21">
        <f t="shared" si="169"/>
        <v>36720</v>
      </c>
      <c r="C858" s="21">
        <f t="shared" si="170"/>
        <v>36789</v>
      </c>
      <c r="D858" s="1">
        <f t="shared" si="179"/>
        <v>0</v>
      </c>
      <c r="E858" s="3">
        <f t="array" ref="E858">INDEX($A$9:A857, MAX(IF($D$9:D857=1, ROW(D$9:$D857)-ROW($D$9)+1, 0)))</f>
        <v>47289</v>
      </c>
      <c r="F858" s="23">
        <f t="shared" si="171"/>
        <v>3.2498288843258041</v>
      </c>
      <c r="G858" s="5">
        <f>INDEX('Default Prob'!$P$5:$P$14,MIN(1+_xlfn.IFNA(MATCH(F858,'Default Prob'!$F$5:$F$14,1),0),COUNT('Default Prob'!$P$5:$P$14)))</f>
        <v>2.3050976347889798E-2</v>
      </c>
      <c r="H858" s="5">
        <f t="shared" si="180"/>
        <v>0.93237954145800805</v>
      </c>
      <c r="I858" s="24">
        <f t="shared" si="181"/>
        <v>5.8844454377426914E-5</v>
      </c>
      <c r="J858" s="25">
        <f>INDEX('Default Prob'!$C$3:$C$13, _xlfn.IFNA(MATCH(F858, 'Default Prob'!$B$3:$B$13, 1), 1))</f>
        <v>1.8499999999999999E-2</v>
      </c>
      <c r="K858" s="26">
        <f t="shared" si="172"/>
        <v>0.94216724989021317</v>
      </c>
      <c r="L858" s="27">
        <f t="shared" ca="1" si="173"/>
        <v>0</v>
      </c>
      <c r="M858" s="27">
        <f t="shared" ca="1" si="174"/>
        <v>830.70564209825864</v>
      </c>
      <c r="N858" s="28">
        <f t="shared" ca="1" si="175"/>
        <v>4.6055415462007254E-2</v>
      </c>
      <c r="O858" s="29">
        <f t="shared" ca="1" si="176"/>
        <v>600000</v>
      </c>
      <c r="P858" s="30">
        <f t="shared" ca="1" si="177"/>
        <v>33.264790651242258</v>
      </c>
    </row>
    <row r="859" spans="1:16" x14ac:dyDescent="0.25">
      <c r="A859" s="3">
        <f t="shared" si="178"/>
        <v>47315</v>
      </c>
      <c r="B859" s="21">
        <f t="shared" si="169"/>
        <v>36723</v>
      </c>
      <c r="C859" s="21">
        <f t="shared" si="170"/>
        <v>36789</v>
      </c>
      <c r="D859" s="1">
        <f t="shared" si="179"/>
        <v>0</v>
      </c>
      <c r="E859" s="3">
        <f t="array" ref="E859">INDEX($A$9:A858, MAX(IF($D$9:D858=1, ROW(D$9:$D858)-ROW($D$9)+1, 0)))</f>
        <v>47289</v>
      </c>
      <c r="F859" s="23">
        <f t="shared" si="171"/>
        <v>3.2580424366872007</v>
      </c>
      <c r="G859" s="5">
        <f>INDEX('Default Prob'!$P$5:$P$14,MIN(1+_xlfn.IFNA(MATCH(F859,'Default Prob'!$F$5:$F$14,1),0),COUNT('Default Prob'!$P$5:$P$14)))</f>
        <v>2.3050976347889798E-2</v>
      </c>
      <c r="H859" s="5">
        <f t="shared" si="180"/>
        <v>0.9322030303753237</v>
      </c>
      <c r="I859" s="24">
        <f t="shared" si="181"/>
        <v>1.7651108268434967E-4</v>
      </c>
      <c r="J859" s="25">
        <f>INDEX('Default Prob'!$C$3:$C$13, _xlfn.IFNA(MATCH(F859, 'Default Prob'!$B$3:$B$13, 1), 1))</f>
        <v>1.8499999999999999E-2</v>
      </c>
      <c r="K859" s="26">
        <f t="shared" si="172"/>
        <v>0.9420254057263916</v>
      </c>
      <c r="L859" s="27">
        <f t="shared" ca="1" si="173"/>
        <v>0</v>
      </c>
      <c r="M859" s="27">
        <f t="shared" ca="1" si="174"/>
        <v>939.05855193716195</v>
      </c>
      <c r="N859" s="28">
        <f t="shared" ca="1" si="175"/>
        <v>0.15614470679436637</v>
      </c>
      <c r="O859" s="29">
        <f t="shared" ca="1" si="176"/>
        <v>600000</v>
      </c>
      <c r="P859" s="30">
        <f t="shared" ca="1" si="177"/>
        <v>99.766754568557488</v>
      </c>
    </row>
    <row r="860" spans="1:16" x14ac:dyDescent="0.25">
      <c r="A860" s="3">
        <f t="shared" si="178"/>
        <v>47316</v>
      </c>
      <c r="B860" s="21">
        <f t="shared" si="169"/>
        <v>36724</v>
      </c>
      <c r="C860" s="21">
        <f t="shared" si="170"/>
        <v>36789</v>
      </c>
      <c r="D860" s="1">
        <f t="shared" si="179"/>
        <v>0</v>
      </c>
      <c r="E860" s="3">
        <f t="array" ref="E860">INDEX($A$9:A859, MAX(IF($D$9:D859=1, ROW(D$9:$D859)-ROW($D$9)+1, 0)))</f>
        <v>47289</v>
      </c>
      <c r="F860" s="23">
        <f t="shared" si="171"/>
        <v>3.2607802874743328</v>
      </c>
      <c r="G860" s="5">
        <f>INDEX('Default Prob'!$P$5:$P$14,MIN(1+_xlfn.IFNA(MATCH(F860,'Default Prob'!$F$5:$F$14,1),0),COUNT('Default Prob'!$P$5:$P$14)))</f>
        <v>2.3050976347889798E-2</v>
      </c>
      <c r="H860" s="5">
        <f t="shared" si="180"/>
        <v>0.932144200773797</v>
      </c>
      <c r="I860" s="24">
        <f t="shared" si="181"/>
        <v>5.8829601526699804E-5</v>
      </c>
      <c r="J860" s="25">
        <f>INDEX('Default Prob'!$C$3:$C$13, _xlfn.IFNA(MATCH(F860, 'Default Prob'!$B$3:$B$13, 1), 1))</f>
        <v>1.8499999999999999E-2</v>
      </c>
      <c r="K860" s="26">
        <f t="shared" si="172"/>
        <v>0.94197812908411482</v>
      </c>
      <c r="L860" s="27">
        <f t="shared" ca="1" si="173"/>
        <v>0</v>
      </c>
      <c r="M860" s="27">
        <f t="shared" ca="1" si="174"/>
        <v>975.17618855012961</v>
      </c>
      <c r="N860" s="28">
        <f t="shared" ca="1" si="175"/>
        <v>5.4040556730938501E-2</v>
      </c>
      <c r="O860" s="29">
        <f t="shared" ca="1" si="176"/>
        <v>600000</v>
      </c>
      <c r="P860" s="30">
        <f t="shared" ca="1" si="177"/>
        <v>33.249718788530799</v>
      </c>
    </row>
    <row r="861" spans="1:16" x14ac:dyDescent="0.25">
      <c r="A861" s="3">
        <f t="shared" si="178"/>
        <v>47317</v>
      </c>
      <c r="B861" s="21">
        <f t="shared" si="169"/>
        <v>36725</v>
      </c>
      <c r="C861" s="21">
        <f t="shared" si="170"/>
        <v>36789</v>
      </c>
      <c r="D861" s="1">
        <f t="shared" si="179"/>
        <v>0</v>
      </c>
      <c r="E861" s="3">
        <f t="array" ref="E861">INDEX($A$9:A860, MAX(IF($D$9:D860=1, ROW(D$9:$D860)-ROW($D$9)+1, 0)))</f>
        <v>47289</v>
      </c>
      <c r="F861" s="23">
        <f t="shared" si="171"/>
        <v>3.2635181382614649</v>
      </c>
      <c r="G861" s="5">
        <f>INDEX('Default Prob'!$P$5:$P$14,MIN(1+_xlfn.IFNA(MATCH(F861,'Default Prob'!$F$5:$F$14,1),0),COUNT('Default Prob'!$P$5:$P$14)))</f>
        <v>2.3050976347889798E-2</v>
      </c>
      <c r="H861" s="5">
        <f t="shared" si="180"/>
        <v>0.93208537488489718</v>
      </c>
      <c r="I861" s="24">
        <f t="shared" si="181"/>
        <v>5.8825888899827206E-5</v>
      </c>
      <c r="J861" s="25">
        <f>INDEX('Default Prob'!$C$3:$C$13, _xlfn.IFNA(MATCH(F861, 'Default Prob'!$B$3:$B$13, 1), 1))</f>
        <v>1.8499999999999999E-2</v>
      </c>
      <c r="K861" s="26">
        <f t="shared" si="172"/>
        <v>0.94193085481447125</v>
      </c>
      <c r="L861" s="27">
        <f t="shared" ca="1" si="173"/>
        <v>0</v>
      </c>
      <c r="M861" s="27">
        <f t="shared" ca="1" si="174"/>
        <v>1011.2938251630975</v>
      </c>
      <c r="N861" s="28">
        <f t="shared" ca="1" si="175"/>
        <v>5.6035709763345688E-2</v>
      </c>
      <c r="O861" s="29">
        <f t="shared" ca="1" si="176"/>
        <v>600000</v>
      </c>
      <c r="P861" s="30">
        <f t="shared" ca="1" si="177"/>
        <v>33.245951889981214</v>
      </c>
    </row>
    <row r="862" spans="1:16" x14ac:dyDescent="0.25">
      <c r="A862" s="3">
        <f t="shared" si="178"/>
        <v>47318</v>
      </c>
      <c r="B862" s="21">
        <f t="shared" si="169"/>
        <v>36726</v>
      </c>
      <c r="C862" s="21">
        <f t="shared" si="170"/>
        <v>36789</v>
      </c>
      <c r="D862" s="1">
        <f t="shared" si="179"/>
        <v>0</v>
      </c>
      <c r="E862" s="3">
        <f t="array" ref="E862">INDEX($A$9:A861, MAX(IF($D$9:D861=1, ROW(D$9:$D861)-ROW($D$9)+1, 0)))</f>
        <v>47289</v>
      </c>
      <c r="F862" s="23">
        <f t="shared" si="171"/>
        <v>3.2662559890485969</v>
      </c>
      <c r="G862" s="5">
        <f>INDEX('Default Prob'!$P$5:$P$14,MIN(1+_xlfn.IFNA(MATCH(F862,'Default Prob'!$F$5:$F$14,1),0),COUNT('Default Prob'!$P$5:$P$14)))</f>
        <v>2.3050976347889798E-2</v>
      </c>
      <c r="H862" s="5">
        <f t="shared" si="180"/>
        <v>0.93202655270838997</v>
      </c>
      <c r="I862" s="24">
        <f t="shared" si="181"/>
        <v>5.8822176507211665E-5</v>
      </c>
      <c r="J862" s="25">
        <f>INDEX('Default Prob'!$C$3:$C$13, _xlfn.IFNA(MATCH(F862, 'Default Prob'!$B$3:$B$13, 1), 1))</f>
        <v>1.8499999999999999E-2</v>
      </c>
      <c r="K862" s="26">
        <f t="shared" si="172"/>
        <v>0.94188358291734209</v>
      </c>
      <c r="L862" s="27">
        <f t="shared" ca="1" si="173"/>
        <v>0</v>
      </c>
      <c r="M862" s="27">
        <f t="shared" ca="1" si="174"/>
        <v>1047.4114617760652</v>
      </c>
      <c r="N862" s="28">
        <f t="shared" ca="1" si="175"/>
        <v>5.8030410035785858E-2</v>
      </c>
      <c r="O862" s="29">
        <f t="shared" ca="1" si="176"/>
        <v>600000</v>
      </c>
      <c r="P862" s="30">
        <f t="shared" ca="1" si="177"/>
        <v>33.242185418165299</v>
      </c>
    </row>
    <row r="863" spans="1:16" x14ac:dyDescent="0.25">
      <c r="A863" s="3">
        <f t="shared" si="178"/>
        <v>47319</v>
      </c>
      <c r="B863" s="21">
        <f t="shared" si="169"/>
        <v>36727</v>
      </c>
      <c r="C863" s="21">
        <f t="shared" si="170"/>
        <v>36789</v>
      </c>
      <c r="D863" s="1">
        <f t="shared" si="179"/>
        <v>0</v>
      </c>
      <c r="E863" s="3">
        <f t="array" ref="E863">INDEX($A$9:A862, MAX(IF($D$9:D862=1, ROW(D$9:$D862)-ROW($D$9)+1, 0)))</f>
        <v>47289</v>
      </c>
      <c r="F863" s="23">
        <f t="shared" si="171"/>
        <v>3.268993839835729</v>
      </c>
      <c r="G863" s="5">
        <f>INDEX('Default Prob'!$P$5:$P$14,MIN(1+_xlfn.IFNA(MATCH(F863,'Default Prob'!$F$5:$F$14,1),0),COUNT('Default Prob'!$P$5:$P$14)))</f>
        <v>2.3050976347889798E-2</v>
      </c>
      <c r="H863" s="5">
        <f t="shared" si="180"/>
        <v>0.931967734244041</v>
      </c>
      <c r="I863" s="24">
        <f t="shared" si="181"/>
        <v>5.8818464348964206E-5</v>
      </c>
      <c r="J863" s="25">
        <f>INDEX('Default Prob'!$C$3:$C$13, _xlfn.IFNA(MATCH(F863, 'Default Prob'!$B$3:$B$13, 1), 1))</f>
        <v>1.8499999999999999E-2</v>
      </c>
      <c r="K863" s="26">
        <f t="shared" si="172"/>
        <v>0.94183631339260809</v>
      </c>
      <c r="L863" s="27">
        <f t="shared" ca="1" si="173"/>
        <v>0</v>
      </c>
      <c r="M863" s="27">
        <f t="shared" ca="1" si="174"/>
        <v>1083.5290983890329</v>
      </c>
      <c r="N863" s="28">
        <f t="shared" ca="1" si="175"/>
        <v>6.0024657625363152E-2</v>
      </c>
      <c r="O863" s="29">
        <f t="shared" ca="1" si="176"/>
        <v>600000</v>
      </c>
      <c r="P863" s="30">
        <f t="shared" ca="1" si="177"/>
        <v>33.238419373105799</v>
      </c>
    </row>
    <row r="864" spans="1:16" x14ac:dyDescent="0.25">
      <c r="A864" s="3">
        <f t="shared" si="178"/>
        <v>47322</v>
      </c>
      <c r="B864" s="21">
        <f t="shared" si="169"/>
        <v>36730</v>
      </c>
      <c r="C864" s="21">
        <f t="shared" si="170"/>
        <v>36789</v>
      </c>
      <c r="D864" s="1">
        <f t="shared" si="179"/>
        <v>0</v>
      </c>
      <c r="E864" s="3">
        <f t="array" ref="E864">INDEX($A$9:A863, MAX(IF($D$9:D863=1, ROW(D$9:$D863)-ROW($D$9)+1, 0)))</f>
        <v>47289</v>
      </c>
      <c r="F864" s="23">
        <f t="shared" si="171"/>
        <v>3.2772073921971252</v>
      </c>
      <c r="G864" s="5">
        <f>INDEX('Default Prob'!$P$5:$P$14,MIN(1+_xlfn.IFNA(MATCH(F864,'Default Prob'!$F$5:$F$14,1),0),COUNT('Default Prob'!$P$5:$P$14)))</f>
        <v>2.3050976347889798E-2</v>
      </c>
      <c r="H864" s="5">
        <f t="shared" si="180"/>
        <v>0.93179130112160136</v>
      </c>
      <c r="I864" s="24">
        <f t="shared" si="181"/>
        <v>1.7643312243964537E-4</v>
      </c>
      <c r="J864" s="25">
        <f>INDEX('Default Prob'!$C$3:$C$13, _xlfn.IFNA(MATCH(F864, 'Default Prob'!$B$3:$B$13, 1), 1))</f>
        <v>1.8499999999999999E-2</v>
      </c>
      <c r="K864" s="26">
        <f t="shared" si="172"/>
        <v>0.94169451905158685</v>
      </c>
      <c r="L864" s="27">
        <f t="shared" ca="1" si="173"/>
        <v>0</v>
      </c>
      <c r="M864" s="27">
        <f t="shared" ca="1" si="174"/>
        <v>1191.8820082279362</v>
      </c>
      <c r="N864" s="28">
        <f t="shared" ca="1" si="175"/>
        <v>0.19802655254836399</v>
      </c>
      <c r="O864" s="29">
        <f t="shared" ca="1" si="176"/>
        <v>600000</v>
      </c>
      <c r="P864" s="30">
        <f t="shared" ca="1" si="177"/>
        <v>99.687662628342949</v>
      </c>
    </row>
    <row r="865" spans="1:16" x14ac:dyDescent="0.25">
      <c r="A865" s="3">
        <f t="shared" si="178"/>
        <v>47323</v>
      </c>
      <c r="B865" s="21">
        <f t="shared" si="169"/>
        <v>36731</v>
      </c>
      <c r="C865" s="21">
        <f t="shared" si="170"/>
        <v>36789</v>
      </c>
      <c r="D865" s="1">
        <f t="shared" si="179"/>
        <v>0</v>
      </c>
      <c r="E865" s="3">
        <f t="array" ref="E865">INDEX($A$9:A864, MAX(IF($D$9:D864=1, ROW(D$9:$D864)-ROW($D$9)+1, 0)))</f>
        <v>47289</v>
      </c>
      <c r="F865" s="23">
        <f t="shared" si="171"/>
        <v>3.2799452429842573</v>
      </c>
      <c r="G865" s="5">
        <f>INDEX('Default Prob'!$P$5:$P$14,MIN(1+_xlfn.IFNA(MATCH(F865,'Default Prob'!$F$5:$F$14,1),0),COUNT('Default Prob'!$P$5:$P$14)))</f>
        <v>2.3050976347889798E-2</v>
      </c>
      <c r="H865" s="5">
        <f t="shared" si="180"/>
        <v>0.93173249750354303</v>
      </c>
      <c r="I865" s="24">
        <f t="shared" si="181"/>
        <v>5.8803618058322904E-5</v>
      </c>
      <c r="J865" s="25">
        <f>INDEX('Default Prob'!$C$3:$C$13, _xlfn.IFNA(MATCH(F865, 'Default Prob'!$B$3:$B$13, 1), 1))</f>
        <v>1.8499999999999999E-2</v>
      </c>
      <c r="K865" s="26">
        <f t="shared" si="172"/>
        <v>0.94164725901524338</v>
      </c>
      <c r="L865" s="27">
        <f t="shared" ca="1" si="173"/>
        <v>0</v>
      </c>
      <c r="M865" s="27">
        <f t="shared" ca="1" si="174"/>
        <v>1227.9996448409042</v>
      </c>
      <c r="N865" s="28">
        <f t="shared" ca="1" si="175"/>
        <v>6.7997122693209358E-2</v>
      </c>
      <c r="O865" s="29">
        <f t="shared" ca="1" si="176"/>
        <v>600000</v>
      </c>
      <c r="P865" s="30">
        <f t="shared" ca="1" si="177"/>
        <v>33.223359458879415</v>
      </c>
    </row>
    <row r="866" spans="1:16" x14ac:dyDescent="0.25">
      <c r="A866" s="3">
        <f t="shared" si="178"/>
        <v>47324</v>
      </c>
      <c r="B866" s="21">
        <f t="shared" si="169"/>
        <v>36732</v>
      </c>
      <c r="C866" s="21">
        <f t="shared" si="170"/>
        <v>36789</v>
      </c>
      <c r="D866" s="1">
        <f t="shared" si="179"/>
        <v>0</v>
      </c>
      <c r="E866" s="3">
        <f t="array" ref="E866">INDEX($A$9:A865, MAX(IF($D$9:D865=1, ROW(D$9:$D865)-ROW($D$9)+1, 0)))</f>
        <v>47289</v>
      </c>
      <c r="F866" s="23">
        <f t="shared" si="171"/>
        <v>3.2826830937713893</v>
      </c>
      <c r="G866" s="5">
        <f>INDEX('Default Prob'!$P$5:$P$14,MIN(1+_xlfn.IFNA(MATCH(F866,'Default Prob'!$F$5:$F$14,1),0),COUNT('Default Prob'!$P$5:$P$14)))</f>
        <v>2.3050976347889798E-2</v>
      </c>
      <c r="H866" s="5">
        <f t="shared" si="180"/>
        <v>0.93167369759647178</v>
      </c>
      <c r="I866" s="24">
        <f t="shared" si="181"/>
        <v>5.8799907071249713E-5</v>
      </c>
      <c r="J866" s="25">
        <f>INDEX('Default Prob'!$C$3:$C$13, _xlfn.IFNA(MATCH(F866, 'Default Prob'!$B$3:$B$13, 1), 1))</f>
        <v>1.8499999999999999E-2</v>
      </c>
      <c r="K866" s="26">
        <f t="shared" si="172"/>
        <v>0.94160000135069966</v>
      </c>
      <c r="L866" s="27">
        <f t="shared" ca="1" si="173"/>
        <v>0</v>
      </c>
      <c r="M866" s="27">
        <f t="shared" ca="1" si="174"/>
        <v>1264.1172814538718</v>
      </c>
      <c r="N866" s="28">
        <f t="shared" ca="1" si="175"/>
        <v>6.9989108022329688E-2</v>
      </c>
      <c r="O866" s="29">
        <f t="shared" ca="1" si="176"/>
        <v>600000</v>
      </c>
      <c r="P866" s="30">
        <f t="shared" ca="1" si="177"/>
        <v>33.219595546625847</v>
      </c>
    </row>
    <row r="867" spans="1:16" x14ac:dyDescent="0.25">
      <c r="A867" s="3">
        <f t="shared" si="178"/>
        <v>47325</v>
      </c>
      <c r="B867" s="21">
        <f t="shared" si="169"/>
        <v>36733</v>
      </c>
      <c r="C867" s="21">
        <f t="shared" si="170"/>
        <v>36789</v>
      </c>
      <c r="D867" s="1">
        <f t="shared" si="179"/>
        <v>0</v>
      </c>
      <c r="E867" s="3">
        <f t="array" ref="E867">INDEX($A$9:A866, MAX(IF($D$9:D866=1, ROW(D$9:$D866)-ROW($D$9)+1, 0)))</f>
        <v>47289</v>
      </c>
      <c r="F867" s="23">
        <f t="shared" si="171"/>
        <v>3.2854209445585214</v>
      </c>
      <c r="G867" s="5">
        <f>INDEX('Default Prob'!$P$5:$P$14,MIN(1+_xlfn.IFNA(MATCH(F867,'Default Prob'!$F$5:$F$14,1),0),COUNT('Default Prob'!$P$5:$P$14)))</f>
        <v>2.3050976347889798E-2</v>
      </c>
      <c r="H867" s="5">
        <f t="shared" si="180"/>
        <v>0.93161490140015346</v>
      </c>
      <c r="I867" s="24">
        <f t="shared" si="181"/>
        <v>5.8796196318322558E-5</v>
      </c>
      <c r="J867" s="25">
        <f>INDEX('Default Prob'!$C$3:$C$13, _xlfn.IFNA(MATCH(F867, 'Default Prob'!$B$3:$B$13, 1), 1))</f>
        <v>1.8499999999999999E-2</v>
      </c>
      <c r="K867" s="26">
        <f t="shared" si="172"/>
        <v>0.94155274605783701</v>
      </c>
      <c r="L867" s="27">
        <f t="shared" ca="1" si="173"/>
        <v>0</v>
      </c>
      <c r="M867" s="27">
        <f t="shared" ca="1" si="174"/>
        <v>1300.2349180668396</v>
      </c>
      <c r="N867" s="28">
        <f t="shared" ca="1" si="175"/>
        <v>7.1980641130080944E-2</v>
      </c>
      <c r="O867" s="29">
        <f t="shared" ca="1" si="176"/>
        <v>600000</v>
      </c>
      <c r="P867" s="30">
        <f t="shared" ca="1" si="177"/>
        <v>33.215832060763375</v>
      </c>
    </row>
    <row r="868" spans="1:16" x14ac:dyDescent="0.25">
      <c r="A868" s="3">
        <f t="shared" si="178"/>
        <v>47326</v>
      </c>
      <c r="B868" s="21">
        <f t="shared" si="169"/>
        <v>36734</v>
      </c>
      <c r="C868" s="21">
        <f t="shared" si="170"/>
        <v>36789</v>
      </c>
      <c r="D868" s="1">
        <f t="shared" si="179"/>
        <v>0</v>
      </c>
      <c r="E868" s="3">
        <f t="array" ref="E868">INDEX($A$9:A867, MAX(IF($D$9:D867=1, ROW(D$9:$D867)-ROW($D$9)+1, 0)))</f>
        <v>47289</v>
      </c>
      <c r="F868" s="23">
        <f t="shared" si="171"/>
        <v>3.2881587953456535</v>
      </c>
      <c r="G868" s="5">
        <f>INDEX('Default Prob'!$P$5:$P$14,MIN(1+_xlfn.IFNA(MATCH(F868,'Default Prob'!$F$5:$F$14,1),0),COUNT('Default Prob'!$P$5:$P$14)))</f>
        <v>2.3050976347889798E-2</v>
      </c>
      <c r="H868" s="5">
        <f t="shared" si="180"/>
        <v>0.93155610891435381</v>
      </c>
      <c r="I868" s="24">
        <f t="shared" si="181"/>
        <v>5.8792485799652461E-5</v>
      </c>
      <c r="J868" s="25">
        <f>INDEX('Default Prob'!$C$3:$C$13, _xlfn.IFNA(MATCH(F868, 'Default Prob'!$B$3:$B$13, 1), 1))</f>
        <v>1.8499999999999999E-2</v>
      </c>
      <c r="K868" s="26">
        <f t="shared" si="172"/>
        <v>0.94150549313653609</v>
      </c>
      <c r="L868" s="27">
        <f t="shared" ca="1" si="173"/>
        <v>0</v>
      </c>
      <c r="M868" s="27">
        <f t="shared" ca="1" si="174"/>
        <v>1336.3525546798076</v>
      </c>
      <c r="N868" s="28">
        <f t="shared" ca="1" si="175"/>
        <v>7.3971722093515019E-2</v>
      </c>
      <c r="O868" s="29">
        <f t="shared" ca="1" si="176"/>
        <v>600000</v>
      </c>
      <c r="P868" s="30">
        <f t="shared" ca="1" si="177"/>
        <v>33.212069001314752</v>
      </c>
    </row>
    <row r="869" spans="1:16" x14ac:dyDescent="0.25">
      <c r="A869" s="3">
        <f t="shared" si="178"/>
        <v>47329</v>
      </c>
      <c r="B869" s="21">
        <f t="shared" si="169"/>
        <v>36737</v>
      </c>
      <c r="C869" s="21">
        <f t="shared" si="170"/>
        <v>36789</v>
      </c>
      <c r="D869" s="1">
        <f t="shared" si="179"/>
        <v>0</v>
      </c>
      <c r="E869" s="3">
        <f t="array" ref="E869">INDEX($A$9:A868, MAX(IF($D$9:D868=1, ROW(D$9:$D868)-ROW($D$9)+1, 0)))</f>
        <v>47289</v>
      </c>
      <c r="F869" s="23">
        <f t="shared" si="171"/>
        <v>3.2963723477070501</v>
      </c>
      <c r="G869" s="5">
        <f>INDEX('Default Prob'!$P$5:$P$14,MIN(1+_xlfn.IFNA(MATCH(F869,'Default Prob'!$F$5:$F$14,1),0),COUNT('Default Prob'!$P$5:$P$14)))</f>
        <v>2.3050976347889798E-2</v>
      </c>
      <c r="H869" s="5">
        <f t="shared" si="180"/>
        <v>0.93137975371772586</v>
      </c>
      <c r="I869" s="24">
        <f t="shared" si="181"/>
        <v>1.7635519662795307E-4</v>
      </c>
      <c r="J869" s="25">
        <f>INDEX('Default Prob'!$C$3:$C$13, _xlfn.IFNA(MATCH(F869, 'Default Prob'!$B$3:$B$13, 1), 1))</f>
        <v>1.8499999999999999E-2</v>
      </c>
      <c r="K869" s="26">
        <f t="shared" si="172"/>
        <v>0.94136374860081495</v>
      </c>
      <c r="L869" s="27">
        <f t="shared" ca="1" si="173"/>
        <v>0</v>
      </c>
      <c r="M869" s="27">
        <f t="shared" ca="1" si="174"/>
        <v>1444.7054645187106</v>
      </c>
      <c r="N869" s="28">
        <f t="shared" ca="1" si="175"/>
        <v>0.23984189495236469</v>
      </c>
      <c r="O869" s="29">
        <f t="shared" ca="1" si="176"/>
        <v>600000</v>
      </c>
      <c r="P869" s="30">
        <f t="shared" ca="1" si="177"/>
        <v>99.608633389754232</v>
      </c>
    </row>
    <row r="870" spans="1:16" x14ac:dyDescent="0.25">
      <c r="A870" s="3">
        <f t="shared" si="178"/>
        <v>47330</v>
      </c>
      <c r="B870" s="21">
        <f t="shared" si="169"/>
        <v>36738</v>
      </c>
      <c r="C870" s="21">
        <f t="shared" si="170"/>
        <v>36789</v>
      </c>
      <c r="D870" s="1">
        <f t="shared" si="179"/>
        <v>0</v>
      </c>
      <c r="E870" s="3">
        <f t="array" ref="E870">INDEX($A$9:A869, MAX(IF($D$9:D869=1, ROW(D$9:$D869)-ROW($D$9)+1, 0)))</f>
        <v>47289</v>
      </c>
      <c r="F870" s="23">
        <f t="shared" si="171"/>
        <v>3.2991101984941822</v>
      </c>
      <c r="G870" s="5">
        <f>INDEX('Default Prob'!$P$5:$P$14,MIN(1+_xlfn.IFNA(MATCH(F870,'Default Prob'!$F$5:$F$14,1),0),COUNT('Default Prob'!$P$5:$P$14)))</f>
        <v>2.3050976347889798E-2</v>
      </c>
      <c r="H870" s="5">
        <f t="shared" si="180"/>
        <v>0.93132097607165965</v>
      </c>
      <c r="I870" s="24">
        <f t="shared" si="181"/>
        <v>5.8777646066210387E-5</v>
      </c>
      <c r="J870" s="25">
        <f>INDEX('Default Prob'!$C$3:$C$13, _xlfn.IFNA(MATCH(F870, 'Default Prob'!$B$3:$B$13, 1), 1))</f>
        <v>1.8499999999999999E-2</v>
      </c>
      <c r="K870" s="26">
        <f t="shared" si="172"/>
        <v>0.94131650516457188</v>
      </c>
      <c r="L870" s="27">
        <f t="shared" ca="1" si="173"/>
        <v>0</v>
      </c>
      <c r="M870" s="27">
        <f t="shared" ca="1" si="174"/>
        <v>1480.8231011316784</v>
      </c>
      <c r="N870" s="28">
        <f t="shared" ca="1" si="175"/>
        <v>8.1931526040355959E-2</v>
      </c>
      <c r="O870" s="29">
        <f t="shared" ca="1" si="176"/>
        <v>600000</v>
      </c>
      <c r="P870" s="30">
        <f t="shared" ca="1" si="177"/>
        <v>33.197021026107187</v>
      </c>
    </row>
    <row r="871" spans="1:16" x14ac:dyDescent="0.25">
      <c r="A871" s="3">
        <f t="shared" si="178"/>
        <v>47331</v>
      </c>
      <c r="B871" s="21">
        <f t="shared" si="169"/>
        <v>36739</v>
      </c>
      <c r="C871" s="21">
        <f t="shared" si="170"/>
        <v>36789</v>
      </c>
      <c r="D871" s="1">
        <f t="shared" si="179"/>
        <v>0</v>
      </c>
      <c r="E871" s="3">
        <f t="array" ref="E871">INDEX($A$9:A870, MAX(IF($D$9:D870=1, ROW(D$9:$D870)-ROW($D$9)+1, 0)))</f>
        <v>47289</v>
      </c>
      <c r="F871" s="23">
        <f t="shared" si="171"/>
        <v>3.3018480492813143</v>
      </c>
      <c r="G871" s="5">
        <f>INDEX('Default Prob'!$P$5:$P$14,MIN(1+_xlfn.IFNA(MATCH(F871,'Default Prob'!$F$5:$F$14,1),0),COUNT('Default Prob'!$P$5:$P$14)))</f>
        <v>2.3050976347889798E-2</v>
      </c>
      <c r="H871" s="5">
        <f t="shared" si="180"/>
        <v>0.93126220213494149</v>
      </c>
      <c r="I871" s="24">
        <f t="shared" si="181"/>
        <v>5.8773936718159447E-5</v>
      </c>
      <c r="J871" s="25">
        <f>INDEX('Default Prob'!$C$3:$C$13, _xlfn.IFNA(MATCH(F871, 'Default Prob'!$B$3:$B$13, 1), 1))</f>
        <v>1.8499999999999999E-2</v>
      </c>
      <c r="K871" s="26">
        <f t="shared" si="172"/>
        <v>0.94126926409929534</v>
      </c>
      <c r="L871" s="27">
        <f t="shared" ca="1" si="173"/>
        <v>0</v>
      </c>
      <c r="M871" s="27">
        <f t="shared" ca="1" si="174"/>
        <v>1516.9407377446464</v>
      </c>
      <c r="N871" s="28">
        <f t="shared" ca="1" si="175"/>
        <v>8.3920347434723833E-2</v>
      </c>
      <c r="O871" s="29">
        <f t="shared" ca="1" si="176"/>
        <v>600000</v>
      </c>
      <c r="P871" s="30">
        <f t="shared" ca="1" si="177"/>
        <v>33.193260097752301</v>
      </c>
    </row>
    <row r="872" spans="1:16" x14ac:dyDescent="0.25">
      <c r="A872" s="3">
        <f t="shared" si="178"/>
        <v>47332</v>
      </c>
      <c r="B872" s="21">
        <f t="shared" si="169"/>
        <v>36740</v>
      </c>
      <c r="C872" s="21">
        <f t="shared" si="170"/>
        <v>36789</v>
      </c>
      <c r="D872" s="1">
        <f t="shared" si="179"/>
        <v>0</v>
      </c>
      <c r="E872" s="3">
        <f t="array" ref="E872">INDEX($A$9:A871, MAX(IF($D$9:D871=1, ROW(D$9:$D871)-ROW($D$9)+1, 0)))</f>
        <v>47289</v>
      </c>
      <c r="F872" s="23">
        <f t="shared" si="171"/>
        <v>3.3045859000684463</v>
      </c>
      <c r="G872" s="5">
        <f>INDEX('Default Prob'!$P$5:$P$14,MIN(1+_xlfn.IFNA(MATCH(F872,'Default Prob'!$F$5:$F$14,1),0),COUNT('Default Prob'!$P$5:$P$14)))</f>
        <v>2.3050976347889798E-2</v>
      </c>
      <c r="H872" s="5">
        <f t="shared" si="180"/>
        <v>0.93120343190733734</v>
      </c>
      <c r="I872" s="24">
        <f t="shared" si="181"/>
        <v>5.8770227604143521E-5</v>
      </c>
      <c r="J872" s="25">
        <f>INDEX('Default Prob'!$C$3:$C$13, _xlfn.IFNA(MATCH(F872, 'Default Prob'!$B$3:$B$13, 1), 1))</f>
        <v>1.8499999999999999E-2</v>
      </c>
      <c r="K872" s="26">
        <f t="shared" si="172"/>
        <v>0.94122202540486677</v>
      </c>
      <c r="L872" s="27">
        <f t="shared" ca="1" si="173"/>
        <v>0</v>
      </c>
      <c r="M872" s="27">
        <f t="shared" ca="1" si="174"/>
        <v>1553.0583743576142</v>
      </c>
      <c r="N872" s="28">
        <f t="shared" ca="1" si="175"/>
        <v>8.5908717145743899E-2</v>
      </c>
      <c r="O872" s="29">
        <f t="shared" ca="1" si="176"/>
        <v>600000</v>
      </c>
      <c r="P872" s="30">
        <f t="shared" ca="1" si="177"/>
        <v>33.189499595446186</v>
      </c>
    </row>
    <row r="873" spans="1:16" x14ac:dyDescent="0.25">
      <c r="A873" s="3">
        <f t="shared" si="178"/>
        <v>47333</v>
      </c>
      <c r="B873" s="21">
        <f t="shared" si="169"/>
        <v>36741</v>
      </c>
      <c r="C873" s="21">
        <f t="shared" si="170"/>
        <v>36789</v>
      </c>
      <c r="D873" s="1">
        <f t="shared" si="179"/>
        <v>0</v>
      </c>
      <c r="E873" s="3">
        <f t="array" ref="E873">INDEX($A$9:A872, MAX(IF($D$9:D872=1, ROW(D$9:$D872)-ROW($D$9)+1, 0)))</f>
        <v>47289</v>
      </c>
      <c r="F873" s="23">
        <f t="shared" si="171"/>
        <v>3.3073237508555784</v>
      </c>
      <c r="G873" s="5">
        <f>INDEX('Default Prob'!$P$5:$P$14,MIN(1+_xlfn.IFNA(MATCH(F873,'Default Prob'!$F$5:$F$14,1),0),COUNT('Default Prob'!$P$5:$P$14)))</f>
        <v>2.3050976347889798E-2</v>
      </c>
      <c r="H873" s="5">
        <f t="shared" si="180"/>
        <v>0.93114466538861307</v>
      </c>
      <c r="I873" s="24">
        <f t="shared" si="181"/>
        <v>5.8766518724273631E-5</v>
      </c>
      <c r="J873" s="25">
        <f>INDEX('Default Prob'!$C$3:$C$13, _xlfn.IFNA(MATCH(F873, 'Default Prob'!$B$3:$B$13, 1), 1))</f>
        <v>1.8499999999999999E-2</v>
      </c>
      <c r="K873" s="26">
        <f t="shared" si="172"/>
        <v>0.94117478908116714</v>
      </c>
      <c r="L873" s="27">
        <f t="shared" ca="1" si="173"/>
        <v>0</v>
      </c>
      <c r="M873" s="27">
        <f t="shared" ca="1" si="174"/>
        <v>1589.1760109705817</v>
      </c>
      <c r="N873" s="28">
        <f t="shared" ca="1" si="175"/>
        <v>8.7896635250415855E-2</v>
      </c>
      <c r="O873" s="29">
        <f t="shared" ca="1" si="176"/>
        <v>600000</v>
      </c>
      <c r="P873" s="30">
        <f t="shared" ca="1" si="177"/>
        <v>33.185739519211616</v>
      </c>
    </row>
    <row r="874" spans="1:16" x14ac:dyDescent="0.25">
      <c r="A874" s="3">
        <f t="shared" si="178"/>
        <v>47336</v>
      </c>
      <c r="B874" s="21">
        <f t="shared" si="169"/>
        <v>36744</v>
      </c>
      <c r="C874" s="21">
        <f t="shared" si="170"/>
        <v>36789</v>
      </c>
      <c r="D874" s="1">
        <f t="shared" si="179"/>
        <v>0</v>
      </c>
      <c r="E874" s="3">
        <f t="array" ref="E874">INDEX($A$9:A873, MAX(IF($D$9:D873=1, ROW(D$9:$D873)-ROW($D$9)+1, 0)))</f>
        <v>47289</v>
      </c>
      <c r="F874" s="23">
        <f t="shared" si="171"/>
        <v>3.3155373032169746</v>
      </c>
      <c r="G874" s="5">
        <f>INDEX('Default Prob'!$P$5:$P$14,MIN(1+_xlfn.IFNA(MATCH(F874,'Default Prob'!$F$5:$F$14,1),0),COUNT('Default Prob'!$P$5:$P$14)))</f>
        <v>2.3050976347889798E-2</v>
      </c>
      <c r="H874" s="5">
        <f t="shared" si="180"/>
        <v>0.93096838808337912</v>
      </c>
      <c r="I874" s="24">
        <f t="shared" si="181"/>
        <v>1.7627730523395169E-4</v>
      </c>
      <c r="J874" s="25">
        <f>INDEX('Default Prob'!$C$3:$C$13, _xlfn.IFNA(MATCH(F874, 'Default Prob'!$B$3:$B$13, 1), 1))</f>
        <v>1.8499999999999999E-2</v>
      </c>
      <c r="K874" s="26">
        <f t="shared" si="172"/>
        <v>0.94103309433325211</v>
      </c>
      <c r="L874" s="27">
        <f t="shared" ca="1" si="173"/>
        <v>0</v>
      </c>
      <c r="M874" s="27">
        <f t="shared" ca="1" si="174"/>
        <v>1697.528920809485</v>
      </c>
      <c r="N874" s="28">
        <f t="shared" ca="1" si="175"/>
        <v>0.28159081312776257</v>
      </c>
      <c r="O874" s="29">
        <f t="shared" ca="1" si="176"/>
        <v>600000</v>
      </c>
      <c r="P874" s="30">
        <f t="shared" ca="1" si="177"/>
        <v>99.529666803019637</v>
      </c>
    </row>
    <row r="875" spans="1:16" x14ac:dyDescent="0.25">
      <c r="A875" s="3">
        <f t="shared" si="178"/>
        <v>47337</v>
      </c>
      <c r="B875" s="21">
        <f t="shared" si="169"/>
        <v>36745</v>
      </c>
      <c r="C875" s="21">
        <f t="shared" si="170"/>
        <v>36789</v>
      </c>
      <c r="D875" s="1">
        <f t="shared" si="179"/>
        <v>0</v>
      </c>
      <c r="E875" s="3">
        <f t="array" ref="E875">INDEX($A$9:A874, MAX(IF($D$9:D874=1, ROW(D$9:$D874)-ROW($D$9)+1, 0)))</f>
        <v>47289</v>
      </c>
      <c r="F875" s="23">
        <f t="shared" si="171"/>
        <v>3.3182751540041067</v>
      </c>
      <c r="G875" s="5">
        <f>INDEX('Default Prob'!$P$5:$P$14,MIN(1+_xlfn.IFNA(MATCH(F875,'Default Prob'!$F$5:$F$14,1),0),COUNT('Default Prob'!$P$5:$P$14)))</f>
        <v>2.3050976347889798E-2</v>
      </c>
      <c r="H875" s="5">
        <f t="shared" si="180"/>
        <v>0.93090963639783397</v>
      </c>
      <c r="I875" s="24">
        <f t="shared" si="181"/>
        <v>5.8751685545144205E-5</v>
      </c>
      <c r="J875" s="25">
        <f>INDEX('Default Prob'!$C$3:$C$13, _xlfn.IFNA(MATCH(F875, 'Default Prob'!$B$3:$B$13, 1), 1))</f>
        <v>1.8499999999999999E-2</v>
      </c>
      <c r="K875" s="26">
        <f t="shared" si="172"/>
        <v>0.94098586749127844</v>
      </c>
      <c r="L875" s="27">
        <f t="shared" ca="1" si="173"/>
        <v>0</v>
      </c>
      <c r="M875" s="27">
        <f t="shared" ca="1" si="174"/>
        <v>1733.646557422453</v>
      </c>
      <c r="N875" s="28">
        <f t="shared" ca="1" si="175"/>
        <v>9.584379314037364E-2</v>
      </c>
      <c r="O875" s="29">
        <f t="shared" ca="1" si="176"/>
        <v>600000</v>
      </c>
      <c r="P875" s="30">
        <f t="shared" ca="1" si="177"/>
        <v>33.170703473563393</v>
      </c>
    </row>
    <row r="876" spans="1:16" x14ac:dyDescent="0.25">
      <c r="A876" s="3">
        <f t="shared" si="178"/>
        <v>47338</v>
      </c>
      <c r="B876" s="21">
        <f t="shared" si="169"/>
        <v>36746</v>
      </c>
      <c r="C876" s="21">
        <f t="shared" si="170"/>
        <v>36789</v>
      </c>
      <c r="D876" s="1">
        <f t="shared" si="179"/>
        <v>0</v>
      </c>
      <c r="E876" s="3">
        <f t="array" ref="E876">INDEX($A$9:A875, MAX(IF($D$9:D875=1, ROW(D$9:$D875)-ROW($D$9)+1, 0)))</f>
        <v>47289</v>
      </c>
      <c r="F876" s="23">
        <f t="shared" si="171"/>
        <v>3.3210130047912387</v>
      </c>
      <c r="G876" s="5">
        <f>INDEX('Default Prob'!$P$5:$P$14,MIN(1+_xlfn.IFNA(MATCH(F876,'Default Prob'!$F$5:$F$14,1),0),COUNT('Default Prob'!$P$5:$P$14)))</f>
        <v>2.3050976347889798E-2</v>
      </c>
      <c r="H876" s="5">
        <f t="shared" si="180"/>
        <v>0.93085088841999852</v>
      </c>
      <c r="I876" s="24">
        <f t="shared" si="181"/>
        <v>5.8747977835449383E-5</v>
      </c>
      <c r="J876" s="25">
        <f>INDEX('Default Prob'!$C$3:$C$13, _xlfn.IFNA(MATCH(F876, 'Default Prob'!$B$3:$B$13, 1), 1))</f>
        <v>1.8499999999999999E-2</v>
      </c>
      <c r="K876" s="26">
        <f t="shared" si="172"/>
        <v>0.94093864301943886</v>
      </c>
      <c r="L876" s="27">
        <f t="shared" ca="1" si="173"/>
        <v>0</v>
      </c>
      <c r="M876" s="27">
        <f t="shared" ca="1" si="174"/>
        <v>1769.7641940354208</v>
      </c>
      <c r="N876" s="28">
        <f t="shared" ca="1" si="175"/>
        <v>9.7829454364680671E-2</v>
      </c>
      <c r="O876" s="29">
        <f t="shared" ca="1" si="176"/>
        <v>600000</v>
      </c>
      <c r="P876" s="30">
        <f t="shared" ca="1" si="177"/>
        <v>33.166945526774285</v>
      </c>
    </row>
    <row r="877" spans="1:16" x14ac:dyDescent="0.25">
      <c r="A877" s="3">
        <f t="shared" si="178"/>
        <v>47339</v>
      </c>
      <c r="B877" s="21">
        <f t="shared" si="169"/>
        <v>36747</v>
      </c>
      <c r="C877" s="21">
        <f t="shared" si="170"/>
        <v>36789</v>
      </c>
      <c r="D877" s="1">
        <f t="shared" si="179"/>
        <v>0</v>
      </c>
      <c r="E877" s="3">
        <f t="array" ref="E877">INDEX($A$9:A876, MAX(IF($D$9:D876=1, ROW(D$9:$D876)-ROW($D$9)+1, 0)))</f>
        <v>47289</v>
      </c>
      <c r="F877" s="23">
        <f t="shared" si="171"/>
        <v>3.3237508555783708</v>
      </c>
      <c r="G877" s="5">
        <f>INDEX('Default Prob'!$P$5:$P$14,MIN(1+_xlfn.IFNA(MATCH(F877,'Default Prob'!$F$5:$F$14,1),0),COUNT('Default Prob'!$P$5:$P$14)))</f>
        <v>2.3050976347889798E-2</v>
      </c>
      <c r="H877" s="5">
        <f t="shared" si="180"/>
        <v>0.93079214414963884</v>
      </c>
      <c r="I877" s="24">
        <f t="shared" si="181"/>
        <v>5.8744270359678552E-5</v>
      </c>
      <c r="J877" s="25">
        <f>INDEX('Default Prob'!$C$3:$C$13, _xlfn.IFNA(MATCH(F877, 'Default Prob'!$B$3:$B$13, 1), 1))</f>
        <v>1.8499999999999999E-2</v>
      </c>
      <c r="K877" s="26">
        <f t="shared" si="172"/>
        <v>0.94089142091761424</v>
      </c>
      <c r="L877" s="27">
        <f t="shared" ca="1" si="173"/>
        <v>0</v>
      </c>
      <c r="M877" s="27">
        <f t="shared" ca="1" si="174"/>
        <v>1805.8818306483884</v>
      </c>
      <c r="N877" s="28">
        <f t="shared" ca="1" si="175"/>
        <v>9.9814664443092505E-2</v>
      </c>
      <c r="O877" s="29">
        <f t="shared" ca="1" si="176"/>
        <v>600000</v>
      </c>
      <c r="P877" s="30">
        <f t="shared" ca="1" si="177"/>
        <v>33.163188005691865</v>
      </c>
    </row>
    <row r="878" spans="1:16" x14ac:dyDescent="0.25">
      <c r="A878" s="3">
        <f t="shared" si="178"/>
        <v>47340</v>
      </c>
      <c r="B878" s="21">
        <f t="shared" si="169"/>
        <v>36748</v>
      </c>
      <c r="C878" s="21">
        <f t="shared" si="170"/>
        <v>36789</v>
      </c>
      <c r="D878" s="1">
        <f t="shared" si="179"/>
        <v>0</v>
      </c>
      <c r="E878" s="3">
        <f t="array" ref="E878">INDEX($A$9:A877, MAX(IF($D$9:D877=1, ROW(D$9:$D877)-ROW($D$9)+1, 0)))</f>
        <v>47289</v>
      </c>
      <c r="F878" s="23">
        <f t="shared" si="171"/>
        <v>3.3264887063655029</v>
      </c>
      <c r="G878" s="5">
        <f>INDEX('Default Prob'!$P$5:$P$14,MIN(1+_xlfn.IFNA(MATCH(F878,'Default Prob'!$F$5:$F$14,1),0),COUNT('Default Prob'!$P$5:$P$14)))</f>
        <v>2.3050976347889798E-2</v>
      </c>
      <c r="H878" s="5">
        <f t="shared" si="180"/>
        <v>0.9307334035865209</v>
      </c>
      <c r="I878" s="24">
        <f t="shared" si="181"/>
        <v>5.8740563117942735E-5</v>
      </c>
      <c r="J878" s="25">
        <f>INDEX('Default Prob'!$C$3:$C$13, _xlfn.IFNA(MATCH(F878, 'Default Prob'!$B$3:$B$13, 1), 1))</f>
        <v>1.8499999999999999E-2</v>
      </c>
      <c r="K878" s="26">
        <f t="shared" si="172"/>
        <v>0.94084420118568601</v>
      </c>
      <c r="L878" s="27">
        <f t="shared" ca="1" si="173"/>
        <v>0</v>
      </c>
      <c r="M878" s="27">
        <f t="shared" ca="1" si="174"/>
        <v>1841.9994672613561</v>
      </c>
      <c r="N878" s="28">
        <f t="shared" ca="1" si="175"/>
        <v>0.10179942345255673</v>
      </c>
      <c r="O878" s="29">
        <f t="shared" ca="1" si="176"/>
        <v>600000</v>
      </c>
      <c r="P878" s="30">
        <f t="shared" ca="1" si="177"/>
        <v>33.159430910338919</v>
      </c>
    </row>
    <row r="879" spans="1:16" x14ac:dyDescent="0.25">
      <c r="A879" s="3">
        <f t="shared" si="178"/>
        <v>47343</v>
      </c>
      <c r="B879" s="21">
        <f t="shared" si="169"/>
        <v>36751</v>
      </c>
      <c r="C879" s="21">
        <f t="shared" si="170"/>
        <v>36789</v>
      </c>
      <c r="D879" s="1">
        <f t="shared" si="179"/>
        <v>0</v>
      </c>
      <c r="E879" s="3">
        <f t="array" ref="E879">INDEX($A$9:A878, MAX(IF($D$9:D878=1, ROW(D$9:$D878)-ROW($D$9)+1, 0)))</f>
        <v>47289</v>
      </c>
      <c r="F879" s="23">
        <f t="shared" si="171"/>
        <v>3.3347022587268995</v>
      </c>
      <c r="G879" s="5">
        <f>INDEX('Default Prob'!$P$5:$P$14,MIN(1+_xlfn.IFNA(MATCH(F879,'Default Prob'!$F$5:$F$14,1),0),COUNT('Default Prob'!$P$5:$P$14)))</f>
        <v>2.3050976347889798E-2</v>
      </c>
      <c r="H879" s="5">
        <f t="shared" si="180"/>
        <v>0.93055720413827836</v>
      </c>
      <c r="I879" s="24">
        <f t="shared" si="181"/>
        <v>1.7619944824254219E-4</v>
      </c>
      <c r="J879" s="25">
        <f>INDEX('Default Prob'!$C$3:$C$13, _xlfn.IFNA(MATCH(F879, 'Default Prob'!$B$3:$B$13, 1), 1))</f>
        <v>1.8499999999999999E-2</v>
      </c>
      <c r="K879" s="26">
        <f t="shared" si="172"/>
        <v>0.94070255620808874</v>
      </c>
      <c r="L879" s="27">
        <f t="shared" ca="1" si="173"/>
        <v>0</v>
      </c>
      <c r="M879" s="27">
        <f t="shared" ca="1" si="174"/>
        <v>1950.3523771002592</v>
      </c>
      <c r="N879" s="28">
        <f t="shared" ca="1" si="175"/>
        <v>0.32327338611258544</v>
      </c>
      <c r="O879" s="29">
        <f t="shared" ca="1" si="176"/>
        <v>600000</v>
      </c>
      <c r="P879" s="30">
        <f t="shared" ca="1" si="177"/>
        <v>99.45076281852856</v>
      </c>
    </row>
    <row r="880" spans="1:16" x14ac:dyDescent="0.25">
      <c r="A880" s="3">
        <f t="shared" si="178"/>
        <v>47344</v>
      </c>
      <c r="B880" s="21">
        <f t="shared" si="169"/>
        <v>36752</v>
      </c>
      <c r="C880" s="21">
        <f t="shared" si="170"/>
        <v>36789</v>
      </c>
      <c r="D880" s="1">
        <f t="shared" si="179"/>
        <v>0</v>
      </c>
      <c r="E880" s="3">
        <f t="array" ref="E880">INDEX($A$9:A879, MAX(IF($D$9:D879=1, ROW(D$9:$D879)-ROW($D$9)+1, 0)))</f>
        <v>47289</v>
      </c>
      <c r="F880" s="23">
        <f t="shared" si="171"/>
        <v>3.3374401095140316</v>
      </c>
      <c r="G880" s="5">
        <f>INDEX('Default Prob'!$P$5:$P$14,MIN(1+_xlfn.IFNA(MATCH(F880,'Default Prob'!$F$5:$F$14,1),0),COUNT('Default Prob'!$P$5:$P$14)))</f>
        <v>2.3050976347889798E-2</v>
      </c>
      <c r="H880" s="5">
        <f t="shared" si="180"/>
        <v>0.93049847840178812</v>
      </c>
      <c r="I880" s="24">
        <f t="shared" si="181"/>
        <v>5.8725736490239377E-5</v>
      </c>
      <c r="J880" s="25">
        <f>INDEX('Default Prob'!$C$3:$C$13, _xlfn.IFNA(MATCH(F880, 'Default Prob'!$B$3:$B$13, 1), 1))</f>
        <v>1.8499999999999999E-2</v>
      </c>
      <c r="K880" s="26">
        <f t="shared" si="172"/>
        <v>0.94065534595455591</v>
      </c>
      <c r="L880" s="27">
        <f t="shared" ca="1" si="173"/>
        <v>0</v>
      </c>
      <c r="M880" s="27">
        <f t="shared" ca="1" si="174"/>
        <v>1986.4700137132272</v>
      </c>
      <c r="N880" s="28">
        <f t="shared" ca="1" si="175"/>
        <v>0.1097339503338552</v>
      </c>
      <c r="O880" s="29">
        <f t="shared" ca="1" si="176"/>
        <v>600000</v>
      </c>
      <c r="P880" s="30">
        <f t="shared" ca="1" si="177"/>
        <v>33.144406784797326</v>
      </c>
    </row>
    <row r="881" spans="1:16" x14ac:dyDescent="0.25">
      <c r="A881" s="3">
        <f t="shared" si="178"/>
        <v>47345</v>
      </c>
      <c r="B881" s="21">
        <f t="shared" si="169"/>
        <v>36753</v>
      </c>
      <c r="C881" s="21">
        <f t="shared" si="170"/>
        <v>36789</v>
      </c>
      <c r="D881" s="1">
        <f t="shared" si="179"/>
        <v>0</v>
      </c>
      <c r="E881" s="3">
        <f t="array" ref="E881">INDEX($A$9:A880, MAX(IF($D$9:D880=1, ROW(D$9:$D880)-ROW($D$9)+1, 0)))</f>
        <v>47289</v>
      </c>
      <c r="F881" s="23">
        <f t="shared" si="171"/>
        <v>3.3401779603011637</v>
      </c>
      <c r="G881" s="5">
        <f>INDEX('Default Prob'!$P$5:$P$14,MIN(1+_xlfn.IFNA(MATCH(F881,'Default Prob'!$F$5:$F$14,1),0),COUNT('Default Prob'!$P$5:$P$14)))</f>
        <v>2.3050976347889798E-2</v>
      </c>
      <c r="H881" s="5">
        <f t="shared" si="180"/>
        <v>0.93043975637137</v>
      </c>
      <c r="I881" s="24">
        <f t="shared" si="181"/>
        <v>5.8722030418123516E-5</v>
      </c>
      <c r="J881" s="25">
        <f>INDEX('Default Prob'!$C$3:$C$13, _xlfn.IFNA(MATCH(F881, 'Default Prob'!$B$3:$B$13, 1), 1))</f>
        <v>1.8499999999999999E-2</v>
      </c>
      <c r="K881" s="26">
        <f t="shared" si="172"/>
        <v>0.94060813807032462</v>
      </c>
      <c r="L881" s="27">
        <f t="shared" ca="1" si="173"/>
        <v>0</v>
      </c>
      <c r="M881" s="27">
        <f t="shared" ca="1" si="174"/>
        <v>2022.587650326195</v>
      </c>
      <c r="N881" s="28">
        <f t="shared" ca="1" si="175"/>
        <v>0.11171645514864799</v>
      </c>
      <c r="O881" s="29">
        <f t="shared" ca="1" si="176"/>
        <v>600000</v>
      </c>
      <c r="P881" s="30">
        <f t="shared" ca="1" si="177"/>
        <v>33.140651817180078</v>
      </c>
    </row>
    <row r="882" spans="1:16" x14ac:dyDescent="0.25">
      <c r="A882" s="3">
        <f t="shared" si="178"/>
        <v>47346</v>
      </c>
      <c r="B882" s="21">
        <f t="shared" si="169"/>
        <v>36754</v>
      </c>
      <c r="C882" s="21">
        <f t="shared" si="170"/>
        <v>36789</v>
      </c>
      <c r="D882" s="1">
        <f t="shared" si="179"/>
        <v>0</v>
      </c>
      <c r="E882" s="3">
        <f t="array" ref="E882">INDEX($A$9:A881, MAX(IF($D$9:D881=1, ROW(D$9:$D881)-ROW($D$9)+1, 0)))</f>
        <v>47289</v>
      </c>
      <c r="F882" s="23">
        <f t="shared" si="171"/>
        <v>3.3429158110882957</v>
      </c>
      <c r="G882" s="5">
        <f>INDEX('Default Prob'!$P$5:$P$14,MIN(1+_xlfn.IFNA(MATCH(F882,'Default Prob'!$F$5:$F$14,1),0),COUNT('Default Prob'!$P$5:$P$14)))</f>
        <v>2.3050976347889798E-2</v>
      </c>
      <c r="H882" s="5">
        <f t="shared" si="180"/>
        <v>0.93038103804679018</v>
      </c>
      <c r="I882" s="24">
        <f t="shared" si="181"/>
        <v>5.8718324579820624E-5</v>
      </c>
      <c r="J882" s="25">
        <f>INDEX('Default Prob'!$C$3:$C$13, _xlfn.IFNA(MATCH(F882, 'Default Prob'!$B$3:$B$13, 1), 1))</f>
        <v>1.8499999999999999E-2</v>
      </c>
      <c r="K882" s="26">
        <f t="shared" si="172"/>
        <v>0.94056093255527606</v>
      </c>
      <c r="L882" s="27">
        <f t="shared" ca="1" si="173"/>
        <v>0</v>
      </c>
      <c r="M882" s="27">
        <f t="shared" ca="1" si="174"/>
        <v>2058.7052869391628</v>
      </c>
      <c r="N882" s="28">
        <f t="shared" ca="1" si="175"/>
        <v>0.11369850935442259</v>
      </c>
      <c r="O882" s="29">
        <f t="shared" ca="1" si="176"/>
        <v>600000</v>
      </c>
      <c r="P882" s="30">
        <f t="shared" ca="1" si="177"/>
        <v>33.136897274927684</v>
      </c>
    </row>
    <row r="883" spans="1:16" x14ac:dyDescent="0.25">
      <c r="A883" s="3">
        <f t="shared" si="178"/>
        <v>47347</v>
      </c>
      <c r="B883" s="21">
        <f t="shared" si="169"/>
        <v>36755</v>
      </c>
      <c r="C883" s="21">
        <f t="shared" si="170"/>
        <v>36789</v>
      </c>
      <c r="D883" s="1">
        <f t="shared" si="179"/>
        <v>0</v>
      </c>
      <c r="E883" s="3">
        <f t="array" ref="E883">INDEX($A$9:A882, MAX(IF($D$9:D882=1, ROW(D$9:$D882)-ROW($D$9)+1, 0)))</f>
        <v>47289</v>
      </c>
      <c r="F883" s="23">
        <f t="shared" si="171"/>
        <v>3.3456536618754278</v>
      </c>
      <c r="G883" s="5">
        <f>INDEX('Default Prob'!$P$5:$P$14,MIN(1+_xlfn.IFNA(MATCH(F883,'Default Prob'!$F$5:$F$14,1),0),COUNT('Default Prob'!$P$5:$P$14)))</f>
        <v>2.3050976347889798E-2</v>
      </c>
      <c r="H883" s="5">
        <f t="shared" si="180"/>
        <v>0.93032232342781473</v>
      </c>
      <c r="I883" s="24">
        <f t="shared" si="181"/>
        <v>5.8714618975441724E-5</v>
      </c>
      <c r="J883" s="25">
        <f>INDEX('Default Prob'!$C$3:$C$13, _xlfn.IFNA(MATCH(F883, 'Default Prob'!$B$3:$B$13, 1), 1))</f>
        <v>1.8499999999999999E-2</v>
      </c>
      <c r="K883" s="26">
        <f t="shared" si="172"/>
        <v>0.94051372940929112</v>
      </c>
      <c r="L883" s="27">
        <f t="shared" ca="1" si="173"/>
        <v>0</v>
      </c>
      <c r="M883" s="27">
        <f t="shared" ca="1" si="174"/>
        <v>2094.8229235521303</v>
      </c>
      <c r="N883" s="28">
        <f t="shared" ca="1" si="175"/>
        <v>0.11568011302807443</v>
      </c>
      <c r="O883" s="29">
        <f t="shared" ca="1" si="176"/>
        <v>600000</v>
      </c>
      <c r="P883" s="30">
        <f t="shared" ca="1" si="177"/>
        <v>33.133143158062936</v>
      </c>
    </row>
    <row r="884" spans="1:16" x14ac:dyDescent="0.25">
      <c r="A884" s="3">
        <f t="shared" si="178"/>
        <v>47350</v>
      </c>
      <c r="B884" s="21">
        <f t="shared" si="169"/>
        <v>36758</v>
      </c>
      <c r="C884" s="21">
        <f t="shared" si="170"/>
        <v>36789</v>
      </c>
      <c r="D884" s="1">
        <f t="shared" si="179"/>
        <v>0</v>
      </c>
      <c r="E884" s="3">
        <f t="array" ref="E884">INDEX($A$9:A883, MAX(IF($D$9:D883=1, ROW(D$9:$D883)-ROW($D$9)+1, 0)))</f>
        <v>47289</v>
      </c>
      <c r="F884" s="23">
        <f t="shared" si="171"/>
        <v>3.353867214236824</v>
      </c>
      <c r="G884" s="5">
        <f>INDEX('Default Prob'!$P$5:$P$14,MIN(1+_xlfn.IFNA(MATCH(F884,'Default Prob'!$F$5:$F$14,1),0),COUNT('Default Prob'!$P$5:$P$14)))</f>
        <v>2.3050976347889798E-2</v>
      </c>
      <c r="H884" s="5">
        <f t="shared" si="180"/>
        <v>0.93014620180217622</v>
      </c>
      <c r="I884" s="24">
        <f t="shared" si="181"/>
        <v>1.7612162563851452E-4</v>
      </c>
      <c r="J884" s="25">
        <f>INDEX('Default Prob'!$C$3:$C$13, _xlfn.IFNA(MATCH(F884, 'Default Prob'!$B$3:$B$13, 1), 1))</f>
        <v>1.8499999999999999E-2</v>
      </c>
      <c r="K884" s="26">
        <f t="shared" si="172"/>
        <v>0.94037213418452992</v>
      </c>
      <c r="L884" s="27">
        <f t="shared" ca="1" si="173"/>
        <v>0</v>
      </c>
      <c r="M884" s="27">
        <f t="shared" ca="1" si="174"/>
        <v>2203.1758333910338</v>
      </c>
      <c r="N884" s="28">
        <f t="shared" ca="1" si="175"/>
        <v>0.36488969286114331</v>
      </c>
      <c r="O884" s="29">
        <f t="shared" ca="1" si="176"/>
        <v>600000</v>
      </c>
      <c r="P884" s="30">
        <f t="shared" ca="1" si="177"/>
        <v>99.371921386643223</v>
      </c>
    </row>
    <row r="885" spans="1:16" x14ac:dyDescent="0.25">
      <c r="A885" s="3">
        <f t="shared" si="178"/>
        <v>47351</v>
      </c>
      <c r="B885" s="21">
        <f t="shared" si="169"/>
        <v>36759</v>
      </c>
      <c r="C885" s="21">
        <f t="shared" si="170"/>
        <v>36789</v>
      </c>
      <c r="D885" s="1">
        <f t="shared" si="179"/>
        <v>0</v>
      </c>
      <c r="E885" s="3">
        <f t="array" ref="E885">INDEX($A$9:A884, MAX(IF($D$9:D884=1, ROW(D$9:$D884)-ROW($D$9)+1, 0)))</f>
        <v>47289</v>
      </c>
      <c r="F885" s="23">
        <f t="shared" si="171"/>
        <v>3.3566050650239561</v>
      </c>
      <c r="G885" s="5">
        <f>INDEX('Default Prob'!$P$5:$P$14,MIN(1+_xlfn.IFNA(MATCH(F885,'Default Prob'!$F$5:$F$14,1),0),COUNT('Default Prob'!$P$5:$P$14)))</f>
        <v>2.3050976347889798E-2</v>
      </c>
      <c r="H885" s="5">
        <f t="shared" si="180"/>
        <v>0.93008750200327994</v>
      </c>
      <c r="I885" s="24">
        <f t="shared" si="181"/>
        <v>5.8699798896277855E-5</v>
      </c>
      <c r="J885" s="25">
        <f>INDEX('Default Prob'!$C$3:$C$13, _xlfn.IFNA(MATCH(F885, 'Default Prob'!$B$3:$B$13, 1), 1))</f>
        <v>1.8499999999999999E-2</v>
      </c>
      <c r="K885" s="26">
        <f t="shared" si="172"/>
        <v>0.94032494051361137</v>
      </c>
      <c r="L885" s="27">
        <f t="shared" ca="1" si="173"/>
        <v>0</v>
      </c>
      <c r="M885" s="27">
        <f t="shared" ca="1" si="174"/>
        <v>2239.2934700040018</v>
      </c>
      <c r="N885" s="28">
        <f t="shared" ca="1" si="175"/>
        <v>0.12360202393300841</v>
      </c>
      <c r="O885" s="29">
        <f t="shared" ca="1" si="176"/>
        <v>600000</v>
      </c>
      <c r="P885" s="30">
        <f t="shared" ca="1" si="177"/>
        <v>33.118130943182052</v>
      </c>
    </row>
    <row r="886" spans="1:16" x14ac:dyDescent="0.25">
      <c r="A886" s="3">
        <f t="shared" si="178"/>
        <v>47352</v>
      </c>
      <c r="B886" s="21">
        <f t="shared" si="169"/>
        <v>36760</v>
      </c>
      <c r="C886" s="21">
        <f t="shared" si="170"/>
        <v>36789</v>
      </c>
      <c r="D886" s="1">
        <f t="shared" si="179"/>
        <v>0</v>
      </c>
      <c r="E886" s="3">
        <f t="array" ref="E886">INDEX($A$9:A885, MAX(IF($D$9:D885=1, ROW(D$9:$D885)-ROW($D$9)+1, 0)))</f>
        <v>47289</v>
      </c>
      <c r="F886" s="23">
        <f t="shared" si="171"/>
        <v>3.3593429158110881</v>
      </c>
      <c r="G886" s="5">
        <f>INDEX('Default Prob'!$P$5:$P$14,MIN(1+_xlfn.IFNA(MATCH(F886,'Default Prob'!$F$5:$F$14,1),0),COUNT('Default Prob'!$P$5:$P$14)))</f>
        <v>2.3050976347889798E-2</v>
      </c>
      <c r="H886" s="5">
        <f t="shared" si="180"/>
        <v>0.93002880590881887</v>
      </c>
      <c r="I886" s="24">
        <f t="shared" si="181"/>
        <v>5.8696094461074821E-5</v>
      </c>
      <c r="J886" s="25">
        <f>INDEX('Default Prob'!$C$3:$C$13, _xlfn.IFNA(MATCH(F886, 'Default Prob'!$B$3:$B$13, 1), 1))</f>
        <v>1.8499999999999999E-2</v>
      </c>
      <c r="K886" s="26">
        <f t="shared" si="172"/>
        <v>0.94027774921116192</v>
      </c>
      <c r="L886" s="27">
        <f t="shared" ca="1" si="173"/>
        <v>0</v>
      </c>
      <c r="M886" s="27">
        <f t="shared" ca="1" si="174"/>
        <v>2275.4111066169694</v>
      </c>
      <c r="N886" s="28">
        <f t="shared" ca="1" si="175"/>
        <v>0.12558137609505055</v>
      </c>
      <c r="O886" s="29">
        <f t="shared" ca="1" si="176"/>
        <v>600000</v>
      </c>
      <c r="P886" s="30">
        <f t="shared" ca="1" si="177"/>
        <v>33.114378952407108</v>
      </c>
    </row>
    <row r="887" spans="1:16" x14ac:dyDescent="0.25">
      <c r="A887" s="3">
        <f t="shared" si="178"/>
        <v>47353</v>
      </c>
      <c r="B887" s="21">
        <f t="shared" si="169"/>
        <v>36761</v>
      </c>
      <c r="C887" s="21">
        <f t="shared" si="170"/>
        <v>36789</v>
      </c>
      <c r="D887" s="1">
        <f t="shared" si="179"/>
        <v>0</v>
      </c>
      <c r="E887" s="3">
        <f t="array" ref="E887">INDEX($A$9:A886, MAX(IF($D$9:D886=1, ROW(D$9:$D886)-ROW($D$9)+1, 0)))</f>
        <v>47289</v>
      </c>
      <c r="F887" s="23">
        <f t="shared" si="171"/>
        <v>3.3620807665982202</v>
      </c>
      <c r="G887" s="5">
        <f>INDEX('Default Prob'!$P$5:$P$14,MIN(1+_xlfn.IFNA(MATCH(F887,'Default Prob'!$F$5:$F$14,1),0),COUNT('Default Prob'!$P$5:$P$14)))</f>
        <v>2.3050976347889798E-2</v>
      </c>
      <c r="H887" s="5">
        <f t="shared" si="180"/>
        <v>0.92997011351855929</v>
      </c>
      <c r="I887" s="24">
        <f t="shared" si="181"/>
        <v>5.8692390259573735E-5</v>
      </c>
      <c r="J887" s="25">
        <f>INDEX('Default Prob'!$C$3:$C$13, _xlfn.IFNA(MATCH(F887, 'Default Prob'!$B$3:$B$13, 1), 1))</f>
        <v>1.8499999999999999E-2</v>
      </c>
      <c r="K887" s="26">
        <f t="shared" si="172"/>
        <v>0.94023056027706298</v>
      </c>
      <c r="L887" s="27">
        <f t="shared" ca="1" si="173"/>
        <v>0</v>
      </c>
      <c r="M887" s="27">
        <f t="shared" ca="1" si="174"/>
        <v>2311.5287432299369</v>
      </c>
      <c r="N887" s="28">
        <f t="shared" ca="1" si="175"/>
        <v>0.1275602781843839</v>
      </c>
      <c r="O887" s="29">
        <f t="shared" ca="1" si="176"/>
        <v>600000</v>
      </c>
      <c r="P887" s="30">
        <f t="shared" ca="1" si="177"/>
        <v>33.11062738665543</v>
      </c>
    </row>
    <row r="888" spans="1:16" x14ac:dyDescent="0.25">
      <c r="A888" s="3">
        <f t="shared" si="178"/>
        <v>47354</v>
      </c>
      <c r="B888" s="21">
        <f t="shared" si="169"/>
        <v>36762</v>
      </c>
      <c r="C888" s="21">
        <f t="shared" si="170"/>
        <v>36789</v>
      </c>
      <c r="D888" s="1">
        <f t="shared" si="179"/>
        <v>0</v>
      </c>
      <c r="E888" s="3">
        <f t="array" ref="E888">INDEX($A$9:A887, MAX(IF($D$9:D887=1, ROW(D$9:$D887)-ROW($D$9)+1, 0)))</f>
        <v>47289</v>
      </c>
      <c r="F888" s="23">
        <f t="shared" si="171"/>
        <v>3.3648186173853527</v>
      </c>
      <c r="G888" s="5">
        <f>INDEX('Default Prob'!$P$5:$P$14,MIN(1+_xlfn.IFNA(MATCH(F888,'Default Prob'!$F$5:$F$14,1),0),COUNT('Default Prob'!$P$5:$P$14)))</f>
        <v>2.3050976347889798E-2</v>
      </c>
      <c r="H888" s="5">
        <f t="shared" si="180"/>
        <v>0.92991142483226741</v>
      </c>
      <c r="I888" s="24">
        <f t="shared" si="181"/>
        <v>5.8688686291885617E-5</v>
      </c>
      <c r="J888" s="25">
        <f>INDEX('Default Prob'!$C$3:$C$13, _xlfn.IFNA(MATCH(F888, 'Default Prob'!$B$3:$B$13, 1), 1))</f>
        <v>1.8499999999999999E-2</v>
      </c>
      <c r="K888" s="26">
        <f t="shared" si="172"/>
        <v>0.94018337371119565</v>
      </c>
      <c r="L888" s="27">
        <f t="shared" ca="1" si="173"/>
        <v>0</v>
      </c>
      <c r="M888" s="27">
        <f t="shared" ca="1" si="174"/>
        <v>2347.6463798429049</v>
      </c>
      <c r="N888" s="28">
        <f t="shared" ca="1" si="175"/>
        <v>0.1295387302778519</v>
      </c>
      <c r="O888" s="29">
        <f t="shared" ca="1" si="176"/>
        <v>600000</v>
      </c>
      <c r="P888" s="30">
        <f t="shared" ca="1" si="177"/>
        <v>33.106876245949813</v>
      </c>
    </row>
    <row r="889" spans="1:16" x14ac:dyDescent="0.25">
      <c r="A889" s="3">
        <f t="shared" si="178"/>
        <v>47357</v>
      </c>
      <c r="B889" s="21">
        <f t="shared" si="169"/>
        <v>36765</v>
      </c>
      <c r="C889" s="21">
        <f t="shared" si="170"/>
        <v>36789</v>
      </c>
      <c r="D889" s="1">
        <f t="shared" si="179"/>
        <v>0</v>
      </c>
      <c r="E889" s="3">
        <f t="array" ref="E889">INDEX($A$9:A888, MAX(IF($D$9:D888=1, ROW(D$9:$D888)-ROW($D$9)+1, 0)))</f>
        <v>47289</v>
      </c>
      <c r="F889" s="23">
        <f t="shared" si="171"/>
        <v>3.3730321697467489</v>
      </c>
      <c r="G889" s="5">
        <f>INDEX('Default Prob'!$P$5:$P$14,MIN(1+_xlfn.IFNA(MATCH(F889,'Default Prob'!$F$5:$F$14,1),0),COUNT('Default Prob'!$P$5:$P$14)))</f>
        <v>2.3050976347889798E-2</v>
      </c>
      <c r="H889" s="5">
        <f t="shared" si="180"/>
        <v>0.92973538099486075</v>
      </c>
      <c r="I889" s="24">
        <f t="shared" si="181"/>
        <v>1.7604383740665863E-4</v>
      </c>
      <c r="J889" s="25">
        <f>INDEX('Default Prob'!$C$3:$C$13, _xlfn.IFNA(MATCH(F889, 'Default Prob'!$B$3:$B$13, 1), 1))</f>
        <v>1.8499999999999999E-2</v>
      </c>
      <c r="K889" s="26">
        <f t="shared" si="172"/>
        <v>0.94004182822179505</v>
      </c>
      <c r="L889" s="27">
        <f t="shared" ca="1" si="173"/>
        <v>0</v>
      </c>
      <c r="M889" s="27">
        <f t="shared" ca="1" si="174"/>
        <v>2455.9992896818085</v>
      </c>
      <c r="N889" s="28">
        <f t="shared" ca="1" si="175"/>
        <v>0.40643981224422809</v>
      </c>
      <c r="O889" s="29">
        <f t="shared" ca="1" si="176"/>
        <v>600000</v>
      </c>
      <c r="P889" s="30">
        <f t="shared" ca="1" si="177"/>
        <v>99.293142457761476</v>
      </c>
    </row>
    <row r="890" spans="1:16" x14ac:dyDescent="0.25">
      <c r="A890" s="3">
        <f t="shared" si="178"/>
        <v>47358</v>
      </c>
      <c r="B890" s="21">
        <f t="shared" si="169"/>
        <v>36766</v>
      </c>
      <c r="C890" s="21">
        <f t="shared" si="170"/>
        <v>36789</v>
      </c>
      <c r="D890" s="1">
        <f t="shared" si="179"/>
        <v>0</v>
      </c>
      <c r="E890" s="3">
        <f t="array" ref="E890">INDEX($A$9:A889, MAX(IF($D$9:D889=1, ROW(D$9:$D889)-ROW($D$9)+1, 0)))</f>
        <v>47289</v>
      </c>
      <c r="F890" s="23">
        <f t="shared" si="171"/>
        <v>3.375770020533881</v>
      </c>
      <c r="G890" s="5">
        <f>INDEX('Default Prob'!$P$5:$P$14,MIN(1+_xlfn.IFNA(MATCH(F890,'Default Prob'!$F$5:$F$14,1),0),COUNT('Default Prob'!$P$5:$P$14)))</f>
        <v>2.3050976347889798E-2</v>
      </c>
      <c r="H890" s="5">
        <f t="shared" si="180"/>
        <v>0.92967670712210237</v>
      </c>
      <c r="I890" s="24">
        <f t="shared" si="181"/>
        <v>5.8673872758374657E-5</v>
      </c>
      <c r="J890" s="25">
        <f>INDEX('Default Prob'!$C$3:$C$13, _xlfn.IFNA(MATCH(F890, 'Default Prob'!$B$3:$B$13, 1), 1))</f>
        <v>1.8499999999999999E-2</v>
      </c>
      <c r="K890" s="26">
        <f t="shared" si="172"/>
        <v>0.93999465112766589</v>
      </c>
      <c r="L890" s="27">
        <f t="shared" ca="1" si="173"/>
        <v>0</v>
      </c>
      <c r="M890" s="27">
        <f t="shared" ca="1" si="174"/>
        <v>2492.116926294776</v>
      </c>
      <c r="N890" s="28">
        <f t="shared" ca="1" si="175"/>
        <v>0.13744804022284632</v>
      </c>
      <c r="O890" s="29">
        <f t="shared" ca="1" si="176"/>
        <v>600000</v>
      </c>
      <c r="P890" s="30">
        <f t="shared" ca="1" si="177"/>
        <v>33.091875932290471</v>
      </c>
    </row>
    <row r="891" spans="1:16" x14ac:dyDescent="0.25">
      <c r="A891" s="3">
        <f t="shared" si="178"/>
        <v>47359</v>
      </c>
      <c r="B891" s="21">
        <f t="shared" si="169"/>
        <v>36767</v>
      </c>
      <c r="C891" s="21">
        <f t="shared" si="170"/>
        <v>36789</v>
      </c>
      <c r="D891" s="1">
        <f t="shared" si="179"/>
        <v>0</v>
      </c>
      <c r="E891" s="3">
        <f t="array" ref="E891">INDEX($A$9:A890, MAX(IF($D$9:D890=1, ROW(D$9:$D890)-ROW($D$9)+1, 0)))</f>
        <v>47289</v>
      </c>
      <c r="F891" s="23">
        <f t="shared" si="171"/>
        <v>3.378507871321013</v>
      </c>
      <c r="G891" s="5">
        <f>INDEX('Default Prob'!$P$5:$P$14,MIN(1+_xlfn.IFNA(MATCH(F891,'Default Prob'!$F$5:$F$14,1),0),COUNT('Default Prob'!$P$5:$P$14)))</f>
        <v>2.3050976347889798E-2</v>
      </c>
      <c r="H891" s="5">
        <f t="shared" si="180"/>
        <v>0.92961803695214318</v>
      </c>
      <c r="I891" s="24">
        <f t="shared" si="181"/>
        <v>5.8670169959196272E-5</v>
      </c>
      <c r="J891" s="25">
        <f>INDEX('Default Prob'!$C$3:$C$13, _xlfn.IFNA(MATCH(F891, 'Default Prob'!$B$3:$B$13, 1), 1))</f>
        <v>1.8499999999999999E-2</v>
      </c>
      <c r="K891" s="26">
        <f t="shared" si="172"/>
        <v>0.93994747640117404</v>
      </c>
      <c r="L891" s="27">
        <f t="shared" ca="1" si="173"/>
        <v>0</v>
      </c>
      <c r="M891" s="27">
        <f t="shared" ca="1" si="174"/>
        <v>2528.2345629077436</v>
      </c>
      <c r="N891" s="28">
        <f t="shared" ca="1" si="175"/>
        <v>0.13942424348444712</v>
      </c>
      <c r="O891" s="29">
        <f t="shared" ca="1" si="176"/>
        <v>600000</v>
      </c>
      <c r="P891" s="30">
        <f t="shared" ca="1" si="177"/>
        <v>33.088126915904702</v>
      </c>
    </row>
    <row r="892" spans="1:16" x14ac:dyDescent="0.25">
      <c r="A892" s="3">
        <f t="shared" si="178"/>
        <v>47360</v>
      </c>
      <c r="B892" s="21">
        <f t="shared" si="169"/>
        <v>36768</v>
      </c>
      <c r="C892" s="21">
        <f t="shared" si="170"/>
        <v>36789</v>
      </c>
      <c r="D892" s="1">
        <f t="shared" si="179"/>
        <v>0</v>
      </c>
      <c r="E892" s="3">
        <f t="array" ref="E892">INDEX($A$9:A891, MAX(IF($D$9:D891=1, ROW(D$9:$D891)-ROW($D$9)+1, 0)))</f>
        <v>47289</v>
      </c>
      <c r="F892" s="23">
        <f t="shared" si="171"/>
        <v>3.3812457221081451</v>
      </c>
      <c r="G892" s="5">
        <f>INDEX('Default Prob'!$P$5:$P$14,MIN(1+_xlfn.IFNA(MATCH(F892,'Default Prob'!$F$5:$F$14,1),0),COUNT('Default Prob'!$P$5:$P$14)))</f>
        <v>2.3050976347889798E-2</v>
      </c>
      <c r="H892" s="5">
        <f t="shared" si="180"/>
        <v>0.92955937048474935</v>
      </c>
      <c r="I892" s="24">
        <f t="shared" si="181"/>
        <v>5.8666467393830857E-5</v>
      </c>
      <c r="J892" s="25">
        <f>INDEX('Default Prob'!$C$3:$C$13, _xlfn.IFNA(MATCH(F892, 'Default Prob'!$B$3:$B$13, 1), 1))</f>
        <v>1.8499999999999999E-2</v>
      </c>
      <c r="K892" s="26">
        <f t="shared" si="172"/>
        <v>0.93990030404220071</v>
      </c>
      <c r="L892" s="27">
        <f t="shared" ca="1" si="173"/>
        <v>0</v>
      </c>
      <c r="M892" s="27">
        <f t="shared" ca="1" si="174"/>
        <v>2564.3521995207116</v>
      </c>
      <c r="N892" s="28">
        <f t="shared" ca="1" si="175"/>
        <v>0.14139999720960159</v>
      </c>
      <c r="O892" s="29">
        <f t="shared" ca="1" si="176"/>
        <v>600000</v>
      </c>
      <c r="P892" s="30">
        <f t="shared" ca="1" si="177"/>
        <v>33.084378324326089</v>
      </c>
    </row>
    <row r="893" spans="1:16" x14ac:dyDescent="0.25">
      <c r="A893" s="3">
        <f t="shared" si="178"/>
        <v>47361</v>
      </c>
      <c r="B893" s="21">
        <f t="shared" si="169"/>
        <v>36769</v>
      </c>
      <c r="C893" s="21">
        <f t="shared" si="170"/>
        <v>36789</v>
      </c>
      <c r="D893" s="1">
        <f t="shared" si="179"/>
        <v>0</v>
      </c>
      <c r="E893" s="3">
        <f t="array" ref="E893">INDEX($A$9:A892, MAX(IF($D$9:D892=1, ROW(D$9:$D892)-ROW($D$9)+1, 0)))</f>
        <v>47289</v>
      </c>
      <c r="F893" s="23">
        <f t="shared" si="171"/>
        <v>3.3839835728952772</v>
      </c>
      <c r="G893" s="5">
        <f>INDEX('Default Prob'!$P$5:$P$14,MIN(1+_xlfn.IFNA(MATCH(F893,'Default Prob'!$F$5:$F$14,1),0),COUNT('Default Prob'!$P$5:$P$14)))</f>
        <v>2.3050976347889798E-2</v>
      </c>
      <c r="H893" s="5">
        <f t="shared" si="180"/>
        <v>0.92950070771968729</v>
      </c>
      <c r="I893" s="24">
        <f t="shared" si="181"/>
        <v>5.8662765062056366E-5</v>
      </c>
      <c r="J893" s="25">
        <f>INDEX('Default Prob'!$C$3:$C$13, _xlfn.IFNA(MATCH(F893, 'Default Prob'!$B$3:$B$13, 1), 1))</f>
        <v>1.8499999999999999E-2</v>
      </c>
      <c r="K893" s="26">
        <f t="shared" si="172"/>
        <v>0.9398531340506272</v>
      </c>
      <c r="L893" s="27">
        <f t="shared" ca="1" si="173"/>
        <v>0</v>
      </c>
      <c r="M893" s="27">
        <f t="shared" ca="1" si="174"/>
        <v>2600.4698361336791</v>
      </c>
      <c r="N893" s="28">
        <f t="shared" ca="1" si="175"/>
        <v>0.14337530147430957</v>
      </c>
      <c r="O893" s="29">
        <f t="shared" ca="1" si="176"/>
        <v>600000</v>
      </c>
      <c r="P893" s="30">
        <f t="shared" ca="1" si="177"/>
        <v>33.080630157389585</v>
      </c>
    </row>
    <row r="894" spans="1:16" x14ac:dyDescent="0.25">
      <c r="A894" s="3">
        <f t="shared" si="178"/>
        <v>47364</v>
      </c>
      <c r="B894" s="21">
        <f t="shared" si="169"/>
        <v>36772</v>
      </c>
      <c r="C894" s="21">
        <f t="shared" si="170"/>
        <v>36789</v>
      </c>
      <c r="D894" s="1">
        <f t="shared" si="179"/>
        <v>0</v>
      </c>
      <c r="E894" s="3">
        <f t="array" ref="E894">INDEX($A$9:A893, MAX(IF($D$9:D893=1, ROW(D$9:$D893)-ROW($D$9)+1, 0)))</f>
        <v>47289</v>
      </c>
      <c r="F894" s="23">
        <f t="shared" si="171"/>
        <v>3.3921971252566734</v>
      </c>
      <c r="G894" s="5">
        <f>INDEX('Default Prob'!$P$5:$P$14,MIN(1+_xlfn.IFNA(MATCH(F894,'Default Prob'!$F$5:$F$14,1),0),COUNT('Default Prob'!$P$5:$P$14)))</f>
        <v>2.3050976347889798E-2</v>
      </c>
      <c r="H894" s="5">
        <f t="shared" si="180"/>
        <v>0.92932474163615553</v>
      </c>
      <c r="I894" s="24">
        <f t="shared" si="181"/>
        <v>1.7596608353176446E-4</v>
      </c>
      <c r="J894" s="25">
        <f>INDEX('Default Prob'!$C$3:$C$13, _xlfn.IFNA(MATCH(F894, 'Default Prob'!$B$3:$B$13, 1), 1))</f>
        <v>1.8499999999999999E-2</v>
      </c>
      <c r="K894" s="26">
        <f t="shared" si="172"/>
        <v>0.93971163827911752</v>
      </c>
      <c r="L894" s="27">
        <f t="shared" ca="1" si="173"/>
        <v>0</v>
      </c>
      <c r="M894" s="27">
        <f t="shared" ca="1" si="174"/>
        <v>2708.8227459725827</v>
      </c>
      <c r="N894" s="28">
        <f t="shared" ca="1" si="175"/>
        <v>0.4479238230491876</v>
      </c>
      <c r="O894" s="29">
        <f t="shared" ca="1" si="176"/>
        <v>600000</v>
      </c>
      <c r="P894" s="30">
        <f t="shared" ca="1" si="177"/>
        <v>99.214425982316641</v>
      </c>
    </row>
    <row r="895" spans="1:16" x14ac:dyDescent="0.25">
      <c r="A895" s="3">
        <f t="shared" si="178"/>
        <v>47365</v>
      </c>
      <c r="B895" s="21">
        <f t="shared" si="169"/>
        <v>36773</v>
      </c>
      <c r="C895" s="21">
        <f t="shared" si="170"/>
        <v>36789</v>
      </c>
      <c r="D895" s="1">
        <f t="shared" si="179"/>
        <v>0</v>
      </c>
      <c r="E895" s="3">
        <f t="array" ref="E895">INDEX($A$9:A894, MAX(IF($D$9:D894=1, ROW(D$9:$D894)-ROW($D$9)+1, 0)))</f>
        <v>47289</v>
      </c>
      <c r="F895" s="23">
        <f t="shared" si="171"/>
        <v>3.3949349760438055</v>
      </c>
      <c r="G895" s="5">
        <f>INDEX('Default Prob'!$P$5:$P$14,MIN(1+_xlfn.IFNA(MATCH(F895,'Default Prob'!$F$5:$F$14,1),0),COUNT('Default Prob'!$P$5:$P$14)))</f>
        <v>2.3050976347889798E-2</v>
      </c>
      <c r="H895" s="5">
        <f t="shared" si="180"/>
        <v>0.92926609367808433</v>
      </c>
      <c r="I895" s="24">
        <f t="shared" si="181"/>
        <v>5.8647958071200712E-5</v>
      </c>
      <c r="J895" s="25">
        <f>INDEX('Default Prob'!$C$3:$C$13, _xlfn.IFNA(MATCH(F895, 'Default Prob'!$B$3:$B$13, 1), 1))</f>
        <v>1.8499999999999999E-2</v>
      </c>
      <c r="K895" s="26">
        <f t="shared" si="172"/>
        <v>0.93966447775595519</v>
      </c>
      <c r="L895" s="27">
        <f t="shared" ca="1" si="173"/>
        <v>0</v>
      </c>
      <c r="M895" s="27">
        <f t="shared" ca="1" si="174"/>
        <v>2744.9403825855502</v>
      </c>
      <c r="N895" s="28">
        <f t="shared" ca="1" si="175"/>
        <v>0.15127202545960247</v>
      </c>
      <c r="O895" s="29">
        <f t="shared" ca="1" si="176"/>
        <v>600000</v>
      </c>
      <c r="P895" s="30">
        <f t="shared" ca="1" si="177"/>
        <v>33.065641735456786</v>
      </c>
    </row>
    <row r="896" spans="1:16" x14ac:dyDescent="0.25">
      <c r="A896" s="3">
        <f t="shared" si="178"/>
        <v>47366</v>
      </c>
      <c r="B896" s="21">
        <f t="shared" si="169"/>
        <v>36774</v>
      </c>
      <c r="C896" s="21">
        <f t="shared" si="170"/>
        <v>36789</v>
      </c>
      <c r="D896" s="1">
        <f t="shared" si="179"/>
        <v>0</v>
      </c>
      <c r="E896" s="3">
        <f t="array" ref="E896">INDEX($A$9:A895, MAX(IF($D$9:D895=1, ROW(D$9:$D895)-ROW($D$9)+1, 0)))</f>
        <v>47289</v>
      </c>
      <c r="F896" s="23">
        <f t="shared" si="171"/>
        <v>3.3976728268309375</v>
      </c>
      <c r="G896" s="5">
        <f>INDEX('Default Prob'!$P$5:$P$14,MIN(1+_xlfn.IFNA(MATCH(F896,'Default Prob'!$F$5:$F$14,1),0),COUNT('Default Prob'!$P$5:$P$14)))</f>
        <v>2.3050976347889798E-2</v>
      </c>
      <c r="H896" s="5">
        <f t="shared" si="180"/>
        <v>0.92920744942117672</v>
      </c>
      <c r="I896" s="24">
        <f t="shared" si="181"/>
        <v>5.8644256907602887E-5</v>
      </c>
      <c r="J896" s="25">
        <f>INDEX('Default Prob'!$C$3:$C$13, _xlfn.IFNA(MATCH(F896, 'Default Prob'!$B$3:$B$13, 1), 1))</f>
        <v>1.8499999999999999E-2</v>
      </c>
      <c r="K896" s="26">
        <f t="shared" si="172"/>
        <v>0.9396173195995986</v>
      </c>
      <c r="L896" s="27">
        <f t="shared" ca="1" si="173"/>
        <v>0</v>
      </c>
      <c r="M896" s="27">
        <f t="shared" ca="1" si="174"/>
        <v>2781.0580191985182</v>
      </c>
      <c r="N896" s="28">
        <f t="shared" ca="1" si="175"/>
        <v>0.15324508357013575</v>
      </c>
      <c r="O896" s="29">
        <f t="shared" ca="1" si="176"/>
        <v>600000</v>
      </c>
      <c r="P896" s="30">
        <f t="shared" ca="1" si="177"/>
        <v>33.061895691259245</v>
      </c>
    </row>
    <row r="897" spans="1:16" x14ac:dyDescent="0.25">
      <c r="A897" s="3">
        <f t="shared" si="178"/>
        <v>47367</v>
      </c>
      <c r="B897" s="21">
        <f t="shared" si="169"/>
        <v>36775</v>
      </c>
      <c r="C897" s="21">
        <f t="shared" si="170"/>
        <v>36789</v>
      </c>
      <c r="D897" s="1">
        <f t="shared" si="179"/>
        <v>0</v>
      </c>
      <c r="E897" s="3">
        <f t="array" ref="E897">INDEX($A$9:A896, MAX(IF($D$9:D896=1, ROW(D$9:$D896)-ROW($D$9)+1, 0)))</f>
        <v>47289</v>
      </c>
      <c r="F897" s="23">
        <f t="shared" si="171"/>
        <v>3.40041067761807</v>
      </c>
      <c r="G897" s="5">
        <f>INDEX('Default Prob'!$P$5:$P$14,MIN(1+_xlfn.IFNA(MATCH(F897,'Default Prob'!$F$5:$F$14,1),0),COUNT('Default Prob'!$P$5:$P$14)))</f>
        <v>2.3050976347889798E-2</v>
      </c>
      <c r="H897" s="5">
        <f t="shared" si="180"/>
        <v>0.92914880886519924</v>
      </c>
      <c r="I897" s="24">
        <f t="shared" si="181"/>
        <v>5.8640555977484965E-5</v>
      </c>
      <c r="J897" s="25">
        <f>INDEX('Default Prob'!$C$3:$C$13, _xlfn.IFNA(MATCH(F897, 'Default Prob'!$B$3:$B$13, 1), 1))</f>
        <v>1.8499999999999999E-2</v>
      </c>
      <c r="K897" s="26">
        <f t="shared" si="172"/>
        <v>0.93957016380992908</v>
      </c>
      <c r="L897" s="27">
        <f t="shared" ca="1" si="173"/>
        <v>0</v>
      </c>
      <c r="M897" s="27">
        <f t="shared" ca="1" si="174"/>
        <v>2817.1756558114857</v>
      </c>
      <c r="N897" s="28">
        <f t="shared" ca="1" si="175"/>
        <v>0.15521769267886318</v>
      </c>
      <c r="O897" s="29">
        <f t="shared" ca="1" si="176"/>
        <v>600000</v>
      </c>
      <c r="P897" s="30">
        <f t="shared" ca="1" si="177"/>
        <v>33.058150071402515</v>
      </c>
    </row>
    <row r="898" spans="1:16" x14ac:dyDescent="0.25">
      <c r="A898" s="3">
        <f t="shared" si="178"/>
        <v>47368</v>
      </c>
      <c r="B898" s="21">
        <f t="shared" si="169"/>
        <v>36776</v>
      </c>
      <c r="C898" s="21">
        <f t="shared" si="170"/>
        <v>36789</v>
      </c>
      <c r="D898" s="1">
        <f t="shared" si="179"/>
        <v>0</v>
      </c>
      <c r="E898" s="3">
        <f t="array" ref="E898">INDEX($A$9:A897, MAX(IF($D$9:D897=1, ROW(D$9:$D897)-ROW($D$9)+1, 0)))</f>
        <v>47289</v>
      </c>
      <c r="F898" s="23">
        <f t="shared" si="171"/>
        <v>3.4031485284052021</v>
      </c>
      <c r="G898" s="5">
        <f>INDEX('Default Prob'!$P$5:$P$14,MIN(1+_xlfn.IFNA(MATCH(F898,'Default Prob'!$F$5:$F$14,1),0),COUNT('Default Prob'!$P$5:$P$14)))</f>
        <v>2.3050976347889798E-2</v>
      </c>
      <c r="H898" s="5">
        <f t="shared" si="180"/>
        <v>0.92909017200991839</v>
      </c>
      <c r="I898" s="24">
        <f t="shared" si="181"/>
        <v>5.8636855280846945E-5</v>
      </c>
      <c r="J898" s="25">
        <f>INDEX('Default Prob'!$C$3:$C$13, _xlfn.IFNA(MATCH(F898, 'Default Prob'!$B$3:$B$13, 1), 1))</f>
        <v>1.8499999999999999E-2</v>
      </c>
      <c r="K898" s="26">
        <f t="shared" si="172"/>
        <v>0.93952301038682762</v>
      </c>
      <c r="L898" s="27">
        <f t="shared" ca="1" si="173"/>
        <v>0</v>
      </c>
      <c r="M898" s="27">
        <f t="shared" ca="1" si="174"/>
        <v>2853.2932924244533</v>
      </c>
      <c r="N898" s="28">
        <f t="shared" ca="1" si="175"/>
        <v>0.15718985286222659</v>
      </c>
      <c r="O898" s="29">
        <f t="shared" ca="1" si="176"/>
        <v>600000</v>
      </c>
      <c r="P898" s="30">
        <f t="shared" ca="1" si="177"/>
        <v>33.054404875846842</v>
      </c>
    </row>
    <row r="899" spans="1:16" x14ac:dyDescent="0.25">
      <c r="A899" s="3">
        <f t="shared" si="178"/>
        <v>47371</v>
      </c>
      <c r="B899" s="21">
        <f t="shared" si="169"/>
        <v>36779</v>
      </c>
      <c r="C899" s="21">
        <f t="shared" si="170"/>
        <v>36789</v>
      </c>
      <c r="D899" s="1">
        <f t="shared" si="179"/>
        <v>0</v>
      </c>
      <c r="E899" s="3">
        <f t="array" ref="E899">INDEX($A$9:A898, MAX(IF($D$9:D898=1, ROW(D$9:$D898)-ROW($D$9)+1, 0)))</f>
        <v>47289</v>
      </c>
      <c r="F899" s="23">
        <f t="shared" si="171"/>
        <v>3.4113620807665983</v>
      </c>
      <c r="G899" s="5">
        <f>INDEX('Default Prob'!$P$5:$P$14,MIN(1+_xlfn.IFNA(MATCH(F899,'Default Prob'!$F$5:$F$14,1),0),COUNT('Default Prob'!$P$5:$P$14)))</f>
        <v>2.3050976347889798E-2</v>
      </c>
      <c r="H899" s="5">
        <f t="shared" si="180"/>
        <v>0.92891428364591977</v>
      </c>
      <c r="I899" s="24">
        <f t="shared" si="181"/>
        <v>1.7588836399862195E-4</v>
      </c>
      <c r="J899" s="25">
        <f>INDEX('Default Prob'!$C$3:$C$13, _xlfn.IFNA(MATCH(F899, 'Default Prob'!$B$3:$B$13, 1), 1))</f>
        <v>1.8499999999999999E-2</v>
      </c>
      <c r="K899" s="26">
        <f t="shared" si="172"/>
        <v>0.93938156431574527</v>
      </c>
      <c r="L899" s="27">
        <f t="shared" ca="1" si="173"/>
        <v>0</v>
      </c>
      <c r="M899" s="27">
        <f t="shared" ca="1" si="174"/>
        <v>2961.6462022633568</v>
      </c>
      <c r="N899" s="28">
        <f t="shared" ca="1" si="175"/>
        <v>0.48934180398000154</v>
      </c>
      <c r="O899" s="29">
        <f t="shared" ca="1" si="176"/>
        <v>600000</v>
      </c>
      <c r="P899" s="30">
        <f t="shared" ca="1" si="177"/>
        <v>99.135771910777621</v>
      </c>
    </row>
    <row r="900" spans="1:16" x14ac:dyDescent="0.25">
      <c r="A900" s="3">
        <f t="shared" si="178"/>
        <v>47372</v>
      </c>
      <c r="B900" s="21">
        <f t="shared" si="169"/>
        <v>36780</v>
      </c>
      <c r="C900" s="21">
        <f t="shared" si="170"/>
        <v>36789</v>
      </c>
      <c r="D900" s="1">
        <f t="shared" si="179"/>
        <v>0</v>
      </c>
      <c r="E900" s="3">
        <f t="array" ref="E900">INDEX($A$9:A899, MAX(IF($D$9:D899=1, ROW(D$9:$D899)-ROW($D$9)+1, 0)))</f>
        <v>47289</v>
      </c>
      <c r="F900" s="23">
        <f t="shared" si="171"/>
        <v>3.4140999315537304</v>
      </c>
      <c r="G900" s="5">
        <f>INDEX('Default Prob'!$P$5:$P$14,MIN(1+_xlfn.IFNA(MATCH(F900,'Default Prob'!$F$5:$F$14,1),0),COUNT('Default Prob'!$P$5:$P$14)))</f>
        <v>2.3050976347889798E-2</v>
      </c>
      <c r="H900" s="5">
        <f t="shared" si="180"/>
        <v>0.92885566159108979</v>
      </c>
      <c r="I900" s="24">
        <f t="shared" si="181"/>
        <v>5.8622054829982062E-5</v>
      </c>
      <c r="J900" s="25">
        <f>INDEX('Default Prob'!$C$3:$C$13, _xlfn.IFNA(MATCH(F900, 'Default Prob'!$B$3:$B$13, 1), 1))</f>
        <v>1.8499999999999999E-2</v>
      </c>
      <c r="K900" s="26">
        <f t="shared" si="172"/>
        <v>0.93933442035772929</v>
      </c>
      <c r="L900" s="27">
        <f t="shared" ca="1" si="173"/>
        <v>0</v>
      </c>
      <c r="M900" s="27">
        <f t="shared" ca="1" si="174"/>
        <v>2997.7638388763244</v>
      </c>
      <c r="N900" s="28">
        <f t="shared" ca="1" si="175"/>
        <v>0.16507400587304369</v>
      </c>
      <c r="O900" s="29">
        <f t="shared" ca="1" si="176"/>
        <v>600000</v>
      </c>
      <c r="P900" s="30">
        <f t="shared" ca="1" si="177"/>
        <v>33.039428336340137</v>
      </c>
    </row>
    <row r="901" spans="1:16" x14ac:dyDescent="0.25">
      <c r="A901" s="3">
        <f t="shared" si="178"/>
        <v>47373</v>
      </c>
      <c r="B901" s="21">
        <f t="shared" si="169"/>
        <v>36781</v>
      </c>
      <c r="C901" s="21">
        <f t="shared" si="170"/>
        <v>36789</v>
      </c>
      <c r="D901" s="1">
        <f t="shared" si="179"/>
        <v>0</v>
      </c>
      <c r="E901" s="3">
        <f t="array" ref="E901">INDEX($A$9:A900, MAX(IF($D$9:D900=1, ROW(D$9:$D900)-ROW($D$9)+1, 0)))</f>
        <v>47289</v>
      </c>
      <c r="F901" s="23">
        <f t="shared" si="171"/>
        <v>3.4168377823408624</v>
      </c>
      <c r="G901" s="5">
        <f>INDEX('Default Prob'!$P$5:$P$14,MIN(1+_xlfn.IFNA(MATCH(F901,'Default Prob'!$F$5:$F$14,1),0),COUNT('Default Prob'!$P$5:$P$14)))</f>
        <v>2.3050976347889798E-2</v>
      </c>
      <c r="H901" s="5">
        <f t="shared" si="180"/>
        <v>0.92879704323578882</v>
      </c>
      <c r="I901" s="24">
        <f t="shared" si="181"/>
        <v>5.8618355300965597E-5</v>
      </c>
      <c r="J901" s="25">
        <f>INDEX('Default Prob'!$C$3:$C$13, _xlfn.IFNA(MATCH(F901, 'Default Prob'!$B$3:$B$13, 1), 1))</f>
        <v>1.8499999999999999E-2</v>
      </c>
      <c r="K901" s="26">
        <f t="shared" si="172"/>
        <v>0.93928727876568774</v>
      </c>
      <c r="L901" s="27">
        <f t="shared" ca="1" si="173"/>
        <v>0</v>
      </c>
      <c r="M901" s="27">
        <f t="shared" ca="1" si="174"/>
        <v>3033.8814754892928</v>
      </c>
      <c r="N901" s="28">
        <f t="shared" ca="1" si="175"/>
        <v>0.1670439225765431</v>
      </c>
      <c r="O901" s="29">
        <f t="shared" ca="1" si="176"/>
        <v>600000</v>
      </c>
      <c r="P901" s="30">
        <f t="shared" ca="1" si="177"/>
        <v>33.035685261818521</v>
      </c>
    </row>
    <row r="902" spans="1:16" x14ac:dyDescent="0.25">
      <c r="A902" s="3">
        <f t="shared" si="178"/>
        <v>47374</v>
      </c>
      <c r="B902" s="21">
        <f t="shared" si="169"/>
        <v>36782</v>
      </c>
      <c r="C902" s="21">
        <f t="shared" si="170"/>
        <v>36789</v>
      </c>
      <c r="D902" s="1">
        <f t="shared" si="179"/>
        <v>0</v>
      </c>
      <c r="E902" s="3">
        <f t="array" ref="E902">INDEX($A$9:A901, MAX(IF($D$9:D901=1, ROW(D$9:$D901)-ROW($D$9)+1, 0)))</f>
        <v>47289</v>
      </c>
      <c r="F902" s="23">
        <f t="shared" si="171"/>
        <v>3.4195756331279945</v>
      </c>
      <c r="G902" s="5">
        <f>INDEX('Default Prob'!$P$5:$P$14,MIN(1+_xlfn.IFNA(MATCH(F902,'Default Prob'!$F$5:$F$14,1),0),COUNT('Default Prob'!$P$5:$P$14)))</f>
        <v>2.3050976347889798E-2</v>
      </c>
      <c r="H902" s="5">
        <f t="shared" si="180"/>
        <v>0.92873842857978339</v>
      </c>
      <c r="I902" s="24">
        <f t="shared" si="181"/>
        <v>5.8614656005429033E-5</v>
      </c>
      <c r="J902" s="25">
        <f>INDEX('Default Prob'!$C$3:$C$13, _xlfn.IFNA(MATCH(F902, 'Default Prob'!$B$3:$B$13, 1), 1))</f>
        <v>1.8499999999999999E-2</v>
      </c>
      <c r="K902" s="26">
        <f t="shared" si="172"/>
        <v>0.93924013953950192</v>
      </c>
      <c r="L902" s="27">
        <f t="shared" ca="1" si="173"/>
        <v>0</v>
      </c>
      <c r="M902" s="27">
        <f t="shared" ca="1" si="174"/>
        <v>3069.9991121022604</v>
      </c>
      <c r="N902" s="28">
        <f t="shared" ca="1" si="175"/>
        <v>0.16901339081314384</v>
      </c>
      <c r="O902" s="29">
        <f t="shared" ca="1" si="176"/>
        <v>600000</v>
      </c>
      <c r="P902" s="30">
        <f t="shared" ca="1" si="177"/>
        <v>33.03194261135944</v>
      </c>
    </row>
    <row r="903" spans="1:16" x14ac:dyDescent="0.25">
      <c r="A903" s="3">
        <f t="shared" si="178"/>
        <v>47375</v>
      </c>
      <c r="B903" s="21">
        <f t="shared" si="169"/>
        <v>36783</v>
      </c>
      <c r="C903" s="21">
        <f t="shared" si="170"/>
        <v>36789</v>
      </c>
      <c r="D903" s="1">
        <f t="shared" si="179"/>
        <v>0</v>
      </c>
      <c r="E903" s="3">
        <f t="array" ref="E903">INDEX($A$9:A902, MAX(IF($D$9:D902=1, ROW(D$9:$D902)-ROW($D$9)+1, 0)))</f>
        <v>47289</v>
      </c>
      <c r="F903" s="23">
        <f t="shared" si="171"/>
        <v>3.4223134839151266</v>
      </c>
      <c r="G903" s="5">
        <f>INDEX('Default Prob'!$P$5:$P$14,MIN(1+_xlfn.IFNA(MATCH(F903,'Default Prob'!$F$5:$F$14,1),0),COUNT('Default Prob'!$P$5:$P$14)))</f>
        <v>2.3050976347889798E-2</v>
      </c>
      <c r="H903" s="5">
        <f t="shared" si="180"/>
        <v>0.92867981762284002</v>
      </c>
      <c r="I903" s="24">
        <f t="shared" si="181"/>
        <v>5.8610956943372372E-5</v>
      </c>
      <c r="J903" s="25">
        <f>INDEX('Default Prob'!$C$3:$C$13, _xlfn.IFNA(MATCH(F903, 'Default Prob'!$B$3:$B$13, 1), 1))</f>
        <v>1.8499999999999999E-2</v>
      </c>
      <c r="K903" s="26">
        <f t="shared" si="172"/>
        <v>0.93919300267905292</v>
      </c>
      <c r="L903" s="27">
        <f t="shared" ca="1" si="173"/>
        <v>0</v>
      </c>
      <c r="M903" s="27">
        <f t="shared" ca="1" si="174"/>
        <v>3106.1167487152284</v>
      </c>
      <c r="N903" s="28">
        <f t="shared" ca="1" si="175"/>
        <v>0.1709824106592209</v>
      </c>
      <c r="O903" s="29">
        <f t="shared" ca="1" si="176"/>
        <v>600000</v>
      </c>
      <c r="P903" s="30">
        <f t="shared" ca="1" si="177"/>
        <v>33.028200384923153</v>
      </c>
    </row>
    <row r="904" spans="1:16" x14ac:dyDescent="0.25">
      <c r="A904" s="3">
        <f t="shared" si="178"/>
        <v>47378</v>
      </c>
      <c r="B904" s="21">
        <f t="shared" si="169"/>
        <v>36786</v>
      </c>
      <c r="C904" s="21">
        <f t="shared" si="170"/>
        <v>36789</v>
      </c>
      <c r="D904" s="1">
        <f t="shared" si="179"/>
        <v>0</v>
      </c>
      <c r="E904" s="3">
        <f t="array" ref="E904">INDEX($A$9:A903, MAX(IF($D$9:D903=1, ROW(D$9:$D903)-ROW($D$9)+1, 0)))</f>
        <v>47289</v>
      </c>
      <c r="F904" s="23">
        <f t="shared" si="171"/>
        <v>3.4305270362765228</v>
      </c>
      <c r="G904" s="5">
        <f>INDEX('Default Prob'!$P$5:$P$14,MIN(1+_xlfn.IFNA(MATCH(F904,'Default Prob'!$F$5:$F$14,1),0),COUNT('Default Prob'!$P$5:$P$14)))</f>
        <v>2.3050976347889798E-2</v>
      </c>
      <c r="H904" s="5">
        <f t="shared" si="180"/>
        <v>0.92850400694404778</v>
      </c>
      <c r="I904" s="24">
        <f t="shared" si="181"/>
        <v>1.758106787922431E-4</v>
      </c>
      <c r="J904" s="25">
        <f>INDEX('Default Prob'!$C$3:$C$13, _xlfn.IFNA(MATCH(F904, 'Default Prob'!$B$3:$B$13, 1), 1))</f>
        <v>1.8499999999999999E-2</v>
      </c>
      <c r="K904" s="26">
        <f t="shared" si="172"/>
        <v>0.93905160629094075</v>
      </c>
      <c r="L904" s="27">
        <f t="shared" ca="1" si="173"/>
        <v>0</v>
      </c>
      <c r="M904" s="27">
        <f t="shared" ca="1" si="174"/>
        <v>3214.4696585541315</v>
      </c>
      <c r="N904" s="28">
        <f t="shared" ca="1" si="175"/>
        <v>0.5306938336580258</v>
      </c>
      <c r="O904" s="29">
        <f t="shared" ca="1" si="176"/>
        <v>600000</v>
      </c>
      <c r="P904" s="30">
        <f t="shared" ca="1" si="177"/>
        <v>99.057180193773917</v>
      </c>
    </row>
    <row r="905" spans="1:16" x14ac:dyDescent="0.25">
      <c r="A905" s="3">
        <f t="shared" si="178"/>
        <v>47379</v>
      </c>
      <c r="B905" s="21">
        <f t="shared" ref="B905:B968" si="182">DATE(2000, MONTH(A905), DAY(A905))</f>
        <v>36787</v>
      </c>
      <c r="C905" s="21">
        <f t="shared" ref="C905:C968" si="183">VLOOKUP(B905, $R$9:$S$13, 2)</f>
        <v>36789</v>
      </c>
      <c r="D905" s="1">
        <f t="shared" si="179"/>
        <v>0</v>
      </c>
      <c r="E905" s="3">
        <f t="array" ref="E905">INDEX($A$9:A904, MAX(IF($D$9:D904=1, ROW(D$9:$D904)-ROW($D$9)+1, 0)))</f>
        <v>47289</v>
      </c>
      <c r="F905" s="23">
        <f t="shared" ref="F905:F968" si="184">(A905-$A$2)/365.25</f>
        <v>3.4332648870636548</v>
      </c>
      <c r="G905" s="5">
        <f>INDEX('Default Prob'!$P$5:$P$14,MIN(1+_xlfn.IFNA(MATCH(F905,'Default Prob'!$F$5:$F$14,1),0),COUNT('Default Prob'!$P$5:$P$14)))</f>
        <v>2.3050976347889798E-2</v>
      </c>
      <c r="H905" s="5">
        <f t="shared" si="180"/>
        <v>0.92844541078101828</v>
      </c>
      <c r="I905" s="24">
        <f t="shared" si="181"/>
        <v>5.8596163029500659E-5</v>
      </c>
      <c r="J905" s="25">
        <f>INDEX('Default Prob'!$C$3:$C$13, _xlfn.IFNA(MATCH(F905, 'Default Prob'!$B$3:$B$13, 1), 1))</f>
        <v>1.8499999999999999E-2</v>
      </c>
      <c r="K905" s="26">
        <f t="shared" ref="K905:K968" si="185">1/((1+J905)^F905)</f>
        <v>0.93900447889225258</v>
      </c>
      <c r="L905" s="27">
        <f t="shared" ref="L905:L968" ca="1" si="186">IF(AND(D905, A905 &lt;= $G$2), $D$5*$D$2*(A905-E905)/365.25, 0)</f>
        <v>0</v>
      </c>
      <c r="M905" s="27">
        <f t="shared" ref="M905:M968" ca="1" si="187">IF(A905&lt;=$G$2, $D$5*$D$2*(A905-E905)/365.25, 0)</f>
        <v>3250.587295167099</v>
      </c>
      <c r="N905" s="28">
        <f t="shared" ref="N905:N968" ca="1" si="188">(L905*H905 + M905*I905) * K905</f>
        <v>0.17885400766410181</v>
      </c>
      <c r="O905" s="29">
        <f t="shared" ref="O905:O968" ca="1" si="189">IF(A905&lt;=$G$2, $D$2*(1-$D$3), 0)</f>
        <v>600000</v>
      </c>
      <c r="P905" s="30">
        <f t="shared" ref="P905:P968" ca="1" si="190">O905*I905*K905</f>
        <v>33.013235718361045</v>
      </c>
    </row>
    <row r="906" spans="1:16" x14ac:dyDescent="0.25">
      <c r="A906" s="3">
        <f t="shared" ref="A906:A969" si="191">WORKDAY(A905, 1)</f>
        <v>47380</v>
      </c>
      <c r="B906" s="21">
        <f t="shared" si="182"/>
        <v>36788</v>
      </c>
      <c r="C906" s="21">
        <f t="shared" si="183"/>
        <v>36789</v>
      </c>
      <c r="D906" s="1">
        <f t="shared" ref="D906:D969" si="192">IF(OR(C906=B906, AND(C906&lt;&gt;C905, C905&gt;B905)), 1, 0)</f>
        <v>0</v>
      </c>
      <c r="E906" s="3">
        <f t="array" ref="E906">INDEX($A$9:A905, MAX(IF($D$9:D905=1, ROW(D$9:$D905)-ROW($D$9)+1, 0)))</f>
        <v>47289</v>
      </c>
      <c r="F906" s="23">
        <f t="shared" si="184"/>
        <v>3.4360027378507869</v>
      </c>
      <c r="G906" s="5">
        <f>INDEX('Default Prob'!$P$5:$P$14,MIN(1+_xlfn.IFNA(MATCH(F906,'Default Prob'!$F$5:$F$14,1),0),COUNT('Default Prob'!$P$5:$P$14)))</f>
        <v>2.3050976347889798E-2</v>
      </c>
      <c r="H906" s="5">
        <f t="shared" ref="H906:H969" si="193">H905*EXP(-G905*(F906-F905))</f>
        <v>0.92838681831588377</v>
      </c>
      <c r="I906" s="24">
        <f t="shared" ref="I906:I969" si="194">H905-H906</f>
        <v>5.8592465134510441E-5</v>
      </c>
      <c r="J906" s="25">
        <f>INDEX('Default Prob'!$C$3:$C$13, _xlfn.IFNA(MATCH(F906, 'Default Prob'!$B$3:$B$13, 1), 1))</f>
        <v>1.8499999999999999E-2</v>
      </c>
      <c r="K906" s="26">
        <f t="shared" si="185"/>
        <v>0.93895735385870771</v>
      </c>
      <c r="L906" s="27">
        <f t="shared" ca="1" si="186"/>
        <v>0</v>
      </c>
      <c r="M906" s="27">
        <f t="shared" ca="1" si="187"/>
        <v>3286.7049317800665</v>
      </c>
      <c r="N906" s="28">
        <f t="shared" ca="1" si="188"/>
        <v>0.18082078670180771</v>
      </c>
      <c r="O906" s="29">
        <f t="shared" ca="1" si="189"/>
        <v>600000</v>
      </c>
      <c r="P906" s="30">
        <f t="shared" ca="1" si="190"/>
        <v>33.009495611255112</v>
      </c>
    </row>
    <row r="907" spans="1:16" x14ac:dyDescent="0.25">
      <c r="A907" s="3">
        <f t="shared" si="191"/>
        <v>47381</v>
      </c>
      <c r="B907" s="21">
        <f t="shared" si="182"/>
        <v>36789</v>
      </c>
      <c r="C907" s="21">
        <f t="shared" si="183"/>
        <v>36789</v>
      </c>
      <c r="D907" s="1">
        <f t="shared" si="192"/>
        <v>1</v>
      </c>
      <c r="E907" s="3">
        <f t="array" ref="E907">INDEX($A$9:A906, MAX(IF($D$9:D906=1, ROW(D$9:$D906)-ROW($D$9)+1, 0)))</f>
        <v>47289</v>
      </c>
      <c r="F907" s="23">
        <f t="shared" si="184"/>
        <v>3.4387405886379194</v>
      </c>
      <c r="G907" s="5">
        <f>INDEX('Default Prob'!$P$5:$P$14,MIN(1+_xlfn.IFNA(MATCH(F907,'Default Prob'!$F$5:$F$14,1),0),COUNT('Default Prob'!$P$5:$P$14)))</f>
        <v>2.3050976347889798E-2</v>
      </c>
      <c r="H907" s="5">
        <f t="shared" si="193"/>
        <v>0.92832822954841088</v>
      </c>
      <c r="I907" s="24">
        <f t="shared" si="194"/>
        <v>5.8588767472889103E-5</v>
      </c>
      <c r="J907" s="25">
        <f>INDEX('Default Prob'!$C$3:$C$13, _xlfn.IFNA(MATCH(F907, 'Default Prob'!$B$3:$B$13, 1), 1))</f>
        <v>1.8499999999999999E-2</v>
      </c>
      <c r="K907" s="26">
        <f t="shared" si="185"/>
        <v>0.93891023119018768</v>
      </c>
      <c r="L907" s="27">
        <f t="shared" ca="1" si="186"/>
        <v>3322.8225683930345</v>
      </c>
      <c r="M907" s="27">
        <f t="shared" ca="1" si="187"/>
        <v>3322.8225683930345</v>
      </c>
      <c r="N907" s="28">
        <f t="shared" ca="1" si="188"/>
        <v>2896.4110024705601</v>
      </c>
      <c r="O907" s="29">
        <f t="shared" ca="1" si="189"/>
        <v>600000</v>
      </c>
      <c r="P907" s="30">
        <f t="shared" ca="1" si="190"/>
        <v>33.005755927871071</v>
      </c>
    </row>
    <row r="908" spans="1:16" x14ac:dyDescent="0.25">
      <c r="A908" s="3">
        <f t="shared" si="191"/>
        <v>47382</v>
      </c>
      <c r="B908" s="21">
        <f t="shared" si="182"/>
        <v>36790</v>
      </c>
      <c r="C908" s="21">
        <f t="shared" si="183"/>
        <v>36880</v>
      </c>
      <c r="D908" s="1">
        <f t="shared" si="192"/>
        <v>0</v>
      </c>
      <c r="E908" s="3">
        <f t="array" ref="E908">INDEX($A$9:A907, MAX(IF($D$9:D907=1, ROW(D$9:$D907)-ROW($D$9)+1, 0)))</f>
        <v>47381</v>
      </c>
      <c r="F908" s="23">
        <f t="shared" si="184"/>
        <v>3.4414784394250515</v>
      </c>
      <c r="G908" s="5">
        <f>INDEX('Default Prob'!$P$5:$P$14,MIN(1+_xlfn.IFNA(MATCH(F908,'Default Prob'!$F$5:$F$14,1),0),COUNT('Default Prob'!$P$5:$P$14)))</f>
        <v>2.3050976347889798E-2</v>
      </c>
      <c r="H908" s="5">
        <f t="shared" si="193"/>
        <v>0.92826964447836635</v>
      </c>
      <c r="I908" s="24">
        <f t="shared" si="194"/>
        <v>5.8585070044525622E-5</v>
      </c>
      <c r="J908" s="25">
        <f>INDEX('Default Prob'!$C$3:$C$13, _xlfn.IFNA(MATCH(F908, 'Default Prob'!$B$3:$B$13, 1), 1))</f>
        <v>1.8499999999999999E-2</v>
      </c>
      <c r="K908" s="26">
        <f t="shared" si="185"/>
        <v>0.93886311088657348</v>
      </c>
      <c r="L908" s="27">
        <f t="shared" ca="1" si="186"/>
        <v>0</v>
      </c>
      <c r="M908" s="27">
        <f t="shared" ca="1" si="187"/>
        <v>36.117636612967765</v>
      </c>
      <c r="N908" s="28">
        <f t="shared" ca="1" si="188"/>
        <v>1.9865914091896373E-3</v>
      </c>
      <c r="O908" s="29">
        <f t="shared" ca="1" si="189"/>
        <v>600000</v>
      </c>
      <c r="P908" s="30">
        <f t="shared" ca="1" si="190"/>
        <v>33.002016668106677</v>
      </c>
    </row>
    <row r="909" spans="1:16" x14ac:dyDescent="0.25">
      <c r="A909" s="3">
        <f t="shared" si="191"/>
        <v>47385</v>
      </c>
      <c r="B909" s="21">
        <f t="shared" si="182"/>
        <v>36793</v>
      </c>
      <c r="C909" s="21">
        <f t="shared" si="183"/>
        <v>36880</v>
      </c>
      <c r="D909" s="1">
        <f t="shared" si="192"/>
        <v>0</v>
      </c>
      <c r="E909" s="3">
        <f t="array" ref="E909">INDEX($A$9:A908, MAX(IF($D$9:D908=1, ROW(D$9:$D908)-ROW($D$9)+1, 0)))</f>
        <v>47381</v>
      </c>
      <c r="F909" s="23">
        <f t="shared" si="184"/>
        <v>3.4496919917864477</v>
      </c>
      <c r="G909" s="5">
        <f>INDEX('Default Prob'!$P$5:$P$14,MIN(1+_xlfn.IFNA(MATCH(F909,'Default Prob'!$F$5:$F$14,1),0),COUNT('Default Prob'!$P$5:$P$14)))</f>
        <v>2.3050976347889798E-2</v>
      </c>
      <c r="H909" s="5">
        <f t="shared" si="193"/>
        <v>0.92809391145046904</v>
      </c>
      <c r="I909" s="24">
        <f t="shared" si="194"/>
        <v>1.7573302789730683E-4</v>
      </c>
      <c r="J909" s="25">
        <f>INDEX('Default Prob'!$C$3:$C$13, _xlfn.IFNA(MATCH(F909, 'Default Prob'!$B$3:$B$13, 1), 1))</f>
        <v>1.8499999999999999E-2</v>
      </c>
      <c r="K909" s="26">
        <f t="shared" si="185"/>
        <v>0.93872176416398034</v>
      </c>
      <c r="L909" s="27">
        <f t="shared" ca="1" si="186"/>
        <v>0</v>
      </c>
      <c r="M909" s="27">
        <f t="shared" ca="1" si="187"/>
        <v>144.47054645187106</v>
      </c>
      <c r="N909" s="28">
        <f t="shared" ca="1" si="188"/>
        <v>2.3832499609188436E-2</v>
      </c>
      <c r="O909" s="29">
        <f t="shared" ca="1" si="189"/>
        <v>600000</v>
      </c>
      <c r="P909" s="30">
        <f t="shared" ca="1" si="190"/>
        <v>98.978650781782704</v>
      </c>
    </row>
    <row r="910" spans="1:16" x14ac:dyDescent="0.25">
      <c r="A910" s="3">
        <f t="shared" si="191"/>
        <v>47386</v>
      </c>
      <c r="B910" s="21">
        <f t="shared" si="182"/>
        <v>36794</v>
      </c>
      <c r="C910" s="21">
        <f t="shared" si="183"/>
        <v>36880</v>
      </c>
      <c r="D910" s="1">
        <f t="shared" si="192"/>
        <v>0</v>
      </c>
      <c r="E910" s="3">
        <f t="array" ref="E910">INDEX($A$9:A909, MAX(IF($D$9:D909=1, ROW(D$9:$D909)-ROW($D$9)+1, 0)))</f>
        <v>47381</v>
      </c>
      <c r="F910" s="23">
        <f t="shared" si="184"/>
        <v>3.4524298425735798</v>
      </c>
      <c r="G910" s="5">
        <f>INDEX('Default Prob'!$P$5:$P$14,MIN(1+_xlfn.IFNA(MATCH(F910,'Default Prob'!$F$5:$F$14,1),0),COUNT('Default Prob'!$P$5:$P$14)))</f>
        <v>2.3050976347889798E-2</v>
      </c>
      <c r="H910" s="5">
        <f t="shared" si="193"/>
        <v>0.9280353411678044</v>
      </c>
      <c r="I910" s="24">
        <f t="shared" si="194"/>
        <v>5.8570282664649476E-5</v>
      </c>
      <c r="J910" s="25">
        <f>INDEX('Default Prob'!$C$3:$C$13, _xlfn.IFNA(MATCH(F910, 'Default Prob'!$B$3:$B$13, 1), 1))</f>
        <v>1.8499999999999999E-2</v>
      </c>
      <c r="K910" s="26">
        <f t="shared" si="185"/>
        <v>0.9386746533188034</v>
      </c>
      <c r="L910" s="27">
        <f t="shared" ca="1" si="186"/>
        <v>0</v>
      </c>
      <c r="M910" s="27">
        <f t="shared" ca="1" si="187"/>
        <v>180.58818306483883</v>
      </c>
      <c r="N910" s="28">
        <f t="shared" ca="1" si="188"/>
        <v>9.9284565467112808E-3</v>
      </c>
      <c r="O910" s="29">
        <f t="shared" ca="1" si="189"/>
        <v>600000</v>
      </c>
      <c r="P910" s="30">
        <f t="shared" ca="1" si="190"/>
        <v>32.987063865014498</v>
      </c>
    </row>
    <row r="911" spans="1:16" x14ac:dyDescent="0.25">
      <c r="A911" s="3">
        <f t="shared" si="191"/>
        <v>47387</v>
      </c>
      <c r="B911" s="21">
        <f t="shared" si="182"/>
        <v>36795</v>
      </c>
      <c r="C911" s="21">
        <f t="shared" si="183"/>
        <v>36880</v>
      </c>
      <c r="D911" s="1">
        <f t="shared" si="192"/>
        <v>0</v>
      </c>
      <c r="E911" s="3">
        <f t="array" ref="E911">INDEX($A$9:A910, MAX(IF($D$9:D910=1, ROW(D$9:$D910)-ROW($D$9)+1, 0)))</f>
        <v>47381</v>
      </c>
      <c r="F911" s="23">
        <f t="shared" si="184"/>
        <v>3.4551676933607118</v>
      </c>
      <c r="G911" s="5">
        <f>INDEX('Default Prob'!$P$5:$P$14,MIN(1+_xlfn.IFNA(MATCH(F911,'Default Prob'!$F$5:$F$14,1),0),COUNT('Default Prob'!$P$5:$P$14)))</f>
        <v>2.3050976347889798E-2</v>
      </c>
      <c r="H911" s="5">
        <f t="shared" si="193"/>
        <v>0.92797677458140149</v>
      </c>
      <c r="I911" s="24">
        <f t="shared" si="194"/>
        <v>5.8566586402908349E-5</v>
      </c>
      <c r="J911" s="25">
        <f>INDEX('Default Prob'!$C$3:$C$13, _xlfn.IFNA(MATCH(F911, 'Default Prob'!$B$3:$B$13, 1), 1))</f>
        <v>1.8499999999999999E-2</v>
      </c>
      <c r="K911" s="26">
        <f t="shared" si="185"/>
        <v>0.93862754483793931</v>
      </c>
      <c r="L911" s="27">
        <f t="shared" ca="1" si="186"/>
        <v>0</v>
      </c>
      <c r="M911" s="27">
        <f t="shared" ca="1" si="187"/>
        <v>216.70581967780663</v>
      </c>
      <c r="N911" s="28">
        <f t="shared" ca="1" si="188"/>
        <v>1.1912798088659556E-2</v>
      </c>
      <c r="O911" s="29">
        <f t="shared" ca="1" si="189"/>
        <v>600000</v>
      </c>
      <c r="P911" s="30">
        <f t="shared" ca="1" si="190"/>
        <v>32.983326722940539</v>
      </c>
    </row>
    <row r="912" spans="1:16" x14ac:dyDescent="0.25">
      <c r="A912" s="3">
        <f t="shared" si="191"/>
        <v>47388</v>
      </c>
      <c r="B912" s="21">
        <f t="shared" si="182"/>
        <v>36796</v>
      </c>
      <c r="C912" s="21">
        <f t="shared" si="183"/>
        <v>36880</v>
      </c>
      <c r="D912" s="1">
        <f t="shared" si="192"/>
        <v>0</v>
      </c>
      <c r="E912" s="3">
        <f t="array" ref="E912">INDEX($A$9:A911, MAX(IF($D$9:D911=1, ROW(D$9:$D911)-ROW($D$9)+1, 0)))</f>
        <v>47381</v>
      </c>
      <c r="F912" s="23">
        <f t="shared" si="184"/>
        <v>3.4579055441478439</v>
      </c>
      <c r="G912" s="5">
        <f>INDEX('Default Prob'!$P$5:$P$14,MIN(1+_xlfn.IFNA(MATCH(F912,'Default Prob'!$F$5:$F$14,1),0),COUNT('Default Prob'!$P$5:$P$14)))</f>
        <v>2.3050976347889798E-2</v>
      </c>
      <c r="H912" s="5">
        <f t="shared" si="193"/>
        <v>0.92791821169102695</v>
      </c>
      <c r="I912" s="24">
        <f t="shared" si="194"/>
        <v>5.8562890374536103E-5</v>
      </c>
      <c r="J912" s="25">
        <f>INDEX('Default Prob'!$C$3:$C$13, _xlfn.IFNA(MATCH(F912, 'Default Prob'!$B$3:$B$13, 1), 1))</f>
        <v>1.8499999999999999E-2</v>
      </c>
      <c r="K912" s="26">
        <f t="shared" si="185"/>
        <v>0.93858043872126906</v>
      </c>
      <c r="L912" s="27">
        <f t="shared" ca="1" si="186"/>
        <v>0</v>
      </c>
      <c r="M912" s="27">
        <f t="shared" ca="1" si="187"/>
        <v>252.82345629077437</v>
      </c>
      <c r="N912" s="28">
        <f t="shared" ca="1" si="188"/>
        <v>1.3896689886570803E-2</v>
      </c>
      <c r="O912" s="29">
        <f t="shared" ca="1" si="189"/>
        <v>600000</v>
      </c>
      <c r="P912" s="30">
        <f t="shared" ca="1" si="190"/>
        <v>32.979590004310609</v>
      </c>
    </row>
    <row r="913" spans="1:16" x14ac:dyDescent="0.25">
      <c r="A913" s="3">
        <f t="shared" si="191"/>
        <v>47389</v>
      </c>
      <c r="B913" s="21">
        <f t="shared" si="182"/>
        <v>36797</v>
      </c>
      <c r="C913" s="21">
        <f t="shared" si="183"/>
        <v>36880</v>
      </c>
      <c r="D913" s="1">
        <f t="shared" si="192"/>
        <v>0</v>
      </c>
      <c r="E913" s="3">
        <f t="array" ref="E913">INDEX($A$9:A912, MAX(IF($D$9:D912=1, ROW(D$9:$D912)-ROW($D$9)+1, 0)))</f>
        <v>47381</v>
      </c>
      <c r="F913" s="23">
        <f t="shared" si="184"/>
        <v>3.460643394934976</v>
      </c>
      <c r="G913" s="5">
        <f>INDEX('Default Prob'!$P$5:$P$14,MIN(1+_xlfn.IFNA(MATCH(F913,'Default Prob'!$F$5:$F$14,1),0),COUNT('Default Prob'!$P$5:$P$14)))</f>
        <v>2.3050976347889798E-2</v>
      </c>
      <c r="H913" s="5">
        <f t="shared" si="193"/>
        <v>0.92785965249644764</v>
      </c>
      <c r="I913" s="24">
        <f t="shared" si="194"/>
        <v>5.8559194579310692E-5</v>
      </c>
      <c r="J913" s="25">
        <f>INDEX('Default Prob'!$C$3:$C$13, _xlfn.IFNA(MATCH(F913, 'Default Prob'!$B$3:$B$13, 1), 1))</f>
        <v>1.8499999999999999E-2</v>
      </c>
      <c r="K913" s="26">
        <f t="shared" si="185"/>
        <v>0.93853333496867408</v>
      </c>
      <c r="L913" s="27">
        <f t="shared" ca="1" si="186"/>
        <v>0</v>
      </c>
      <c r="M913" s="27">
        <f t="shared" ca="1" si="187"/>
        <v>288.94109290374212</v>
      </c>
      <c r="N913" s="28">
        <f t="shared" ca="1" si="188"/>
        <v>1.5880132016834688E-2</v>
      </c>
      <c r="O913" s="29">
        <f t="shared" ca="1" si="189"/>
        <v>600000</v>
      </c>
      <c r="P913" s="30">
        <f t="shared" ca="1" si="190"/>
        <v>32.975853708959981</v>
      </c>
    </row>
    <row r="914" spans="1:16" x14ac:dyDescent="0.25">
      <c r="A914" s="3">
        <f t="shared" si="191"/>
        <v>47392</v>
      </c>
      <c r="B914" s="21">
        <f t="shared" si="182"/>
        <v>36800</v>
      </c>
      <c r="C914" s="21">
        <f t="shared" si="183"/>
        <v>36880</v>
      </c>
      <c r="D914" s="1">
        <f t="shared" si="192"/>
        <v>0</v>
      </c>
      <c r="E914" s="3">
        <f t="array" ref="E914">INDEX($A$9:A913, MAX(IF($D$9:D913=1, ROW(D$9:$D913)-ROW($D$9)+1, 0)))</f>
        <v>47381</v>
      </c>
      <c r="F914" s="23">
        <f t="shared" si="184"/>
        <v>3.4688569472963722</v>
      </c>
      <c r="G914" s="5">
        <f>INDEX('Default Prob'!$P$5:$P$14,MIN(1+_xlfn.IFNA(MATCH(F914,'Default Prob'!$F$5:$F$14,1),0),COUNT('Default Prob'!$P$5:$P$14)))</f>
        <v>2.3050976347889798E-2</v>
      </c>
      <c r="H914" s="5">
        <f t="shared" si="193"/>
        <v>0.92768399708514904</v>
      </c>
      <c r="I914" s="24">
        <f t="shared" si="194"/>
        <v>1.7565541129860307E-4</v>
      </c>
      <c r="J914" s="25">
        <f>INDEX('Default Prob'!$C$3:$C$13, _xlfn.IFNA(MATCH(F914, 'Default Prob'!$B$3:$B$13, 1), 1))</f>
        <v>1.8499999999999999E-2</v>
      </c>
      <c r="K914" s="26">
        <f t="shared" si="185"/>
        <v>0.93839203789415504</v>
      </c>
      <c r="L914" s="27">
        <f t="shared" ca="1" si="186"/>
        <v>0</v>
      </c>
      <c r="M914" s="27">
        <f t="shared" ca="1" si="187"/>
        <v>397.29400274264543</v>
      </c>
      <c r="N914" s="28">
        <f t="shared" ca="1" si="188"/>
        <v>6.5487416374182622E-2</v>
      </c>
      <c r="O914" s="29">
        <f t="shared" ca="1" si="189"/>
        <v>600000</v>
      </c>
      <c r="P914" s="30">
        <f t="shared" ca="1" si="190"/>
        <v>98.90018362537927</v>
      </c>
    </row>
    <row r="915" spans="1:16" x14ac:dyDescent="0.25">
      <c r="A915" s="3">
        <f t="shared" si="191"/>
        <v>47393</v>
      </c>
      <c r="B915" s="21">
        <f t="shared" si="182"/>
        <v>36801</v>
      </c>
      <c r="C915" s="21">
        <f t="shared" si="183"/>
        <v>36880</v>
      </c>
      <c r="D915" s="1">
        <f t="shared" si="192"/>
        <v>0</v>
      </c>
      <c r="E915" s="3">
        <f t="array" ref="E915">INDEX($A$9:A914, MAX(IF($D$9:D914=1, ROW(D$9:$D914)-ROW($D$9)+1, 0)))</f>
        <v>47381</v>
      </c>
      <c r="F915" s="23">
        <f t="shared" si="184"/>
        <v>3.4715947980835042</v>
      </c>
      <c r="G915" s="5">
        <f>INDEX('Default Prob'!$P$5:$P$14,MIN(1+_xlfn.IFNA(MATCH(F915,'Default Prob'!$F$5:$F$14,1),0),COUNT('Default Prob'!$P$5:$P$14)))</f>
        <v>2.3050976347889798E-2</v>
      </c>
      <c r="H915" s="5">
        <f t="shared" si="193"/>
        <v>0.92762545267141849</v>
      </c>
      <c r="I915" s="24">
        <f t="shared" si="194"/>
        <v>5.8544413730543532E-5</v>
      </c>
      <c r="J915" s="25">
        <f>INDEX('Default Prob'!$C$3:$C$13, _xlfn.IFNA(MATCH(F915, 'Default Prob'!$B$3:$B$13, 1), 1))</f>
        <v>1.8499999999999999E-2</v>
      </c>
      <c r="K915" s="26">
        <f t="shared" si="185"/>
        <v>0.93834494359667497</v>
      </c>
      <c r="L915" s="27">
        <f t="shared" ca="1" si="186"/>
        <v>0</v>
      </c>
      <c r="M915" s="27">
        <f t="shared" ca="1" si="187"/>
        <v>433.41163935561326</v>
      </c>
      <c r="N915" s="28">
        <f t="shared" ca="1" si="188"/>
        <v>2.3809405389899396E-2</v>
      </c>
      <c r="O915" s="29">
        <f t="shared" ca="1" si="189"/>
        <v>600000</v>
      </c>
      <c r="P915" s="30">
        <f t="shared" ca="1" si="190"/>
        <v>32.960912759932363</v>
      </c>
    </row>
    <row r="916" spans="1:16" x14ac:dyDescent="0.25">
      <c r="A916" s="3">
        <f t="shared" si="191"/>
        <v>47394</v>
      </c>
      <c r="B916" s="21">
        <f t="shared" si="182"/>
        <v>36802</v>
      </c>
      <c r="C916" s="21">
        <f t="shared" si="183"/>
        <v>36880</v>
      </c>
      <c r="D916" s="1">
        <f t="shared" si="192"/>
        <v>0</v>
      </c>
      <c r="E916" s="3">
        <f t="array" ref="E916">INDEX($A$9:A915, MAX(IF($D$9:D915=1, ROW(D$9:$D915)-ROW($D$9)+1, 0)))</f>
        <v>47381</v>
      </c>
      <c r="F916" s="23">
        <f t="shared" si="184"/>
        <v>3.4743326488706368</v>
      </c>
      <c r="G916" s="5">
        <f>INDEX('Default Prob'!$P$5:$P$14,MIN(1+_xlfn.IFNA(MATCH(F916,'Default Prob'!$F$5:$F$14,1),0),COUNT('Default Prob'!$P$5:$P$14)))</f>
        <v>2.3050976347889798E-2</v>
      </c>
      <c r="H916" s="5">
        <f t="shared" si="193"/>
        <v>0.92756691195231711</v>
      </c>
      <c r="I916" s="24">
        <f t="shared" si="194"/>
        <v>5.8540719101385363E-5</v>
      </c>
      <c r="J916" s="25">
        <f>INDEX('Default Prob'!$C$3:$C$13, _xlfn.IFNA(MATCH(F916, 'Default Prob'!$B$3:$B$13, 1), 1))</f>
        <v>1.8499999999999999E-2</v>
      </c>
      <c r="K916" s="26">
        <f t="shared" si="185"/>
        <v>0.93829785166267721</v>
      </c>
      <c r="L916" s="27">
        <f t="shared" ca="1" si="186"/>
        <v>0</v>
      </c>
      <c r="M916" s="27">
        <f t="shared" ca="1" si="187"/>
        <v>469.52927596858098</v>
      </c>
      <c r="N916" s="28">
        <f t="shared" ca="1" si="188"/>
        <v>2.5790600328171119E-2</v>
      </c>
      <c r="O916" s="29">
        <f t="shared" ca="1" si="189"/>
        <v>600000</v>
      </c>
      <c r="P916" s="30">
        <f t="shared" ca="1" si="190"/>
        <v>32.957178580570883</v>
      </c>
    </row>
    <row r="917" spans="1:16" x14ac:dyDescent="0.25">
      <c r="A917" s="3">
        <f t="shared" si="191"/>
        <v>47395</v>
      </c>
      <c r="B917" s="21">
        <f t="shared" si="182"/>
        <v>36803</v>
      </c>
      <c r="C917" s="21">
        <f t="shared" si="183"/>
        <v>36880</v>
      </c>
      <c r="D917" s="1">
        <f t="shared" si="192"/>
        <v>0</v>
      </c>
      <c r="E917" s="3">
        <f t="array" ref="E917">INDEX($A$9:A916, MAX(IF($D$9:D916=1, ROW(D$9:$D916)-ROW($D$9)+1, 0)))</f>
        <v>47381</v>
      </c>
      <c r="F917" s="23">
        <f t="shared" si="184"/>
        <v>3.4770704996577688</v>
      </c>
      <c r="G917" s="5">
        <f>INDEX('Default Prob'!$P$5:$P$14,MIN(1+_xlfn.IFNA(MATCH(F917,'Default Prob'!$F$5:$F$14,1),0),COUNT('Default Prob'!$P$5:$P$14)))</f>
        <v>2.3050976347889798E-2</v>
      </c>
      <c r="H917" s="5">
        <f t="shared" si="193"/>
        <v>0.92750837492761173</v>
      </c>
      <c r="I917" s="24">
        <f t="shared" si="194"/>
        <v>5.853702470537403E-5</v>
      </c>
      <c r="J917" s="25">
        <f>INDEX('Default Prob'!$C$3:$C$13, _xlfn.IFNA(MATCH(F917, 'Default Prob'!$B$3:$B$13, 1), 1))</f>
        <v>1.8499999999999999E-2</v>
      </c>
      <c r="K917" s="26">
        <f t="shared" si="185"/>
        <v>0.93825076209204306</v>
      </c>
      <c r="L917" s="27">
        <f t="shared" ca="1" si="186"/>
        <v>0</v>
      </c>
      <c r="M917" s="27">
        <f t="shared" ca="1" si="187"/>
        <v>505.64691258154875</v>
      </c>
      <c r="N917" s="28">
        <f t="shared" ca="1" si="188"/>
        <v>2.7771346057181359E-2</v>
      </c>
      <c r="O917" s="29">
        <f t="shared" ca="1" si="189"/>
        <v>600000</v>
      </c>
      <c r="P917" s="30">
        <f t="shared" ca="1" si="190"/>
        <v>32.953444824250759</v>
      </c>
    </row>
    <row r="918" spans="1:16" x14ac:dyDescent="0.25">
      <c r="A918" s="3">
        <f t="shared" si="191"/>
        <v>47396</v>
      </c>
      <c r="B918" s="21">
        <f t="shared" si="182"/>
        <v>36804</v>
      </c>
      <c r="C918" s="21">
        <f t="shared" si="183"/>
        <v>36880</v>
      </c>
      <c r="D918" s="1">
        <f t="shared" si="192"/>
        <v>0</v>
      </c>
      <c r="E918" s="3">
        <f t="array" ref="E918">INDEX($A$9:A917, MAX(IF($D$9:D917=1, ROW(D$9:$D917)-ROW($D$9)+1, 0)))</f>
        <v>47381</v>
      </c>
      <c r="F918" s="23">
        <f t="shared" si="184"/>
        <v>3.4798083504449009</v>
      </c>
      <c r="G918" s="5">
        <f>INDEX('Default Prob'!$P$5:$P$14,MIN(1+_xlfn.IFNA(MATCH(F918,'Default Prob'!$F$5:$F$14,1),0),COUNT('Default Prob'!$P$5:$P$14)))</f>
        <v>2.3050976347889798E-2</v>
      </c>
      <c r="H918" s="5">
        <f t="shared" si="193"/>
        <v>0.92744984159706922</v>
      </c>
      <c r="I918" s="24">
        <f t="shared" si="194"/>
        <v>5.8533330542509532E-5</v>
      </c>
      <c r="J918" s="25">
        <f>INDEX('Default Prob'!$C$3:$C$13, _xlfn.IFNA(MATCH(F918, 'Default Prob'!$B$3:$B$13, 1), 1))</f>
        <v>1.8499999999999999E-2</v>
      </c>
      <c r="K918" s="26">
        <f t="shared" si="185"/>
        <v>0.93820367488465373</v>
      </c>
      <c r="L918" s="27">
        <f t="shared" ca="1" si="186"/>
        <v>0</v>
      </c>
      <c r="M918" s="27">
        <f t="shared" ca="1" si="187"/>
        <v>541.76454919451646</v>
      </c>
      <c r="N918" s="28">
        <f t="shared" ca="1" si="188"/>
        <v>2.9751642653290576E-2</v>
      </c>
      <c r="O918" s="29">
        <f t="shared" ca="1" si="189"/>
        <v>600000</v>
      </c>
      <c r="P918" s="30">
        <f t="shared" ca="1" si="190"/>
        <v>32.949711490932351</v>
      </c>
    </row>
    <row r="919" spans="1:16" x14ac:dyDescent="0.25">
      <c r="A919" s="3">
        <f t="shared" si="191"/>
        <v>47399</v>
      </c>
      <c r="B919" s="21">
        <f t="shared" si="182"/>
        <v>36807</v>
      </c>
      <c r="C919" s="21">
        <f t="shared" si="183"/>
        <v>36880</v>
      </c>
      <c r="D919" s="1">
        <f t="shared" si="192"/>
        <v>0</v>
      </c>
      <c r="E919" s="3">
        <f t="array" ref="E919">INDEX($A$9:A918, MAX(IF($D$9:D918=1, ROW(D$9:$D918)-ROW($D$9)+1, 0)))</f>
        <v>47381</v>
      </c>
      <c r="F919" s="23">
        <f t="shared" si="184"/>
        <v>3.4880219028062971</v>
      </c>
      <c r="G919" s="5">
        <f>INDEX('Default Prob'!$P$5:$P$14,MIN(1+_xlfn.IFNA(MATCH(F919,'Default Prob'!$F$5:$F$14,1),0),COUNT('Default Prob'!$P$5:$P$14)))</f>
        <v>2.3050976347889798E-2</v>
      </c>
      <c r="H919" s="5">
        <f t="shared" si="193"/>
        <v>0.92727426376808797</v>
      </c>
      <c r="I919" s="24">
        <f t="shared" si="194"/>
        <v>1.7557782898125485E-4</v>
      </c>
      <c r="J919" s="25">
        <f>INDEX('Default Prob'!$C$3:$C$13, _xlfn.IFNA(MATCH(F919, 'Default Prob'!$B$3:$B$13, 1), 1))</f>
        <v>1.8499999999999999E-2</v>
      </c>
      <c r="K919" s="26">
        <f t="shared" si="185"/>
        <v>0.93806242744076973</v>
      </c>
      <c r="L919" s="27">
        <f t="shared" ca="1" si="186"/>
        <v>0</v>
      </c>
      <c r="M919" s="27">
        <f t="shared" ca="1" si="187"/>
        <v>650.11745903341978</v>
      </c>
      <c r="N919" s="28">
        <f t="shared" ca="1" si="188"/>
        <v>0.10707627274931529</v>
      </c>
      <c r="O919" s="29">
        <f t="shared" ca="1" si="189"/>
        <v>600000</v>
      </c>
      <c r="P919" s="30">
        <f t="shared" ca="1" si="190"/>
        <v>98.821778675361756</v>
      </c>
    </row>
    <row r="920" spans="1:16" x14ac:dyDescent="0.25">
      <c r="A920" s="3">
        <f t="shared" si="191"/>
        <v>47400</v>
      </c>
      <c r="B920" s="21">
        <f t="shared" si="182"/>
        <v>36808</v>
      </c>
      <c r="C920" s="21">
        <f t="shared" si="183"/>
        <v>36880</v>
      </c>
      <c r="D920" s="1">
        <f t="shared" si="192"/>
        <v>0</v>
      </c>
      <c r="E920" s="3">
        <f t="array" ref="E920">INDEX($A$9:A919, MAX(IF($D$9:D919=1, ROW(D$9:$D919)-ROW($D$9)+1, 0)))</f>
        <v>47381</v>
      </c>
      <c r="F920" s="23">
        <f t="shared" si="184"/>
        <v>3.4907597535934292</v>
      </c>
      <c r="G920" s="5">
        <f>INDEX('Default Prob'!$P$5:$P$14,MIN(1+_xlfn.IFNA(MATCH(F920,'Default Prob'!$F$5:$F$14,1),0),COUNT('Default Prob'!$P$5:$P$14)))</f>
        <v>2.3050976347889798E-2</v>
      </c>
      <c r="H920" s="5">
        <f t="shared" si="193"/>
        <v>0.92721574521186589</v>
      </c>
      <c r="I920" s="24">
        <f t="shared" si="194"/>
        <v>5.8518556222075802E-5</v>
      </c>
      <c r="J920" s="25">
        <f>INDEX('Default Prob'!$C$3:$C$13, _xlfn.IFNA(MATCH(F920, 'Default Prob'!$B$3:$B$13, 1), 1))</f>
        <v>1.8499999999999999E-2</v>
      </c>
      <c r="K920" s="26">
        <f t="shared" si="185"/>
        <v>0.93801534968517419</v>
      </c>
      <c r="L920" s="27">
        <f t="shared" ca="1" si="186"/>
        <v>0</v>
      </c>
      <c r="M920" s="27">
        <f t="shared" ca="1" si="187"/>
        <v>686.23509564638755</v>
      </c>
      <c r="N920" s="28">
        <f t="shared" ca="1" si="188"/>
        <v>3.7668339235306963E-2</v>
      </c>
      <c r="O920" s="29">
        <f t="shared" ca="1" si="189"/>
        <v>600000</v>
      </c>
      <c r="P920" s="30">
        <f t="shared" ca="1" si="190"/>
        <v>32.934782386633174</v>
      </c>
    </row>
    <row r="921" spans="1:16" x14ac:dyDescent="0.25">
      <c r="A921" s="3">
        <f t="shared" si="191"/>
        <v>47401</v>
      </c>
      <c r="B921" s="21">
        <f t="shared" si="182"/>
        <v>36809</v>
      </c>
      <c r="C921" s="21">
        <f t="shared" si="183"/>
        <v>36880</v>
      </c>
      <c r="D921" s="1">
        <f t="shared" si="192"/>
        <v>0</v>
      </c>
      <c r="E921" s="3">
        <f t="array" ref="E921">INDEX($A$9:A920, MAX(IF($D$9:D920=1, ROW(D$9:$D920)-ROW($D$9)+1, 0)))</f>
        <v>47381</v>
      </c>
      <c r="F921" s="23">
        <f t="shared" si="184"/>
        <v>3.4934976043805612</v>
      </c>
      <c r="G921" s="5">
        <f>INDEX('Default Prob'!$P$5:$P$14,MIN(1+_xlfn.IFNA(MATCH(F921,'Default Prob'!$F$5:$F$14,1),0),COUNT('Default Prob'!$P$5:$P$14)))</f>
        <v>2.3050976347889798E-2</v>
      </c>
      <c r="H921" s="5">
        <f t="shared" si="193"/>
        <v>0.92715723034864117</v>
      </c>
      <c r="I921" s="24">
        <f t="shared" si="194"/>
        <v>5.8514863224723435E-5</v>
      </c>
      <c r="J921" s="25">
        <f>INDEX('Default Prob'!$C$3:$C$13, _xlfn.IFNA(MATCH(F921, 'Default Prob'!$B$3:$B$13, 1), 1))</f>
        <v>1.8499999999999999E-2</v>
      </c>
      <c r="K921" s="26">
        <f t="shared" si="185"/>
        <v>0.93796827429223084</v>
      </c>
      <c r="L921" s="27">
        <f t="shared" ca="1" si="186"/>
        <v>0</v>
      </c>
      <c r="M921" s="27">
        <f t="shared" ca="1" si="187"/>
        <v>722.35273225935532</v>
      </c>
      <c r="N921" s="28">
        <f t="shared" ca="1" si="188"/>
        <v>3.9646391311818796E-2</v>
      </c>
      <c r="O921" s="29">
        <f t="shared" ca="1" si="189"/>
        <v>600000</v>
      </c>
      <c r="P921" s="30">
        <f t="shared" ca="1" si="190"/>
        <v>32.931051167603854</v>
      </c>
    </row>
    <row r="922" spans="1:16" x14ac:dyDescent="0.25">
      <c r="A922" s="3">
        <f t="shared" si="191"/>
        <v>47402</v>
      </c>
      <c r="B922" s="21">
        <f t="shared" si="182"/>
        <v>36810</v>
      </c>
      <c r="C922" s="21">
        <f t="shared" si="183"/>
        <v>36880</v>
      </c>
      <c r="D922" s="1">
        <f t="shared" si="192"/>
        <v>0</v>
      </c>
      <c r="E922" s="3">
        <f t="array" ref="E922">INDEX($A$9:A921, MAX(IF($D$9:D921=1, ROW(D$9:$D921)-ROW($D$9)+1, 0)))</f>
        <v>47381</v>
      </c>
      <c r="F922" s="23">
        <f t="shared" si="184"/>
        <v>3.4962354551676933</v>
      </c>
      <c r="G922" s="5">
        <f>INDEX('Default Prob'!$P$5:$P$14,MIN(1+_xlfn.IFNA(MATCH(F922,'Default Prob'!$F$5:$F$14,1),0),COUNT('Default Prob'!$P$5:$P$14)))</f>
        <v>2.3050976347889798E-2</v>
      </c>
      <c r="H922" s="5">
        <f t="shared" si="193"/>
        <v>0.92709871917818076</v>
      </c>
      <c r="I922" s="24">
        <f t="shared" si="194"/>
        <v>5.8511170460406881E-5</v>
      </c>
      <c r="J922" s="25">
        <f>INDEX('Default Prob'!$C$3:$C$13, _xlfn.IFNA(MATCH(F922, 'Default Prob'!$B$3:$B$13, 1), 1))</f>
        <v>1.8499999999999999E-2</v>
      </c>
      <c r="K922" s="26">
        <f t="shared" si="185"/>
        <v>0.93792120126182099</v>
      </c>
      <c r="L922" s="27">
        <f t="shared" ca="1" si="186"/>
        <v>0</v>
      </c>
      <c r="M922" s="27">
        <f t="shared" ca="1" si="187"/>
        <v>758.47036887232321</v>
      </c>
      <c r="N922" s="28">
        <f t="shared" ca="1" si="188"/>
        <v>4.1623994713298113E-2</v>
      </c>
      <c r="O922" s="29">
        <f t="shared" ca="1" si="189"/>
        <v>600000</v>
      </c>
      <c r="P922" s="30">
        <f t="shared" ca="1" si="190"/>
        <v>32.927320371275997</v>
      </c>
    </row>
    <row r="923" spans="1:16" x14ac:dyDescent="0.25">
      <c r="A923" s="3">
        <f t="shared" si="191"/>
        <v>47403</v>
      </c>
      <c r="B923" s="21">
        <f t="shared" si="182"/>
        <v>36811</v>
      </c>
      <c r="C923" s="21">
        <f t="shared" si="183"/>
        <v>36880</v>
      </c>
      <c r="D923" s="1">
        <f t="shared" si="192"/>
        <v>0</v>
      </c>
      <c r="E923" s="3">
        <f t="array" ref="E923">INDEX($A$9:A922, MAX(IF($D$9:D922=1, ROW(D$9:$D922)-ROW($D$9)+1, 0)))</f>
        <v>47381</v>
      </c>
      <c r="F923" s="23">
        <f t="shared" si="184"/>
        <v>3.4989733059548254</v>
      </c>
      <c r="G923" s="5">
        <f>INDEX('Default Prob'!$P$5:$P$14,MIN(1+_xlfn.IFNA(MATCH(F923,'Default Prob'!$F$5:$F$14,1),0),COUNT('Default Prob'!$P$5:$P$14)))</f>
        <v>2.3050976347889798E-2</v>
      </c>
      <c r="H923" s="5">
        <f t="shared" si="193"/>
        <v>0.92704021170025164</v>
      </c>
      <c r="I923" s="24">
        <f t="shared" si="194"/>
        <v>5.8507477929126139E-5</v>
      </c>
      <c r="J923" s="25">
        <f>INDEX('Default Prob'!$C$3:$C$13, _xlfn.IFNA(MATCH(F923, 'Default Prob'!$B$3:$B$13, 1), 1))</f>
        <v>1.8499999999999999E-2</v>
      </c>
      <c r="K923" s="26">
        <f t="shared" si="185"/>
        <v>0.93787413059382574</v>
      </c>
      <c r="L923" s="27">
        <f t="shared" ca="1" si="186"/>
        <v>0</v>
      </c>
      <c r="M923" s="27">
        <f t="shared" ca="1" si="187"/>
        <v>794.58800548529086</v>
      </c>
      <c r="N923" s="28">
        <f t="shared" ca="1" si="188"/>
        <v>4.3601149516027303E-2</v>
      </c>
      <c r="O923" s="29">
        <f t="shared" ca="1" si="189"/>
        <v>600000</v>
      </c>
      <c r="P923" s="30">
        <f t="shared" ca="1" si="190"/>
        <v>32.923589997609973</v>
      </c>
    </row>
    <row r="924" spans="1:16" x14ac:dyDescent="0.25">
      <c r="A924" s="3">
        <f t="shared" si="191"/>
        <v>47406</v>
      </c>
      <c r="B924" s="21">
        <f t="shared" si="182"/>
        <v>36814</v>
      </c>
      <c r="C924" s="21">
        <f t="shared" si="183"/>
        <v>36880</v>
      </c>
      <c r="D924" s="1">
        <f t="shared" si="192"/>
        <v>0</v>
      </c>
      <c r="E924" s="3">
        <f t="array" ref="E924">INDEX($A$9:A923, MAX(IF($D$9:D923=1, ROW(D$9:$D923)-ROW($D$9)+1, 0)))</f>
        <v>47381</v>
      </c>
      <c r="F924" s="23">
        <f t="shared" si="184"/>
        <v>3.5071868583162216</v>
      </c>
      <c r="G924" s="5">
        <f>INDEX('Default Prob'!$P$5:$P$14,MIN(1+_xlfn.IFNA(MATCH(F924,'Default Prob'!$F$5:$F$14,1),0),COUNT('Default Prob'!$P$5:$P$14)))</f>
        <v>2.3050976347889798E-2</v>
      </c>
      <c r="H924" s="5">
        <f t="shared" si="193"/>
        <v>0.92686471141932181</v>
      </c>
      <c r="I924" s="24">
        <f t="shared" si="194"/>
        <v>1.7550028092983005E-4</v>
      </c>
      <c r="J924" s="25">
        <f>INDEX('Default Prob'!$C$3:$C$13, _xlfn.IFNA(MATCH(F924, 'Default Prob'!$B$3:$B$13, 1), 1))</f>
        <v>1.8499999999999999E-2</v>
      </c>
      <c r="K924" s="26">
        <f t="shared" si="185"/>
        <v>0.93773293276314407</v>
      </c>
      <c r="L924" s="27">
        <f t="shared" ca="1" si="186"/>
        <v>0</v>
      </c>
      <c r="M924" s="27">
        <f t="shared" ca="1" si="187"/>
        <v>902.94091532419418</v>
      </c>
      <c r="N924" s="28">
        <f t="shared" ca="1" si="188"/>
        <v>0.14859914729629287</v>
      </c>
      <c r="O924" s="29">
        <f t="shared" ca="1" si="189"/>
        <v>600000</v>
      </c>
      <c r="P924" s="30">
        <f t="shared" ca="1" si="190"/>
        <v>98.743435882251134</v>
      </c>
    </row>
    <row r="925" spans="1:16" x14ac:dyDescent="0.25">
      <c r="A925" s="3">
        <f t="shared" si="191"/>
        <v>47407</v>
      </c>
      <c r="B925" s="21">
        <f t="shared" si="182"/>
        <v>36815</v>
      </c>
      <c r="C925" s="21">
        <f t="shared" si="183"/>
        <v>36880</v>
      </c>
      <c r="D925" s="1">
        <f t="shared" si="192"/>
        <v>0</v>
      </c>
      <c r="E925" s="3">
        <f t="array" ref="E925">INDEX($A$9:A924, MAX(IF($D$9:D924=1, ROW(D$9:$D924)-ROW($D$9)+1, 0)))</f>
        <v>47381</v>
      </c>
      <c r="F925" s="23">
        <f t="shared" si="184"/>
        <v>3.5099247091033541</v>
      </c>
      <c r="G925" s="5">
        <f>INDEX('Default Prob'!$P$5:$P$14,MIN(1+_xlfn.IFNA(MATCH(F925,'Default Prob'!$F$5:$F$14,1),0),COUNT('Default Prob'!$P$5:$P$14)))</f>
        <v>2.3050976347889798E-2</v>
      </c>
      <c r="H925" s="5">
        <f t="shared" si="193"/>
        <v>0.92680621870918767</v>
      </c>
      <c r="I925" s="24">
        <f t="shared" si="194"/>
        <v>5.8492710134139259E-5</v>
      </c>
      <c r="J925" s="25">
        <f>INDEX('Default Prob'!$C$3:$C$13, _xlfn.IFNA(MATCH(F925, 'Default Prob'!$B$3:$B$13, 1), 1))</f>
        <v>1.8499999999999999E-2</v>
      </c>
      <c r="K925" s="26">
        <f t="shared" si="185"/>
        <v>0.93768587154362282</v>
      </c>
      <c r="L925" s="27">
        <f t="shared" ca="1" si="186"/>
        <v>0</v>
      </c>
      <c r="M925" s="27">
        <f t="shared" ca="1" si="187"/>
        <v>939.05855193716195</v>
      </c>
      <c r="N925" s="28">
        <f t="shared" ca="1" si="188"/>
        <v>5.1505284264562544E-2</v>
      </c>
      <c r="O925" s="29">
        <f t="shared" ca="1" si="189"/>
        <v>600000</v>
      </c>
      <c r="P925" s="30">
        <f t="shared" ca="1" si="190"/>
        <v>32.908672728647325</v>
      </c>
    </row>
    <row r="926" spans="1:16" x14ac:dyDescent="0.25">
      <c r="A926" s="3">
        <f t="shared" si="191"/>
        <v>47408</v>
      </c>
      <c r="B926" s="21">
        <f t="shared" si="182"/>
        <v>36816</v>
      </c>
      <c r="C926" s="21">
        <f t="shared" si="183"/>
        <v>36880</v>
      </c>
      <c r="D926" s="1">
        <f t="shared" si="192"/>
        <v>0</v>
      </c>
      <c r="E926" s="3">
        <f t="array" ref="E926">INDEX($A$9:A925, MAX(IF($D$9:D925=1, ROW(D$9:$D925)-ROW($D$9)+1, 0)))</f>
        <v>47381</v>
      </c>
      <c r="F926" s="23">
        <f t="shared" si="184"/>
        <v>3.5126625598904861</v>
      </c>
      <c r="G926" s="5">
        <f>INDEX('Default Prob'!$P$5:$P$14,MIN(1+_xlfn.IFNA(MATCH(F926,'Default Prob'!$F$5:$F$14,1),0),COUNT('Default Prob'!$P$5:$P$14)))</f>
        <v>2.3050976347889798E-2</v>
      </c>
      <c r="H926" s="5">
        <f t="shared" si="193"/>
        <v>0.92674772969041974</v>
      </c>
      <c r="I926" s="24">
        <f t="shared" si="194"/>
        <v>5.8489018767926559E-5</v>
      </c>
      <c r="J926" s="25">
        <f>INDEX('Default Prob'!$C$3:$C$13, _xlfn.IFNA(MATCH(F926, 'Default Prob'!$B$3:$B$13, 1), 1))</f>
        <v>1.8499999999999999E-2</v>
      </c>
      <c r="K926" s="26">
        <f t="shared" si="185"/>
        <v>0.93763881268592386</v>
      </c>
      <c r="L926" s="27">
        <f t="shared" ca="1" si="186"/>
        <v>0</v>
      </c>
      <c r="M926" s="27">
        <f t="shared" ca="1" si="187"/>
        <v>975.17618855012961</v>
      </c>
      <c r="N926" s="28">
        <f t="shared" ca="1" si="188"/>
        <v>5.3480197217335039E-2</v>
      </c>
      <c r="O926" s="29">
        <f t="shared" ca="1" si="189"/>
        <v>600000</v>
      </c>
      <c r="P926" s="30">
        <f t="shared" ca="1" si="190"/>
        <v>32.904944467634024</v>
      </c>
    </row>
    <row r="927" spans="1:16" x14ac:dyDescent="0.25">
      <c r="A927" s="3">
        <f t="shared" si="191"/>
        <v>47409</v>
      </c>
      <c r="B927" s="21">
        <f t="shared" si="182"/>
        <v>36817</v>
      </c>
      <c r="C927" s="21">
        <f t="shared" si="183"/>
        <v>36880</v>
      </c>
      <c r="D927" s="1">
        <f t="shared" si="192"/>
        <v>0</v>
      </c>
      <c r="E927" s="3">
        <f t="array" ref="E927">INDEX($A$9:A926, MAX(IF($D$9:D926=1, ROW(D$9:$D926)-ROW($D$9)+1, 0)))</f>
        <v>47381</v>
      </c>
      <c r="F927" s="23">
        <f t="shared" si="184"/>
        <v>3.5154004106776182</v>
      </c>
      <c r="G927" s="5">
        <f>INDEX('Default Prob'!$P$5:$P$14,MIN(1+_xlfn.IFNA(MATCH(F927,'Default Prob'!$F$5:$F$14,1),0),COUNT('Default Prob'!$P$5:$P$14)))</f>
        <v>2.3050976347889798E-2</v>
      </c>
      <c r="H927" s="5">
        <f t="shared" si="193"/>
        <v>0.92668924436278521</v>
      </c>
      <c r="I927" s="24">
        <f t="shared" si="194"/>
        <v>5.8485327634527629E-5</v>
      </c>
      <c r="J927" s="25">
        <f>INDEX('Default Prob'!$C$3:$C$13, _xlfn.IFNA(MATCH(F927, 'Default Prob'!$B$3:$B$13, 1), 1))</f>
        <v>1.8499999999999999E-2</v>
      </c>
      <c r="K927" s="26">
        <f t="shared" si="185"/>
        <v>0.93759175618992829</v>
      </c>
      <c r="L927" s="27">
        <f t="shared" ca="1" si="186"/>
        <v>0</v>
      </c>
      <c r="M927" s="27">
        <f t="shared" ca="1" si="187"/>
        <v>1011.2938251630975</v>
      </c>
      <c r="N927" s="28">
        <f t="shared" ca="1" si="188"/>
        <v>5.5454662028633805E-2</v>
      </c>
      <c r="O927" s="29">
        <f t="shared" ca="1" si="189"/>
        <v>600000</v>
      </c>
      <c r="P927" s="30">
        <f t="shared" ca="1" si="190"/>
        <v>32.901216628920061</v>
      </c>
    </row>
    <row r="928" spans="1:16" x14ac:dyDescent="0.25">
      <c r="A928" s="3">
        <f t="shared" si="191"/>
        <v>47410</v>
      </c>
      <c r="B928" s="21">
        <f t="shared" si="182"/>
        <v>36818</v>
      </c>
      <c r="C928" s="21">
        <f t="shared" si="183"/>
        <v>36880</v>
      </c>
      <c r="D928" s="1">
        <f t="shared" si="192"/>
        <v>0</v>
      </c>
      <c r="E928" s="3">
        <f t="array" ref="E928">INDEX($A$9:A927, MAX(IF($D$9:D927=1, ROW(D$9:$D927)-ROW($D$9)+1, 0)))</f>
        <v>47381</v>
      </c>
      <c r="F928" s="23">
        <f t="shared" si="184"/>
        <v>3.5181382614647503</v>
      </c>
      <c r="G928" s="5">
        <f>INDEX('Default Prob'!$P$5:$P$14,MIN(1+_xlfn.IFNA(MATCH(F928,'Default Prob'!$F$5:$F$14,1),0),COUNT('Default Prob'!$P$5:$P$14)))</f>
        <v>2.3050976347889798E-2</v>
      </c>
      <c r="H928" s="5">
        <f t="shared" si="193"/>
        <v>0.92663076272605105</v>
      </c>
      <c r="I928" s="24">
        <f t="shared" si="194"/>
        <v>5.848163673416451E-5</v>
      </c>
      <c r="J928" s="25">
        <f>INDEX('Default Prob'!$C$3:$C$13, _xlfn.IFNA(MATCH(F928, 'Default Prob'!$B$3:$B$13, 1), 1))</f>
        <v>1.8499999999999999E-2</v>
      </c>
      <c r="K928" s="26">
        <f t="shared" si="185"/>
        <v>0.93754470205551776</v>
      </c>
      <c r="L928" s="27">
        <f t="shared" ca="1" si="186"/>
        <v>0</v>
      </c>
      <c r="M928" s="27">
        <f t="shared" ca="1" si="187"/>
        <v>1047.4114617760652</v>
      </c>
      <c r="N928" s="28">
        <f t="shared" ca="1" si="188"/>
        <v>5.7428678774870061E-2</v>
      </c>
      <c r="O928" s="29">
        <f t="shared" ca="1" si="189"/>
        <v>600000</v>
      </c>
      <c r="P928" s="30">
        <f t="shared" ca="1" si="190"/>
        <v>32.89748921259077</v>
      </c>
    </row>
    <row r="929" spans="1:16" x14ac:dyDescent="0.25">
      <c r="A929" s="3">
        <f t="shared" si="191"/>
        <v>47413</v>
      </c>
      <c r="B929" s="21">
        <f t="shared" si="182"/>
        <v>36821</v>
      </c>
      <c r="C929" s="21">
        <f t="shared" si="183"/>
        <v>36880</v>
      </c>
      <c r="D929" s="1">
        <f t="shared" si="192"/>
        <v>0</v>
      </c>
      <c r="E929" s="3">
        <f t="array" ref="E929">INDEX($A$9:A928, MAX(IF($D$9:D928=1, ROW(D$9:$D928)-ROW($D$9)+1, 0)))</f>
        <v>47381</v>
      </c>
      <c r="F929" s="23">
        <f t="shared" si="184"/>
        <v>3.5263518138261465</v>
      </c>
      <c r="G929" s="5">
        <f>INDEX('Default Prob'!$P$5:$P$14,MIN(1+_xlfn.IFNA(MATCH(F929,'Default Prob'!$F$5:$F$14,1),0),COUNT('Default Prob'!$P$5:$P$14)))</f>
        <v>2.3050976347889798E-2</v>
      </c>
      <c r="H929" s="5">
        <f t="shared" si="193"/>
        <v>0.92645533995892171</v>
      </c>
      <c r="I929" s="24">
        <f t="shared" si="194"/>
        <v>1.7542276712934068E-4</v>
      </c>
      <c r="J929" s="25">
        <f>INDEX('Default Prob'!$C$3:$C$13, _xlfn.IFNA(MATCH(F929, 'Default Prob'!$B$3:$B$13, 1), 1))</f>
        <v>1.8499999999999999E-2</v>
      </c>
      <c r="K929" s="26">
        <f t="shared" si="185"/>
        <v>0.93740355382061169</v>
      </c>
      <c r="L929" s="27">
        <f t="shared" ca="1" si="186"/>
        <v>0</v>
      </c>
      <c r="M929" s="27">
        <f t="shared" ca="1" si="187"/>
        <v>1155.7643716149685</v>
      </c>
      <c r="N929" s="28">
        <f t="shared" ca="1" si="188"/>
        <v>0.19005611849397497</v>
      </c>
      <c r="O929" s="29">
        <f t="shared" ca="1" si="189"/>
        <v>600000</v>
      </c>
      <c r="P929" s="30">
        <f t="shared" ca="1" si="190"/>
        <v>98.665155196853732</v>
      </c>
    </row>
    <row r="930" spans="1:16" x14ac:dyDescent="0.25">
      <c r="A930" s="3">
        <f t="shared" si="191"/>
        <v>47414</v>
      </c>
      <c r="B930" s="21">
        <f t="shared" si="182"/>
        <v>36822</v>
      </c>
      <c r="C930" s="21">
        <f t="shared" si="183"/>
        <v>36880</v>
      </c>
      <c r="D930" s="1">
        <f t="shared" si="192"/>
        <v>0</v>
      </c>
      <c r="E930" s="3">
        <f t="array" ref="E930">INDEX($A$9:A929, MAX(IF($D$9:D929=1, ROW(D$9:$D929)-ROW($D$9)+1, 0)))</f>
        <v>47381</v>
      </c>
      <c r="F930" s="23">
        <f t="shared" si="184"/>
        <v>3.5290896646132786</v>
      </c>
      <c r="G930" s="5">
        <f>INDEX('Default Prob'!$P$5:$P$14,MIN(1+_xlfn.IFNA(MATCH(F930,'Default Prob'!$F$5:$F$14,1),0),COUNT('Default Prob'!$P$5:$P$14)))</f>
        <v>2.3050976347889798E-2</v>
      </c>
      <c r="H930" s="5">
        <f t="shared" si="193"/>
        <v>0.92639687308345997</v>
      </c>
      <c r="I930" s="24">
        <f t="shared" si="194"/>
        <v>5.8466875461737899E-5</v>
      </c>
      <c r="J930" s="25">
        <f>INDEX('Default Prob'!$C$3:$C$13, _xlfn.IFNA(MATCH(F930, 'Default Prob'!$B$3:$B$13, 1), 1))</f>
        <v>1.8499999999999999E-2</v>
      </c>
      <c r="K930" s="26">
        <f t="shared" si="185"/>
        <v>0.93735650913135637</v>
      </c>
      <c r="L930" s="27">
        <f t="shared" ca="1" si="186"/>
        <v>0</v>
      </c>
      <c r="M930" s="27">
        <f t="shared" ca="1" si="187"/>
        <v>1191.8820082279362</v>
      </c>
      <c r="N930" s="28">
        <f t="shared" ca="1" si="188"/>
        <v>6.5320266631682805E-2</v>
      </c>
      <c r="O930" s="29">
        <f t="shared" ca="1" si="189"/>
        <v>600000</v>
      </c>
      <c r="P930" s="30">
        <f t="shared" ca="1" si="190"/>
        <v>32.882583769579441</v>
      </c>
    </row>
    <row r="931" spans="1:16" x14ac:dyDescent="0.25">
      <c r="A931" s="3">
        <f t="shared" si="191"/>
        <v>47415</v>
      </c>
      <c r="B931" s="21">
        <f t="shared" si="182"/>
        <v>36823</v>
      </c>
      <c r="C931" s="21">
        <f t="shared" si="183"/>
        <v>36880</v>
      </c>
      <c r="D931" s="1">
        <f t="shared" si="192"/>
        <v>0</v>
      </c>
      <c r="E931" s="3">
        <f t="array" ref="E931">INDEX($A$9:A930, MAX(IF($D$9:D930=1, ROW(D$9:$D930)-ROW($D$9)+1, 0)))</f>
        <v>47381</v>
      </c>
      <c r="F931" s="23">
        <f t="shared" si="184"/>
        <v>3.5318275154004106</v>
      </c>
      <c r="G931" s="5">
        <f>INDEX('Default Prob'!$P$5:$P$14,MIN(1+_xlfn.IFNA(MATCH(F931,'Default Prob'!$F$5:$F$14,1),0),COUNT('Default Prob'!$P$5:$P$14)))</f>
        <v>2.3050976347889798E-2</v>
      </c>
      <c r="H931" s="5">
        <f t="shared" si="193"/>
        <v>0.92633840989773408</v>
      </c>
      <c r="I931" s="24">
        <f t="shared" si="194"/>
        <v>5.8463185725887712E-5</v>
      </c>
      <c r="J931" s="25">
        <f>INDEX('Default Prob'!$C$3:$C$13, _xlfn.IFNA(MATCH(F931, 'Default Prob'!$B$3:$B$13, 1), 1))</f>
        <v>1.8499999999999999E-2</v>
      </c>
      <c r="K931" s="26">
        <f t="shared" si="185"/>
        <v>0.93730946680309357</v>
      </c>
      <c r="L931" s="27">
        <f t="shared" ca="1" si="186"/>
        <v>0</v>
      </c>
      <c r="M931" s="27">
        <f t="shared" ca="1" si="187"/>
        <v>1227.9996448409042</v>
      </c>
      <c r="N931" s="28">
        <f t="shared" ca="1" si="188"/>
        <v>6.7292044194697295E-2</v>
      </c>
      <c r="O931" s="29">
        <f t="shared" ca="1" si="189"/>
        <v>600000</v>
      </c>
      <c r="P931" s="30">
        <f t="shared" ca="1" si="190"/>
        <v>32.878858464205223</v>
      </c>
    </row>
    <row r="932" spans="1:16" x14ac:dyDescent="0.25">
      <c r="A932" s="3">
        <f t="shared" si="191"/>
        <v>47416</v>
      </c>
      <c r="B932" s="21">
        <f t="shared" si="182"/>
        <v>36824</v>
      </c>
      <c r="C932" s="21">
        <f t="shared" si="183"/>
        <v>36880</v>
      </c>
      <c r="D932" s="1">
        <f t="shared" si="192"/>
        <v>0</v>
      </c>
      <c r="E932" s="3">
        <f t="array" ref="E932">INDEX($A$9:A931, MAX(IF($D$9:D931=1, ROW(D$9:$D931)-ROW($D$9)+1, 0)))</f>
        <v>47381</v>
      </c>
      <c r="F932" s="23">
        <f t="shared" si="184"/>
        <v>3.5345653661875427</v>
      </c>
      <c r="G932" s="5">
        <f>INDEX('Default Prob'!$P$5:$P$14,MIN(1+_xlfn.IFNA(MATCH(F932,'Default Prob'!$F$5:$F$14,1),0),COUNT('Default Prob'!$P$5:$P$14)))</f>
        <v>2.3050976347889798E-2</v>
      </c>
      <c r="H932" s="5">
        <f t="shared" si="193"/>
        <v>0.92627995040151123</v>
      </c>
      <c r="I932" s="24">
        <f t="shared" si="194"/>
        <v>5.8459496222851293E-5</v>
      </c>
      <c r="J932" s="25">
        <f>INDEX('Default Prob'!$C$3:$C$13, _xlfn.IFNA(MATCH(F932, 'Default Prob'!$B$3:$B$13, 1), 1))</f>
        <v>1.8499999999999999E-2</v>
      </c>
      <c r="K932" s="26">
        <f t="shared" si="185"/>
        <v>0.93726242683570471</v>
      </c>
      <c r="L932" s="27">
        <f t="shared" ca="1" si="186"/>
        <v>0</v>
      </c>
      <c r="M932" s="27">
        <f t="shared" ca="1" si="187"/>
        <v>1264.1172814538718</v>
      </c>
      <c r="N932" s="28">
        <f t="shared" ca="1" si="188"/>
        <v>6.9263374149435453E-2</v>
      </c>
      <c r="O932" s="29">
        <f t="shared" ca="1" si="189"/>
        <v>600000</v>
      </c>
      <c r="P932" s="30">
        <f t="shared" ca="1" si="190"/>
        <v>32.875133580853387</v>
      </c>
    </row>
    <row r="933" spans="1:16" x14ac:dyDescent="0.25">
      <c r="A933" s="3">
        <f t="shared" si="191"/>
        <v>47417</v>
      </c>
      <c r="B933" s="21">
        <f t="shared" si="182"/>
        <v>36825</v>
      </c>
      <c r="C933" s="21">
        <f t="shared" si="183"/>
        <v>36880</v>
      </c>
      <c r="D933" s="1">
        <f t="shared" si="192"/>
        <v>0</v>
      </c>
      <c r="E933" s="3">
        <f t="array" ref="E933">INDEX($A$9:A932, MAX(IF($D$9:D932=1, ROW(D$9:$D932)-ROW($D$9)+1, 0)))</f>
        <v>47381</v>
      </c>
      <c r="F933" s="23">
        <f t="shared" si="184"/>
        <v>3.5373032169746748</v>
      </c>
      <c r="G933" s="5">
        <f>INDEX('Default Prob'!$P$5:$P$14,MIN(1+_xlfn.IFNA(MATCH(F933,'Default Prob'!$F$5:$F$14,1),0),COUNT('Default Prob'!$P$5:$P$14)))</f>
        <v>2.3050976347889798E-2</v>
      </c>
      <c r="H933" s="5">
        <f t="shared" si="193"/>
        <v>0.9262214945945586</v>
      </c>
      <c r="I933" s="24">
        <f t="shared" si="194"/>
        <v>5.8455806952628642E-5</v>
      </c>
      <c r="J933" s="25">
        <f>INDEX('Default Prob'!$C$3:$C$13, _xlfn.IFNA(MATCH(F933, 'Default Prob'!$B$3:$B$13, 1), 1))</f>
        <v>1.8499999999999999E-2</v>
      </c>
      <c r="K933" s="26">
        <f t="shared" si="185"/>
        <v>0.93721538922907155</v>
      </c>
      <c r="L933" s="27">
        <f t="shared" ca="1" si="186"/>
        <v>0</v>
      </c>
      <c r="M933" s="27">
        <f t="shared" ca="1" si="187"/>
        <v>1300.2349180668396</v>
      </c>
      <c r="N933" s="28">
        <f t="shared" ca="1" si="188"/>
        <v>7.123425657202391E-2</v>
      </c>
      <c r="O933" s="29">
        <f t="shared" ca="1" si="189"/>
        <v>600000</v>
      </c>
      <c r="P933" s="30">
        <f t="shared" ca="1" si="190"/>
        <v>32.87140911948439</v>
      </c>
    </row>
    <row r="934" spans="1:16" x14ac:dyDescent="0.25">
      <c r="A934" s="3">
        <f t="shared" si="191"/>
        <v>47420</v>
      </c>
      <c r="B934" s="21">
        <f t="shared" si="182"/>
        <v>36828</v>
      </c>
      <c r="C934" s="21">
        <f t="shared" si="183"/>
        <v>36880</v>
      </c>
      <c r="D934" s="1">
        <f t="shared" si="192"/>
        <v>0</v>
      </c>
      <c r="E934" s="3">
        <f t="array" ref="E934">INDEX($A$9:A933, MAX(IF($D$9:D933=1, ROW(D$9:$D933)-ROW($D$9)+1, 0)))</f>
        <v>47381</v>
      </c>
      <c r="F934" s="23">
        <f t="shared" si="184"/>
        <v>3.5455167693360714</v>
      </c>
      <c r="G934" s="5">
        <f>INDEX('Default Prob'!$P$5:$P$14,MIN(1+_xlfn.IFNA(MATCH(F934,'Default Prob'!$F$5:$F$14,1),0),COUNT('Default Prob'!$P$5:$P$14)))</f>
        <v>2.3050976347889798E-2</v>
      </c>
      <c r="H934" s="5">
        <f t="shared" si="193"/>
        <v>0.92604614930699392</v>
      </c>
      <c r="I934" s="24">
        <f t="shared" si="194"/>
        <v>1.753452875646877E-4</v>
      </c>
      <c r="J934" s="25">
        <f>INDEX('Default Prob'!$C$3:$C$13, _xlfn.IFNA(MATCH(F934, 'Default Prob'!$B$3:$B$13, 1), 1))</f>
        <v>1.8499999999999999E-2</v>
      </c>
      <c r="K934" s="26">
        <f t="shared" si="185"/>
        <v>0.93707429057252067</v>
      </c>
      <c r="L934" s="27">
        <f t="shared" ca="1" si="186"/>
        <v>0</v>
      </c>
      <c r="M934" s="27">
        <f t="shared" ca="1" si="187"/>
        <v>1408.5878279057429</v>
      </c>
      <c r="N934" s="28">
        <f t="shared" ca="1" si="188"/>
        <v>0.23144726473824195</v>
      </c>
      <c r="O934" s="29">
        <f t="shared" ca="1" si="189"/>
        <v>600000</v>
      </c>
      <c r="P934" s="30">
        <f t="shared" ca="1" si="190"/>
        <v>98.586936569948605</v>
      </c>
    </row>
    <row r="935" spans="1:16" x14ac:dyDescent="0.25">
      <c r="A935" s="3">
        <f t="shared" si="191"/>
        <v>47421</v>
      </c>
      <c r="B935" s="21">
        <f t="shared" si="182"/>
        <v>36829</v>
      </c>
      <c r="C935" s="21">
        <f t="shared" si="183"/>
        <v>36880</v>
      </c>
      <c r="D935" s="1">
        <f t="shared" si="192"/>
        <v>0</v>
      </c>
      <c r="E935" s="3">
        <f t="array" ref="E935">INDEX($A$9:A934, MAX(IF($D$9:D934=1, ROW(D$9:$D934)-ROW($D$9)+1, 0)))</f>
        <v>47381</v>
      </c>
      <c r="F935" s="23">
        <f t="shared" si="184"/>
        <v>3.5482546201232035</v>
      </c>
      <c r="G935" s="5">
        <f>INDEX('Default Prob'!$P$5:$P$14,MIN(1+_xlfn.IFNA(MATCH(F935,'Default Prob'!$F$5:$F$14,1),0),COUNT('Default Prob'!$P$5:$P$14)))</f>
        <v>2.3050976347889798E-2</v>
      </c>
      <c r="H935" s="5">
        <f t="shared" si="193"/>
        <v>0.92598770825479404</v>
      </c>
      <c r="I935" s="24">
        <f t="shared" si="194"/>
        <v>5.844105219987572E-5</v>
      </c>
      <c r="J935" s="25">
        <f>INDEX('Default Prob'!$C$3:$C$13, _xlfn.IFNA(MATCH(F935, 'Default Prob'!$B$3:$B$13, 1), 1))</f>
        <v>1.8499999999999999E-2</v>
      </c>
      <c r="K935" s="26">
        <f t="shared" si="185"/>
        <v>0.93702726240772494</v>
      </c>
      <c r="L935" s="27">
        <f t="shared" ca="1" si="186"/>
        <v>0</v>
      </c>
      <c r="M935" s="27">
        <f t="shared" ca="1" si="187"/>
        <v>1444.7054645187106</v>
      </c>
      <c r="N935" s="28">
        <f t="shared" ca="1" si="188"/>
        <v>7.9113312463078483E-2</v>
      </c>
      <c r="O935" s="29">
        <f t="shared" ca="1" si="189"/>
        <v>600000</v>
      </c>
      <c r="P935" s="30">
        <f t="shared" ca="1" si="190"/>
        <v>32.856515493045897</v>
      </c>
    </row>
    <row r="936" spans="1:16" x14ac:dyDescent="0.25">
      <c r="A936" s="3">
        <f t="shared" si="191"/>
        <v>47422</v>
      </c>
      <c r="B936" s="21">
        <f t="shared" si="182"/>
        <v>36830</v>
      </c>
      <c r="C936" s="21">
        <f t="shared" si="183"/>
        <v>36880</v>
      </c>
      <c r="D936" s="1">
        <f t="shared" si="192"/>
        <v>0</v>
      </c>
      <c r="E936" s="3">
        <f t="array" ref="E936">INDEX($A$9:A935, MAX(IF($D$9:D935=1, ROW(D$9:$D935)-ROW($D$9)+1, 0)))</f>
        <v>47381</v>
      </c>
      <c r="F936" s="23">
        <f t="shared" si="184"/>
        <v>3.5509924709103355</v>
      </c>
      <c r="G936" s="5">
        <f>INDEX('Default Prob'!$P$5:$P$14,MIN(1+_xlfn.IFNA(MATCH(F936,'Default Prob'!$F$5:$F$14,1),0),COUNT('Default Prob'!$P$5:$P$14)))</f>
        <v>2.3050976347889798E-2</v>
      </c>
      <c r="H936" s="5">
        <f t="shared" si="193"/>
        <v>0.92592927089070043</v>
      </c>
      <c r="I936" s="24">
        <f t="shared" si="194"/>
        <v>5.8437364093610888E-5</v>
      </c>
      <c r="J936" s="25">
        <f>INDEX('Default Prob'!$C$3:$C$13, _xlfn.IFNA(MATCH(F936, 'Default Prob'!$B$3:$B$13, 1), 1))</f>
        <v>1.8499999999999999E-2</v>
      </c>
      <c r="K936" s="26">
        <f t="shared" si="185"/>
        <v>0.93698023660309249</v>
      </c>
      <c r="L936" s="27">
        <f t="shared" ca="1" si="186"/>
        <v>0</v>
      </c>
      <c r="M936" s="27">
        <f t="shared" ca="1" si="187"/>
        <v>1480.8231011316784</v>
      </c>
      <c r="N936" s="28">
        <f t="shared" ca="1" si="188"/>
        <v>8.1081958366329532E-2</v>
      </c>
      <c r="O936" s="29">
        <f t="shared" ca="1" si="189"/>
        <v>600000</v>
      </c>
      <c r="P936" s="30">
        <f t="shared" ca="1" si="190"/>
        <v>32.852793140935553</v>
      </c>
    </row>
    <row r="937" spans="1:16" x14ac:dyDescent="0.25">
      <c r="A937" s="3">
        <f t="shared" si="191"/>
        <v>47423</v>
      </c>
      <c r="B937" s="21">
        <f t="shared" si="182"/>
        <v>36831</v>
      </c>
      <c r="C937" s="21">
        <f t="shared" si="183"/>
        <v>36880</v>
      </c>
      <c r="D937" s="1">
        <f t="shared" si="192"/>
        <v>0</v>
      </c>
      <c r="E937" s="3">
        <f t="array" ref="E937">INDEX($A$9:A936, MAX(IF($D$9:D936=1, ROW(D$9:$D936)-ROW($D$9)+1, 0)))</f>
        <v>47381</v>
      </c>
      <c r="F937" s="23">
        <f t="shared" si="184"/>
        <v>3.5537303216974676</v>
      </c>
      <c r="G937" s="5">
        <f>INDEX('Default Prob'!$P$5:$P$14,MIN(1+_xlfn.IFNA(MATCH(F937,'Default Prob'!$F$5:$F$14,1),0),COUNT('Default Prob'!$P$5:$P$14)))</f>
        <v>2.3050976347889798E-2</v>
      </c>
      <c r="H937" s="5">
        <f t="shared" si="193"/>
        <v>0.92587083721448027</v>
      </c>
      <c r="I937" s="24">
        <f t="shared" si="194"/>
        <v>5.8433676220159825E-5</v>
      </c>
      <c r="J937" s="25">
        <f>INDEX('Default Prob'!$C$3:$C$13, _xlfn.IFNA(MATCH(F937, 'Default Prob'!$B$3:$B$13, 1), 1))</f>
        <v>1.8499999999999999E-2</v>
      </c>
      <c r="K937" s="26">
        <f t="shared" si="185"/>
        <v>0.93693321315850475</v>
      </c>
      <c r="L937" s="27">
        <f t="shared" ca="1" si="186"/>
        <v>0</v>
      </c>
      <c r="M937" s="27">
        <f t="shared" ca="1" si="187"/>
        <v>1516.9407377446464</v>
      </c>
      <c r="N937" s="28">
        <f t="shared" ca="1" si="188"/>
        <v>8.3050157193982913E-2</v>
      </c>
      <c r="O937" s="29">
        <f t="shared" ca="1" si="189"/>
        <v>600000</v>
      </c>
      <c r="P937" s="30">
        <f t="shared" ca="1" si="190"/>
        <v>32.849071210570834</v>
      </c>
    </row>
    <row r="938" spans="1:16" x14ac:dyDescent="0.25">
      <c r="A938" s="3">
        <f t="shared" si="191"/>
        <v>47424</v>
      </c>
      <c r="B938" s="21">
        <f t="shared" si="182"/>
        <v>36832</v>
      </c>
      <c r="C938" s="21">
        <f t="shared" si="183"/>
        <v>36880</v>
      </c>
      <c r="D938" s="1">
        <f t="shared" si="192"/>
        <v>0</v>
      </c>
      <c r="E938" s="3">
        <f t="array" ref="E938">INDEX($A$9:A937, MAX(IF($D$9:D937=1, ROW(D$9:$D937)-ROW($D$9)+1, 0)))</f>
        <v>47381</v>
      </c>
      <c r="F938" s="23">
        <f t="shared" si="184"/>
        <v>3.5564681724845997</v>
      </c>
      <c r="G938" s="5">
        <f>INDEX('Default Prob'!$P$5:$P$14,MIN(1+_xlfn.IFNA(MATCH(F938,'Default Prob'!$F$5:$F$14,1),0),COUNT('Default Prob'!$P$5:$P$14)))</f>
        <v>2.3050976347889798E-2</v>
      </c>
      <c r="H938" s="5">
        <f t="shared" si="193"/>
        <v>0.92581240722590086</v>
      </c>
      <c r="I938" s="24">
        <f t="shared" si="194"/>
        <v>5.8429988579411507E-5</v>
      </c>
      <c r="J938" s="25">
        <f>INDEX('Default Prob'!$C$3:$C$13, _xlfn.IFNA(MATCH(F938, 'Default Prob'!$B$3:$B$13, 1), 1))</f>
        <v>1.8499999999999999E-2</v>
      </c>
      <c r="K938" s="26">
        <f t="shared" si="185"/>
        <v>0.93688619207384349</v>
      </c>
      <c r="L938" s="27">
        <f t="shared" ca="1" si="186"/>
        <v>0</v>
      </c>
      <c r="M938" s="27">
        <f t="shared" ca="1" si="187"/>
        <v>1553.0583743576142</v>
      </c>
      <c r="N938" s="28">
        <f t="shared" ca="1" si="188"/>
        <v>8.501790902193701E-2</v>
      </c>
      <c r="O938" s="29">
        <f t="shared" ca="1" si="189"/>
        <v>600000</v>
      </c>
      <c r="P938" s="30">
        <f t="shared" ca="1" si="190"/>
        <v>32.845349701849806</v>
      </c>
    </row>
    <row r="939" spans="1:16" x14ac:dyDescent="0.25">
      <c r="A939" s="3">
        <f t="shared" si="191"/>
        <v>47427</v>
      </c>
      <c r="B939" s="21">
        <f t="shared" si="182"/>
        <v>36835</v>
      </c>
      <c r="C939" s="21">
        <f t="shared" si="183"/>
        <v>36880</v>
      </c>
      <c r="D939" s="1">
        <f t="shared" si="192"/>
        <v>0</v>
      </c>
      <c r="E939" s="3">
        <f t="array" ref="E939">INDEX($A$9:A938, MAX(IF($D$9:D938=1, ROW(D$9:$D938)-ROW($D$9)+1, 0)))</f>
        <v>47381</v>
      </c>
      <c r="F939" s="23">
        <f t="shared" si="184"/>
        <v>3.5646817248459959</v>
      </c>
      <c r="G939" s="5">
        <f>INDEX('Default Prob'!$P$5:$P$14,MIN(1+_xlfn.IFNA(MATCH(F939,'Default Prob'!$F$5:$F$14,1),0),COUNT('Default Prob'!$P$5:$P$14)))</f>
        <v>2.3050976347889798E-2</v>
      </c>
      <c r="H939" s="5">
        <f t="shared" si="193"/>
        <v>0.9256371393836802</v>
      </c>
      <c r="I939" s="24">
        <f t="shared" si="194"/>
        <v>1.7526784222066105E-4</v>
      </c>
      <c r="J939" s="25">
        <f>INDEX('Default Prob'!$C$3:$C$13, _xlfn.IFNA(MATCH(F939, 'Default Prob'!$B$3:$B$13, 1), 1))</f>
        <v>1.8499999999999999E-2</v>
      </c>
      <c r="K939" s="26">
        <f t="shared" si="185"/>
        <v>0.9367451429782333</v>
      </c>
      <c r="L939" s="27">
        <f t="shared" ca="1" si="186"/>
        <v>0</v>
      </c>
      <c r="M939" s="27">
        <f t="shared" ca="1" si="187"/>
        <v>1661.4112841965173</v>
      </c>
      <c r="N939" s="28">
        <f t="shared" ca="1" si="188"/>
        <v>0.27277266434193753</v>
      </c>
      <c r="O939" s="29">
        <f t="shared" ca="1" si="189"/>
        <v>600000</v>
      </c>
      <c r="P939" s="30">
        <f t="shared" ca="1" si="190"/>
        <v>98.508779952287739</v>
      </c>
    </row>
    <row r="940" spans="1:16" x14ac:dyDescent="0.25">
      <c r="A940" s="3">
        <f t="shared" si="191"/>
        <v>47428</v>
      </c>
      <c r="B940" s="21">
        <f t="shared" si="182"/>
        <v>36836</v>
      </c>
      <c r="C940" s="21">
        <f t="shared" si="183"/>
        <v>36880</v>
      </c>
      <c r="D940" s="1">
        <f t="shared" si="192"/>
        <v>0</v>
      </c>
      <c r="E940" s="3">
        <f t="array" ref="E940">INDEX($A$9:A939, MAX(IF($D$9:D939=1, ROW(D$9:$D939)-ROW($D$9)+1, 0)))</f>
        <v>47381</v>
      </c>
      <c r="F940" s="23">
        <f t="shared" si="184"/>
        <v>3.5674195756331279</v>
      </c>
      <c r="G940" s="5">
        <f>INDEX('Default Prob'!$P$5:$P$14,MIN(1+_xlfn.IFNA(MATCH(F940,'Default Prob'!$F$5:$F$14,1),0),COUNT('Default Prob'!$P$5:$P$14)))</f>
        <v>2.3050976347889798E-2</v>
      </c>
      <c r="H940" s="5">
        <f t="shared" si="193"/>
        <v>0.92557872414333675</v>
      </c>
      <c r="I940" s="24">
        <f t="shared" si="194"/>
        <v>5.8415240343445696E-5</v>
      </c>
      <c r="J940" s="25">
        <f>INDEX('Default Prob'!$C$3:$C$13, _xlfn.IFNA(MATCH(F940, 'Default Prob'!$B$3:$B$13, 1), 1))</f>
        <v>1.8499999999999999E-2</v>
      </c>
      <c r="K940" s="26">
        <f t="shared" si="185"/>
        <v>0.9366981313320929</v>
      </c>
      <c r="L940" s="27">
        <f t="shared" ca="1" si="186"/>
        <v>0</v>
      </c>
      <c r="M940" s="27">
        <f t="shared" ca="1" si="187"/>
        <v>1697.528920809485</v>
      </c>
      <c r="N940" s="28">
        <f t="shared" ca="1" si="188"/>
        <v>9.2884447857402477E-2</v>
      </c>
      <c r="O940" s="29">
        <f t="shared" ca="1" si="189"/>
        <v>600000</v>
      </c>
      <c r="P940" s="30">
        <f t="shared" ca="1" si="190"/>
        <v>32.830467882612403</v>
      </c>
    </row>
    <row r="941" spans="1:16" x14ac:dyDescent="0.25">
      <c r="A941" s="3">
        <f t="shared" si="191"/>
        <v>47429</v>
      </c>
      <c r="B941" s="21">
        <f t="shared" si="182"/>
        <v>36837</v>
      </c>
      <c r="C941" s="21">
        <f t="shared" si="183"/>
        <v>36880</v>
      </c>
      <c r="D941" s="1">
        <f t="shared" si="192"/>
        <v>0</v>
      </c>
      <c r="E941" s="3">
        <f t="array" ref="E941">INDEX($A$9:A940, MAX(IF($D$9:D940=1, ROW(D$9:$D940)-ROW($D$9)+1, 0)))</f>
        <v>47381</v>
      </c>
      <c r="F941" s="23">
        <f t="shared" si="184"/>
        <v>3.57015742642026</v>
      </c>
      <c r="G941" s="5">
        <f>INDEX('Default Prob'!$P$5:$P$14,MIN(1+_xlfn.IFNA(MATCH(F941,'Default Prob'!$F$5:$F$14,1),0),COUNT('Default Prob'!$P$5:$P$14)))</f>
        <v>2.3050976347889798E-2</v>
      </c>
      <c r="H941" s="5">
        <f t="shared" si="193"/>
        <v>0.92552031258947065</v>
      </c>
      <c r="I941" s="24">
        <f t="shared" si="194"/>
        <v>5.8411553866100085E-5</v>
      </c>
      <c r="J941" s="25">
        <f>INDEX('Default Prob'!$C$3:$C$13, _xlfn.IFNA(MATCH(F941, 'Default Prob'!$B$3:$B$13, 1), 1))</f>
        <v>1.8499999999999999E-2</v>
      </c>
      <c r="K941" s="26">
        <f t="shared" si="185"/>
        <v>0.93665112204528689</v>
      </c>
      <c r="L941" s="27">
        <f t="shared" ca="1" si="186"/>
        <v>0</v>
      </c>
      <c r="M941" s="27">
        <f t="shared" ca="1" si="187"/>
        <v>1733.646557422453</v>
      </c>
      <c r="N941" s="28">
        <f t="shared" ca="1" si="188"/>
        <v>9.4849965827078137E-2</v>
      </c>
      <c r="O941" s="29">
        <f t="shared" ca="1" si="189"/>
        <v>600000</v>
      </c>
      <c r="P941" s="30">
        <f t="shared" ca="1" si="190"/>
        <v>32.826748481454814</v>
      </c>
    </row>
    <row r="942" spans="1:16" x14ac:dyDescent="0.25">
      <c r="A942" s="3">
        <f t="shared" si="191"/>
        <v>47430</v>
      </c>
      <c r="B942" s="21">
        <f t="shared" si="182"/>
        <v>36838</v>
      </c>
      <c r="C942" s="21">
        <f t="shared" si="183"/>
        <v>36880</v>
      </c>
      <c r="D942" s="1">
        <f t="shared" si="192"/>
        <v>0</v>
      </c>
      <c r="E942" s="3">
        <f t="array" ref="E942">INDEX($A$9:A941, MAX(IF($D$9:D941=1, ROW(D$9:$D941)-ROW($D$9)+1, 0)))</f>
        <v>47381</v>
      </c>
      <c r="F942" s="23">
        <f t="shared" si="184"/>
        <v>3.5728952772073921</v>
      </c>
      <c r="G942" s="5">
        <f>INDEX('Default Prob'!$P$5:$P$14,MIN(1+_xlfn.IFNA(MATCH(F942,'Default Prob'!$F$5:$F$14,1),0),COUNT('Default Prob'!$P$5:$P$14)))</f>
        <v>2.3050976347889798E-2</v>
      </c>
      <c r="H942" s="5">
        <f t="shared" si="193"/>
        <v>0.92546190472184919</v>
      </c>
      <c r="I942" s="24">
        <f t="shared" si="194"/>
        <v>5.8407867621457221E-5</v>
      </c>
      <c r="J942" s="25">
        <f>INDEX('Default Prob'!$C$3:$C$13, _xlfn.IFNA(MATCH(F942, 'Default Prob'!$B$3:$B$13, 1), 1))</f>
        <v>1.8499999999999999E-2</v>
      </c>
      <c r="K942" s="26">
        <f t="shared" si="185"/>
        <v>0.9366041151176967</v>
      </c>
      <c r="L942" s="27">
        <f t="shared" ca="1" si="186"/>
        <v>0</v>
      </c>
      <c r="M942" s="27">
        <f t="shared" ca="1" si="187"/>
        <v>1769.7641940354208</v>
      </c>
      <c r="N942" s="28">
        <f t="shared" ca="1" si="188"/>
        <v>9.6815037253139766E-2</v>
      </c>
      <c r="O942" s="29">
        <f t="shared" ca="1" si="189"/>
        <v>600000</v>
      </c>
      <c r="P942" s="30">
        <f t="shared" ca="1" si="190"/>
        <v>32.823029501703907</v>
      </c>
    </row>
    <row r="943" spans="1:16" x14ac:dyDescent="0.25">
      <c r="A943" s="3">
        <f t="shared" si="191"/>
        <v>47431</v>
      </c>
      <c r="B943" s="21">
        <f t="shared" si="182"/>
        <v>36839</v>
      </c>
      <c r="C943" s="21">
        <f t="shared" si="183"/>
        <v>36880</v>
      </c>
      <c r="D943" s="1">
        <f t="shared" si="192"/>
        <v>0</v>
      </c>
      <c r="E943" s="3">
        <f t="array" ref="E943">INDEX($A$9:A942, MAX(IF($D$9:D942=1, ROW(D$9:$D942)-ROW($D$9)+1, 0)))</f>
        <v>47381</v>
      </c>
      <c r="F943" s="23">
        <f t="shared" si="184"/>
        <v>3.5756331279945242</v>
      </c>
      <c r="G943" s="5">
        <f>INDEX('Default Prob'!$P$5:$P$14,MIN(1+_xlfn.IFNA(MATCH(F943,'Default Prob'!$F$5:$F$14,1),0),COUNT('Default Prob'!$P$5:$P$14)))</f>
        <v>2.3050976347889798E-2</v>
      </c>
      <c r="H943" s="5">
        <f t="shared" si="193"/>
        <v>0.92540350054023979</v>
      </c>
      <c r="I943" s="24">
        <f t="shared" si="194"/>
        <v>5.8404181609406081E-5</v>
      </c>
      <c r="J943" s="25">
        <f>INDEX('Default Prob'!$C$3:$C$13, _xlfn.IFNA(MATCH(F943, 'Default Prob'!$B$3:$B$13, 1), 1))</f>
        <v>1.8499999999999999E-2</v>
      </c>
      <c r="K943" s="26">
        <f t="shared" si="185"/>
        <v>0.93655711054920399</v>
      </c>
      <c r="L943" s="27">
        <f t="shared" ca="1" si="186"/>
        <v>0</v>
      </c>
      <c r="M943" s="27">
        <f t="shared" ca="1" si="187"/>
        <v>1805.8818306483884</v>
      </c>
      <c r="N943" s="28">
        <f t="shared" ca="1" si="188"/>
        <v>9.8779662211381777E-2</v>
      </c>
      <c r="O943" s="29">
        <f t="shared" ca="1" si="189"/>
        <v>600000</v>
      </c>
      <c r="P943" s="30">
        <f t="shared" ca="1" si="190"/>
        <v>32.81931094325779</v>
      </c>
    </row>
    <row r="944" spans="1:16" x14ac:dyDescent="0.25">
      <c r="A944" s="3">
        <f t="shared" si="191"/>
        <v>47434</v>
      </c>
      <c r="B944" s="21">
        <f t="shared" si="182"/>
        <v>36842</v>
      </c>
      <c r="C944" s="21">
        <f t="shared" si="183"/>
        <v>36880</v>
      </c>
      <c r="D944" s="1">
        <f t="shared" si="192"/>
        <v>0</v>
      </c>
      <c r="E944" s="3">
        <f t="array" ref="E944">INDEX($A$9:A943, MAX(IF($D$9:D943=1, ROW(D$9:$D943)-ROW($D$9)+1, 0)))</f>
        <v>47381</v>
      </c>
      <c r="F944" s="23">
        <f t="shared" si="184"/>
        <v>3.5838466803559208</v>
      </c>
      <c r="G944" s="5">
        <f>INDEX('Default Prob'!$P$5:$P$14,MIN(1+_xlfn.IFNA(MATCH(F944,'Default Prob'!$F$5:$F$14,1),0),COUNT('Default Prob'!$P$5:$P$14)))</f>
        <v>2.3050976347889798E-2</v>
      </c>
      <c r="H944" s="5">
        <f t="shared" si="193"/>
        <v>0.92522831010915763</v>
      </c>
      <c r="I944" s="24">
        <f t="shared" si="194"/>
        <v>1.751904310821617E-4</v>
      </c>
      <c r="J944" s="25">
        <f>INDEX('Default Prob'!$C$3:$C$13, _xlfn.IFNA(MATCH(F944, 'Default Prob'!$B$3:$B$13, 1), 1))</f>
        <v>1.8499999999999999E-2</v>
      </c>
      <c r="K944" s="26">
        <f t="shared" si="185"/>
        <v>0.93641611099712607</v>
      </c>
      <c r="L944" s="27">
        <f t="shared" ca="1" si="186"/>
        <v>0</v>
      </c>
      <c r="M944" s="27">
        <f t="shared" ca="1" si="187"/>
        <v>1914.2347404872917</v>
      </c>
      <c r="N944" s="28">
        <f t="shared" ca="1" si="188"/>
        <v>0.31403239553521006</v>
      </c>
      <c r="O944" s="29">
        <f t="shared" ca="1" si="189"/>
        <v>600000</v>
      </c>
      <c r="P944" s="30">
        <f t="shared" ca="1" si="190"/>
        <v>98.430685294720746</v>
      </c>
    </row>
    <row r="945" spans="1:16" x14ac:dyDescent="0.25">
      <c r="A945" s="3">
        <f t="shared" si="191"/>
        <v>47435</v>
      </c>
      <c r="B945" s="21">
        <f t="shared" si="182"/>
        <v>36843</v>
      </c>
      <c r="C945" s="21">
        <f t="shared" si="183"/>
        <v>36880</v>
      </c>
      <c r="D945" s="1">
        <f t="shared" si="192"/>
        <v>0</v>
      </c>
      <c r="E945" s="3">
        <f t="array" ref="E945">INDEX($A$9:A944, MAX(IF($D$9:D944=1, ROW(D$9:$D944)-ROW($D$9)+1, 0)))</f>
        <v>47381</v>
      </c>
      <c r="F945" s="23">
        <f t="shared" si="184"/>
        <v>3.5865845311430529</v>
      </c>
      <c r="G945" s="5">
        <f>INDEX('Default Prob'!$P$5:$P$14,MIN(1+_xlfn.IFNA(MATCH(F945,'Default Prob'!$F$5:$F$14,1),0),COUNT('Default Prob'!$P$5:$P$14)))</f>
        <v>2.3050976347889798E-2</v>
      </c>
      <c r="H945" s="5">
        <f t="shared" si="193"/>
        <v>0.92516992066927028</v>
      </c>
      <c r="I945" s="24">
        <f t="shared" si="194"/>
        <v>5.8389439887340799E-5</v>
      </c>
      <c r="J945" s="25">
        <f>INDEX('Default Prob'!$C$3:$C$13, _xlfn.IFNA(MATCH(F945, 'Default Prob'!$B$3:$B$13, 1), 1))</f>
        <v>1.8499999999999999E-2</v>
      </c>
      <c r="K945" s="26">
        <f t="shared" si="185"/>
        <v>0.9363691158638392</v>
      </c>
      <c r="L945" s="27">
        <f t="shared" ca="1" si="186"/>
        <v>0</v>
      </c>
      <c r="M945" s="27">
        <f t="shared" ca="1" si="187"/>
        <v>1950.3523771002592</v>
      </c>
      <c r="N945" s="28">
        <f t="shared" ca="1" si="188"/>
        <v>0.10663369888564626</v>
      </c>
      <c r="O945" s="29">
        <f t="shared" ca="1" si="189"/>
        <v>600000</v>
      </c>
      <c r="P945" s="30">
        <f t="shared" ca="1" si="190"/>
        <v>32.804440921856454</v>
      </c>
    </row>
    <row r="946" spans="1:16" x14ac:dyDescent="0.25">
      <c r="A946" s="3">
        <f t="shared" si="191"/>
        <v>47436</v>
      </c>
      <c r="B946" s="21">
        <f t="shared" si="182"/>
        <v>36844</v>
      </c>
      <c r="C946" s="21">
        <f t="shared" si="183"/>
        <v>36880</v>
      </c>
      <c r="D946" s="1">
        <f t="shared" si="192"/>
        <v>0</v>
      </c>
      <c r="E946" s="3">
        <f t="array" ref="E946">INDEX($A$9:A945, MAX(IF($D$9:D945=1, ROW(D$9:$D945)-ROW($D$9)+1, 0)))</f>
        <v>47381</v>
      </c>
      <c r="F946" s="23">
        <f t="shared" si="184"/>
        <v>3.5893223819301849</v>
      </c>
      <c r="G946" s="5">
        <f>INDEX('Default Prob'!$P$5:$P$14,MIN(1+_xlfn.IFNA(MATCH(F946,'Default Prob'!$F$5:$F$14,1),0),COUNT('Default Prob'!$P$5:$P$14)))</f>
        <v>2.3050976347889798E-2</v>
      </c>
      <c r="H946" s="5">
        <f t="shared" si="193"/>
        <v>0.92511153491423204</v>
      </c>
      <c r="I946" s="24">
        <f t="shared" si="194"/>
        <v>5.8385755038248277E-5</v>
      </c>
      <c r="J946" s="25">
        <f>INDEX('Default Prob'!$C$3:$C$13, _xlfn.IFNA(MATCH(F946, 'Default Prob'!$B$3:$B$13, 1), 1))</f>
        <v>1.8499999999999999E-2</v>
      </c>
      <c r="K946" s="26">
        <f t="shared" si="185"/>
        <v>0.93632212308905749</v>
      </c>
      <c r="L946" s="27">
        <f t="shared" ca="1" si="186"/>
        <v>0</v>
      </c>
      <c r="M946" s="27">
        <f t="shared" ca="1" si="187"/>
        <v>1986.4700137132272</v>
      </c>
      <c r="N946" s="28">
        <f t="shared" ca="1" si="188"/>
        <v>0.10859609264402983</v>
      </c>
      <c r="O946" s="29">
        <f t="shared" ca="1" si="189"/>
        <v>600000</v>
      </c>
      <c r="P946" s="30">
        <f t="shared" ca="1" si="190"/>
        <v>32.800724469342157</v>
      </c>
    </row>
    <row r="947" spans="1:16" x14ac:dyDescent="0.25">
      <c r="A947" s="3">
        <f t="shared" si="191"/>
        <v>47437</v>
      </c>
      <c r="B947" s="21">
        <f t="shared" si="182"/>
        <v>36845</v>
      </c>
      <c r="C947" s="21">
        <f t="shared" si="183"/>
        <v>36880</v>
      </c>
      <c r="D947" s="1">
        <f t="shared" si="192"/>
        <v>0</v>
      </c>
      <c r="E947" s="3">
        <f t="array" ref="E947">INDEX($A$9:A946, MAX(IF($D$9:D946=1, ROW(D$9:$D946)-ROW($D$9)+1, 0)))</f>
        <v>47381</v>
      </c>
      <c r="F947" s="23">
        <f t="shared" si="184"/>
        <v>3.592060232717317</v>
      </c>
      <c r="G947" s="5">
        <f>INDEX('Default Prob'!$P$5:$P$14,MIN(1+_xlfn.IFNA(MATCH(F947,'Default Prob'!$F$5:$F$14,1),0),COUNT('Default Prob'!$P$5:$P$14)))</f>
        <v>2.3050976347889798E-2</v>
      </c>
      <c r="H947" s="5">
        <f t="shared" si="193"/>
        <v>0.92505315284381029</v>
      </c>
      <c r="I947" s="24">
        <f t="shared" si="194"/>
        <v>5.8382070421747478E-5</v>
      </c>
      <c r="J947" s="25">
        <f>INDEX('Default Prob'!$C$3:$C$13, _xlfn.IFNA(MATCH(F947, 'Default Prob'!$B$3:$B$13, 1), 1))</f>
        <v>1.8499999999999999E-2</v>
      </c>
      <c r="K947" s="26">
        <f t="shared" si="185"/>
        <v>0.93627513267266316</v>
      </c>
      <c r="L947" s="27">
        <f t="shared" ca="1" si="186"/>
        <v>0</v>
      </c>
      <c r="M947" s="27">
        <f t="shared" ca="1" si="187"/>
        <v>2022.587650326195</v>
      </c>
      <c r="N947" s="28">
        <f t="shared" ca="1" si="188"/>
        <v>0.1105580403902202</v>
      </c>
      <c r="O947" s="29">
        <f t="shared" ca="1" si="189"/>
        <v>600000</v>
      </c>
      <c r="P947" s="30">
        <f t="shared" ca="1" si="190"/>
        <v>32.797008437895833</v>
      </c>
    </row>
    <row r="948" spans="1:16" x14ac:dyDescent="0.25">
      <c r="A948" s="3">
        <f t="shared" si="191"/>
        <v>47438</v>
      </c>
      <c r="B948" s="21">
        <f t="shared" si="182"/>
        <v>36846</v>
      </c>
      <c r="C948" s="21">
        <f t="shared" si="183"/>
        <v>36880</v>
      </c>
      <c r="D948" s="1">
        <f t="shared" si="192"/>
        <v>0</v>
      </c>
      <c r="E948" s="3">
        <f t="array" ref="E948">INDEX($A$9:A947, MAX(IF($D$9:D947=1, ROW(D$9:$D947)-ROW($D$9)+1, 0)))</f>
        <v>47381</v>
      </c>
      <c r="F948" s="23">
        <f t="shared" si="184"/>
        <v>3.5947980835044491</v>
      </c>
      <c r="G948" s="5">
        <f>INDEX('Default Prob'!$P$5:$P$14,MIN(1+_xlfn.IFNA(MATCH(F948,'Default Prob'!$F$5:$F$14,1),0),COUNT('Default Prob'!$P$5:$P$14)))</f>
        <v>2.3050976347889798E-2</v>
      </c>
      <c r="H948" s="5">
        <f t="shared" si="193"/>
        <v>0.92499477445777256</v>
      </c>
      <c r="I948" s="24">
        <f t="shared" si="194"/>
        <v>5.8378386037727381E-5</v>
      </c>
      <c r="J948" s="25">
        <f>INDEX('Default Prob'!$C$3:$C$13, _xlfn.IFNA(MATCH(F948, 'Default Prob'!$B$3:$B$13, 1), 1))</f>
        <v>1.8499999999999999E-2</v>
      </c>
      <c r="K948" s="26">
        <f t="shared" si="185"/>
        <v>0.93622814461453763</v>
      </c>
      <c r="L948" s="27">
        <f t="shared" ca="1" si="186"/>
        <v>0</v>
      </c>
      <c r="M948" s="27">
        <f t="shared" ca="1" si="187"/>
        <v>2058.7052869391628</v>
      </c>
      <c r="N948" s="28">
        <f t="shared" ca="1" si="188"/>
        <v>0.11251954219990784</v>
      </c>
      <c r="O948" s="29">
        <f t="shared" ca="1" si="189"/>
        <v>600000</v>
      </c>
      <c r="P948" s="30">
        <f t="shared" ca="1" si="190"/>
        <v>32.793292827415641</v>
      </c>
    </row>
    <row r="949" spans="1:16" x14ac:dyDescent="0.25">
      <c r="A949" s="3">
        <f t="shared" si="191"/>
        <v>47441</v>
      </c>
      <c r="B949" s="21">
        <f t="shared" si="182"/>
        <v>36849</v>
      </c>
      <c r="C949" s="21">
        <f t="shared" si="183"/>
        <v>36880</v>
      </c>
      <c r="D949" s="1">
        <f t="shared" si="192"/>
        <v>0</v>
      </c>
      <c r="E949" s="3">
        <f t="array" ref="E949">INDEX($A$9:A948, MAX(IF($D$9:D948=1, ROW(D$9:$D948)-ROW($D$9)+1, 0)))</f>
        <v>47381</v>
      </c>
      <c r="F949" s="23">
        <f t="shared" si="184"/>
        <v>3.6030116358658453</v>
      </c>
      <c r="G949" s="5">
        <f>INDEX('Default Prob'!$P$5:$P$14,MIN(1+_xlfn.IFNA(MATCH(F949,'Default Prob'!$F$5:$F$14,1),0),COUNT('Default Prob'!$P$5:$P$14)))</f>
        <v>2.3050976347889798E-2</v>
      </c>
      <c r="H949" s="5">
        <f t="shared" si="193"/>
        <v>0.92481966140363847</v>
      </c>
      <c r="I949" s="24">
        <f t="shared" si="194"/>
        <v>1.7511305413409062E-4</v>
      </c>
      <c r="J949" s="25">
        <f>INDEX('Default Prob'!$C$3:$C$13, _xlfn.IFNA(MATCH(F949, 'Default Prob'!$B$3:$B$13, 1), 1))</f>
        <v>1.8499999999999999E-2</v>
      </c>
      <c r="K949" s="26">
        <f t="shared" si="185"/>
        <v>0.93608719458859002</v>
      </c>
      <c r="L949" s="27">
        <f t="shared" ca="1" si="186"/>
        <v>0</v>
      </c>
      <c r="M949" s="27">
        <f t="shared" ca="1" si="187"/>
        <v>2167.0581967780658</v>
      </c>
      <c r="N949" s="28">
        <f t="shared" ca="1" si="188"/>
        <v>0.35522653646549268</v>
      </c>
      <c r="O949" s="29">
        <f t="shared" ca="1" si="189"/>
        <v>600000</v>
      </c>
      <c r="P949" s="30">
        <f t="shared" ca="1" si="190"/>
        <v>98.352652548132468</v>
      </c>
    </row>
    <row r="950" spans="1:16" x14ac:dyDescent="0.25">
      <c r="A950" s="3">
        <f t="shared" si="191"/>
        <v>47442</v>
      </c>
      <c r="B950" s="21">
        <f t="shared" si="182"/>
        <v>36850</v>
      </c>
      <c r="C950" s="21">
        <f t="shared" si="183"/>
        <v>36880</v>
      </c>
      <c r="D950" s="1">
        <f t="shared" si="192"/>
        <v>0</v>
      </c>
      <c r="E950" s="3">
        <f t="array" ref="E950">INDEX($A$9:A949, MAX(IF($D$9:D949=1, ROW(D$9:$D949)-ROW($D$9)+1, 0)))</f>
        <v>47381</v>
      </c>
      <c r="F950" s="23">
        <f t="shared" si="184"/>
        <v>3.6057494866529773</v>
      </c>
      <c r="G950" s="5">
        <f>INDEX('Default Prob'!$P$5:$P$14,MIN(1+_xlfn.IFNA(MATCH(F950,'Default Prob'!$F$5:$F$14,1),0),COUNT('Default Prob'!$P$5:$P$14)))</f>
        <v>2.3050976347889798E-2</v>
      </c>
      <c r="H950" s="5">
        <f t="shared" si="193"/>
        <v>0.9247612977528118</v>
      </c>
      <c r="I950" s="24">
        <f t="shared" si="194"/>
        <v>5.836365082667605E-5</v>
      </c>
      <c r="J950" s="25">
        <f>INDEX('Default Prob'!$C$3:$C$13, _xlfn.IFNA(MATCH(F950, 'Default Prob'!$B$3:$B$13, 1), 1))</f>
        <v>1.8499999999999999E-2</v>
      </c>
      <c r="K950" s="26">
        <f t="shared" si="185"/>
        <v>0.93604021596235598</v>
      </c>
      <c r="L950" s="27">
        <f t="shared" ca="1" si="186"/>
        <v>0</v>
      </c>
      <c r="M950" s="27">
        <f t="shared" ca="1" si="187"/>
        <v>2203.1758333910338</v>
      </c>
      <c r="N950" s="28">
        <f t="shared" ca="1" si="188"/>
        <v>0.12036109159162245</v>
      </c>
      <c r="O950" s="29">
        <f t="shared" ca="1" si="189"/>
        <v>600000</v>
      </c>
      <c r="P950" s="30">
        <f t="shared" ca="1" si="190"/>
        <v>32.778434594492033</v>
      </c>
    </row>
    <row r="951" spans="1:16" x14ac:dyDescent="0.25">
      <c r="A951" s="3">
        <f t="shared" si="191"/>
        <v>47443</v>
      </c>
      <c r="B951" s="21">
        <f t="shared" si="182"/>
        <v>36851</v>
      </c>
      <c r="C951" s="21">
        <f t="shared" si="183"/>
        <v>36880</v>
      </c>
      <c r="D951" s="1">
        <f t="shared" si="192"/>
        <v>0</v>
      </c>
      <c r="E951" s="3">
        <f t="array" ref="E951">INDEX($A$9:A950, MAX(IF($D$9:D950=1, ROW(D$9:$D950)-ROW($D$9)+1, 0)))</f>
        <v>47381</v>
      </c>
      <c r="F951" s="23">
        <f t="shared" si="184"/>
        <v>3.6084873374401094</v>
      </c>
      <c r="G951" s="5">
        <f>INDEX('Default Prob'!$P$5:$P$14,MIN(1+_xlfn.IFNA(MATCH(F951,'Default Prob'!$F$5:$F$14,1),0),COUNT('Default Prob'!$P$5:$P$14)))</f>
        <v>2.3050976347889798E-2</v>
      </c>
      <c r="H951" s="5">
        <f t="shared" si="193"/>
        <v>0.92470293778520674</v>
      </c>
      <c r="I951" s="24">
        <f t="shared" si="194"/>
        <v>5.835996760505946E-5</v>
      </c>
      <c r="J951" s="25">
        <f>INDEX('Default Prob'!$C$3:$C$13, _xlfn.IFNA(MATCH(F951, 'Default Prob'!$B$3:$B$13, 1), 1))</f>
        <v>1.8499999999999999E-2</v>
      </c>
      <c r="K951" s="26">
        <f t="shared" si="185"/>
        <v>0.93599323969379911</v>
      </c>
      <c r="L951" s="27">
        <f t="shared" ca="1" si="186"/>
        <v>0</v>
      </c>
      <c r="M951" s="27">
        <f t="shared" ca="1" si="187"/>
        <v>2239.2934700040018</v>
      </c>
      <c r="N951" s="28">
        <f t="shared" ca="1" si="188"/>
        <v>0.12232036485687102</v>
      </c>
      <c r="O951" s="29">
        <f t="shared" ca="1" si="189"/>
        <v>600000</v>
      </c>
      <c r="P951" s="30">
        <f t="shared" ca="1" si="190"/>
        <v>32.774721088250864</v>
      </c>
    </row>
    <row r="952" spans="1:16" x14ac:dyDescent="0.25">
      <c r="A952" s="3">
        <f t="shared" si="191"/>
        <v>47444</v>
      </c>
      <c r="B952" s="21">
        <f t="shared" si="182"/>
        <v>36852</v>
      </c>
      <c r="C952" s="21">
        <f t="shared" si="183"/>
        <v>36880</v>
      </c>
      <c r="D952" s="1">
        <f t="shared" si="192"/>
        <v>0</v>
      </c>
      <c r="E952" s="3">
        <f t="array" ref="E952">INDEX($A$9:A951, MAX(IF($D$9:D951=1, ROW(D$9:$D951)-ROW($D$9)+1, 0)))</f>
        <v>47381</v>
      </c>
      <c r="F952" s="23">
        <f t="shared" si="184"/>
        <v>3.6112251882272415</v>
      </c>
      <c r="G952" s="5">
        <f>INDEX('Default Prob'!$P$5:$P$14,MIN(1+_xlfn.IFNA(MATCH(F952,'Default Prob'!$F$5:$F$14,1),0),COUNT('Default Prob'!$P$5:$P$14)))</f>
        <v>2.3050976347889798E-2</v>
      </c>
      <c r="H952" s="5">
        <f t="shared" si="193"/>
        <v>0.92464458150059081</v>
      </c>
      <c r="I952" s="24">
        <f t="shared" si="194"/>
        <v>5.835628461592357E-5</v>
      </c>
      <c r="J952" s="25">
        <f>INDEX('Default Prob'!$C$3:$C$13, _xlfn.IFNA(MATCH(F952, 'Default Prob'!$B$3:$B$13, 1), 1))</f>
        <v>1.8499999999999999E-2</v>
      </c>
      <c r="K952" s="26">
        <f t="shared" si="185"/>
        <v>0.93594626578280116</v>
      </c>
      <c r="L952" s="27">
        <f t="shared" ca="1" si="186"/>
        <v>0</v>
      </c>
      <c r="M952" s="27">
        <f t="shared" ca="1" si="187"/>
        <v>2275.4111066169694</v>
      </c>
      <c r="N952" s="28">
        <f t="shared" ca="1" si="188"/>
        <v>0.12427919264077726</v>
      </c>
      <c r="O952" s="29">
        <f t="shared" ca="1" si="189"/>
        <v>600000</v>
      </c>
      <c r="P952" s="30">
        <f t="shared" ca="1" si="190"/>
        <v>32.771008002739194</v>
      </c>
    </row>
    <row r="953" spans="1:16" x14ac:dyDescent="0.25">
      <c r="A953" s="3">
        <f t="shared" si="191"/>
        <v>47445</v>
      </c>
      <c r="B953" s="21">
        <f t="shared" si="182"/>
        <v>36853</v>
      </c>
      <c r="C953" s="21">
        <f t="shared" si="183"/>
        <v>36880</v>
      </c>
      <c r="D953" s="1">
        <f t="shared" si="192"/>
        <v>0</v>
      </c>
      <c r="E953" s="3">
        <f t="array" ref="E953">INDEX($A$9:A952, MAX(IF($D$9:D952=1, ROW(D$9:$D952)-ROW($D$9)+1, 0)))</f>
        <v>47381</v>
      </c>
      <c r="F953" s="23">
        <f t="shared" si="184"/>
        <v>3.6139630390143735</v>
      </c>
      <c r="G953" s="5">
        <f>INDEX('Default Prob'!$P$5:$P$14,MIN(1+_xlfn.IFNA(MATCH(F953,'Default Prob'!$F$5:$F$14,1),0),COUNT('Default Prob'!$P$5:$P$14)))</f>
        <v>2.3050976347889798E-2</v>
      </c>
      <c r="H953" s="5">
        <f t="shared" si="193"/>
        <v>0.92458622889873154</v>
      </c>
      <c r="I953" s="24">
        <f t="shared" si="194"/>
        <v>5.8352601859268383E-5</v>
      </c>
      <c r="J953" s="25">
        <f>INDEX('Default Prob'!$C$3:$C$13, _xlfn.IFNA(MATCH(F953, 'Default Prob'!$B$3:$B$13, 1), 1))</f>
        <v>1.8499999999999999E-2</v>
      </c>
      <c r="K953" s="26">
        <f t="shared" si="185"/>
        <v>0.93589929422924345</v>
      </c>
      <c r="L953" s="27">
        <f t="shared" ca="1" si="186"/>
        <v>0</v>
      </c>
      <c r="M953" s="27">
        <f t="shared" ca="1" si="187"/>
        <v>2311.5287432299369</v>
      </c>
      <c r="N953" s="28">
        <f t="shared" ca="1" si="188"/>
        <v>0.12623757501916805</v>
      </c>
      <c r="O953" s="29">
        <f t="shared" ca="1" si="189"/>
        <v>600000</v>
      </c>
      <c r="P953" s="30">
        <f t="shared" ca="1" si="190"/>
        <v>32.767295337917588</v>
      </c>
    </row>
    <row r="954" spans="1:16" x14ac:dyDescent="0.25">
      <c r="A954" s="3">
        <f t="shared" si="191"/>
        <v>47448</v>
      </c>
      <c r="B954" s="21">
        <f t="shared" si="182"/>
        <v>36856</v>
      </c>
      <c r="C954" s="21">
        <f t="shared" si="183"/>
        <v>36880</v>
      </c>
      <c r="D954" s="1">
        <f t="shared" si="192"/>
        <v>0</v>
      </c>
      <c r="E954" s="3">
        <f t="array" ref="E954">INDEX($A$9:A953, MAX(IF($D$9:D953=1, ROW(D$9:$D953)-ROW($D$9)+1, 0)))</f>
        <v>47381</v>
      </c>
      <c r="F954" s="23">
        <f t="shared" si="184"/>
        <v>3.6221765913757702</v>
      </c>
      <c r="G954" s="5">
        <f>INDEX('Default Prob'!$P$5:$P$14,MIN(1+_xlfn.IFNA(MATCH(F954,'Default Prob'!$F$5:$F$14,1),0),COUNT('Default Prob'!$P$5:$P$14)))</f>
        <v>2.3050976347889798E-2</v>
      </c>
      <c r="H954" s="5">
        <f t="shared" si="193"/>
        <v>0.92441119318737008</v>
      </c>
      <c r="I954" s="24">
        <f t="shared" si="194"/>
        <v>1.7503571136145979E-4</v>
      </c>
      <c r="J954" s="25">
        <f>INDEX('Default Prob'!$C$3:$C$13, _xlfn.IFNA(MATCH(F954, 'Default Prob'!$B$3:$B$13, 1), 1))</f>
        <v>1.8499999999999999E-2</v>
      </c>
      <c r="K954" s="26">
        <f t="shared" si="185"/>
        <v>0.93575839371202996</v>
      </c>
      <c r="L954" s="27">
        <f t="shared" ca="1" si="186"/>
        <v>0</v>
      </c>
      <c r="M954" s="27">
        <f t="shared" ca="1" si="187"/>
        <v>2419.8816530688405</v>
      </c>
      <c r="N954" s="28">
        <f t="shared" ca="1" si="188"/>
        <v>0.39635516519782865</v>
      </c>
      <c r="O954" s="29">
        <f t="shared" ca="1" si="189"/>
        <v>600000</v>
      </c>
      <c r="P954" s="30">
        <f t="shared" ca="1" si="190"/>
        <v>98.274681663505277</v>
      </c>
    </row>
    <row r="955" spans="1:16" x14ac:dyDescent="0.25">
      <c r="A955" s="3">
        <f t="shared" si="191"/>
        <v>47449</v>
      </c>
      <c r="B955" s="21">
        <f t="shared" si="182"/>
        <v>36857</v>
      </c>
      <c r="C955" s="21">
        <f t="shared" si="183"/>
        <v>36880</v>
      </c>
      <c r="D955" s="1">
        <f t="shared" si="192"/>
        <v>0</v>
      </c>
      <c r="E955" s="3">
        <f t="array" ref="E955">INDEX($A$9:A954, MAX(IF($D$9:D954=1, ROW(D$9:$D954)-ROW($D$9)+1, 0)))</f>
        <v>47381</v>
      </c>
      <c r="F955" s="23">
        <f t="shared" si="184"/>
        <v>3.6249144421629023</v>
      </c>
      <c r="G955" s="5">
        <f>INDEX('Default Prob'!$P$5:$P$14,MIN(1+_xlfn.IFNA(MATCH(F955,'Default Prob'!$F$5:$F$14,1),0),COUNT('Default Prob'!$P$5:$P$14)))</f>
        <v>2.3050976347889798E-2</v>
      </c>
      <c r="H955" s="5">
        <f t="shared" si="193"/>
        <v>0.92435285531421374</v>
      </c>
      <c r="I955" s="24">
        <f t="shared" si="194"/>
        <v>5.8337873156344422E-5</v>
      </c>
      <c r="J955" s="25">
        <f>INDEX('Default Prob'!$C$3:$C$13, _xlfn.IFNA(MATCH(F955, 'Default Prob'!$B$3:$B$13, 1), 1))</f>
        <v>1.8499999999999999E-2</v>
      </c>
      <c r="K955" s="26">
        <f t="shared" si="185"/>
        <v>0.93571143158705095</v>
      </c>
      <c r="L955" s="27">
        <f t="shared" ca="1" si="186"/>
        <v>0</v>
      </c>
      <c r="M955" s="27">
        <f t="shared" ca="1" si="187"/>
        <v>2455.9992896818085</v>
      </c>
      <c r="N955" s="28">
        <f t="shared" ca="1" si="188"/>
        <v>0.13406665199123116</v>
      </c>
      <c r="O955" s="29">
        <f t="shared" ca="1" si="189"/>
        <v>600000</v>
      </c>
      <c r="P955" s="30">
        <f t="shared" ca="1" si="190"/>
        <v>32.752448884120099</v>
      </c>
    </row>
    <row r="956" spans="1:16" x14ac:dyDescent="0.25">
      <c r="A956" s="3">
        <f t="shared" si="191"/>
        <v>47450</v>
      </c>
      <c r="B956" s="21">
        <f t="shared" si="182"/>
        <v>36858</v>
      </c>
      <c r="C956" s="21">
        <f t="shared" si="183"/>
        <v>36880</v>
      </c>
      <c r="D956" s="1">
        <f t="shared" si="192"/>
        <v>0</v>
      </c>
      <c r="E956" s="3">
        <f t="array" ref="E956">INDEX($A$9:A955, MAX(IF($D$9:D955=1, ROW(D$9:$D955)-ROW($D$9)+1, 0)))</f>
        <v>47381</v>
      </c>
      <c r="F956" s="23">
        <f t="shared" si="184"/>
        <v>3.6276522929500343</v>
      </c>
      <c r="G956" s="5">
        <f>INDEX('Default Prob'!$P$5:$P$14,MIN(1+_xlfn.IFNA(MATCH(F956,'Default Prob'!$F$5:$F$14,1),0),COUNT('Default Prob'!$P$5:$P$14)))</f>
        <v>2.3050976347889798E-2</v>
      </c>
      <c r="H956" s="5">
        <f t="shared" si="193"/>
        <v>0.9242945211226522</v>
      </c>
      <c r="I956" s="24">
        <f t="shared" si="194"/>
        <v>5.8334191561537629E-5</v>
      </c>
      <c r="J956" s="25">
        <f>INDEX('Default Prob'!$C$3:$C$13, _xlfn.IFNA(MATCH(F956, 'Default Prob'!$B$3:$B$13, 1), 1))</f>
        <v>1.8499999999999999E-2</v>
      </c>
      <c r="K956" s="26">
        <f t="shared" si="185"/>
        <v>0.93566447181892098</v>
      </c>
      <c r="L956" s="27">
        <f t="shared" ca="1" si="186"/>
        <v>0</v>
      </c>
      <c r="M956" s="27">
        <f t="shared" ca="1" si="187"/>
        <v>2492.116926294776</v>
      </c>
      <c r="N956" s="28">
        <f t="shared" ca="1" si="188"/>
        <v>0.13602280847778433</v>
      </c>
      <c r="O956" s="29">
        <f t="shared" ca="1" si="189"/>
        <v>600000</v>
      </c>
      <c r="P956" s="30">
        <f t="shared" ca="1" si="190"/>
        <v>32.74873832184592</v>
      </c>
    </row>
    <row r="957" spans="1:16" x14ac:dyDescent="0.25">
      <c r="A957" s="3">
        <f t="shared" si="191"/>
        <v>47451</v>
      </c>
      <c r="B957" s="21">
        <f t="shared" si="182"/>
        <v>36859</v>
      </c>
      <c r="C957" s="21">
        <f t="shared" si="183"/>
        <v>36880</v>
      </c>
      <c r="D957" s="1">
        <f t="shared" si="192"/>
        <v>0</v>
      </c>
      <c r="E957" s="3">
        <f t="array" ref="E957">INDEX($A$9:A956, MAX(IF($D$9:D956=1, ROW(D$9:$D956)-ROW($D$9)+1, 0)))</f>
        <v>47381</v>
      </c>
      <c r="F957" s="23">
        <f t="shared" si="184"/>
        <v>3.6303901437371664</v>
      </c>
      <c r="G957" s="5">
        <f>INDEX('Default Prob'!$P$5:$P$14,MIN(1+_xlfn.IFNA(MATCH(F957,'Default Prob'!$F$5:$F$14,1),0),COUNT('Default Prob'!$P$5:$P$14)))</f>
        <v>2.3050976347889798E-2</v>
      </c>
      <c r="H957" s="5">
        <f t="shared" si="193"/>
        <v>0.9242361906124531</v>
      </c>
      <c r="I957" s="24">
        <f t="shared" si="194"/>
        <v>5.8330510199100516E-5</v>
      </c>
      <c r="J957" s="25">
        <f>INDEX('Default Prob'!$C$3:$C$13, _xlfn.IFNA(MATCH(F957, 'Default Prob'!$B$3:$B$13, 1), 1))</f>
        <v>1.8499999999999999E-2</v>
      </c>
      <c r="K957" s="26">
        <f t="shared" si="185"/>
        <v>0.93561751440752172</v>
      </c>
      <c r="L957" s="27">
        <f t="shared" ca="1" si="186"/>
        <v>0</v>
      </c>
      <c r="M957" s="27">
        <f t="shared" ca="1" si="187"/>
        <v>2528.2345629077436</v>
      </c>
      <c r="N957" s="28">
        <f t="shared" ca="1" si="188"/>
        <v>0.1379785200132842</v>
      </c>
      <c r="O957" s="29">
        <f t="shared" ca="1" si="189"/>
        <v>600000</v>
      </c>
      <c r="P957" s="30">
        <f t="shared" ca="1" si="190"/>
        <v>32.745028179963015</v>
      </c>
    </row>
    <row r="958" spans="1:16" x14ac:dyDescent="0.25">
      <c r="A958" s="3">
        <f t="shared" si="191"/>
        <v>47452</v>
      </c>
      <c r="B958" s="21">
        <f t="shared" si="182"/>
        <v>36860</v>
      </c>
      <c r="C958" s="21">
        <f t="shared" si="183"/>
        <v>36880</v>
      </c>
      <c r="D958" s="1">
        <f t="shared" si="192"/>
        <v>0</v>
      </c>
      <c r="E958" s="3">
        <f t="array" ref="E958">INDEX($A$9:A957, MAX(IF($D$9:D957=1, ROW(D$9:$D957)-ROW($D$9)+1, 0)))</f>
        <v>47381</v>
      </c>
      <c r="F958" s="23">
        <f t="shared" si="184"/>
        <v>3.6331279945242985</v>
      </c>
      <c r="G958" s="5">
        <f>INDEX('Default Prob'!$P$5:$P$14,MIN(1+_xlfn.IFNA(MATCH(F958,'Default Prob'!$F$5:$F$14,1),0),COUNT('Default Prob'!$P$5:$P$14)))</f>
        <v>2.3050976347889798E-2</v>
      </c>
      <c r="H958" s="5">
        <f t="shared" si="193"/>
        <v>0.92417786378338418</v>
      </c>
      <c r="I958" s="24">
        <f t="shared" si="194"/>
        <v>5.8326829068922059E-5</v>
      </c>
      <c r="J958" s="25">
        <f>INDEX('Default Prob'!$C$3:$C$13, _xlfn.IFNA(MATCH(F958, 'Default Prob'!$B$3:$B$13, 1), 1))</f>
        <v>1.8499999999999999E-2</v>
      </c>
      <c r="K958" s="26">
        <f t="shared" si="185"/>
        <v>0.9355705593527347</v>
      </c>
      <c r="L958" s="27">
        <f t="shared" ca="1" si="186"/>
        <v>0</v>
      </c>
      <c r="M958" s="27">
        <f t="shared" ca="1" si="187"/>
        <v>2564.3521995207116</v>
      </c>
      <c r="N958" s="28">
        <f t="shared" ca="1" si="188"/>
        <v>0.13993378667321385</v>
      </c>
      <c r="O958" s="29">
        <f t="shared" ca="1" si="189"/>
        <v>600000</v>
      </c>
      <c r="P958" s="30">
        <f t="shared" ca="1" si="190"/>
        <v>32.741318458369655</v>
      </c>
    </row>
    <row r="959" spans="1:16" x14ac:dyDescent="0.25">
      <c r="A959" s="3">
        <f t="shared" si="191"/>
        <v>47455</v>
      </c>
      <c r="B959" s="21">
        <f t="shared" si="182"/>
        <v>36863</v>
      </c>
      <c r="C959" s="21">
        <f t="shared" si="183"/>
        <v>36880</v>
      </c>
      <c r="D959" s="1">
        <f t="shared" si="192"/>
        <v>0</v>
      </c>
      <c r="E959" s="3">
        <f t="array" ref="E959">INDEX($A$9:A958, MAX(IF($D$9:D958=1, ROW(D$9:$D958)-ROW($D$9)+1, 0)))</f>
        <v>47381</v>
      </c>
      <c r="F959" s="23">
        <f t="shared" si="184"/>
        <v>3.6413415468856947</v>
      </c>
      <c r="G959" s="5">
        <f>INDEX('Default Prob'!$P$5:$P$14,MIN(1+_xlfn.IFNA(MATCH(F959,'Default Prob'!$F$5:$F$14,1),0),COUNT('Default Prob'!$P$5:$P$14)))</f>
        <v>2.3050976347889798E-2</v>
      </c>
      <c r="H959" s="5">
        <f t="shared" si="193"/>
        <v>0.92400290538063523</v>
      </c>
      <c r="I959" s="24">
        <f t="shared" si="194"/>
        <v>1.7495840274894814E-4</v>
      </c>
      <c r="J959" s="25">
        <f>INDEX('Default Prob'!$C$3:$C$13, _xlfn.IFNA(MATCH(F959, 'Default Prob'!$B$3:$B$13, 1), 1))</f>
        <v>1.8499999999999999E-2</v>
      </c>
      <c r="K959" s="26">
        <f t="shared" si="185"/>
        <v>0.93542970832686556</v>
      </c>
      <c r="L959" s="27">
        <f t="shared" ca="1" si="186"/>
        <v>0</v>
      </c>
      <c r="M959" s="27">
        <f t="shared" ca="1" si="187"/>
        <v>2672.7051093596151</v>
      </c>
      <c r="N959" s="28">
        <f t="shared" ca="1" si="188"/>
        <v>0.43741835971396636</v>
      </c>
      <c r="O959" s="29">
        <f t="shared" ca="1" si="189"/>
        <v>600000</v>
      </c>
      <c r="P959" s="30">
        <f t="shared" ca="1" si="190"/>
        <v>98.196772591669685</v>
      </c>
    </row>
    <row r="960" spans="1:16" x14ac:dyDescent="0.25">
      <c r="A960" s="3">
        <f t="shared" si="191"/>
        <v>47456</v>
      </c>
      <c r="B960" s="21">
        <f t="shared" si="182"/>
        <v>36864</v>
      </c>
      <c r="C960" s="21">
        <f t="shared" si="183"/>
        <v>36880</v>
      </c>
      <c r="D960" s="1">
        <f t="shared" si="192"/>
        <v>0</v>
      </c>
      <c r="E960" s="3">
        <f t="array" ref="E960">INDEX($A$9:A959, MAX(IF($D$9:D959=1, ROW(D$9:$D959)-ROW($D$9)+1, 0)))</f>
        <v>47381</v>
      </c>
      <c r="F960" s="23">
        <f t="shared" si="184"/>
        <v>3.6440793976728267</v>
      </c>
      <c r="G960" s="5">
        <f>INDEX('Default Prob'!$P$5:$P$14,MIN(1+_xlfn.IFNA(MATCH(F960,'Default Prob'!$F$5:$F$14,1),0),COUNT('Default Prob'!$P$5:$P$14)))</f>
        <v>2.3050976347889798E-2</v>
      </c>
      <c r="H960" s="5">
        <f t="shared" si="193"/>
        <v>0.92394459327376388</v>
      </c>
      <c r="I960" s="24">
        <f t="shared" si="194"/>
        <v>5.8312106871349911E-5</v>
      </c>
      <c r="J960" s="25">
        <f>INDEX('Default Prob'!$C$3:$C$13, _xlfn.IFNA(MATCH(F960, 'Default Prob'!$B$3:$B$13, 1), 1))</f>
        <v>1.8499999999999999E-2</v>
      </c>
      <c r="K960" s="26">
        <f t="shared" si="185"/>
        <v>0.93538276269734544</v>
      </c>
      <c r="L960" s="27">
        <f t="shared" ca="1" si="186"/>
        <v>0</v>
      </c>
      <c r="M960" s="27">
        <f t="shared" ca="1" si="187"/>
        <v>2708.8227459725827</v>
      </c>
      <c r="N960" s="28">
        <f t="shared" ca="1" si="188"/>
        <v>0.14775040607306644</v>
      </c>
      <c r="O960" s="29">
        <f t="shared" ca="1" si="189"/>
        <v>600000</v>
      </c>
      <c r="P960" s="30">
        <f t="shared" ca="1" si="190"/>
        <v>32.726483774415684</v>
      </c>
    </row>
    <row r="961" spans="1:16" x14ac:dyDescent="0.25">
      <c r="A961" s="3">
        <f t="shared" si="191"/>
        <v>47457</v>
      </c>
      <c r="B961" s="21">
        <f t="shared" si="182"/>
        <v>36865</v>
      </c>
      <c r="C961" s="21">
        <f t="shared" si="183"/>
        <v>36880</v>
      </c>
      <c r="D961" s="1">
        <f t="shared" si="192"/>
        <v>0</v>
      </c>
      <c r="E961" s="3">
        <f t="array" ref="E961">INDEX($A$9:A960, MAX(IF($D$9:D960=1, ROW(D$9:$D960)-ROW($D$9)+1, 0)))</f>
        <v>47381</v>
      </c>
      <c r="F961" s="23">
        <f t="shared" si="184"/>
        <v>3.6468172484599588</v>
      </c>
      <c r="G961" s="5">
        <f>INDEX('Default Prob'!$P$5:$P$14,MIN(1+_xlfn.IFNA(MATCH(F961,'Default Prob'!$F$5:$F$14,1),0),COUNT('Default Prob'!$P$5:$P$14)))</f>
        <v>2.3050976347889798E-2</v>
      </c>
      <c r="H961" s="5">
        <f t="shared" si="193"/>
        <v>0.92388628484686131</v>
      </c>
      <c r="I961" s="24">
        <f t="shared" si="194"/>
        <v>5.8308426902575761E-5</v>
      </c>
      <c r="J961" s="25">
        <f>INDEX('Default Prob'!$C$3:$C$13, _xlfn.IFNA(MATCH(F961, 'Default Prob'!$B$3:$B$13, 1), 1))</f>
        <v>1.8499999999999999E-2</v>
      </c>
      <c r="K961" s="26">
        <f t="shared" si="185"/>
        <v>0.93533581942384647</v>
      </c>
      <c r="L961" s="27">
        <f t="shared" ca="1" si="186"/>
        <v>0</v>
      </c>
      <c r="M961" s="27">
        <f t="shared" ca="1" si="187"/>
        <v>2744.9403825855502</v>
      </c>
      <c r="N961" s="28">
        <f t="shared" ca="1" si="188"/>
        <v>0.14970344949118841</v>
      </c>
      <c r="O961" s="29">
        <f t="shared" ca="1" si="189"/>
        <v>600000</v>
      </c>
      <c r="P961" s="30">
        <f t="shared" ca="1" si="190"/>
        <v>32.722776153741691</v>
      </c>
    </row>
    <row r="962" spans="1:16" x14ac:dyDescent="0.25">
      <c r="A962" s="3">
        <f t="shared" si="191"/>
        <v>47458</v>
      </c>
      <c r="B962" s="21">
        <f t="shared" si="182"/>
        <v>36866</v>
      </c>
      <c r="C962" s="21">
        <f t="shared" si="183"/>
        <v>36880</v>
      </c>
      <c r="D962" s="1">
        <f t="shared" si="192"/>
        <v>0</v>
      </c>
      <c r="E962" s="3">
        <f t="array" ref="E962">INDEX($A$9:A961, MAX(IF($D$9:D961=1, ROW(D$9:$D961)-ROW($D$9)+1, 0)))</f>
        <v>47381</v>
      </c>
      <c r="F962" s="23">
        <f t="shared" si="184"/>
        <v>3.6495550992470909</v>
      </c>
      <c r="G962" s="5">
        <f>INDEX('Default Prob'!$P$5:$P$14,MIN(1+_xlfn.IFNA(MATCH(F962,'Default Prob'!$F$5:$F$14,1),0),COUNT('Default Prob'!$P$5:$P$14)))</f>
        <v>2.3050976347889798E-2</v>
      </c>
      <c r="H962" s="5">
        <f t="shared" si="193"/>
        <v>0.92382798009969525</v>
      </c>
      <c r="I962" s="24">
        <f t="shared" si="194"/>
        <v>5.8304747166060267E-5</v>
      </c>
      <c r="J962" s="25">
        <f>INDEX('Default Prob'!$C$3:$C$13, _xlfn.IFNA(MATCH(F962, 'Default Prob'!$B$3:$B$13, 1), 1))</f>
        <v>1.8499999999999999E-2</v>
      </c>
      <c r="K962" s="26">
        <f t="shared" si="185"/>
        <v>0.93528887850625053</v>
      </c>
      <c r="L962" s="27">
        <f t="shared" ca="1" si="186"/>
        <v>0</v>
      </c>
      <c r="M962" s="27">
        <f t="shared" ca="1" si="187"/>
        <v>2781.0580191985182</v>
      </c>
      <c r="N962" s="28">
        <f t="shared" ca="1" si="188"/>
        <v>0.15165604848797737</v>
      </c>
      <c r="O962" s="29">
        <f t="shared" ca="1" si="189"/>
        <v>600000</v>
      </c>
      <c r="P962" s="30">
        <f t="shared" ca="1" si="190"/>
        <v>32.719068953120996</v>
      </c>
    </row>
    <row r="963" spans="1:16" x14ac:dyDescent="0.25">
      <c r="A963" s="3">
        <f t="shared" si="191"/>
        <v>47459</v>
      </c>
      <c r="B963" s="21">
        <f t="shared" si="182"/>
        <v>36867</v>
      </c>
      <c r="C963" s="21">
        <f t="shared" si="183"/>
        <v>36880</v>
      </c>
      <c r="D963" s="1">
        <f t="shared" si="192"/>
        <v>0</v>
      </c>
      <c r="E963" s="3">
        <f t="array" ref="E963">INDEX($A$9:A962, MAX(IF($D$9:D962=1, ROW(D$9:$D962)-ROW($D$9)+1, 0)))</f>
        <v>47381</v>
      </c>
      <c r="F963" s="23">
        <f t="shared" si="184"/>
        <v>3.6522929500342229</v>
      </c>
      <c r="G963" s="5">
        <f>INDEX('Default Prob'!$P$5:$P$14,MIN(1+_xlfn.IFNA(MATCH(F963,'Default Prob'!$F$5:$F$14,1),0),COUNT('Default Prob'!$P$5:$P$14)))</f>
        <v>2.3050976347889798E-2</v>
      </c>
      <c r="H963" s="5">
        <f t="shared" si="193"/>
        <v>0.92376967903203344</v>
      </c>
      <c r="I963" s="24">
        <f t="shared" si="194"/>
        <v>5.830106766180343E-5</v>
      </c>
      <c r="J963" s="25">
        <f>INDEX('Default Prob'!$C$3:$C$13, _xlfn.IFNA(MATCH(F963, 'Default Prob'!$B$3:$B$13, 1), 1))</f>
        <v>1.8499999999999999E-2</v>
      </c>
      <c r="K963" s="26">
        <f t="shared" si="185"/>
        <v>0.93524193994443916</v>
      </c>
      <c r="L963" s="27">
        <f t="shared" ca="1" si="186"/>
        <v>0</v>
      </c>
      <c r="M963" s="27">
        <f t="shared" ca="1" si="187"/>
        <v>2817.1756558114857</v>
      </c>
      <c r="N963" s="28">
        <f t="shared" ca="1" si="188"/>
        <v>0.15360820313910509</v>
      </c>
      <c r="O963" s="29">
        <f t="shared" ca="1" si="189"/>
        <v>600000</v>
      </c>
      <c r="P963" s="30">
        <f t="shared" ca="1" si="190"/>
        <v>32.715362172514226</v>
      </c>
    </row>
    <row r="964" spans="1:16" x14ac:dyDescent="0.25">
      <c r="A964" s="3">
        <f t="shared" si="191"/>
        <v>47462</v>
      </c>
      <c r="B964" s="21">
        <f t="shared" si="182"/>
        <v>36870</v>
      </c>
      <c r="C964" s="21">
        <f t="shared" si="183"/>
        <v>36880</v>
      </c>
      <c r="D964" s="1">
        <f t="shared" si="192"/>
        <v>0</v>
      </c>
      <c r="E964" s="3">
        <f t="array" ref="E964">INDEX($A$9:A963, MAX(IF($D$9:D963=1, ROW(D$9:$D963)-ROW($D$9)+1, 0)))</f>
        <v>47381</v>
      </c>
      <c r="F964" s="23">
        <f t="shared" si="184"/>
        <v>3.6605065023956196</v>
      </c>
      <c r="G964" s="5">
        <f>INDEX('Default Prob'!$P$5:$P$14,MIN(1+_xlfn.IFNA(MATCH(F964,'Default Prob'!$F$5:$F$14,1),0),COUNT('Default Prob'!$P$5:$P$14)))</f>
        <v>2.3050976347889798E-2</v>
      </c>
      <c r="H964" s="5">
        <f t="shared" si="193"/>
        <v>0.92359479790375176</v>
      </c>
      <c r="I964" s="24">
        <f t="shared" si="194"/>
        <v>1.7488112828167868E-4</v>
      </c>
      <c r="J964" s="25">
        <f>INDEX('Default Prob'!$C$3:$C$13, _xlfn.IFNA(MATCH(F964, 'Default Prob'!$B$3:$B$13, 1), 1))</f>
        <v>1.8499999999999999E-2</v>
      </c>
      <c r="K964" s="26">
        <f t="shared" si="185"/>
        <v>0.93510113839253017</v>
      </c>
      <c r="L964" s="27">
        <f t="shared" ca="1" si="186"/>
        <v>0</v>
      </c>
      <c r="M964" s="27">
        <f t="shared" ca="1" si="187"/>
        <v>2925.5285656503888</v>
      </c>
      <c r="N964" s="28">
        <f t="shared" ca="1" si="188"/>
        <v>0.47841619791416601</v>
      </c>
      <c r="O964" s="29">
        <f t="shared" ca="1" si="189"/>
        <v>600000</v>
      </c>
      <c r="P964" s="30">
        <f t="shared" ca="1" si="190"/>
        <v>98.118925283740694</v>
      </c>
    </row>
    <row r="965" spans="1:16" x14ac:dyDescent="0.25">
      <c r="A965" s="3">
        <f t="shared" si="191"/>
        <v>47463</v>
      </c>
      <c r="B965" s="21">
        <f t="shared" si="182"/>
        <v>36871</v>
      </c>
      <c r="C965" s="21">
        <f t="shared" si="183"/>
        <v>36880</v>
      </c>
      <c r="D965" s="1">
        <f t="shared" si="192"/>
        <v>0</v>
      </c>
      <c r="E965" s="3">
        <f t="array" ref="E965">INDEX($A$9:A964, MAX(IF($D$9:D964=1, ROW(D$9:$D964)-ROW($D$9)+1, 0)))</f>
        <v>47381</v>
      </c>
      <c r="F965" s="23">
        <f t="shared" si="184"/>
        <v>3.6632443531827517</v>
      </c>
      <c r="G965" s="5">
        <f>INDEX('Default Prob'!$P$5:$P$14,MIN(1+_xlfn.IFNA(MATCH(F965,'Default Prob'!$F$5:$F$14,1),0),COUNT('Default Prob'!$P$5:$P$14)))</f>
        <v>2.3050976347889798E-2</v>
      </c>
      <c r="H965" s="5">
        <f t="shared" si="193"/>
        <v>0.92353651155178518</v>
      </c>
      <c r="I965" s="24">
        <f t="shared" si="194"/>
        <v>5.8286351966585492E-5</v>
      </c>
      <c r="J965" s="25">
        <f>INDEX('Default Prob'!$C$3:$C$13, _xlfn.IFNA(MATCH(F965, 'Default Prob'!$B$3:$B$13, 1), 1))</f>
        <v>1.8499999999999999E-2</v>
      </c>
      <c r="K965" s="26">
        <f t="shared" si="185"/>
        <v>0.93505420925267513</v>
      </c>
      <c r="L965" s="27">
        <f t="shared" ca="1" si="186"/>
        <v>0</v>
      </c>
      <c r="M965" s="27">
        <f t="shared" ca="1" si="187"/>
        <v>2961.6462022633568</v>
      </c>
      <c r="N965" s="28">
        <f t="shared" ca="1" si="188"/>
        <v>0.16141237979795706</v>
      </c>
      <c r="O965" s="29">
        <f t="shared" ca="1" si="189"/>
        <v>600000</v>
      </c>
      <c r="P965" s="30">
        <f t="shared" ca="1" si="190"/>
        <v>32.700539249003221</v>
      </c>
    </row>
    <row r="966" spans="1:16" x14ac:dyDescent="0.25">
      <c r="A966" s="3">
        <f t="shared" si="191"/>
        <v>47464</v>
      </c>
      <c r="B966" s="21">
        <f t="shared" si="182"/>
        <v>36872</v>
      </c>
      <c r="C966" s="21">
        <f t="shared" si="183"/>
        <v>36880</v>
      </c>
      <c r="D966" s="1">
        <f t="shared" si="192"/>
        <v>0</v>
      </c>
      <c r="E966" s="3">
        <f t="array" ref="E966">INDEX($A$9:A965, MAX(IF($D$9:D965=1, ROW(D$9:$D965)-ROW($D$9)+1, 0)))</f>
        <v>47381</v>
      </c>
      <c r="F966" s="23">
        <f t="shared" si="184"/>
        <v>3.6659822039698837</v>
      </c>
      <c r="G966" s="5">
        <f>INDEX('Default Prob'!$P$5:$P$14,MIN(1+_xlfn.IFNA(MATCH(F966,'Default Prob'!$F$5:$F$14,1),0),COUNT('Default Prob'!$P$5:$P$14)))</f>
        <v>2.3050976347889798E-2</v>
      </c>
      <c r="H966" s="5">
        <f t="shared" si="193"/>
        <v>0.923478228878162</v>
      </c>
      <c r="I966" s="24">
        <f t="shared" si="194"/>
        <v>5.828267362317785E-5</v>
      </c>
      <c r="J966" s="25">
        <f>INDEX('Default Prob'!$C$3:$C$13, _xlfn.IFNA(MATCH(F966, 'Default Prob'!$B$3:$B$13, 1), 1))</f>
        <v>1.8499999999999999E-2</v>
      </c>
      <c r="K966" s="26">
        <f t="shared" si="185"/>
        <v>0.93500728246801357</v>
      </c>
      <c r="L966" s="27">
        <f t="shared" ca="1" si="186"/>
        <v>0</v>
      </c>
      <c r="M966" s="27">
        <f t="shared" ca="1" si="187"/>
        <v>2997.7638388763244</v>
      </c>
      <c r="N966" s="28">
        <f t="shared" ca="1" si="188"/>
        <v>0.16336231385425412</v>
      </c>
      <c r="O966" s="29">
        <f t="shared" ca="1" si="189"/>
        <v>600000</v>
      </c>
      <c r="P966" s="30">
        <f t="shared" ca="1" si="190"/>
        <v>32.696834567626617</v>
      </c>
    </row>
    <row r="967" spans="1:16" x14ac:dyDescent="0.25">
      <c r="A967" s="3">
        <f t="shared" si="191"/>
        <v>47465</v>
      </c>
      <c r="B967" s="21">
        <f t="shared" si="182"/>
        <v>36873</v>
      </c>
      <c r="C967" s="21">
        <f t="shared" si="183"/>
        <v>36880</v>
      </c>
      <c r="D967" s="1">
        <f t="shared" si="192"/>
        <v>0</v>
      </c>
      <c r="E967" s="3">
        <f t="array" ref="E967">INDEX($A$9:A966, MAX(IF($D$9:D966=1, ROW(D$9:$D966)-ROW($D$9)+1, 0)))</f>
        <v>47381</v>
      </c>
      <c r="F967" s="23">
        <f t="shared" si="184"/>
        <v>3.6687200547570158</v>
      </c>
      <c r="G967" s="5">
        <f>INDEX('Default Prob'!$P$5:$P$14,MIN(1+_xlfn.IFNA(MATCH(F967,'Default Prob'!$F$5:$F$14,1),0),COUNT('Default Prob'!$P$5:$P$14)))</f>
        <v>2.3050976347889798E-2</v>
      </c>
      <c r="H967" s="5">
        <f t="shared" si="193"/>
        <v>0.92341994988265008</v>
      </c>
      <c r="I967" s="24">
        <f t="shared" si="194"/>
        <v>5.8278995511917842E-5</v>
      </c>
      <c r="J967" s="25">
        <f>INDEX('Default Prob'!$C$3:$C$13, _xlfn.IFNA(MATCH(F967, 'Default Prob'!$B$3:$B$13, 1), 1))</f>
        <v>1.8499999999999999E-2</v>
      </c>
      <c r="K967" s="26">
        <f t="shared" si="185"/>
        <v>0.93496035803842714</v>
      </c>
      <c r="L967" s="27">
        <f t="shared" ca="1" si="186"/>
        <v>0</v>
      </c>
      <c r="M967" s="27">
        <f t="shared" ca="1" si="187"/>
        <v>3033.8814754892928</v>
      </c>
      <c r="N967" s="28">
        <f t="shared" ca="1" si="188"/>
        <v>0.1653118040183775</v>
      </c>
      <c r="O967" s="29">
        <f t="shared" ca="1" si="189"/>
        <v>600000</v>
      </c>
      <c r="P967" s="30">
        <f t="shared" ca="1" si="190"/>
        <v>32.693130305965553</v>
      </c>
    </row>
    <row r="968" spans="1:16" x14ac:dyDescent="0.25">
      <c r="A968" s="3">
        <f t="shared" si="191"/>
        <v>47466</v>
      </c>
      <c r="B968" s="21">
        <f t="shared" si="182"/>
        <v>36874</v>
      </c>
      <c r="C968" s="21">
        <f t="shared" si="183"/>
        <v>36880</v>
      </c>
      <c r="D968" s="1">
        <f t="shared" si="192"/>
        <v>0</v>
      </c>
      <c r="E968" s="3">
        <f t="array" ref="E968">INDEX($A$9:A967, MAX(IF($D$9:D967=1, ROW(D$9:$D967)-ROW($D$9)+1, 0)))</f>
        <v>47381</v>
      </c>
      <c r="F968" s="23">
        <f t="shared" si="184"/>
        <v>3.6714579055441479</v>
      </c>
      <c r="G968" s="5">
        <f>INDEX('Default Prob'!$P$5:$P$14,MIN(1+_xlfn.IFNA(MATCH(F968,'Default Prob'!$F$5:$F$14,1),0),COUNT('Default Prob'!$P$5:$P$14)))</f>
        <v>2.3050976347889798E-2</v>
      </c>
      <c r="H968" s="5">
        <f t="shared" si="193"/>
        <v>0.92336167456501728</v>
      </c>
      <c r="I968" s="24">
        <f t="shared" si="194"/>
        <v>5.8275317632805468E-5</v>
      </c>
      <c r="J968" s="25">
        <f>INDEX('Default Prob'!$C$3:$C$13, _xlfn.IFNA(MATCH(F968, 'Default Prob'!$B$3:$B$13, 1), 1))</f>
        <v>1.8499999999999999E-2</v>
      </c>
      <c r="K968" s="26">
        <f t="shared" si="185"/>
        <v>0.93491343596379817</v>
      </c>
      <c r="L968" s="27">
        <f t="shared" ca="1" si="186"/>
        <v>0</v>
      </c>
      <c r="M968" s="27">
        <f t="shared" ca="1" si="187"/>
        <v>3069.9991121022604</v>
      </c>
      <c r="N968" s="28">
        <f t="shared" ca="1" si="188"/>
        <v>0.16726085036592159</v>
      </c>
      <c r="O968" s="29">
        <f t="shared" ca="1" si="189"/>
        <v>600000</v>
      </c>
      <c r="P968" s="30">
        <f t="shared" ca="1" si="190"/>
        <v>32.689426463980723</v>
      </c>
    </row>
    <row r="969" spans="1:16" x14ac:dyDescent="0.25">
      <c r="A969" s="3">
        <f t="shared" si="191"/>
        <v>47469</v>
      </c>
      <c r="B969" s="21">
        <f t="shared" ref="B969:B1032" si="195">DATE(2000, MONTH(A969), DAY(A969))</f>
        <v>36877</v>
      </c>
      <c r="C969" s="21">
        <f t="shared" ref="C969:C1032" si="196">VLOOKUP(B969, $R$9:$S$13, 2)</f>
        <v>36880</v>
      </c>
      <c r="D969" s="1">
        <f t="shared" si="192"/>
        <v>0</v>
      </c>
      <c r="E969" s="3">
        <f t="array" ref="E969">INDEX($A$9:A968, MAX(IF($D$9:D968=1, ROW(D$9:$D968)-ROW($D$9)+1, 0)))</f>
        <v>47381</v>
      </c>
      <c r="F969" s="23">
        <f t="shared" ref="F969:F1032" si="197">(A969-$A$2)/365.25</f>
        <v>3.6796714579055441</v>
      </c>
      <c r="G969" s="5">
        <f>INDEX('Default Prob'!$P$5:$P$14,MIN(1+_xlfn.IFNA(MATCH(F969,'Default Prob'!$F$5:$F$14,1),0),COUNT('Default Prob'!$P$5:$P$14)))</f>
        <v>2.3050976347889798E-2</v>
      </c>
      <c r="H969" s="5">
        <f t="shared" si="193"/>
        <v>0.92318687067707284</v>
      </c>
      <c r="I969" s="24">
        <f t="shared" si="194"/>
        <v>1.7480388794444135E-4</v>
      </c>
      <c r="J969" s="25">
        <f>INDEX('Default Prob'!$C$3:$C$13, _xlfn.IFNA(MATCH(F969, 'Default Prob'!$B$3:$B$13, 1), 1))</f>
        <v>1.8499999999999999E-2</v>
      </c>
      <c r="K969" s="26">
        <f t="shared" ref="K969:K1032" si="198">1/((1+J969)^F969)</f>
        <v>0.93477268386847201</v>
      </c>
      <c r="L969" s="27">
        <f t="shared" ref="L969:L1032" ca="1" si="199">IF(AND(D969, A969 &lt;= $G$2), $D$5*$D$2*(A969-E969)/365.25, 0)</f>
        <v>0</v>
      </c>
      <c r="M969" s="27">
        <f t="shared" ref="M969:M1032" ca="1" si="200">IF(A969&lt;=$G$2, $D$5*$D$2*(A969-E969)/365.25, 0)</f>
        <v>3178.3520219411635</v>
      </c>
      <c r="N969" s="28">
        <f t="shared" ref="N969:N1032" ca="1" si="201">(L969*H969 + M969*I969) * K969</f>
        <v>0.51934875761548904</v>
      </c>
      <c r="O969" s="29">
        <f t="shared" ref="O969:O1032" ca="1" si="202">IF(A969&lt;=$G$2, $D$2*(1-$D$3), 0)</f>
        <v>600000</v>
      </c>
      <c r="P969" s="30">
        <f t="shared" ref="P969:P1032" ca="1" si="203">O969*I969*K969</f>
        <v>98.041139690681447</v>
      </c>
    </row>
    <row r="970" spans="1:16" x14ac:dyDescent="0.25">
      <c r="A970" s="3">
        <f t="shared" ref="A970:A1033" si="204">WORKDAY(A969, 1)</f>
        <v>47470</v>
      </c>
      <c r="B970" s="21">
        <f t="shared" si="195"/>
        <v>36878</v>
      </c>
      <c r="C970" s="21">
        <f t="shared" si="196"/>
        <v>36880</v>
      </c>
      <c r="D970" s="1">
        <f t="shared" ref="D970:D1033" si="205">IF(OR(C970=B970, AND(C970&lt;&gt;C969, C969&gt;B969)), 1, 0)</f>
        <v>0</v>
      </c>
      <c r="E970" s="3">
        <f t="array" ref="E970">INDEX($A$9:A969, MAX(IF($D$9:D969=1, ROW(D$9:$D969)-ROW($D$9)+1, 0)))</f>
        <v>47381</v>
      </c>
      <c r="F970" s="23">
        <f t="shared" si="197"/>
        <v>3.6824093086926761</v>
      </c>
      <c r="G970" s="5">
        <f>INDEX('Default Prob'!$P$5:$P$14,MIN(1+_xlfn.IFNA(MATCH(F970,'Default Prob'!$F$5:$F$14,1),0),COUNT('Default Prob'!$P$5:$P$14)))</f>
        <v>2.3050976347889798E-2</v>
      </c>
      <c r="H970" s="5">
        <f t="shared" ref="H970:H1033" si="206">H969*EXP(-G969*(F970-F969))</f>
        <v>0.92312861006863567</v>
      </c>
      <c r="I970" s="24">
        <f t="shared" ref="I970:I1033" si="207">H969-H970</f>
        <v>5.8260608437166184E-5</v>
      </c>
      <c r="J970" s="25">
        <f>INDEX('Default Prob'!$C$3:$C$13, _xlfn.IFNA(MATCH(F970, 'Default Prob'!$B$3:$B$13, 1), 1))</f>
        <v>1.8499999999999999E-2</v>
      </c>
      <c r="K970" s="26">
        <f t="shared" si="198"/>
        <v>0.93472577121248968</v>
      </c>
      <c r="L970" s="27">
        <f t="shared" ca="1" si="199"/>
        <v>0</v>
      </c>
      <c r="M970" s="27">
        <f t="shared" ca="1" si="200"/>
        <v>3214.4696585541315</v>
      </c>
      <c r="N970" s="28">
        <f t="shared" ca="1" si="201"/>
        <v>0.17505259909986107</v>
      </c>
      <c r="O970" s="29">
        <f t="shared" ca="1" si="202"/>
        <v>600000</v>
      </c>
      <c r="P970" s="30">
        <f t="shared" ca="1" si="203"/>
        <v>32.674615291643427</v>
      </c>
    </row>
    <row r="971" spans="1:16" x14ac:dyDescent="0.25">
      <c r="A971" s="3">
        <f t="shared" si="204"/>
        <v>47471</v>
      </c>
      <c r="B971" s="21">
        <f t="shared" si="195"/>
        <v>36879</v>
      </c>
      <c r="C971" s="21">
        <f t="shared" si="196"/>
        <v>36880</v>
      </c>
      <c r="D971" s="1">
        <f t="shared" si="205"/>
        <v>0</v>
      </c>
      <c r="E971" s="3">
        <f t="array" ref="E971">INDEX($A$9:A970, MAX(IF($D$9:D970=1, ROW(D$9:$D970)-ROW($D$9)+1, 0)))</f>
        <v>47381</v>
      </c>
      <c r="F971" s="23">
        <f t="shared" si="197"/>
        <v>3.6851471594798082</v>
      </c>
      <c r="G971" s="5">
        <f>INDEX('Default Prob'!$P$5:$P$14,MIN(1+_xlfn.IFNA(MATCH(F971,'Default Prob'!$F$5:$F$14,1),0),COUNT('Default Prob'!$P$5:$P$14)))</f>
        <v>2.3050976347889798E-2</v>
      </c>
      <c r="H971" s="5">
        <f t="shared" si="206"/>
        <v>0.92307035313691732</v>
      </c>
      <c r="I971" s="24">
        <f t="shared" si="207"/>
        <v>5.8256931718347893E-5</v>
      </c>
      <c r="J971" s="25">
        <f>INDEX('Default Prob'!$C$3:$C$13, _xlfn.IFNA(MATCH(F971, 'Default Prob'!$B$3:$B$13, 1), 1))</f>
        <v>1.8499999999999999E-2</v>
      </c>
      <c r="K971" s="26">
        <f t="shared" si="198"/>
        <v>0.9346788609108736</v>
      </c>
      <c r="L971" s="27">
        <f t="shared" ca="1" si="199"/>
        <v>0</v>
      </c>
      <c r="M971" s="27">
        <f t="shared" ca="1" si="200"/>
        <v>3250.587295167099</v>
      </c>
      <c r="N971" s="28">
        <f t="shared" ca="1" si="201"/>
        <v>0.17699942749672246</v>
      </c>
      <c r="O971" s="29">
        <f t="shared" ca="1" si="202"/>
        <v>600000</v>
      </c>
      <c r="P971" s="30">
        <f t="shared" ca="1" si="203"/>
        <v>32.670913547200769</v>
      </c>
    </row>
    <row r="972" spans="1:16" x14ac:dyDescent="0.25">
      <c r="A972" s="3">
        <f t="shared" si="204"/>
        <v>47472</v>
      </c>
      <c r="B972" s="21">
        <f t="shared" si="195"/>
        <v>36880</v>
      </c>
      <c r="C972" s="21">
        <f t="shared" si="196"/>
        <v>36880</v>
      </c>
      <c r="D972" s="1">
        <f t="shared" si="205"/>
        <v>1</v>
      </c>
      <c r="E972" s="3">
        <f t="array" ref="E972">INDEX($A$9:A971, MAX(IF($D$9:D971=1, ROW(D$9:$D971)-ROW($D$9)+1, 0)))</f>
        <v>47381</v>
      </c>
      <c r="F972" s="23">
        <f t="shared" si="197"/>
        <v>3.6878850102669403</v>
      </c>
      <c r="G972" s="5">
        <f>INDEX('Default Prob'!$P$5:$P$14,MIN(1+_xlfn.IFNA(MATCH(F972,'Default Prob'!$F$5:$F$14,1),0),COUNT('Default Prob'!$P$5:$P$14)))</f>
        <v>2.3050976347889798E-2</v>
      </c>
      <c r="H972" s="5">
        <f t="shared" si="206"/>
        <v>0.92301209988168575</v>
      </c>
      <c r="I972" s="24">
        <f t="shared" si="207"/>
        <v>5.8253255231566214E-5</v>
      </c>
      <c r="J972" s="25">
        <f>INDEX('Default Prob'!$C$3:$C$13, _xlfn.IFNA(MATCH(F972, 'Default Prob'!$B$3:$B$13, 1), 1))</f>
        <v>1.8499999999999999E-2</v>
      </c>
      <c r="K972" s="26">
        <f t="shared" si="198"/>
        <v>0.93463195296350565</v>
      </c>
      <c r="L972" s="27">
        <f t="shared" ca="1" si="199"/>
        <v>3286.7049317800665</v>
      </c>
      <c r="M972" s="27">
        <f t="shared" ca="1" si="200"/>
        <v>3286.7049317800665</v>
      </c>
      <c r="N972" s="28">
        <f t="shared" ca="1" si="201"/>
        <v>2835.5423865640719</v>
      </c>
      <c r="O972" s="29">
        <f t="shared" ca="1" si="202"/>
        <v>600000</v>
      </c>
      <c r="P972" s="30">
        <f t="shared" ca="1" si="203"/>
        <v>32.667212222136172</v>
      </c>
    </row>
    <row r="973" spans="1:16" x14ac:dyDescent="0.25">
      <c r="A973" s="3">
        <f t="shared" si="204"/>
        <v>47473</v>
      </c>
      <c r="B973" s="21">
        <f t="shared" si="195"/>
        <v>36881</v>
      </c>
      <c r="C973" s="21">
        <f t="shared" si="196"/>
        <v>36605</v>
      </c>
      <c r="D973" s="1">
        <f t="shared" si="205"/>
        <v>0</v>
      </c>
      <c r="E973" s="3">
        <f t="array" ref="E973">INDEX($A$9:A972, MAX(IF($D$9:D972=1, ROW(D$9:$D972)-ROW($D$9)+1, 0)))</f>
        <v>47472</v>
      </c>
      <c r="F973" s="23">
        <f t="shared" si="197"/>
        <v>3.6906228610540723</v>
      </c>
      <c r="G973" s="5">
        <f>INDEX('Default Prob'!$P$5:$P$14,MIN(1+_xlfn.IFNA(MATCH(F973,'Default Prob'!$F$5:$F$14,1),0),COUNT('Default Prob'!$P$5:$P$14)))</f>
        <v>2.3050976347889798E-2</v>
      </c>
      <c r="H973" s="5">
        <f t="shared" si="206"/>
        <v>0.92295385030270882</v>
      </c>
      <c r="I973" s="24">
        <f t="shared" si="207"/>
        <v>5.824957897693217E-5</v>
      </c>
      <c r="J973" s="25">
        <f>INDEX('Default Prob'!$C$3:$C$13, _xlfn.IFNA(MATCH(F973, 'Default Prob'!$B$3:$B$13, 1), 1))</f>
        <v>1.8499999999999999E-2</v>
      </c>
      <c r="K973" s="26">
        <f t="shared" si="198"/>
        <v>0.93458504737026782</v>
      </c>
      <c r="L973" s="27">
        <f t="shared" ca="1" si="199"/>
        <v>0</v>
      </c>
      <c r="M973" s="27">
        <f t="shared" ca="1" si="200"/>
        <v>36.117636612967765</v>
      </c>
      <c r="N973" s="28">
        <f t="shared" ca="1" si="201"/>
        <v>1.9662147203865286E-3</v>
      </c>
      <c r="O973" s="29">
        <f t="shared" ca="1" si="202"/>
        <v>600000</v>
      </c>
      <c r="P973" s="30">
        <f t="shared" ca="1" si="203"/>
        <v>32.663511316472587</v>
      </c>
    </row>
    <row r="974" spans="1:16" x14ac:dyDescent="0.25">
      <c r="A974" s="3">
        <f t="shared" si="204"/>
        <v>47476</v>
      </c>
      <c r="B974" s="21">
        <f t="shared" si="195"/>
        <v>36884</v>
      </c>
      <c r="C974" s="21">
        <f t="shared" si="196"/>
        <v>36605</v>
      </c>
      <c r="D974" s="1">
        <f t="shared" si="205"/>
        <v>0</v>
      </c>
      <c r="E974" s="3">
        <f t="array" ref="E974">INDEX($A$9:A973, MAX(IF($D$9:D973=1, ROW(D$9:$D973)-ROW($D$9)+1, 0)))</f>
        <v>47472</v>
      </c>
      <c r="F974" s="23">
        <f t="shared" si="197"/>
        <v>3.698836413415469</v>
      </c>
      <c r="G974" s="5">
        <f>INDEX('Default Prob'!$P$5:$P$14,MIN(1+_xlfn.IFNA(MATCH(F974,'Default Prob'!$F$5:$F$14,1),0),COUNT('Default Prob'!$P$5:$P$14)))</f>
        <v>2.3050976347889798E-2</v>
      </c>
      <c r="H974" s="5">
        <f t="shared" si="206"/>
        <v>0.92277912362098669</v>
      </c>
      <c r="I974" s="24">
        <f t="shared" si="207"/>
        <v>1.7472668172213712E-4</v>
      </c>
      <c r="J974" s="25">
        <f>INDEX('Default Prob'!$C$3:$C$13, _xlfn.IFNA(MATCH(F974, 'Default Prob'!$B$3:$B$13, 1), 1))</f>
        <v>1.8499999999999999E-2</v>
      </c>
      <c r="K974" s="26">
        <f t="shared" si="198"/>
        <v>0.93444434471415272</v>
      </c>
      <c r="L974" s="27">
        <f t="shared" ca="1" si="199"/>
        <v>0</v>
      </c>
      <c r="M974" s="27">
        <f t="shared" ca="1" si="200"/>
        <v>144.47054645187106</v>
      </c>
      <c r="N974" s="28">
        <f t="shared" ca="1" si="201"/>
        <v>2.3588047012753768E-2</v>
      </c>
      <c r="O974" s="29">
        <f t="shared" ca="1" si="202"/>
        <v>600000</v>
      </c>
      <c r="P974" s="30">
        <f t="shared" ca="1" si="203"/>
        <v>97.963415763552447</v>
      </c>
    </row>
    <row r="975" spans="1:16" x14ac:dyDescent="0.25">
      <c r="A975" s="3">
        <f t="shared" si="204"/>
        <v>47477</v>
      </c>
      <c r="B975" s="21">
        <f t="shared" si="195"/>
        <v>36885</v>
      </c>
      <c r="C975" s="21">
        <f t="shared" si="196"/>
        <v>36605</v>
      </c>
      <c r="D975" s="1">
        <f t="shared" si="205"/>
        <v>0</v>
      </c>
      <c r="E975" s="3">
        <f t="array" ref="E975">INDEX($A$9:A974, MAX(IF($D$9:D974=1, ROW(D$9:$D974)-ROW($D$9)+1, 0)))</f>
        <v>47472</v>
      </c>
      <c r="F975" s="23">
        <f t="shared" si="197"/>
        <v>3.7015742642026011</v>
      </c>
      <c r="G975" s="5">
        <f>INDEX('Default Prob'!$P$5:$P$14,MIN(1+_xlfn.IFNA(MATCH(F975,'Default Prob'!$F$5:$F$14,1),0),COUNT('Default Prob'!$P$5:$P$14)))</f>
        <v>2.3050976347889798E-2</v>
      </c>
      <c r="H975" s="5">
        <f t="shared" si="206"/>
        <v>0.92272088874470881</v>
      </c>
      <c r="I975" s="24">
        <f t="shared" si="207"/>
        <v>5.8234876277873937E-5</v>
      </c>
      <c r="J975" s="25">
        <f>INDEX('Default Prob'!$C$3:$C$13, _xlfn.IFNA(MATCH(F975, 'Default Prob'!$B$3:$B$13, 1), 1))</f>
        <v>1.8499999999999999E-2</v>
      </c>
      <c r="K975" s="26">
        <f t="shared" si="198"/>
        <v>0.93439744853625328</v>
      </c>
      <c r="L975" s="27">
        <f t="shared" ca="1" si="199"/>
        <v>0</v>
      </c>
      <c r="M975" s="27">
        <f t="shared" ca="1" si="200"/>
        <v>180.58818306483883</v>
      </c>
      <c r="N975" s="28">
        <f t="shared" ca="1" si="201"/>
        <v>9.8266192648100645E-3</v>
      </c>
      <c r="O975" s="29">
        <f t="shared" ca="1" si="202"/>
        <v>600000</v>
      </c>
      <c r="P975" s="30">
        <f t="shared" ca="1" si="203"/>
        <v>32.648711885921877</v>
      </c>
    </row>
    <row r="976" spans="1:16" x14ac:dyDescent="0.25">
      <c r="A976" s="3">
        <f t="shared" si="204"/>
        <v>47478</v>
      </c>
      <c r="B976" s="21">
        <f t="shared" si="195"/>
        <v>36886</v>
      </c>
      <c r="C976" s="21">
        <f t="shared" si="196"/>
        <v>36605</v>
      </c>
      <c r="D976" s="1">
        <f t="shared" si="205"/>
        <v>0</v>
      </c>
      <c r="E976" s="3">
        <f t="array" ref="E976">INDEX($A$9:A975, MAX(IF($D$9:D975=1, ROW(D$9:$D975)-ROW($D$9)+1, 0)))</f>
        <v>47472</v>
      </c>
      <c r="F976" s="23">
        <f t="shared" si="197"/>
        <v>3.7043121149897331</v>
      </c>
      <c r="G976" s="5">
        <f>INDEX('Default Prob'!$P$5:$P$14,MIN(1+_xlfn.IFNA(MATCH(F976,'Default Prob'!$F$5:$F$14,1),0),COUNT('Default Prob'!$P$5:$P$14)))</f>
        <v>2.3050976347889798E-2</v>
      </c>
      <c r="H976" s="5">
        <f t="shared" si="206"/>
        <v>0.92266265754352583</v>
      </c>
      <c r="I976" s="24">
        <f t="shared" si="207"/>
        <v>5.8231201182978864E-5</v>
      </c>
      <c r="J976" s="25">
        <f>INDEX('Default Prob'!$C$3:$C$13, _xlfn.IFNA(MATCH(F976, 'Default Prob'!$B$3:$B$13, 1), 1))</f>
        <v>1.8499999999999999E-2</v>
      </c>
      <c r="K976" s="26">
        <f t="shared" si="198"/>
        <v>0.93435055471189321</v>
      </c>
      <c r="L976" s="27">
        <f t="shared" ca="1" si="199"/>
        <v>0</v>
      </c>
      <c r="M976" s="27">
        <f t="shared" ca="1" si="200"/>
        <v>216.70581967780663</v>
      </c>
      <c r="N976" s="28">
        <f t="shared" ca="1" si="201"/>
        <v>1.1790607195086556E-2</v>
      </c>
      <c r="O976" s="29">
        <f t="shared" ca="1" si="202"/>
        <v>600000</v>
      </c>
      <c r="P976" s="30">
        <f t="shared" ca="1" si="203"/>
        <v>32.645013076113692</v>
      </c>
    </row>
    <row r="977" spans="1:16" x14ac:dyDescent="0.25">
      <c r="A977" s="3">
        <f t="shared" si="204"/>
        <v>47479</v>
      </c>
      <c r="B977" s="21">
        <f t="shared" si="195"/>
        <v>36887</v>
      </c>
      <c r="C977" s="21">
        <f t="shared" si="196"/>
        <v>36605</v>
      </c>
      <c r="D977" s="1">
        <f t="shared" si="205"/>
        <v>0</v>
      </c>
      <c r="E977" s="3">
        <f t="array" ref="E977">INDEX($A$9:A976, MAX(IF($D$9:D976=1, ROW(D$9:$D976)-ROW($D$9)+1, 0)))</f>
        <v>47472</v>
      </c>
      <c r="F977" s="23">
        <f t="shared" si="197"/>
        <v>3.7070499657768652</v>
      </c>
      <c r="G977" s="5">
        <f>INDEX('Default Prob'!$P$5:$P$14,MIN(1+_xlfn.IFNA(MATCH(F977,'Default Prob'!$F$5:$F$14,1),0),COUNT('Default Prob'!$P$5:$P$14)))</f>
        <v>2.3050976347889798E-2</v>
      </c>
      <c r="H977" s="5">
        <f t="shared" si="206"/>
        <v>0.92260443001720571</v>
      </c>
      <c r="I977" s="24">
        <f t="shared" si="207"/>
        <v>5.8227526320120404E-5</v>
      </c>
      <c r="J977" s="25">
        <f>INDEX('Default Prob'!$C$3:$C$13, _xlfn.IFNA(MATCH(F977, 'Default Prob'!$B$3:$B$13, 1), 1))</f>
        <v>1.8499999999999999E-2</v>
      </c>
      <c r="K977" s="26">
        <f t="shared" si="198"/>
        <v>0.93430366324095449</v>
      </c>
      <c r="L977" s="27">
        <f t="shared" ca="1" si="199"/>
        <v>0</v>
      </c>
      <c r="M977" s="27">
        <f t="shared" ca="1" si="200"/>
        <v>252.82345629077437</v>
      </c>
      <c r="N977" s="28">
        <f t="shared" ca="1" si="201"/>
        <v>1.3754149994399669E-2</v>
      </c>
      <c r="O977" s="29">
        <f t="shared" ca="1" si="202"/>
        <v>600000</v>
      </c>
      <c r="P977" s="30">
        <f t="shared" ca="1" si="203"/>
        <v>32.641314685408553</v>
      </c>
    </row>
    <row r="978" spans="1:16" x14ac:dyDescent="0.25">
      <c r="A978" s="3">
        <f t="shared" si="204"/>
        <v>47480</v>
      </c>
      <c r="B978" s="21">
        <f t="shared" si="195"/>
        <v>36888</v>
      </c>
      <c r="C978" s="21">
        <f t="shared" si="196"/>
        <v>36605</v>
      </c>
      <c r="D978" s="1">
        <f t="shared" si="205"/>
        <v>0</v>
      </c>
      <c r="E978" s="3">
        <f t="array" ref="E978">INDEX($A$9:A977, MAX(IF($D$9:D977=1, ROW(D$9:$D977)-ROW($D$9)+1, 0)))</f>
        <v>47472</v>
      </c>
      <c r="F978" s="23">
        <f t="shared" si="197"/>
        <v>3.7097878165639973</v>
      </c>
      <c r="G978" s="5">
        <f>INDEX('Default Prob'!$P$5:$P$14,MIN(1+_xlfn.IFNA(MATCH(F978,'Default Prob'!$F$5:$F$14,1),0),COUNT('Default Prob'!$P$5:$P$14)))</f>
        <v>2.3050976347889798E-2</v>
      </c>
      <c r="H978" s="5">
        <f t="shared" si="206"/>
        <v>0.92254620616551664</v>
      </c>
      <c r="I978" s="24">
        <f t="shared" si="207"/>
        <v>5.8223851689076511E-5</v>
      </c>
      <c r="J978" s="25">
        <f>INDEX('Default Prob'!$C$3:$C$13, _xlfn.IFNA(MATCH(F978, 'Default Prob'!$B$3:$B$13, 1), 1))</f>
        <v>1.8499999999999999E-2</v>
      </c>
      <c r="K978" s="26">
        <f t="shared" si="198"/>
        <v>0.93425677412331865</v>
      </c>
      <c r="L978" s="27">
        <f t="shared" ca="1" si="199"/>
        <v>0</v>
      </c>
      <c r="M978" s="27">
        <f t="shared" ca="1" si="200"/>
        <v>288.94109290374212</v>
      </c>
      <c r="N978" s="28">
        <f t="shared" ca="1" si="201"/>
        <v>1.5717247738355603E-2</v>
      </c>
      <c r="O978" s="29">
        <f t="shared" ca="1" si="202"/>
        <v>600000</v>
      </c>
      <c r="P978" s="30">
        <f t="shared" ca="1" si="203"/>
        <v>32.637616713642693</v>
      </c>
    </row>
    <row r="979" spans="1:16" x14ac:dyDescent="0.25">
      <c r="A979" s="3">
        <f t="shared" si="204"/>
        <v>47483</v>
      </c>
      <c r="B979" s="21">
        <f t="shared" si="195"/>
        <v>36891</v>
      </c>
      <c r="C979" s="21">
        <f t="shared" si="196"/>
        <v>36605</v>
      </c>
      <c r="D979" s="1">
        <f t="shared" si="205"/>
        <v>0</v>
      </c>
      <c r="E979" s="3">
        <f t="array" ref="E979">INDEX($A$9:A978, MAX(IF($D$9:D978=1, ROW(D$9:$D978)-ROW($D$9)+1, 0)))</f>
        <v>47472</v>
      </c>
      <c r="F979" s="23">
        <f t="shared" si="197"/>
        <v>3.7180013689253935</v>
      </c>
      <c r="G979" s="5">
        <f>INDEX('Default Prob'!$P$5:$P$14,MIN(1+_xlfn.IFNA(MATCH(F979,'Default Prob'!$F$5:$F$14,1),0),COUNT('Default Prob'!$P$5:$P$14)))</f>
        <v>2.3050976347889798E-2</v>
      </c>
      <c r="H979" s="5">
        <f t="shared" si="206"/>
        <v>0.92237155665591675</v>
      </c>
      <c r="I979" s="24">
        <f t="shared" si="207"/>
        <v>1.7464950959988901E-4</v>
      </c>
      <c r="J979" s="25">
        <f>INDEX('Default Prob'!$C$3:$C$13, _xlfn.IFNA(MATCH(F979, 'Default Prob'!$B$3:$B$13, 1), 1))</f>
        <v>1.8499999999999999E-2</v>
      </c>
      <c r="K979" s="26">
        <f t="shared" si="198"/>
        <v>0.93411612088904883</v>
      </c>
      <c r="L979" s="27">
        <f t="shared" ca="1" si="199"/>
        <v>0</v>
      </c>
      <c r="M979" s="27">
        <f t="shared" ca="1" si="200"/>
        <v>397.29400274264543</v>
      </c>
      <c r="N979" s="28">
        <f t="shared" ca="1" si="201"/>
        <v>6.4815704668416782E-2</v>
      </c>
      <c r="O979" s="29">
        <f t="shared" ca="1" si="202"/>
        <v>600000</v>
      </c>
      <c r="P979" s="30">
        <f t="shared" ca="1" si="203"/>
        <v>97.885753453573813</v>
      </c>
    </row>
    <row r="980" spans="1:16" x14ac:dyDescent="0.25">
      <c r="A980" s="3">
        <f t="shared" si="204"/>
        <v>47484</v>
      </c>
      <c r="B980" s="21">
        <f t="shared" si="195"/>
        <v>36526</v>
      </c>
      <c r="C980" s="21">
        <f t="shared" si="196"/>
        <v>36605</v>
      </c>
      <c r="D980" s="1">
        <f t="shared" si="205"/>
        <v>0</v>
      </c>
      <c r="E980" s="3">
        <f t="array" ref="E980">INDEX($A$9:A979, MAX(IF($D$9:D979=1, ROW(D$9:$D979)-ROW($D$9)+1, 0)))</f>
        <v>47472</v>
      </c>
      <c r="F980" s="23">
        <f t="shared" si="197"/>
        <v>3.7207392197125255</v>
      </c>
      <c r="G980" s="5">
        <f>INDEX('Default Prob'!$P$5:$P$14,MIN(1+_xlfn.IFNA(MATCH(F980,'Default Prob'!$F$5:$F$14,1),0),COUNT('Default Prob'!$P$5:$P$14)))</f>
        <v>2.3050976347889798E-2</v>
      </c>
      <c r="H980" s="5">
        <f t="shared" si="206"/>
        <v>0.92231334750043292</v>
      </c>
      <c r="I980" s="24">
        <f t="shared" si="207"/>
        <v>5.8209155483823771E-5</v>
      </c>
      <c r="J980" s="25">
        <f>INDEX('Default Prob'!$C$3:$C$13, _xlfn.IFNA(MATCH(F980, 'Default Prob'!$B$3:$B$13, 1), 1))</f>
        <v>1.8499999999999999E-2</v>
      </c>
      <c r="K980" s="26">
        <f t="shared" si="198"/>
        <v>0.93406924118344459</v>
      </c>
      <c r="L980" s="27">
        <f t="shared" ca="1" si="199"/>
        <v>0</v>
      </c>
      <c r="M980" s="27">
        <f t="shared" ca="1" si="200"/>
        <v>433.41163935561326</v>
      </c>
      <c r="N980" s="28">
        <f t="shared" ca="1" si="201"/>
        <v>2.3565189673464798E-2</v>
      </c>
      <c r="O980" s="29">
        <f t="shared" ca="1" si="202"/>
        <v>600000</v>
      </c>
      <c r="P980" s="30">
        <f t="shared" ca="1" si="203"/>
        <v>32.622829015622649</v>
      </c>
    </row>
    <row r="981" spans="1:16" x14ac:dyDescent="0.25">
      <c r="A981" s="3">
        <f t="shared" si="204"/>
        <v>47485</v>
      </c>
      <c r="B981" s="21">
        <f t="shared" si="195"/>
        <v>36527</v>
      </c>
      <c r="C981" s="21">
        <f t="shared" si="196"/>
        <v>36605</v>
      </c>
      <c r="D981" s="1">
        <f t="shared" si="205"/>
        <v>0</v>
      </c>
      <c r="E981" s="3">
        <f t="array" ref="E981">INDEX($A$9:A980, MAX(IF($D$9:D980=1, ROW(D$9:$D980)-ROW($D$9)+1, 0)))</f>
        <v>47472</v>
      </c>
      <c r="F981" s="23">
        <f t="shared" si="197"/>
        <v>3.7234770704996576</v>
      </c>
      <c r="G981" s="5">
        <f>INDEX('Default Prob'!$P$5:$P$14,MIN(1+_xlfn.IFNA(MATCH(F981,'Default Prob'!$F$5:$F$14,1),0),COUNT('Default Prob'!$P$5:$P$14)))</f>
        <v>2.3050976347889798E-2</v>
      </c>
      <c r="H981" s="5">
        <f t="shared" si="206"/>
        <v>0.92225514201842074</v>
      </c>
      <c r="I981" s="24">
        <f t="shared" si="207"/>
        <v>5.8205482012185783E-5</v>
      </c>
      <c r="J981" s="25">
        <f>INDEX('Default Prob'!$C$3:$C$13, _xlfn.IFNA(MATCH(F981, 'Default Prob'!$B$3:$B$13, 1), 1))</f>
        <v>1.8499999999999999E-2</v>
      </c>
      <c r="K981" s="26">
        <f t="shared" si="198"/>
        <v>0.9340223638305527</v>
      </c>
      <c r="L981" s="27">
        <f t="shared" ca="1" si="199"/>
        <v>0</v>
      </c>
      <c r="M981" s="27">
        <f t="shared" ca="1" si="200"/>
        <v>469.52927596858098</v>
      </c>
      <c r="N981" s="28">
        <f t="shared" ca="1" si="201"/>
        <v>2.5526063275131378E-2</v>
      </c>
      <c r="O981" s="29">
        <f t="shared" ca="1" si="202"/>
        <v>600000</v>
      </c>
      <c r="P981" s="30">
        <f t="shared" ca="1" si="203"/>
        <v>32.619133138151085</v>
      </c>
    </row>
    <row r="982" spans="1:16" x14ac:dyDescent="0.25">
      <c r="A982" s="3">
        <f t="shared" si="204"/>
        <v>47486</v>
      </c>
      <c r="B982" s="21">
        <f t="shared" si="195"/>
        <v>36528</v>
      </c>
      <c r="C982" s="21">
        <f t="shared" si="196"/>
        <v>36605</v>
      </c>
      <c r="D982" s="1">
        <f t="shared" si="205"/>
        <v>0</v>
      </c>
      <c r="E982" s="3">
        <f t="array" ref="E982">INDEX($A$9:A981, MAX(IF($D$9:D981=1, ROW(D$9:$D981)-ROW($D$9)+1, 0)))</f>
        <v>47472</v>
      </c>
      <c r="F982" s="23">
        <f t="shared" si="197"/>
        <v>3.7262149212867897</v>
      </c>
      <c r="G982" s="5">
        <f>INDEX('Default Prob'!$P$5:$P$14,MIN(1+_xlfn.IFNA(MATCH(F982,'Default Prob'!$F$5:$F$14,1),0),COUNT('Default Prob'!$P$5:$P$14)))</f>
        <v>2.3050976347889798E-2</v>
      </c>
      <c r="H982" s="5">
        <f t="shared" si="206"/>
        <v>0.92219694020964837</v>
      </c>
      <c r="I982" s="24">
        <f t="shared" si="207"/>
        <v>5.8201808772362362E-5</v>
      </c>
      <c r="J982" s="25">
        <f>INDEX('Default Prob'!$C$3:$C$13, _xlfn.IFNA(MATCH(F982, 'Default Prob'!$B$3:$B$13, 1), 1))</f>
        <v>1.8499999999999999E-2</v>
      </c>
      <c r="K982" s="26">
        <f t="shared" si="198"/>
        <v>0.9339754888302555</v>
      </c>
      <c r="L982" s="27">
        <f t="shared" ca="1" si="199"/>
        <v>0</v>
      </c>
      <c r="M982" s="27">
        <f t="shared" ca="1" si="200"/>
        <v>505.64691258154875</v>
      </c>
      <c r="N982" s="28">
        <f t="shared" ca="1" si="201"/>
        <v>2.7486492275126808E-2</v>
      </c>
      <c r="O982" s="29">
        <f t="shared" ca="1" si="202"/>
        <v>600000</v>
      </c>
      <c r="P982" s="30">
        <f t="shared" ca="1" si="203"/>
        <v>32.615437679383312</v>
      </c>
    </row>
    <row r="983" spans="1:16" x14ac:dyDescent="0.25">
      <c r="A983" s="3">
        <f t="shared" si="204"/>
        <v>47487</v>
      </c>
      <c r="B983" s="21">
        <f t="shared" si="195"/>
        <v>36529</v>
      </c>
      <c r="C983" s="21">
        <f t="shared" si="196"/>
        <v>36605</v>
      </c>
      <c r="D983" s="1">
        <f t="shared" si="205"/>
        <v>0</v>
      </c>
      <c r="E983" s="3">
        <f t="array" ref="E983">INDEX($A$9:A982, MAX(IF($D$9:D982=1, ROW(D$9:$D982)-ROW($D$9)+1, 0)))</f>
        <v>47472</v>
      </c>
      <c r="F983" s="23">
        <f t="shared" si="197"/>
        <v>3.7289527720739222</v>
      </c>
      <c r="G983" s="5">
        <f>INDEX('Default Prob'!$P$5:$P$14,MIN(1+_xlfn.IFNA(MATCH(F983,'Default Prob'!$F$5:$F$14,1),0),COUNT('Default Prob'!$P$5:$P$14)))</f>
        <v>2.3050976347889798E-2</v>
      </c>
      <c r="H983" s="5">
        <f t="shared" si="206"/>
        <v>0.92213874207388413</v>
      </c>
      <c r="I983" s="24">
        <f t="shared" si="207"/>
        <v>5.8198135764242487E-5</v>
      </c>
      <c r="J983" s="25">
        <f>INDEX('Default Prob'!$C$3:$C$13, _xlfn.IFNA(MATCH(F983, 'Default Prob'!$B$3:$B$13, 1), 1))</f>
        <v>1.8499999999999999E-2</v>
      </c>
      <c r="K983" s="26">
        <f t="shared" si="198"/>
        <v>0.93392861618243483</v>
      </c>
      <c r="L983" s="27">
        <f t="shared" ca="1" si="199"/>
        <v>0</v>
      </c>
      <c r="M983" s="27">
        <f t="shared" ca="1" si="200"/>
        <v>541.76454919451646</v>
      </c>
      <c r="N983" s="28">
        <f t="shared" ca="1" si="201"/>
        <v>2.9446476748972432E-2</v>
      </c>
      <c r="O983" s="29">
        <f t="shared" ca="1" si="202"/>
        <v>600000</v>
      </c>
      <c r="P983" s="30">
        <f t="shared" ca="1" si="203"/>
        <v>32.611742639217873</v>
      </c>
    </row>
    <row r="984" spans="1:16" x14ac:dyDescent="0.25">
      <c r="A984" s="3">
        <f t="shared" si="204"/>
        <v>47490</v>
      </c>
      <c r="B984" s="21">
        <f t="shared" si="195"/>
        <v>36532</v>
      </c>
      <c r="C984" s="21">
        <f t="shared" si="196"/>
        <v>36605</v>
      </c>
      <c r="D984" s="1">
        <f t="shared" si="205"/>
        <v>0</v>
      </c>
      <c r="E984" s="3">
        <f t="array" ref="E984">INDEX($A$9:A983, MAX(IF($D$9:D983=1, ROW(D$9:$D983)-ROW($D$9)+1, 0)))</f>
        <v>47472</v>
      </c>
      <c r="F984" s="23">
        <f t="shared" si="197"/>
        <v>3.7371663244353184</v>
      </c>
      <c r="G984" s="5">
        <f>INDEX('Default Prob'!$P$5:$P$14,MIN(1+_xlfn.IFNA(MATCH(F984,'Default Prob'!$F$5:$F$14,1),0),COUNT('Default Prob'!$P$5:$P$14)))</f>
        <v>2.3050976347889798E-2</v>
      </c>
      <c r="H984" s="5">
        <f t="shared" si="206"/>
        <v>0.92196416970232165</v>
      </c>
      <c r="I984" s="24">
        <f t="shared" si="207"/>
        <v>1.7457237156248695E-4</v>
      </c>
      <c r="J984" s="25">
        <f>INDEX('Default Prob'!$C$3:$C$13, _xlfn.IFNA(MATCH(F984, 'Default Prob'!$B$3:$B$13, 1), 1))</f>
        <v>1.8499999999999999E-2</v>
      </c>
      <c r="K984" s="26">
        <f t="shared" si="198"/>
        <v>0.9337880123526513</v>
      </c>
      <c r="L984" s="27">
        <f t="shared" ca="1" si="199"/>
        <v>0</v>
      </c>
      <c r="M984" s="27">
        <f t="shared" ca="1" si="200"/>
        <v>650.11745903341978</v>
      </c>
      <c r="N984" s="28">
        <f t="shared" ca="1" si="201"/>
        <v>0.10597797952292859</v>
      </c>
      <c r="O984" s="29">
        <f t="shared" ca="1" si="202"/>
        <v>600000</v>
      </c>
      <c r="P984" s="30">
        <f t="shared" ca="1" si="203"/>
        <v>97.808152711813918</v>
      </c>
    </row>
    <row r="985" spans="1:16" x14ac:dyDescent="0.25">
      <c r="A985" s="3">
        <f t="shared" si="204"/>
        <v>47491</v>
      </c>
      <c r="B985" s="21">
        <f t="shared" si="195"/>
        <v>36533</v>
      </c>
      <c r="C985" s="21">
        <f t="shared" si="196"/>
        <v>36605</v>
      </c>
      <c r="D985" s="1">
        <f t="shared" si="205"/>
        <v>0</v>
      </c>
      <c r="E985" s="3">
        <f t="array" ref="E985">INDEX($A$9:A984, MAX(IF($D$9:D984=1, ROW(D$9:$D984)-ROW($D$9)+1, 0)))</f>
        <v>47472</v>
      </c>
      <c r="F985" s="23">
        <f t="shared" si="197"/>
        <v>3.7399041752224504</v>
      </c>
      <c r="G985" s="5">
        <f>INDEX('Default Prob'!$P$5:$P$14,MIN(1+_xlfn.IFNA(MATCH(F985,'Default Prob'!$F$5:$F$14,1),0),COUNT('Default Prob'!$P$5:$P$14)))</f>
        <v>2.3050976347889798E-2</v>
      </c>
      <c r="H985" s="5">
        <f t="shared" si="206"/>
        <v>0.92190598625627163</v>
      </c>
      <c r="I985" s="24">
        <f t="shared" si="207"/>
        <v>5.8183446050019683E-5</v>
      </c>
      <c r="J985" s="25">
        <f>INDEX('Default Prob'!$C$3:$C$13, _xlfn.IFNA(MATCH(F985, 'Default Prob'!$B$3:$B$13, 1), 1))</f>
        <v>1.8499999999999999E-2</v>
      </c>
      <c r="K985" s="26">
        <f t="shared" si="198"/>
        <v>0.93374114911355588</v>
      </c>
      <c r="L985" s="27">
        <f t="shared" ca="1" si="199"/>
        <v>0</v>
      </c>
      <c r="M985" s="27">
        <f t="shared" ca="1" si="200"/>
        <v>686.23509564638755</v>
      </c>
      <c r="N985" s="28">
        <f t="shared" ca="1" si="201"/>
        <v>3.7281970894634961E-2</v>
      </c>
      <c r="O985" s="29">
        <f t="shared" ca="1" si="202"/>
        <v>600000</v>
      </c>
      <c r="P985" s="30">
        <f t="shared" ca="1" si="203"/>
        <v>32.596966664479176</v>
      </c>
    </row>
    <row r="986" spans="1:16" x14ac:dyDescent="0.25">
      <c r="A986" s="3">
        <f t="shared" si="204"/>
        <v>47492</v>
      </c>
      <c r="B986" s="21">
        <f t="shared" si="195"/>
        <v>36534</v>
      </c>
      <c r="C986" s="21">
        <f t="shared" si="196"/>
        <v>36605</v>
      </c>
      <c r="D986" s="1">
        <f t="shared" si="205"/>
        <v>0</v>
      </c>
      <c r="E986" s="3">
        <f t="array" ref="E986">INDEX($A$9:A985, MAX(IF($D$9:D985=1, ROW(D$9:$D985)-ROW($D$9)+1, 0)))</f>
        <v>47472</v>
      </c>
      <c r="F986" s="23">
        <f t="shared" si="197"/>
        <v>3.7426420260095825</v>
      </c>
      <c r="G986" s="5">
        <f>INDEX('Default Prob'!$P$5:$P$14,MIN(1+_xlfn.IFNA(MATCH(F986,'Default Prob'!$F$5:$F$14,1),0),COUNT('Default Prob'!$P$5:$P$14)))</f>
        <v>2.3050976347889798E-2</v>
      </c>
      <c r="H986" s="5">
        <f t="shared" si="206"/>
        <v>0.92184780648207088</v>
      </c>
      <c r="I986" s="24">
        <f t="shared" si="207"/>
        <v>5.81797742007506E-5</v>
      </c>
      <c r="J986" s="25">
        <f>INDEX('Default Prob'!$C$3:$C$13, _xlfn.IFNA(MATCH(F986, 'Default Prob'!$B$3:$B$13, 1), 1))</f>
        <v>1.8499999999999999E-2</v>
      </c>
      <c r="K986" s="26">
        <f t="shared" si="198"/>
        <v>0.93369428822634681</v>
      </c>
      <c r="L986" s="27">
        <f t="shared" ca="1" si="199"/>
        <v>0</v>
      </c>
      <c r="M986" s="27">
        <f t="shared" ca="1" si="200"/>
        <v>722.35273225935532</v>
      </c>
      <c r="N986" s="28">
        <f t="shared" ca="1" si="201"/>
        <v>3.9239733871161378E-2</v>
      </c>
      <c r="O986" s="29">
        <f t="shared" ca="1" si="202"/>
        <v>600000</v>
      </c>
      <c r="P986" s="30">
        <f t="shared" ca="1" si="203"/>
        <v>32.593273716923647</v>
      </c>
    </row>
    <row r="987" spans="1:16" x14ac:dyDescent="0.25">
      <c r="A987" s="3">
        <f t="shared" si="204"/>
        <v>47493</v>
      </c>
      <c r="B987" s="21">
        <f t="shared" si="195"/>
        <v>36535</v>
      </c>
      <c r="C987" s="21">
        <f t="shared" si="196"/>
        <v>36605</v>
      </c>
      <c r="D987" s="1">
        <f t="shared" si="205"/>
        <v>0</v>
      </c>
      <c r="E987" s="3">
        <f t="array" ref="E987">INDEX($A$9:A986, MAX(IF($D$9:D986=1, ROW(D$9:$D986)-ROW($D$9)+1, 0)))</f>
        <v>47472</v>
      </c>
      <c r="F987" s="23">
        <f t="shared" si="197"/>
        <v>3.7453798767967146</v>
      </c>
      <c r="G987" s="5">
        <f>INDEX('Default Prob'!$P$5:$P$14,MIN(1+_xlfn.IFNA(MATCH(F987,'Default Prob'!$F$5:$F$14,1),0),COUNT('Default Prob'!$P$5:$P$14)))</f>
        <v>2.3050976347889798E-2</v>
      </c>
      <c r="H987" s="5">
        <f t="shared" si="206"/>
        <v>0.92178963037948758</v>
      </c>
      <c r="I987" s="24">
        <f t="shared" si="207"/>
        <v>5.8176102583296085E-5</v>
      </c>
      <c r="J987" s="25">
        <f>INDEX('Default Prob'!$C$3:$C$13, _xlfn.IFNA(MATCH(F987, 'Default Prob'!$B$3:$B$13, 1), 1))</f>
        <v>1.8499999999999999E-2</v>
      </c>
      <c r="K987" s="26">
        <f t="shared" si="198"/>
        <v>0.93364742969090597</v>
      </c>
      <c r="L987" s="27">
        <f t="shared" ca="1" si="199"/>
        <v>0</v>
      </c>
      <c r="M987" s="27">
        <f t="shared" ca="1" si="200"/>
        <v>758.47036887232321</v>
      </c>
      <c r="N987" s="28">
        <f t="shared" ca="1" si="201"/>
        <v>4.1197052774838594E-2</v>
      </c>
      <c r="O987" s="29">
        <f t="shared" ca="1" si="202"/>
        <v>600000</v>
      </c>
      <c r="P987" s="30">
        <f t="shared" ca="1" si="203"/>
        <v>32.589581187797322</v>
      </c>
    </row>
    <row r="988" spans="1:16" x14ac:dyDescent="0.25">
      <c r="A988" s="3">
        <f t="shared" si="204"/>
        <v>47494</v>
      </c>
      <c r="B988" s="21">
        <f t="shared" si="195"/>
        <v>36536</v>
      </c>
      <c r="C988" s="21">
        <f t="shared" si="196"/>
        <v>36605</v>
      </c>
      <c r="D988" s="1">
        <f t="shared" si="205"/>
        <v>0</v>
      </c>
      <c r="E988" s="3">
        <f t="array" ref="E988">INDEX($A$9:A987, MAX(IF($D$9:D987=1, ROW(D$9:$D987)-ROW($D$9)+1, 0)))</f>
        <v>47472</v>
      </c>
      <c r="F988" s="23">
        <f t="shared" si="197"/>
        <v>3.7481177275838466</v>
      </c>
      <c r="G988" s="5">
        <f>INDEX('Default Prob'!$P$5:$P$14,MIN(1+_xlfn.IFNA(MATCH(F988,'Default Prob'!$F$5:$F$14,1),0),COUNT('Default Prob'!$P$5:$P$14)))</f>
        <v>2.3050976347889798E-2</v>
      </c>
      <c r="H988" s="5">
        <f t="shared" si="206"/>
        <v>0.92173145794829003</v>
      </c>
      <c r="I988" s="24">
        <f t="shared" si="207"/>
        <v>5.8172431197545116E-5</v>
      </c>
      <c r="J988" s="25">
        <f>INDEX('Default Prob'!$C$3:$C$13, _xlfn.IFNA(MATCH(F988, 'Default Prob'!$B$3:$B$13, 1), 1))</f>
        <v>1.8499999999999999E-2</v>
      </c>
      <c r="K988" s="26">
        <f t="shared" si="198"/>
        <v>0.93360057350711534</v>
      </c>
      <c r="L988" s="27">
        <f t="shared" ca="1" si="199"/>
        <v>0</v>
      </c>
      <c r="M988" s="27">
        <f t="shared" ca="1" si="200"/>
        <v>794.58800548529086</v>
      </c>
      <c r="N988" s="28">
        <f t="shared" ca="1" si="201"/>
        <v>4.3153927681095668E-2</v>
      </c>
      <c r="O988" s="29">
        <f t="shared" ca="1" si="202"/>
        <v>600000</v>
      </c>
      <c r="P988" s="30">
        <f t="shared" ca="1" si="203"/>
        <v>32.585889076998797</v>
      </c>
    </row>
    <row r="989" spans="1:16" x14ac:dyDescent="0.25">
      <c r="A989" s="3">
        <f t="shared" si="204"/>
        <v>47497</v>
      </c>
      <c r="B989" s="21">
        <f t="shared" si="195"/>
        <v>36539</v>
      </c>
      <c r="C989" s="21">
        <f t="shared" si="196"/>
        <v>36605</v>
      </c>
      <c r="D989" s="1">
        <f t="shared" si="205"/>
        <v>0</v>
      </c>
      <c r="E989" s="3">
        <f t="array" ref="E989">INDEX($A$9:A988, MAX(IF($D$9:D988=1, ROW(D$9:$D988)-ROW($D$9)+1, 0)))</f>
        <v>47472</v>
      </c>
      <c r="F989" s="23">
        <f t="shared" si="197"/>
        <v>3.7563312799452429</v>
      </c>
      <c r="G989" s="5">
        <f>INDEX('Default Prob'!$P$5:$P$14,MIN(1+_xlfn.IFNA(MATCH(F989,'Default Prob'!$F$5:$F$14,1),0),COUNT('Default Prob'!$P$5:$P$14)))</f>
        <v>2.3050976347889798E-2</v>
      </c>
      <c r="H989" s="5">
        <f t="shared" si="206"/>
        <v>0.9215569626806952</v>
      </c>
      <c r="I989" s="24">
        <f t="shared" si="207"/>
        <v>1.7449526759483192E-4</v>
      </c>
      <c r="J989" s="25">
        <f>INDEX('Default Prob'!$C$3:$C$13, _xlfn.IFNA(MATCH(F989, 'Default Prob'!$B$3:$B$13, 1), 1))</f>
        <v>1.8499999999999999E-2</v>
      </c>
      <c r="K989" s="26">
        <f t="shared" si="198"/>
        <v>0.9334600190644643</v>
      </c>
      <c r="L989" s="27">
        <f t="shared" ca="1" si="199"/>
        <v>0</v>
      </c>
      <c r="M989" s="27">
        <f t="shared" ca="1" si="200"/>
        <v>902.94091532419418</v>
      </c>
      <c r="N989" s="28">
        <f t="shared" ca="1" si="201"/>
        <v>0.14707494933224752</v>
      </c>
      <c r="O989" s="29">
        <f t="shared" ca="1" si="202"/>
        <v>600000</v>
      </c>
      <c r="P989" s="30">
        <f t="shared" ca="1" si="203"/>
        <v>97.730613489438355</v>
      </c>
    </row>
    <row r="990" spans="1:16" x14ac:dyDescent="0.25">
      <c r="A990" s="3">
        <f t="shared" si="204"/>
        <v>47498</v>
      </c>
      <c r="B990" s="21">
        <f t="shared" si="195"/>
        <v>36540</v>
      </c>
      <c r="C990" s="21">
        <f t="shared" si="196"/>
        <v>36605</v>
      </c>
      <c r="D990" s="1">
        <f t="shared" si="205"/>
        <v>0</v>
      </c>
      <c r="E990" s="3">
        <f t="array" ref="E990">INDEX($A$9:A989, MAX(IF($D$9:D989=1, ROW(D$9:$D989)-ROW($D$9)+1, 0)))</f>
        <v>47472</v>
      </c>
      <c r="F990" s="23">
        <f t="shared" si="197"/>
        <v>3.7590691307323749</v>
      </c>
      <c r="G990" s="5">
        <f>INDEX('Default Prob'!$P$5:$P$14,MIN(1+_xlfn.IFNA(MATCH(F990,'Default Prob'!$F$5:$F$14,1),0),COUNT('Default Prob'!$P$5:$P$14)))</f>
        <v>2.3050976347889798E-2</v>
      </c>
      <c r="H990" s="5">
        <f t="shared" si="206"/>
        <v>0.92149880493272396</v>
      </c>
      <c r="I990" s="24">
        <f t="shared" si="207"/>
        <v>5.8157747971243623E-5</v>
      </c>
      <c r="J990" s="25">
        <f>INDEX('Default Prob'!$C$3:$C$13, _xlfn.IFNA(MATCH(F990, 'Default Prob'!$B$3:$B$13, 1), 1))</f>
        <v>1.8499999999999999E-2</v>
      </c>
      <c r="K990" s="26">
        <f t="shared" si="198"/>
        <v>0.93341317228609433</v>
      </c>
      <c r="L990" s="27">
        <f t="shared" ca="1" si="199"/>
        <v>0</v>
      </c>
      <c r="M990" s="27">
        <f t="shared" ca="1" si="200"/>
        <v>939.05855193716195</v>
      </c>
      <c r="N990" s="28">
        <f t="shared" ca="1" si="201"/>
        <v>5.0976988841304811E-2</v>
      </c>
      <c r="O990" s="29">
        <f t="shared" ca="1" si="202"/>
        <v>600000</v>
      </c>
      <c r="P990" s="30">
        <f t="shared" ca="1" si="203"/>
        <v>32.571124816112203</v>
      </c>
    </row>
    <row r="991" spans="1:16" x14ac:dyDescent="0.25">
      <c r="A991" s="3">
        <f t="shared" si="204"/>
        <v>47499</v>
      </c>
      <c r="B991" s="21">
        <f t="shared" si="195"/>
        <v>36541</v>
      </c>
      <c r="C991" s="21">
        <f t="shared" si="196"/>
        <v>36605</v>
      </c>
      <c r="D991" s="1">
        <f t="shared" si="205"/>
        <v>0</v>
      </c>
      <c r="E991" s="3">
        <f t="array" ref="E991">INDEX($A$9:A990, MAX(IF($D$9:D990=1, ROW(D$9:$D990)-ROW($D$9)+1, 0)))</f>
        <v>47472</v>
      </c>
      <c r="F991" s="23">
        <f t="shared" si="197"/>
        <v>3.761806981519507</v>
      </c>
      <c r="G991" s="5">
        <f>INDEX('Default Prob'!$P$5:$P$14,MIN(1+_xlfn.IFNA(MATCH(F991,'Default Prob'!$F$5:$F$14,1),0),COUNT('Default Prob'!$P$5:$P$14)))</f>
        <v>2.3050976347889798E-2</v>
      </c>
      <c r="H991" s="5">
        <f t="shared" si="206"/>
        <v>0.92144065085498006</v>
      </c>
      <c r="I991" s="24">
        <f t="shared" si="207"/>
        <v>5.8154077743899357E-5</v>
      </c>
      <c r="J991" s="25">
        <f>INDEX('Default Prob'!$C$3:$C$13, _xlfn.IFNA(MATCH(F991, 'Default Prob'!$B$3:$B$13, 1), 1))</f>
        <v>1.8499999999999999E-2</v>
      </c>
      <c r="K991" s="26">
        <f t="shared" si="198"/>
        <v>0.93336632785878437</v>
      </c>
      <c r="L991" s="27">
        <f t="shared" ca="1" si="199"/>
        <v>0</v>
      </c>
      <c r="M991" s="27">
        <f t="shared" ca="1" si="200"/>
        <v>975.17618855012961</v>
      </c>
      <c r="N991" s="28">
        <f t="shared" ca="1" si="201"/>
        <v>5.2931644892522001E-2</v>
      </c>
      <c r="O991" s="29">
        <f t="shared" ca="1" si="202"/>
        <v>600000</v>
      </c>
      <c r="P991" s="30">
        <f t="shared" ca="1" si="203"/>
        <v>32.567434796302564</v>
      </c>
    </row>
    <row r="992" spans="1:16" x14ac:dyDescent="0.25">
      <c r="A992" s="3">
        <f t="shared" si="204"/>
        <v>47500</v>
      </c>
      <c r="B992" s="21">
        <f t="shared" si="195"/>
        <v>36542</v>
      </c>
      <c r="C992" s="21">
        <f t="shared" si="196"/>
        <v>36605</v>
      </c>
      <c r="D992" s="1">
        <f t="shared" si="205"/>
        <v>0</v>
      </c>
      <c r="E992" s="3">
        <f t="array" ref="E992">INDEX($A$9:A991, MAX(IF($D$9:D991=1, ROW(D$9:$D991)-ROW($D$9)+1, 0)))</f>
        <v>47472</v>
      </c>
      <c r="F992" s="23">
        <f t="shared" si="197"/>
        <v>3.7645448323066395</v>
      </c>
      <c r="G992" s="5">
        <f>INDEX('Default Prob'!$P$5:$P$14,MIN(1+_xlfn.IFNA(MATCH(F992,'Default Prob'!$F$5:$F$14,1),0),COUNT('Default Prob'!$P$5:$P$14)))</f>
        <v>2.3050976347889798E-2</v>
      </c>
      <c r="H992" s="5">
        <f t="shared" si="206"/>
        <v>0.92138250044723202</v>
      </c>
      <c r="I992" s="24">
        <f t="shared" si="207"/>
        <v>5.8150407748036592E-5</v>
      </c>
      <c r="J992" s="25">
        <f>INDEX('Default Prob'!$C$3:$C$13, _xlfn.IFNA(MATCH(F992, 'Default Prob'!$B$3:$B$13, 1), 1))</f>
        <v>1.8499999999999999E-2</v>
      </c>
      <c r="K992" s="26">
        <f t="shared" si="198"/>
        <v>0.93331948578241652</v>
      </c>
      <c r="L992" s="27">
        <f t="shared" ca="1" si="199"/>
        <v>0</v>
      </c>
      <c r="M992" s="27">
        <f t="shared" ca="1" si="200"/>
        <v>1011.2938251630975</v>
      </c>
      <c r="N992" s="28">
        <f t="shared" ca="1" si="201"/>
        <v>5.4885857398905197E-2</v>
      </c>
      <c r="O992" s="29">
        <f t="shared" ca="1" si="202"/>
        <v>600000</v>
      </c>
      <c r="P992" s="30">
        <f t="shared" ca="1" si="203"/>
        <v>32.56374519446122</v>
      </c>
    </row>
    <row r="993" spans="1:16" x14ac:dyDescent="0.25">
      <c r="A993" s="3">
        <f t="shared" si="204"/>
        <v>47501</v>
      </c>
      <c r="B993" s="21">
        <f t="shared" si="195"/>
        <v>36543</v>
      </c>
      <c r="C993" s="21">
        <f t="shared" si="196"/>
        <v>36605</v>
      </c>
      <c r="D993" s="1">
        <f t="shared" si="205"/>
        <v>0</v>
      </c>
      <c r="E993" s="3">
        <f t="array" ref="E993">INDEX($A$9:A992, MAX(IF($D$9:D992=1, ROW(D$9:$D992)-ROW($D$9)+1, 0)))</f>
        <v>47472</v>
      </c>
      <c r="F993" s="23">
        <f t="shared" si="197"/>
        <v>3.7672826830937716</v>
      </c>
      <c r="G993" s="5">
        <f>INDEX('Default Prob'!$P$5:$P$14,MIN(1+_xlfn.IFNA(MATCH(F993,'Default Prob'!$F$5:$F$14,1),0),COUNT('Default Prob'!$P$5:$P$14)))</f>
        <v>2.3050976347889798E-2</v>
      </c>
      <c r="H993" s="5">
        <f t="shared" si="206"/>
        <v>0.92132435370924814</v>
      </c>
      <c r="I993" s="24">
        <f t="shared" si="207"/>
        <v>5.8146737983877372E-5</v>
      </c>
      <c r="J993" s="25">
        <f>INDEX('Default Prob'!$C$3:$C$13, _xlfn.IFNA(MATCH(F993, 'Default Prob'!$B$3:$B$13, 1), 1))</f>
        <v>1.8499999999999999E-2</v>
      </c>
      <c r="K993" s="26">
        <f t="shared" si="198"/>
        <v>0.93327264605687299</v>
      </c>
      <c r="L993" s="27">
        <f t="shared" ca="1" si="199"/>
        <v>0</v>
      </c>
      <c r="M993" s="27">
        <f t="shared" ca="1" si="200"/>
        <v>1047.4114617760652</v>
      </c>
      <c r="N993" s="28">
        <f t="shared" ca="1" si="201"/>
        <v>5.6839626436083215E-2</v>
      </c>
      <c r="O993" s="29">
        <f t="shared" ca="1" si="202"/>
        <v>600000</v>
      </c>
      <c r="P993" s="30">
        <f t="shared" ca="1" si="203"/>
        <v>32.56005601067335</v>
      </c>
    </row>
    <row r="994" spans="1:16" x14ac:dyDescent="0.25">
      <c r="A994" s="3">
        <f t="shared" si="204"/>
        <v>47504</v>
      </c>
      <c r="B994" s="21">
        <f t="shared" si="195"/>
        <v>36546</v>
      </c>
      <c r="C994" s="21">
        <f t="shared" si="196"/>
        <v>36605</v>
      </c>
      <c r="D994" s="1">
        <f t="shared" si="205"/>
        <v>0</v>
      </c>
      <c r="E994" s="3">
        <f t="array" ref="E994">INDEX($A$9:A993, MAX(IF($D$9:D993=1, ROW(D$9:$D993)-ROW($D$9)+1, 0)))</f>
        <v>47472</v>
      </c>
      <c r="F994" s="23">
        <f t="shared" si="197"/>
        <v>3.7754962354551678</v>
      </c>
      <c r="G994" s="5">
        <f>INDEX('Default Prob'!$P$5:$P$14,MIN(1+_xlfn.IFNA(MATCH(F994,'Default Prob'!$F$5:$F$14,1),0),COUNT('Default Prob'!$P$5:$P$14)))</f>
        <v>2.3050976347889798E-2</v>
      </c>
      <c r="H994" s="5">
        <f t="shared" si="206"/>
        <v>0.92114993551156621</v>
      </c>
      <c r="I994" s="24">
        <f t="shared" si="207"/>
        <v>1.7441819768193589E-4</v>
      </c>
      <c r="J994" s="25">
        <f>INDEX('Default Prob'!$C$3:$C$13, _xlfn.IFNA(MATCH(F994, 'Default Prob'!$B$3:$B$13, 1), 1))</f>
        <v>1.8499999999999999E-2</v>
      </c>
      <c r="K994" s="26">
        <f t="shared" si="198"/>
        <v>0.93313214098400732</v>
      </c>
      <c r="L994" s="27">
        <f t="shared" ca="1" si="199"/>
        <v>0</v>
      </c>
      <c r="M994" s="27">
        <f t="shared" ca="1" si="200"/>
        <v>1155.7643716149685</v>
      </c>
      <c r="N994" s="28">
        <f t="shared" ca="1" si="201"/>
        <v>0.18810669177020936</v>
      </c>
      <c r="O994" s="29">
        <f t="shared" ca="1" si="202"/>
        <v>600000</v>
      </c>
      <c r="P994" s="30">
        <f t="shared" ca="1" si="203"/>
        <v>97.653135737710002</v>
      </c>
    </row>
    <row r="995" spans="1:16" x14ac:dyDescent="0.25">
      <c r="A995" s="3">
        <f t="shared" si="204"/>
        <v>47505</v>
      </c>
      <c r="B995" s="21">
        <f t="shared" si="195"/>
        <v>36547</v>
      </c>
      <c r="C995" s="21">
        <f t="shared" si="196"/>
        <v>36605</v>
      </c>
      <c r="D995" s="1">
        <f t="shared" si="205"/>
        <v>0</v>
      </c>
      <c r="E995" s="3">
        <f t="array" ref="E995">INDEX($A$9:A994, MAX(IF($D$9:D994=1, ROW(D$9:$D994)-ROW($D$9)+1, 0)))</f>
        <v>47472</v>
      </c>
      <c r="F995" s="23">
        <f t="shared" si="197"/>
        <v>3.7782340862422998</v>
      </c>
      <c r="G995" s="5">
        <f>INDEX('Default Prob'!$P$5:$P$14,MIN(1+_xlfn.IFNA(MATCH(F995,'Default Prob'!$F$5:$F$14,1),0),COUNT('Default Prob'!$P$5:$P$14)))</f>
        <v>2.3050976347889798E-2</v>
      </c>
      <c r="H995" s="5">
        <f t="shared" si="206"/>
        <v>0.92109180345032349</v>
      </c>
      <c r="I995" s="24">
        <f t="shared" si="207"/>
        <v>5.8132061242721633E-5</v>
      </c>
      <c r="J995" s="25">
        <f>INDEX('Default Prob'!$C$3:$C$13, _xlfn.IFNA(MATCH(F995, 'Default Prob'!$B$3:$B$13, 1), 1))</f>
        <v>1.8499999999999999E-2</v>
      </c>
      <c r="K995" s="26">
        <f t="shared" si="198"/>
        <v>0.93308531066058065</v>
      </c>
      <c r="L995" s="27">
        <f t="shared" ca="1" si="199"/>
        <v>0</v>
      </c>
      <c r="M995" s="27">
        <f t="shared" ca="1" si="200"/>
        <v>1191.8820082279362</v>
      </c>
      <c r="N995" s="28">
        <f t="shared" ca="1" si="201"/>
        <v>6.465026939936884E-2</v>
      </c>
      <c r="O995" s="29">
        <f t="shared" ca="1" si="202"/>
        <v>600000</v>
      </c>
      <c r="P995" s="30">
        <f t="shared" ca="1" si="203"/>
        <v>32.545303454402891</v>
      </c>
    </row>
    <row r="996" spans="1:16" x14ac:dyDescent="0.25">
      <c r="A996" s="3">
        <f t="shared" si="204"/>
        <v>47506</v>
      </c>
      <c r="B996" s="21">
        <f t="shared" si="195"/>
        <v>36548</v>
      </c>
      <c r="C996" s="21">
        <f t="shared" si="196"/>
        <v>36605</v>
      </c>
      <c r="D996" s="1">
        <f t="shared" si="205"/>
        <v>0</v>
      </c>
      <c r="E996" s="3">
        <f t="array" ref="E996">INDEX($A$9:A995, MAX(IF($D$9:D995=1, ROW(D$9:$D995)-ROW($D$9)+1, 0)))</f>
        <v>47472</v>
      </c>
      <c r="F996" s="23">
        <f t="shared" si="197"/>
        <v>3.7809719370294319</v>
      </c>
      <c r="G996" s="5">
        <f>INDEX('Default Prob'!$P$5:$P$14,MIN(1+_xlfn.IFNA(MATCH(F996,'Default Prob'!$F$5:$F$14,1),0),COUNT('Default Prob'!$P$5:$P$14)))</f>
        <v>2.3050976347889798E-2</v>
      </c>
      <c r="H996" s="5">
        <f t="shared" si="206"/>
        <v>0.92103367505768707</v>
      </c>
      <c r="I996" s="24">
        <f t="shared" si="207"/>
        <v>5.8128392636414006E-5</v>
      </c>
      <c r="J996" s="25">
        <f>INDEX('Default Prob'!$C$3:$C$13, _xlfn.IFNA(MATCH(F996, 'Default Prob'!$B$3:$B$13, 1), 1))</f>
        <v>1.8499999999999999E-2</v>
      </c>
      <c r="K996" s="26">
        <f t="shared" si="198"/>
        <v>0.9330384826873882</v>
      </c>
      <c r="L996" s="27">
        <f t="shared" ca="1" si="199"/>
        <v>0</v>
      </c>
      <c r="M996" s="27">
        <f t="shared" ca="1" si="200"/>
        <v>1227.9996448409042</v>
      </c>
      <c r="N996" s="28">
        <f t="shared" ca="1" si="201"/>
        <v>6.6601822220888396E-2</v>
      </c>
      <c r="O996" s="29">
        <f t="shared" ca="1" si="202"/>
        <v>600000</v>
      </c>
      <c r="P996" s="30">
        <f t="shared" ca="1" si="203"/>
        <v>32.541616359921882</v>
      </c>
    </row>
    <row r="997" spans="1:16" x14ac:dyDescent="0.25">
      <c r="A997" s="3">
        <f t="shared" si="204"/>
        <v>47507</v>
      </c>
      <c r="B997" s="21">
        <f t="shared" si="195"/>
        <v>36549</v>
      </c>
      <c r="C997" s="21">
        <f t="shared" si="196"/>
        <v>36605</v>
      </c>
      <c r="D997" s="1">
        <f t="shared" si="205"/>
        <v>0</v>
      </c>
      <c r="E997" s="3">
        <f t="array" ref="E997">INDEX($A$9:A996, MAX(IF($D$9:D996=1, ROW(D$9:$D996)-ROW($D$9)+1, 0)))</f>
        <v>47472</v>
      </c>
      <c r="F997" s="23">
        <f t="shared" si="197"/>
        <v>3.783709787816564</v>
      </c>
      <c r="G997" s="5">
        <f>INDEX('Default Prob'!$P$5:$P$14,MIN(1+_xlfn.IFNA(MATCH(F997,'Default Prob'!$F$5:$F$14,1),0),COUNT('Default Prob'!$P$5:$P$14)))</f>
        <v>2.3050976347889798E-2</v>
      </c>
      <c r="H997" s="5">
        <f t="shared" si="206"/>
        <v>0.9209755503334256</v>
      </c>
      <c r="I997" s="24">
        <f t="shared" si="207"/>
        <v>5.8124724261476857E-5</v>
      </c>
      <c r="J997" s="25">
        <f>INDEX('Default Prob'!$C$3:$C$13, _xlfn.IFNA(MATCH(F997, 'Default Prob'!$B$3:$B$13, 1), 1))</f>
        <v>1.8499999999999999E-2</v>
      </c>
      <c r="K997" s="26">
        <f t="shared" si="198"/>
        <v>0.93299165706431231</v>
      </c>
      <c r="L997" s="27">
        <f t="shared" ca="1" si="199"/>
        <v>0</v>
      </c>
      <c r="M997" s="27">
        <f t="shared" ca="1" si="200"/>
        <v>1264.1172814538718</v>
      </c>
      <c r="N997" s="28">
        <f t="shared" ca="1" si="201"/>
        <v>6.8552932025172292E-2</v>
      </c>
      <c r="O997" s="29">
        <f t="shared" ca="1" si="202"/>
        <v>600000</v>
      </c>
      <c r="P997" s="30">
        <f t="shared" ca="1" si="203"/>
        <v>32.537929683072917</v>
      </c>
    </row>
    <row r="998" spans="1:16" x14ac:dyDescent="0.25">
      <c r="A998" s="3">
        <f t="shared" si="204"/>
        <v>47508</v>
      </c>
      <c r="B998" s="21">
        <f t="shared" si="195"/>
        <v>36550</v>
      </c>
      <c r="C998" s="21">
        <f t="shared" si="196"/>
        <v>36605</v>
      </c>
      <c r="D998" s="1">
        <f t="shared" si="205"/>
        <v>0</v>
      </c>
      <c r="E998" s="3">
        <f t="array" ref="E998">INDEX($A$9:A997, MAX(IF($D$9:D997=1, ROW(D$9:$D997)-ROW($D$9)+1, 0)))</f>
        <v>47472</v>
      </c>
      <c r="F998" s="23">
        <f t="shared" si="197"/>
        <v>3.786447638603696</v>
      </c>
      <c r="G998" s="5">
        <f>INDEX('Default Prob'!$P$5:$P$14,MIN(1+_xlfn.IFNA(MATCH(F998,'Default Prob'!$F$5:$F$14,1),0),COUNT('Default Prob'!$P$5:$P$14)))</f>
        <v>2.3050976347889798E-2</v>
      </c>
      <c r="H998" s="5">
        <f t="shared" si="206"/>
        <v>0.92091742927730746</v>
      </c>
      <c r="I998" s="24">
        <f t="shared" si="207"/>
        <v>5.812105611813223E-5</v>
      </c>
      <c r="J998" s="25">
        <f>INDEX('Default Prob'!$C$3:$C$13, _xlfn.IFNA(MATCH(F998, 'Default Prob'!$B$3:$B$13, 1), 1))</f>
        <v>1.8499999999999999E-2</v>
      </c>
      <c r="K998" s="26">
        <f t="shared" si="198"/>
        <v>0.93294483379123483</v>
      </c>
      <c r="L998" s="27">
        <f t="shared" ca="1" si="199"/>
        <v>0</v>
      </c>
      <c r="M998" s="27">
        <f t="shared" ca="1" si="200"/>
        <v>1300.2349180668396</v>
      </c>
      <c r="N998" s="28">
        <f t="shared" ca="1" si="201"/>
        <v>7.0503598887824551E-2</v>
      </c>
      <c r="O998" s="29">
        <f t="shared" ca="1" si="202"/>
        <v>600000</v>
      </c>
      <c r="P998" s="30">
        <f t="shared" ca="1" si="203"/>
        <v>32.534243423941142</v>
      </c>
    </row>
    <row r="999" spans="1:16" x14ac:dyDescent="0.25">
      <c r="A999" s="3">
        <f t="shared" si="204"/>
        <v>47511</v>
      </c>
      <c r="B999" s="21">
        <f t="shared" si="195"/>
        <v>36553</v>
      </c>
      <c r="C999" s="21">
        <f t="shared" si="196"/>
        <v>36605</v>
      </c>
      <c r="D999" s="1">
        <f t="shared" si="205"/>
        <v>0</v>
      </c>
      <c r="E999" s="3">
        <f t="array" ref="E999">INDEX($A$9:A998, MAX(IF($D$9:D998=1, ROW(D$9:$D998)-ROW($D$9)+1, 0)))</f>
        <v>47472</v>
      </c>
      <c r="F999" s="23">
        <f t="shared" si="197"/>
        <v>3.7946611909650922</v>
      </c>
      <c r="G999" s="5">
        <f>INDEX('Default Prob'!$P$5:$P$14,MIN(1+_xlfn.IFNA(MATCH(F999,'Default Prob'!$F$5:$F$14,1),0),COUNT('Default Prob'!$P$5:$P$14)))</f>
        <v>2.3050976347889798E-2</v>
      </c>
      <c r="H999" s="5">
        <f t="shared" si="206"/>
        <v>0.92074308811549854</v>
      </c>
      <c r="I999" s="24">
        <f t="shared" si="207"/>
        <v>1.743411618089219E-4</v>
      </c>
      <c r="J999" s="25">
        <f>INDEX('Default Prob'!$C$3:$C$13, _xlfn.IFNA(MATCH(F999, 'Default Prob'!$B$3:$B$13, 1), 1))</f>
        <v>1.8499999999999999E-2</v>
      </c>
      <c r="K999" s="26">
        <f t="shared" si="198"/>
        <v>0.93280437807081351</v>
      </c>
      <c r="L999" s="27">
        <f t="shared" ca="1" si="199"/>
        <v>0</v>
      </c>
      <c r="M999" s="27">
        <f t="shared" ca="1" si="200"/>
        <v>1408.5878279057429</v>
      </c>
      <c r="N999" s="28">
        <f t="shared" ca="1" si="201"/>
        <v>0.22907328442873168</v>
      </c>
      <c r="O999" s="29">
        <f t="shared" ca="1" si="202"/>
        <v>600000</v>
      </c>
      <c r="P999" s="30">
        <f t="shared" ca="1" si="203"/>
        <v>97.575719407988672</v>
      </c>
    </row>
    <row r="1000" spans="1:16" x14ac:dyDescent="0.25">
      <c r="A1000" s="3">
        <f t="shared" si="204"/>
        <v>47512</v>
      </c>
      <c r="B1000" s="21">
        <f t="shared" si="195"/>
        <v>36554</v>
      </c>
      <c r="C1000" s="21">
        <f t="shared" si="196"/>
        <v>36605</v>
      </c>
      <c r="D1000" s="1">
        <f t="shared" si="205"/>
        <v>0</v>
      </c>
      <c r="E1000" s="3">
        <f t="array" ref="E1000">INDEX($A$9:A999, MAX(IF($D$9:D999=1, ROW(D$9:$D999)-ROW($D$9)+1, 0)))</f>
        <v>47472</v>
      </c>
      <c r="F1000" s="23">
        <f t="shared" si="197"/>
        <v>3.7973990417522243</v>
      </c>
      <c r="G1000" s="5">
        <f>INDEX('Default Prob'!$P$5:$P$14,MIN(1+_xlfn.IFNA(MATCH(F1000,'Default Prob'!$F$5:$F$14,1),0),COUNT('Default Prob'!$P$5:$P$14)))</f>
        <v>2.3050976347889798E-2</v>
      </c>
      <c r="H1000" s="5">
        <f t="shared" si="206"/>
        <v>0.9206849817296392</v>
      </c>
      <c r="I1000" s="24">
        <f t="shared" si="207"/>
        <v>5.8106385859346688E-5</v>
      </c>
      <c r="J1000" s="25">
        <f>INDEX('Default Prob'!$C$3:$C$13, _xlfn.IFNA(MATCH(F1000, 'Default Prob'!$B$3:$B$13, 1), 1))</f>
        <v>1.8499999999999999E-2</v>
      </c>
      <c r="K1000" s="26">
        <f t="shared" si="198"/>
        <v>0.93275756419655032</v>
      </c>
      <c r="L1000" s="27">
        <f t="shared" ca="1" si="199"/>
        <v>0</v>
      </c>
      <c r="M1000" s="27">
        <f t="shared" ca="1" si="200"/>
        <v>1444.7054645187106</v>
      </c>
      <c r="N1000" s="28">
        <f t="shared" ca="1" si="201"/>
        <v>7.8301838427132203E-2</v>
      </c>
      <c r="O1000" s="29">
        <f t="shared" ca="1" si="202"/>
        <v>600000</v>
      </c>
      <c r="P1000" s="30">
        <f t="shared" ca="1" si="203"/>
        <v>32.519502563057458</v>
      </c>
    </row>
    <row r="1001" spans="1:16" x14ac:dyDescent="0.25">
      <c r="A1001" s="3">
        <f t="shared" si="204"/>
        <v>47513</v>
      </c>
      <c r="B1001" s="21">
        <f t="shared" si="195"/>
        <v>36555</v>
      </c>
      <c r="C1001" s="21">
        <f t="shared" si="196"/>
        <v>36605</v>
      </c>
      <c r="D1001" s="1">
        <f t="shared" si="205"/>
        <v>0</v>
      </c>
      <c r="E1001" s="3">
        <f t="array" ref="E1001">INDEX($A$9:A1000, MAX(IF($D$9:D1000=1, ROW(D$9:$D1000)-ROW($D$9)+1, 0)))</f>
        <v>47472</v>
      </c>
      <c r="F1001" s="23">
        <f t="shared" si="197"/>
        <v>3.8001368925393568</v>
      </c>
      <c r="G1001" s="5">
        <f>INDEX('Default Prob'!$P$5:$P$14,MIN(1+_xlfn.IFNA(MATCH(F1001,'Default Prob'!$F$5:$F$14,1),0),COUNT('Default Prob'!$P$5:$P$14)))</f>
        <v>2.3050976347889798E-2</v>
      </c>
      <c r="H1001" s="5">
        <f t="shared" si="206"/>
        <v>0.9206268790107659</v>
      </c>
      <c r="I1001" s="24">
        <f t="shared" si="207"/>
        <v>5.8102718873298542E-5</v>
      </c>
      <c r="J1001" s="25">
        <f>INDEX('Default Prob'!$C$3:$C$13, _xlfn.IFNA(MATCH(F1001, 'Default Prob'!$B$3:$B$13, 1), 1))</f>
        <v>1.8499999999999999E-2</v>
      </c>
      <c r="K1001" s="26">
        <f t="shared" si="198"/>
        <v>0.93271075267169612</v>
      </c>
      <c r="L1001" s="27">
        <f t="shared" ca="1" si="199"/>
        <v>0</v>
      </c>
      <c r="M1001" s="27">
        <f t="shared" ca="1" si="200"/>
        <v>1480.8231011316784</v>
      </c>
      <c r="N1001" s="28">
        <f t="shared" ca="1" si="201"/>
        <v>8.0250291710686872E-2</v>
      </c>
      <c r="O1001" s="29">
        <f t="shared" ca="1" si="202"/>
        <v>600000</v>
      </c>
      <c r="P1001" s="30">
        <f t="shared" ca="1" si="203"/>
        <v>32.515818391551747</v>
      </c>
    </row>
    <row r="1002" spans="1:16" x14ac:dyDescent="0.25">
      <c r="A1002" s="3">
        <f t="shared" si="204"/>
        <v>47514</v>
      </c>
      <c r="B1002" s="21">
        <f t="shared" si="195"/>
        <v>36556</v>
      </c>
      <c r="C1002" s="21">
        <f t="shared" si="196"/>
        <v>36605</v>
      </c>
      <c r="D1002" s="1">
        <f t="shared" si="205"/>
        <v>0</v>
      </c>
      <c r="E1002" s="3">
        <f t="array" ref="E1002">INDEX($A$9:A1001, MAX(IF($D$9:D1001=1, ROW(D$9:$D1001)-ROW($D$9)+1, 0)))</f>
        <v>47472</v>
      </c>
      <c r="F1002" s="23">
        <f t="shared" si="197"/>
        <v>3.8028747433264889</v>
      </c>
      <c r="G1002" s="5">
        <f>INDEX('Default Prob'!$P$5:$P$14,MIN(1+_xlfn.IFNA(MATCH(F1002,'Default Prob'!$F$5:$F$14,1),0),COUNT('Default Prob'!$P$5:$P$14)))</f>
        <v>2.3050976347889798E-2</v>
      </c>
      <c r="H1002" s="5">
        <f t="shared" si="206"/>
        <v>0.92056877995864728</v>
      </c>
      <c r="I1002" s="24">
        <f t="shared" si="207"/>
        <v>5.8099052118620875E-5</v>
      </c>
      <c r="J1002" s="25">
        <f>INDEX('Default Prob'!$C$3:$C$13, _xlfn.IFNA(MATCH(F1002, 'Default Prob'!$B$3:$B$13, 1), 1))</f>
        <v>1.8499999999999999E-2</v>
      </c>
      <c r="K1002" s="26">
        <f t="shared" si="198"/>
        <v>0.93266394349613269</v>
      </c>
      <c r="L1002" s="27">
        <f t="shared" ca="1" si="199"/>
        <v>0</v>
      </c>
      <c r="M1002" s="27">
        <f t="shared" ca="1" si="200"/>
        <v>1516.9407377446464</v>
      </c>
      <c r="N1002" s="28">
        <f t="shared" ca="1" si="201"/>
        <v>8.2198302504195256E-2</v>
      </c>
      <c r="O1002" s="29">
        <f t="shared" ca="1" si="202"/>
        <v>600000</v>
      </c>
      <c r="P1002" s="30">
        <f t="shared" ca="1" si="203"/>
        <v>32.512134637404174</v>
      </c>
    </row>
    <row r="1003" spans="1:16" x14ac:dyDescent="0.25">
      <c r="A1003" s="3">
        <f t="shared" si="204"/>
        <v>47515</v>
      </c>
      <c r="B1003" s="21">
        <f t="shared" si="195"/>
        <v>36557</v>
      </c>
      <c r="C1003" s="21">
        <f t="shared" si="196"/>
        <v>36605</v>
      </c>
      <c r="D1003" s="1">
        <f t="shared" si="205"/>
        <v>0</v>
      </c>
      <c r="E1003" s="3">
        <f t="array" ref="E1003">INDEX($A$9:A1002, MAX(IF($D$9:D1002=1, ROW(D$9:$D1002)-ROW($D$9)+1, 0)))</f>
        <v>47472</v>
      </c>
      <c r="F1003" s="23">
        <f t="shared" si="197"/>
        <v>3.805612594113621</v>
      </c>
      <c r="G1003" s="5">
        <f>INDEX('Default Prob'!$P$5:$P$14,MIN(1+_xlfn.IFNA(MATCH(F1003,'Default Prob'!$F$5:$F$14,1),0),COUNT('Default Prob'!$P$5:$P$14)))</f>
        <v>2.3050976347889798E-2</v>
      </c>
      <c r="H1003" s="5">
        <f t="shared" si="206"/>
        <v>0.92051068457305185</v>
      </c>
      <c r="I1003" s="24">
        <f t="shared" si="207"/>
        <v>5.8095385595424709E-5</v>
      </c>
      <c r="J1003" s="25">
        <f>INDEX('Default Prob'!$C$3:$C$13, _xlfn.IFNA(MATCH(F1003, 'Default Prob'!$B$3:$B$13, 1), 1))</f>
        <v>1.8499999999999999E-2</v>
      </c>
      <c r="K1003" s="26">
        <f t="shared" si="198"/>
        <v>0.93261713666974222</v>
      </c>
      <c r="L1003" s="27">
        <f t="shared" ca="1" si="199"/>
        <v>0</v>
      </c>
      <c r="M1003" s="27">
        <f t="shared" ca="1" si="200"/>
        <v>1553.0583743576142</v>
      </c>
      <c r="N1003" s="28">
        <f t="shared" ca="1" si="201"/>
        <v>8.4145870883086893E-2</v>
      </c>
      <c r="O1003" s="29">
        <f t="shared" ca="1" si="202"/>
        <v>600000</v>
      </c>
      <c r="P1003" s="30">
        <f t="shared" ca="1" si="203"/>
        <v>32.508451300637745</v>
      </c>
    </row>
    <row r="1004" spans="1:16" x14ac:dyDescent="0.25">
      <c r="A1004" s="3">
        <f t="shared" si="204"/>
        <v>47518</v>
      </c>
      <c r="B1004" s="21">
        <f t="shared" si="195"/>
        <v>36560</v>
      </c>
      <c r="C1004" s="21">
        <f t="shared" si="196"/>
        <v>36605</v>
      </c>
      <c r="D1004" s="1">
        <f t="shared" si="205"/>
        <v>0</v>
      </c>
      <c r="E1004" s="3">
        <f t="array" ref="E1004">INDEX($A$9:A1003, MAX(IF($D$9:D1003=1, ROW(D$9:$D1003)-ROW($D$9)+1, 0)))</f>
        <v>47472</v>
      </c>
      <c r="F1004" s="23">
        <f t="shared" si="197"/>
        <v>3.8138261464750172</v>
      </c>
      <c r="G1004" s="5">
        <f>INDEX('Default Prob'!$P$5:$P$14,MIN(1+_xlfn.IFNA(MATCH(F1004,'Default Prob'!$F$5:$F$14,1),0),COUNT('Default Prob'!$P$5:$P$14)))</f>
        <v>2.3050976347889798E-2</v>
      </c>
      <c r="H1004" s="5">
        <f t="shared" si="206"/>
        <v>0.92033642041309138</v>
      </c>
      <c r="I1004" s="24">
        <f t="shared" si="207"/>
        <v>1.7426415996046885E-4</v>
      </c>
      <c r="J1004" s="25">
        <f>INDEX('Default Prob'!$C$3:$C$13, _xlfn.IFNA(MATCH(F1004, 'Default Prob'!$B$3:$B$13, 1), 1))</f>
        <v>1.8499999999999999E-2</v>
      </c>
      <c r="K1004" s="26">
        <f t="shared" si="198"/>
        <v>0.93247673028443023</v>
      </c>
      <c r="L1004" s="27">
        <f t="shared" ca="1" si="199"/>
        <v>0</v>
      </c>
      <c r="M1004" s="27">
        <f t="shared" ca="1" si="200"/>
        <v>1661.4112841965173</v>
      </c>
      <c r="N1004" s="28">
        <f t="shared" ca="1" si="201"/>
        <v>0.2699748048171578</v>
      </c>
      <c r="O1004" s="29">
        <f t="shared" ca="1" si="202"/>
        <v>600000</v>
      </c>
      <c r="P1004" s="30">
        <f t="shared" ca="1" si="203"/>
        <v>97.498364451420542</v>
      </c>
    </row>
    <row r="1005" spans="1:16" x14ac:dyDescent="0.25">
      <c r="A1005" s="3">
        <f t="shared" si="204"/>
        <v>47519</v>
      </c>
      <c r="B1005" s="21">
        <f t="shared" si="195"/>
        <v>36561</v>
      </c>
      <c r="C1005" s="21">
        <f t="shared" si="196"/>
        <v>36605</v>
      </c>
      <c r="D1005" s="1">
        <f t="shared" si="205"/>
        <v>0</v>
      </c>
      <c r="E1005" s="3">
        <f t="array" ref="E1005">INDEX($A$9:A1004, MAX(IF($D$9:D1004=1, ROW(D$9:$D1004)-ROW($D$9)+1, 0)))</f>
        <v>47472</v>
      </c>
      <c r="F1005" s="23">
        <f t="shared" si="197"/>
        <v>3.8165639972621492</v>
      </c>
      <c r="G1005" s="5">
        <f>INDEX('Default Prob'!$P$5:$P$14,MIN(1+_xlfn.IFNA(MATCH(F1005,'Default Prob'!$F$5:$F$14,1),0),COUNT('Default Prob'!$P$5:$P$14)))</f>
        <v>2.3050976347889798E-2</v>
      </c>
      <c r="H1005" s="5">
        <f t="shared" si="206"/>
        <v>0.92027833969127526</v>
      </c>
      <c r="I1005" s="24">
        <f t="shared" si="207"/>
        <v>5.8080721816122782E-5</v>
      </c>
      <c r="J1005" s="25">
        <f>INDEX('Default Prob'!$C$3:$C$13, _xlfn.IFNA(MATCH(F1005, 'Default Prob'!$B$3:$B$13, 1), 1))</f>
        <v>1.8499999999999999E-2</v>
      </c>
      <c r="K1005" s="26">
        <f t="shared" si="198"/>
        <v>0.93242993285355291</v>
      </c>
      <c r="L1005" s="27">
        <f t="shared" ca="1" si="199"/>
        <v>0</v>
      </c>
      <c r="M1005" s="27">
        <f t="shared" ca="1" si="200"/>
        <v>1697.528920809485</v>
      </c>
      <c r="N1005" s="28">
        <f t="shared" ca="1" si="201"/>
        <v>9.1931721755645901E-2</v>
      </c>
      <c r="O1005" s="29">
        <f t="shared" ca="1" si="202"/>
        <v>600000</v>
      </c>
      <c r="P1005" s="30">
        <f t="shared" ca="1" si="203"/>
        <v>32.493722125855953</v>
      </c>
    </row>
    <row r="1006" spans="1:16" x14ac:dyDescent="0.25">
      <c r="A1006" s="3">
        <f t="shared" si="204"/>
        <v>47520</v>
      </c>
      <c r="B1006" s="21">
        <f t="shared" si="195"/>
        <v>36562</v>
      </c>
      <c r="C1006" s="21">
        <f t="shared" si="196"/>
        <v>36605</v>
      </c>
      <c r="D1006" s="1">
        <f t="shared" si="205"/>
        <v>0</v>
      </c>
      <c r="E1006" s="3">
        <f t="array" ref="E1006">INDEX($A$9:A1005, MAX(IF($D$9:D1005=1, ROW(D$9:$D1005)-ROW($D$9)+1, 0)))</f>
        <v>47472</v>
      </c>
      <c r="F1006" s="23">
        <f t="shared" si="197"/>
        <v>3.8193018480492813</v>
      </c>
      <c r="G1006" s="5">
        <f>INDEX('Default Prob'!$P$5:$P$14,MIN(1+_xlfn.IFNA(MATCH(F1006,'Default Prob'!$F$5:$F$14,1),0),COUNT('Default Prob'!$P$5:$P$14)))</f>
        <v>2.3050976347889798E-2</v>
      </c>
      <c r="H1006" s="5">
        <f t="shared" si="206"/>
        <v>0.92022026263482559</v>
      </c>
      <c r="I1006" s="24">
        <f t="shared" si="207"/>
        <v>5.8077056449667985E-5</v>
      </c>
      <c r="J1006" s="25">
        <f>INDEX('Default Prob'!$C$3:$C$13, _xlfn.IFNA(MATCH(F1006, 'Default Prob'!$B$3:$B$13, 1), 1))</f>
        <v>1.8499999999999999E-2</v>
      </c>
      <c r="K1006" s="26">
        <f t="shared" si="198"/>
        <v>0.93238313777125925</v>
      </c>
      <c r="L1006" s="27">
        <f t="shared" ca="1" si="199"/>
        <v>0</v>
      </c>
      <c r="M1006" s="27">
        <f t="shared" ca="1" si="200"/>
        <v>1733.646557422453</v>
      </c>
      <c r="N1006" s="28">
        <f t="shared" ca="1" si="201"/>
        <v>9.3877079189201545E-2</v>
      </c>
      <c r="O1006" s="29">
        <f t="shared" ca="1" si="202"/>
        <v>600000</v>
      </c>
      <c r="P1006" s="30">
        <f t="shared" ca="1" si="203"/>
        <v>32.490040875035994</v>
      </c>
    </row>
    <row r="1007" spans="1:16" x14ac:dyDescent="0.25">
      <c r="A1007" s="3">
        <f t="shared" si="204"/>
        <v>47521</v>
      </c>
      <c r="B1007" s="21">
        <f t="shared" si="195"/>
        <v>36563</v>
      </c>
      <c r="C1007" s="21">
        <f t="shared" si="196"/>
        <v>36605</v>
      </c>
      <c r="D1007" s="1">
        <f t="shared" si="205"/>
        <v>0</v>
      </c>
      <c r="E1007" s="3">
        <f t="array" ref="E1007">INDEX($A$9:A1006, MAX(IF($D$9:D1006=1, ROW(D$9:$D1006)-ROW($D$9)+1, 0)))</f>
        <v>47472</v>
      </c>
      <c r="F1007" s="23">
        <f t="shared" si="197"/>
        <v>3.8220396988364134</v>
      </c>
      <c r="G1007" s="5">
        <f>INDEX('Default Prob'!$P$5:$P$14,MIN(1+_xlfn.IFNA(MATCH(F1007,'Default Prob'!$F$5:$F$14,1),0),COUNT('Default Prob'!$P$5:$P$14)))</f>
        <v>2.3050976347889798E-2</v>
      </c>
      <c r="H1007" s="5">
        <f t="shared" si="206"/>
        <v>0.92016218924351101</v>
      </c>
      <c r="I1007" s="24">
        <f t="shared" si="207"/>
        <v>5.8073391314583667E-5</v>
      </c>
      <c r="J1007" s="25">
        <f>INDEX('Default Prob'!$C$3:$C$13, _xlfn.IFNA(MATCH(F1007, 'Default Prob'!$B$3:$B$13, 1), 1))</f>
        <v>1.8499999999999999E-2</v>
      </c>
      <c r="K1007" s="26">
        <f t="shared" si="198"/>
        <v>0.93233634503743112</v>
      </c>
      <c r="L1007" s="27">
        <f t="shared" ca="1" si="199"/>
        <v>0</v>
      </c>
      <c r="M1007" s="27">
        <f t="shared" ca="1" si="200"/>
        <v>1769.7641940354208</v>
      </c>
      <c r="N1007" s="28">
        <f t="shared" ca="1" si="201"/>
        <v>9.5821994659394352E-2</v>
      </c>
      <c r="O1007" s="29">
        <f t="shared" ca="1" si="202"/>
        <v>600000</v>
      </c>
      <c r="P1007" s="30">
        <f t="shared" ca="1" si="203"/>
        <v>32.486360041300458</v>
      </c>
    </row>
    <row r="1008" spans="1:16" x14ac:dyDescent="0.25">
      <c r="A1008" s="3">
        <f t="shared" si="204"/>
        <v>47522</v>
      </c>
      <c r="B1008" s="21">
        <f t="shared" si="195"/>
        <v>36564</v>
      </c>
      <c r="C1008" s="21">
        <f t="shared" si="196"/>
        <v>36605</v>
      </c>
      <c r="D1008" s="1">
        <f t="shared" si="205"/>
        <v>0</v>
      </c>
      <c r="E1008" s="3">
        <f t="array" ref="E1008">INDEX($A$9:A1007, MAX(IF($D$9:D1007=1, ROW(D$9:$D1007)-ROW($D$9)+1, 0)))</f>
        <v>47472</v>
      </c>
      <c r="F1008" s="23">
        <f t="shared" si="197"/>
        <v>3.8247775496235454</v>
      </c>
      <c r="G1008" s="5">
        <f>INDEX('Default Prob'!$P$5:$P$14,MIN(1+_xlfn.IFNA(MATCH(F1008,'Default Prob'!$F$5:$F$14,1),0),COUNT('Default Prob'!$P$5:$P$14)))</f>
        <v>2.3050976347889798E-2</v>
      </c>
      <c r="H1008" s="5">
        <f t="shared" si="206"/>
        <v>0.92010411951710036</v>
      </c>
      <c r="I1008" s="24">
        <f t="shared" si="207"/>
        <v>5.8069726410647782E-5</v>
      </c>
      <c r="J1008" s="25">
        <f>INDEX('Default Prob'!$C$3:$C$13, _xlfn.IFNA(MATCH(F1008, 'Default Prob'!$B$3:$B$13, 1), 1))</f>
        <v>1.8499999999999999E-2</v>
      </c>
      <c r="K1008" s="26">
        <f t="shared" si="198"/>
        <v>0.93228955465195096</v>
      </c>
      <c r="L1008" s="27">
        <f t="shared" ca="1" si="199"/>
        <v>0</v>
      </c>
      <c r="M1008" s="27">
        <f t="shared" ca="1" si="200"/>
        <v>1805.8818306483884</v>
      </c>
      <c r="N1008" s="28">
        <f t="shared" ca="1" si="201"/>
        <v>9.7766468241053353E-2</v>
      </c>
      <c r="O1008" s="29">
        <f t="shared" ca="1" si="202"/>
        <v>600000</v>
      </c>
      <c r="P1008" s="30">
        <f t="shared" ca="1" si="203"/>
        <v>32.482679624486074</v>
      </c>
    </row>
    <row r="1009" spans="1:16" x14ac:dyDescent="0.25">
      <c r="A1009" s="3">
        <f t="shared" si="204"/>
        <v>47525</v>
      </c>
      <c r="B1009" s="21">
        <f t="shared" si="195"/>
        <v>36567</v>
      </c>
      <c r="C1009" s="21">
        <f t="shared" si="196"/>
        <v>36605</v>
      </c>
      <c r="D1009" s="1">
        <f t="shared" si="205"/>
        <v>0</v>
      </c>
      <c r="E1009" s="3">
        <f t="array" ref="E1009">INDEX($A$9:A1008, MAX(IF($D$9:D1008=1, ROW(D$9:$D1008)-ROW($D$9)+1, 0)))</f>
        <v>47472</v>
      </c>
      <c r="F1009" s="23">
        <f t="shared" si="197"/>
        <v>3.8329911019849416</v>
      </c>
      <c r="G1009" s="5">
        <f>INDEX('Default Prob'!$P$5:$P$14,MIN(1+_xlfn.IFNA(MATCH(F1009,'Default Prob'!$F$5:$F$14,1),0),COUNT('Default Prob'!$P$5:$P$14)))</f>
        <v>2.3050976347889798E-2</v>
      </c>
      <c r="H1009" s="5">
        <f t="shared" si="206"/>
        <v>0.91992993232497866</v>
      </c>
      <c r="I1009" s="24">
        <f t="shared" si="207"/>
        <v>1.7418719212169975E-4</v>
      </c>
      <c r="J1009" s="25">
        <f>INDEX('Default Prob'!$C$3:$C$13, _xlfn.IFNA(MATCH(F1009, 'Default Prob'!$B$3:$B$13, 1), 1))</f>
        <v>1.8499999999999999E-2</v>
      </c>
      <c r="K1009" s="26">
        <f t="shared" si="198"/>
        <v>0.93214919758441928</v>
      </c>
      <c r="L1009" s="27">
        <f t="shared" ca="1" si="199"/>
        <v>0</v>
      </c>
      <c r="M1009" s="27">
        <f t="shared" ca="1" si="200"/>
        <v>1914.2347404872917</v>
      </c>
      <c r="N1009" s="28">
        <f t="shared" ca="1" si="201"/>
        <v>0.31081133036339298</v>
      </c>
      <c r="O1009" s="29">
        <f t="shared" ca="1" si="202"/>
        <v>600000</v>
      </c>
      <c r="P1009" s="30">
        <f t="shared" ca="1" si="203"/>
        <v>97.4210708194353</v>
      </c>
    </row>
    <row r="1010" spans="1:16" x14ac:dyDescent="0.25">
      <c r="A1010" s="3">
        <f t="shared" si="204"/>
        <v>47526</v>
      </c>
      <c r="B1010" s="21">
        <f t="shared" si="195"/>
        <v>36568</v>
      </c>
      <c r="C1010" s="21">
        <f t="shared" si="196"/>
        <v>36605</v>
      </c>
      <c r="D1010" s="1">
        <f t="shared" si="205"/>
        <v>0</v>
      </c>
      <c r="E1010" s="3">
        <f t="array" ref="E1010">INDEX($A$9:A1009, MAX(IF($D$9:D1009=1, ROW(D$9:$D1009)-ROW($D$9)+1, 0)))</f>
        <v>47472</v>
      </c>
      <c r="F1010" s="23">
        <f t="shared" si="197"/>
        <v>3.8357289527720737</v>
      </c>
      <c r="G1010" s="5">
        <f>INDEX('Default Prob'!$P$5:$P$14,MIN(1+_xlfn.IFNA(MATCH(F1010,'Default Prob'!$F$5:$F$14,1),0),COUNT('Default Prob'!$P$5:$P$14)))</f>
        <v>2.3050976347889798E-2</v>
      </c>
      <c r="H1010" s="5">
        <f t="shared" si="206"/>
        <v>0.91987187725587061</v>
      </c>
      <c r="I1010" s="24">
        <f t="shared" si="207"/>
        <v>5.8055069108053914E-5</v>
      </c>
      <c r="J1010" s="25">
        <f>INDEX('Default Prob'!$C$3:$C$13, _xlfn.IFNA(MATCH(F1010, 'Default Prob'!$B$3:$B$13, 1), 1))</f>
        <v>1.8499999999999999E-2</v>
      </c>
      <c r="K1010" s="26">
        <f t="shared" si="198"/>
        <v>0.93210241659115201</v>
      </c>
      <c r="L1010" s="27">
        <f t="shared" ca="1" si="199"/>
        <v>0</v>
      </c>
      <c r="M1010" s="27">
        <f t="shared" ca="1" si="200"/>
        <v>1950.3523771002592</v>
      </c>
      <c r="N1010" s="28">
        <f t="shared" ca="1" si="201"/>
        <v>0.1055399451886601</v>
      </c>
      <c r="O1010" s="29">
        <f t="shared" ca="1" si="202"/>
        <v>600000</v>
      </c>
      <c r="P1010" s="30">
        <f t="shared" ca="1" si="203"/>
        <v>32.467962126590031</v>
      </c>
    </row>
    <row r="1011" spans="1:16" x14ac:dyDescent="0.25">
      <c r="A1011" s="3">
        <f t="shared" si="204"/>
        <v>47527</v>
      </c>
      <c r="B1011" s="21">
        <f t="shared" si="195"/>
        <v>36569</v>
      </c>
      <c r="C1011" s="21">
        <f t="shared" si="196"/>
        <v>36605</v>
      </c>
      <c r="D1011" s="1">
        <f t="shared" si="205"/>
        <v>0</v>
      </c>
      <c r="E1011" s="3">
        <f t="array" ref="E1011">INDEX($A$9:A1010, MAX(IF($D$9:D1010=1, ROW(D$9:$D1010)-ROW($D$9)+1, 0)))</f>
        <v>47472</v>
      </c>
      <c r="F1011" s="23">
        <f t="shared" si="197"/>
        <v>3.8384668035592062</v>
      </c>
      <c r="G1011" s="5">
        <f>INDEX('Default Prob'!$P$5:$P$14,MIN(1+_xlfn.IFNA(MATCH(F1011,'Default Prob'!$F$5:$F$14,1),0),COUNT('Default Prob'!$P$5:$P$14)))</f>
        <v>2.3050976347889798E-2</v>
      </c>
      <c r="H1011" s="5">
        <f t="shared" si="206"/>
        <v>0.91981382585051019</v>
      </c>
      <c r="I1011" s="24">
        <f t="shared" si="207"/>
        <v>5.8051405360415309E-5</v>
      </c>
      <c r="J1011" s="25">
        <f>INDEX('Default Prob'!$C$3:$C$13, _xlfn.IFNA(MATCH(F1011, 'Default Prob'!$B$3:$B$13, 1), 1))</f>
        <v>1.8499999999999999E-2</v>
      </c>
      <c r="K1011" s="26">
        <f t="shared" si="198"/>
        <v>0.93205563794564339</v>
      </c>
      <c r="L1011" s="27">
        <f t="shared" ca="1" si="199"/>
        <v>0</v>
      </c>
      <c r="M1011" s="27">
        <f t="shared" ca="1" si="200"/>
        <v>1986.4700137132272</v>
      </c>
      <c r="N1011" s="28">
        <f t="shared" ca="1" si="201"/>
        <v>0.10748221045611248</v>
      </c>
      <c r="O1011" s="29">
        <f t="shared" ca="1" si="202"/>
        <v>600000</v>
      </c>
      <c r="P1011" s="30">
        <f t="shared" ca="1" si="203"/>
        <v>32.464283794105818</v>
      </c>
    </row>
    <row r="1012" spans="1:16" x14ac:dyDescent="0.25">
      <c r="A1012" s="3">
        <f t="shared" si="204"/>
        <v>47528</v>
      </c>
      <c r="B1012" s="21">
        <f t="shared" si="195"/>
        <v>36570</v>
      </c>
      <c r="C1012" s="21">
        <f t="shared" si="196"/>
        <v>36605</v>
      </c>
      <c r="D1012" s="1">
        <f t="shared" si="205"/>
        <v>0</v>
      </c>
      <c r="E1012" s="3">
        <f t="array" ref="E1012">INDEX($A$9:A1011, MAX(IF($D$9:D1011=1, ROW(D$9:$D1011)-ROW($D$9)+1, 0)))</f>
        <v>47472</v>
      </c>
      <c r="F1012" s="23">
        <f t="shared" si="197"/>
        <v>3.8412046543463383</v>
      </c>
      <c r="G1012" s="5">
        <f>INDEX('Default Prob'!$P$5:$P$14,MIN(1+_xlfn.IFNA(MATCH(F1012,'Default Prob'!$F$5:$F$14,1),0),COUNT('Default Prob'!$P$5:$P$14)))</f>
        <v>2.3050976347889798E-2</v>
      </c>
      <c r="H1012" s="5">
        <f t="shared" si="206"/>
        <v>0.91975577810866604</v>
      </c>
      <c r="I1012" s="24">
        <f t="shared" si="207"/>
        <v>5.8047741844147183E-5</v>
      </c>
      <c r="J1012" s="25">
        <f>INDEX('Default Prob'!$C$3:$C$13, _xlfn.IFNA(MATCH(F1012, 'Default Prob'!$B$3:$B$13, 1), 1))</f>
        <v>1.8499999999999999E-2</v>
      </c>
      <c r="K1012" s="26">
        <f t="shared" si="198"/>
        <v>0.93200886164777563</v>
      </c>
      <c r="L1012" s="27">
        <f t="shared" ca="1" si="199"/>
        <v>0</v>
      </c>
      <c r="M1012" s="27">
        <f t="shared" ca="1" si="200"/>
        <v>2022.587650326195</v>
      </c>
      <c r="N1012" s="28">
        <f t="shared" ca="1" si="201"/>
        <v>0.10942403428637257</v>
      </c>
      <c r="O1012" s="29">
        <f t="shared" ca="1" si="202"/>
        <v>600000</v>
      </c>
      <c r="P1012" s="30">
        <f t="shared" ca="1" si="203"/>
        <v>32.460605878432538</v>
      </c>
    </row>
    <row r="1013" spans="1:16" x14ac:dyDescent="0.25">
      <c r="A1013" s="3">
        <f t="shared" si="204"/>
        <v>47529</v>
      </c>
      <c r="B1013" s="21">
        <f t="shared" si="195"/>
        <v>36571</v>
      </c>
      <c r="C1013" s="21">
        <f t="shared" si="196"/>
        <v>36605</v>
      </c>
      <c r="D1013" s="1">
        <f t="shared" si="205"/>
        <v>0</v>
      </c>
      <c r="E1013" s="3">
        <f t="array" ref="E1013">INDEX($A$9:A1012, MAX(IF($D$9:D1012=1, ROW(D$9:$D1012)-ROW($D$9)+1, 0)))</f>
        <v>47472</v>
      </c>
      <c r="F1013" s="23">
        <f t="shared" si="197"/>
        <v>3.8439425051334704</v>
      </c>
      <c r="G1013" s="5">
        <f>INDEX('Default Prob'!$P$5:$P$14,MIN(1+_xlfn.IFNA(MATCH(F1013,'Default Prob'!$F$5:$F$14,1),0),COUNT('Default Prob'!$P$5:$P$14)))</f>
        <v>2.3050976347889798E-2</v>
      </c>
      <c r="H1013" s="5">
        <f t="shared" si="206"/>
        <v>0.91969773403010713</v>
      </c>
      <c r="I1013" s="24">
        <f t="shared" si="207"/>
        <v>5.8044078558916468E-5</v>
      </c>
      <c r="J1013" s="25">
        <f>INDEX('Default Prob'!$C$3:$C$13, _xlfn.IFNA(MATCH(F1013, 'Default Prob'!$B$3:$B$13, 1), 1))</f>
        <v>1.8499999999999999E-2</v>
      </c>
      <c r="K1013" s="26">
        <f t="shared" si="198"/>
        <v>0.93196208769743094</v>
      </c>
      <c r="L1013" s="27">
        <f t="shared" ca="1" si="199"/>
        <v>0</v>
      </c>
      <c r="M1013" s="27">
        <f t="shared" ca="1" si="200"/>
        <v>2058.7052869391628</v>
      </c>
      <c r="N1013" s="28">
        <f t="shared" ca="1" si="201"/>
        <v>0.11136541675393846</v>
      </c>
      <c r="O1013" s="29">
        <f t="shared" ca="1" si="202"/>
        <v>600000</v>
      </c>
      <c r="P1013" s="30">
        <f t="shared" ca="1" si="203"/>
        <v>32.456928379344888</v>
      </c>
    </row>
    <row r="1014" spans="1:16" x14ac:dyDescent="0.25">
      <c r="A1014" s="3">
        <f t="shared" si="204"/>
        <v>47532</v>
      </c>
      <c r="B1014" s="21">
        <f t="shared" si="195"/>
        <v>36574</v>
      </c>
      <c r="C1014" s="21">
        <f t="shared" si="196"/>
        <v>36605</v>
      </c>
      <c r="D1014" s="1">
        <f t="shared" si="205"/>
        <v>0</v>
      </c>
      <c r="E1014" s="3">
        <f t="array" ref="E1014">INDEX($A$9:A1013, MAX(IF($D$9:D1013=1, ROW(D$9:$D1013)-ROW($D$9)+1, 0)))</f>
        <v>47472</v>
      </c>
      <c r="F1014" s="23">
        <f t="shared" si="197"/>
        <v>3.8521560574948666</v>
      </c>
      <c r="G1014" s="5">
        <f>INDEX('Default Prob'!$P$5:$P$14,MIN(1+_xlfn.IFNA(MATCH(F1014,'Default Prob'!$F$5:$F$14,1),0),COUNT('Default Prob'!$P$5:$P$14)))</f>
        <v>2.3050976347889798E-2</v>
      </c>
      <c r="H1014" s="5">
        <f t="shared" si="206"/>
        <v>0.9195236237718295</v>
      </c>
      <c r="I1014" s="24">
        <f t="shared" si="207"/>
        <v>1.7411025827762661E-4</v>
      </c>
      <c r="J1014" s="25">
        <f>INDEX('Default Prob'!$C$3:$C$13, _xlfn.IFNA(MATCH(F1014, 'Default Prob'!$B$3:$B$13, 1), 1))</f>
        <v>1.8499999999999999E-2</v>
      </c>
      <c r="K1014" s="26">
        <f t="shared" si="198"/>
        <v>0.93182177993035642</v>
      </c>
      <c r="L1014" s="27">
        <f t="shared" ca="1" si="199"/>
        <v>0</v>
      </c>
      <c r="M1014" s="27">
        <f t="shared" ca="1" si="200"/>
        <v>2167.0581967780658</v>
      </c>
      <c r="N1014" s="28">
        <f t="shared" ca="1" si="201"/>
        <v>0.3515829384133789</v>
      </c>
      <c r="O1014" s="29">
        <f t="shared" ca="1" si="202"/>
        <v>600000</v>
      </c>
      <c r="P1014" s="30">
        <f t="shared" ca="1" si="203"/>
        <v>97.343838463435262</v>
      </c>
    </row>
    <row r="1015" spans="1:16" x14ac:dyDescent="0.25">
      <c r="A1015" s="3">
        <f t="shared" si="204"/>
        <v>47533</v>
      </c>
      <c r="B1015" s="21">
        <f t="shared" si="195"/>
        <v>36575</v>
      </c>
      <c r="C1015" s="21">
        <f t="shared" si="196"/>
        <v>36605</v>
      </c>
      <c r="D1015" s="1">
        <f t="shared" si="205"/>
        <v>0</v>
      </c>
      <c r="E1015" s="3">
        <f t="array" ref="E1015">INDEX($A$9:A1014, MAX(IF($D$9:D1014=1, ROW(D$9:$D1014)-ROW($D$9)+1, 0)))</f>
        <v>47472</v>
      </c>
      <c r="F1015" s="23">
        <f t="shared" si="197"/>
        <v>3.8548939082819986</v>
      </c>
      <c r="G1015" s="5">
        <f>INDEX('Default Prob'!$P$5:$P$14,MIN(1+_xlfn.IFNA(MATCH(F1015,'Default Prob'!$F$5:$F$14,1),0),COUNT('Default Prob'!$P$5:$P$14)))</f>
        <v>2.3050976347889798E-2</v>
      </c>
      <c r="H1015" s="5">
        <f t="shared" si="206"/>
        <v>0.91946559434409947</v>
      </c>
      <c r="I1015" s="24">
        <f t="shared" si="207"/>
        <v>5.8029427730033056E-5</v>
      </c>
      <c r="J1015" s="25">
        <f>INDEX('Default Prob'!$C$3:$C$13, _xlfn.IFNA(MATCH(F1015, 'Default Prob'!$B$3:$B$13, 1), 1))</f>
        <v>1.8499999999999999E-2</v>
      </c>
      <c r="K1015" s="26">
        <f t="shared" si="198"/>
        <v>0.9317750153689256</v>
      </c>
      <c r="L1015" s="27">
        <f t="shared" ca="1" si="199"/>
        <v>0</v>
      </c>
      <c r="M1015" s="27">
        <f t="shared" ca="1" si="200"/>
        <v>2203.1758333910338</v>
      </c>
      <c r="N1015" s="28">
        <f t="shared" ca="1" si="201"/>
        <v>0.11912653450242075</v>
      </c>
      <c r="O1015" s="29">
        <f t="shared" ca="1" si="202"/>
        <v>600000</v>
      </c>
      <c r="P1015" s="30">
        <f t="shared" ca="1" si="203"/>
        <v>32.442222549000903</v>
      </c>
    </row>
    <row r="1016" spans="1:16" x14ac:dyDescent="0.25">
      <c r="A1016" s="3">
        <f t="shared" si="204"/>
        <v>47534</v>
      </c>
      <c r="B1016" s="21">
        <f t="shared" si="195"/>
        <v>36576</v>
      </c>
      <c r="C1016" s="21">
        <f t="shared" si="196"/>
        <v>36605</v>
      </c>
      <c r="D1016" s="1">
        <f t="shared" si="205"/>
        <v>0</v>
      </c>
      <c r="E1016" s="3">
        <f t="array" ref="E1016">INDEX($A$9:A1015, MAX(IF($D$9:D1015=1, ROW(D$9:$D1015)-ROW($D$9)+1, 0)))</f>
        <v>47472</v>
      </c>
      <c r="F1016" s="23">
        <f t="shared" si="197"/>
        <v>3.8576317590691307</v>
      </c>
      <c r="G1016" s="5">
        <f>INDEX('Default Prob'!$P$5:$P$14,MIN(1+_xlfn.IFNA(MATCH(F1016,'Default Prob'!$F$5:$F$14,1),0),COUNT('Default Prob'!$P$5:$P$14)))</f>
        <v>2.3050976347889798E-2</v>
      </c>
      <c r="H1016" s="5">
        <f t="shared" si="206"/>
        <v>0.91940756857849881</v>
      </c>
      <c r="I1016" s="24">
        <f t="shared" si="207"/>
        <v>5.8025765600655532E-5</v>
      </c>
      <c r="J1016" s="25">
        <f>INDEX('Default Prob'!$C$3:$C$13, _xlfn.IFNA(MATCH(F1016, 'Default Prob'!$B$3:$B$13, 1), 1))</f>
        <v>1.8499999999999999E-2</v>
      </c>
      <c r="K1016" s="26">
        <f t="shared" si="198"/>
        <v>0.93172825315442864</v>
      </c>
      <c r="L1016" s="27">
        <f t="shared" ca="1" si="199"/>
        <v>0</v>
      </c>
      <c r="M1016" s="27">
        <f t="shared" ca="1" si="200"/>
        <v>2239.2934700040018</v>
      </c>
      <c r="N1016" s="28">
        <f t="shared" ca="1" si="201"/>
        <v>0.12106571128418588</v>
      </c>
      <c r="O1016" s="29">
        <f t="shared" ca="1" si="202"/>
        <v>600000</v>
      </c>
      <c r="P1016" s="30">
        <f t="shared" ca="1" si="203"/>
        <v>32.438547132628266</v>
      </c>
    </row>
    <row r="1017" spans="1:16" x14ac:dyDescent="0.25">
      <c r="A1017" s="3">
        <f t="shared" si="204"/>
        <v>47535</v>
      </c>
      <c r="B1017" s="21">
        <f t="shared" si="195"/>
        <v>36577</v>
      </c>
      <c r="C1017" s="21">
        <f t="shared" si="196"/>
        <v>36605</v>
      </c>
      <c r="D1017" s="1">
        <f t="shared" si="205"/>
        <v>0</v>
      </c>
      <c r="E1017" s="3">
        <f t="array" ref="E1017">INDEX($A$9:A1016, MAX(IF($D$9:D1016=1, ROW(D$9:$D1016)-ROW($D$9)+1, 0)))</f>
        <v>47472</v>
      </c>
      <c r="F1017" s="23">
        <f t="shared" si="197"/>
        <v>3.8603696098562628</v>
      </c>
      <c r="G1017" s="5">
        <f>INDEX('Default Prob'!$P$5:$P$14,MIN(1+_xlfn.IFNA(MATCH(F1017,'Default Prob'!$F$5:$F$14,1),0),COUNT('Default Prob'!$P$5:$P$14)))</f>
        <v>2.3050976347889798E-2</v>
      </c>
      <c r="H1017" s="5">
        <f t="shared" si="206"/>
        <v>0.9193495464747965</v>
      </c>
      <c r="I1017" s="24">
        <f t="shared" si="207"/>
        <v>5.802210370231542E-5</v>
      </c>
      <c r="J1017" s="25">
        <f>INDEX('Default Prob'!$C$3:$C$13, _xlfn.IFNA(MATCH(F1017, 'Default Prob'!$B$3:$B$13, 1), 1))</f>
        <v>1.8499999999999999E-2</v>
      </c>
      <c r="K1017" s="26">
        <f t="shared" si="198"/>
        <v>0.93168149328674799</v>
      </c>
      <c r="L1017" s="27">
        <f t="shared" ca="1" si="199"/>
        <v>0</v>
      </c>
      <c r="M1017" s="27">
        <f t="shared" ca="1" si="200"/>
        <v>2275.4111066169694</v>
      </c>
      <c r="N1017" s="28">
        <f t="shared" ca="1" si="201"/>
        <v>0.12300444715372559</v>
      </c>
      <c r="O1017" s="29">
        <f t="shared" ca="1" si="202"/>
        <v>600000</v>
      </c>
      <c r="P1017" s="30">
        <f t="shared" ca="1" si="203"/>
        <v>32.434872132607069</v>
      </c>
    </row>
    <row r="1018" spans="1:16" x14ac:dyDescent="0.25">
      <c r="A1018" s="3">
        <f t="shared" si="204"/>
        <v>47536</v>
      </c>
      <c r="B1018" s="21">
        <f t="shared" si="195"/>
        <v>36578</v>
      </c>
      <c r="C1018" s="21">
        <f t="shared" si="196"/>
        <v>36605</v>
      </c>
      <c r="D1018" s="1">
        <f t="shared" si="205"/>
        <v>0</v>
      </c>
      <c r="E1018" s="3">
        <f t="array" ref="E1018">INDEX($A$9:A1017, MAX(IF($D$9:D1017=1, ROW(D$9:$D1017)-ROW($D$9)+1, 0)))</f>
        <v>47472</v>
      </c>
      <c r="F1018" s="23">
        <f t="shared" si="197"/>
        <v>3.8631074606433948</v>
      </c>
      <c r="G1018" s="5">
        <f>INDEX('Default Prob'!$P$5:$P$14,MIN(1+_xlfn.IFNA(MATCH(F1018,'Default Prob'!$F$5:$F$14,1),0),COUNT('Default Prob'!$P$5:$P$14)))</f>
        <v>2.3050976347889798E-2</v>
      </c>
      <c r="H1018" s="5">
        <f t="shared" si="206"/>
        <v>0.91929152803276137</v>
      </c>
      <c r="I1018" s="24">
        <f t="shared" si="207"/>
        <v>5.8018442035123741E-5</v>
      </c>
      <c r="J1018" s="25">
        <f>INDEX('Default Prob'!$C$3:$C$13, _xlfn.IFNA(MATCH(F1018, 'Default Prob'!$B$3:$B$13, 1), 1))</f>
        <v>1.8499999999999999E-2</v>
      </c>
      <c r="K1018" s="26">
        <f t="shared" si="198"/>
        <v>0.93163473576576572</v>
      </c>
      <c r="L1018" s="27">
        <f t="shared" ca="1" si="199"/>
        <v>0</v>
      </c>
      <c r="M1018" s="27">
        <f t="shared" ca="1" si="200"/>
        <v>2311.5287432299369</v>
      </c>
      <c r="N1018" s="28">
        <f t="shared" ca="1" si="201"/>
        <v>0.12494274218631683</v>
      </c>
      <c r="O1018" s="29">
        <f t="shared" ca="1" si="202"/>
        <v>600000</v>
      </c>
      <c r="P1018" s="30">
        <f t="shared" ca="1" si="203"/>
        <v>32.431197548960341</v>
      </c>
    </row>
    <row r="1019" spans="1:16" x14ac:dyDescent="0.25">
      <c r="A1019" s="3">
        <f t="shared" si="204"/>
        <v>47539</v>
      </c>
      <c r="B1019" s="21">
        <f t="shared" si="195"/>
        <v>36581</v>
      </c>
      <c r="C1019" s="21">
        <f t="shared" si="196"/>
        <v>36605</v>
      </c>
      <c r="D1019" s="1">
        <f t="shared" si="205"/>
        <v>0</v>
      </c>
      <c r="E1019" s="3">
        <f t="array" ref="E1019">INDEX($A$9:A1018, MAX(IF($D$9:D1018=1, ROW(D$9:$D1018)-ROW($D$9)+1, 0)))</f>
        <v>47472</v>
      </c>
      <c r="F1019" s="23">
        <f t="shared" si="197"/>
        <v>3.871321013004791</v>
      </c>
      <c r="G1019" s="5">
        <f>INDEX('Default Prob'!$P$5:$P$14,MIN(1+_xlfn.IFNA(MATCH(F1019,'Default Prob'!$F$5:$F$14,1),0),COUNT('Default Prob'!$P$5:$P$14)))</f>
        <v>2.3050976347889798E-2</v>
      </c>
      <c r="H1019" s="5">
        <f t="shared" si="206"/>
        <v>0.91911749467434822</v>
      </c>
      <c r="I1019" s="24">
        <f t="shared" si="207"/>
        <v>1.7403335841315037E-4</v>
      </c>
      <c r="J1019" s="25">
        <f>INDEX('Default Prob'!$C$3:$C$13, _xlfn.IFNA(MATCH(F1019, 'Default Prob'!$B$3:$B$13, 1), 1))</f>
        <v>1.8499999999999999E-2</v>
      </c>
      <c r="K1019" s="26">
        <f t="shared" si="198"/>
        <v>0.93149447728183188</v>
      </c>
      <c r="L1019" s="27">
        <f t="shared" ca="1" si="199"/>
        <v>0</v>
      </c>
      <c r="M1019" s="27">
        <f t="shared" ca="1" si="200"/>
        <v>2419.8816530688405</v>
      </c>
      <c r="N1019" s="28">
        <f t="shared" ca="1" si="201"/>
        <v>0.39228970623103665</v>
      </c>
      <c r="O1019" s="29">
        <f t="shared" ca="1" si="202"/>
        <v>600000</v>
      </c>
      <c r="P1019" s="30">
        <f t="shared" ca="1" si="203"/>
        <v>97.266667334795514</v>
      </c>
    </row>
    <row r="1020" spans="1:16" x14ac:dyDescent="0.25">
      <c r="A1020" s="3">
        <f t="shared" si="204"/>
        <v>47540</v>
      </c>
      <c r="B1020" s="21">
        <f t="shared" si="195"/>
        <v>36582</v>
      </c>
      <c r="C1020" s="21">
        <f t="shared" si="196"/>
        <v>36605</v>
      </c>
      <c r="D1020" s="1">
        <f t="shared" si="205"/>
        <v>0</v>
      </c>
      <c r="E1020" s="3">
        <f t="array" ref="E1020">INDEX($A$9:A1019, MAX(IF($D$9:D1019=1, ROW(D$9:$D1019)-ROW($D$9)+1, 0)))</f>
        <v>47472</v>
      </c>
      <c r="F1020" s="23">
        <f t="shared" si="197"/>
        <v>3.8740588637919235</v>
      </c>
      <c r="G1020" s="5">
        <f>INDEX('Default Prob'!$P$5:$P$14,MIN(1+_xlfn.IFNA(MATCH(F1020,'Default Prob'!$F$5:$F$14,1),0),COUNT('Default Prob'!$P$5:$P$14)))</f>
        <v>2.3050976347889798E-2</v>
      </c>
      <c r="H1020" s="5">
        <f t="shared" si="206"/>
        <v>0.91905949087667105</v>
      </c>
      <c r="I1020" s="24">
        <f t="shared" si="207"/>
        <v>5.8003797677175228E-5</v>
      </c>
      <c r="J1020" s="25">
        <f>INDEX('Default Prob'!$C$3:$C$13, _xlfn.IFNA(MATCH(F1020, 'Default Prob'!$B$3:$B$13, 1), 1))</f>
        <v>1.8499999999999999E-2</v>
      </c>
      <c r="K1020" s="26">
        <f t="shared" si="198"/>
        <v>0.93144772914646556</v>
      </c>
      <c r="L1020" s="27">
        <f t="shared" ca="1" si="199"/>
        <v>0</v>
      </c>
      <c r="M1020" s="27">
        <f t="shared" ca="1" si="200"/>
        <v>2455.9992896818085</v>
      </c>
      <c r="N1020" s="28">
        <f t="shared" ca="1" si="201"/>
        <v>0.13269151544632554</v>
      </c>
      <c r="O1020" s="29">
        <f t="shared" ca="1" si="202"/>
        <v>600000</v>
      </c>
      <c r="P1020" s="30">
        <f t="shared" ca="1" si="203"/>
        <v>32.416503376965544</v>
      </c>
    </row>
    <row r="1021" spans="1:16" x14ac:dyDescent="0.25">
      <c r="A1021" s="3">
        <f t="shared" si="204"/>
        <v>47541</v>
      </c>
      <c r="B1021" s="21">
        <f t="shared" si="195"/>
        <v>36583</v>
      </c>
      <c r="C1021" s="21">
        <f t="shared" si="196"/>
        <v>36605</v>
      </c>
      <c r="D1021" s="1">
        <f t="shared" si="205"/>
        <v>0</v>
      </c>
      <c r="E1021" s="3">
        <f t="array" ref="E1021">INDEX($A$9:A1020, MAX(IF($D$9:D1020=1, ROW(D$9:$D1020)-ROW($D$9)+1, 0)))</f>
        <v>47472</v>
      </c>
      <c r="F1021" s="23">
        <f t="shared" si="197"/>
        <v>3.8767967145790556</v>
      </c>
      <c r="G1021" s="5">
        <f>INDEX('Default Prob'!$P$5:$P$14,MIN(1+_xlfn.IFNA(MATCH(F1021,'Default Prob'!$F$5:$F$14,1),0),COUNT('Default Prob'!$P$5:$P$14)))</f>
        <v>2.3050976347889798E-2</v>
      </c>
      <c r="H1021" s="5">
        <f t="shared" si="206"/>
        <v>0.91900149073950588</v>
      </c>
      <c r="I1021" s="24">
        <f t="shared" si="207"/>
        <v>5.8000137165170607E-5</v>
      </c>
      <c r="J1021" s="25">
        <f>INDEX('Default Prob'!$C$3:$C$13, _xlfn.IFNA(MATCH(F1021, 'Default Prob'!$B$3:$B$13, 1), 1))</f>
        <v>1.8499999999999999E-2</v>
      </c>
      <c r="K1021" s="26">
        <f t="shared" si="198"/>
        <v>0.931400983357209</v>
      </c>
      <c r="L1021" s="27">
        <f t="shared" ca="1" si="199"/>
        <v>0</v>
      </c>
      <c r="M1021" s="27">
        <f t="shared" ca="1" si="200"/>
        <v>2492.116926294776</v>
      </c>
      <c r="N1021" s="28">
        <f t="shared" ca="1" si="201"/>
        <v>0.13462760741827054</v>
      </c>
      <c r="O1021" s="29">
        <f t="shared" ca="1" si="202"/>
        <v>600000</v>
      </c>
      <c r="P1021" s="30">
        <f t="shared" ca="1" si="203"/>
        <v>32.412830874295743</v>
      </c>
    </row>
    <row r="1022" spans="1:16" x14ac:dyDescent="0.25">
      <c r="A1022" s="3">
        <f t="shared" si="204"/>
        <v>47542</v>
      </c>
      <c r="B1022" s="21">
        <f t="shared" si="195"/>
        <v>36584</v>
      </c>
      <c r="C1022" s="21">
        <f t="shared" si="196"/>
        <v>36605</v>
      </c>
      <c r="D1022" s="1">
        <f t="shared" si="205"/>
        <v>0</v>
      </c>
      <c r="E1022" s="3">
        <f t="array" ref="E1022">INDEX($A$9:A1021, MAX(IF($D$9:D1021=1, ROW(D$9:$D1021)-ROW($D$9)+1, 0)))</f>
        <v>47472</v>
      </c>
      <c r="F1022" s="23">
        <f t="shared" si="197"/>
        <v>3.8795345653661877</v>
      </c>
      <c r="G1022" s="5">
        <f>INDEX('Default Prob'!$P$5:$P$14,MIN(1+_xlfn.IFNA(MATCH(F1022,'Default Prob'!$F$5:$F$14,1),0),COUNT('Default Prob'!$P$5:$P$14)))</f>
        <v>2.3050976347889798E-2</v>
      </c>
      <c r="H1022" s="5">
        <f t="shared" si="206"/>
        <v>0.91894349426262156</v>
      </c>
      <c r="I1022" s="24">
        <f t="shared" si="207"/>
        <v>5.7996476884314418E-5</v>
      </c>
      <c r="J1022" s="25">
        <f>INDEX('Default Prob'!$C$3:$C$13, _xlfn.IFNA(MATCH(F1022, 'Default Prob'!$B$3:$B$13, 1), 1))</f>
        <v>1.8499999999999999E-2</v>
      </c>
      <c r="K1022" s="26">
        <f t="shared" si="198"/>
        <v>0.93135423991394428</v>
      </c>
      <c r="L1022" s="27">
        <f t="shared" ca="1" si="199"/>
        <v>0</v>
      </c>
      <c r="M1022" s="27">
        <f t="shared" ca="1" si="200"/>
        <v>2528.2345629077436</v>
      </c>
      <c r="N1022" s="28">
        <f t="shared" ca="1" si="201"/>
        <v>0.13656325900332697</v>
      </c>
      <c r="O1022" s="29">
        <f t="shared" ca="1" si="202"/>
        <v>600000</v>
      </c>
      <c r="P1022" s="30">
        <f t="shared" ca="1" si="203"/>
        <v>32.40915878776638</v>
      </c>
    </row>
    <row r="1023" spans="1:16" x14ac:dyDescent="0.25">
      <c r="A1023" s="3">
        <f t="shared" si="204"/>
        <v>47543</v>
      </c>
      <c r="B1023" s="21">
        <f t="shared" si="195"/>
        <v>36586</v>
      </c>
      <c r="C1023" s="21">
        <f t="shared" si="196"/>
        <v>36605</v>
      </c>
      <c r="D1023" s="1">
        <f t="shared" si="205"/>
        <v>0</v>
      </c>
      <c r="E1023" s="3">
        <f t="array" ref="E1023">INDEX($A$9:A1022, MAX(IF($D$9:D1022=1, ROW(D$9:$D1022)-ROW($D$9)+1, 0)))</f>
        <v>47472</v>
      </c>
      <c r="F1023" s="23">
        <f t="shared" si="197"/>
        <v>3.8822724161533197</v>
      </c>
      <c r="G1023" s="5">
        <f>INDEX('Default Prob'!$P$5:$P$14,MIN(1+_xlfn.IFNA(MATCH(F1023,'Default Prob'!$F$5:$F$14,1),0),COUNT('Default Prob'!$P$5:$P$14)))</f>
        <v>2.3050976347889798E-2</v>
      </c>
      <c r="H1023" s="5">
        <f t="shared" si="206"/>
        <v>0.91888550144578718</v>
      </c>
      <c r="I1023" s="24">
        <f t="shared" si="207"/>
        <v>5.799281683438462E-5</v>
      </c>
      <c r="J1023" s="25">
        <f>INDEX('Default Prob'!$C$3:$C$13, _xlfn.IFNA(MATCH(F1023, 'Default Prob'!$B$3:$B$13, 1), 1))</f>
        <v>1.8499999999999999E-2</v>
      </c>
      <c r="K1023" s="26">
        <f t="shared" si="198"/>
        <v>0.93130749881655372</v>
      </c>
      <c r="L1023" s="27">
        <f t="shared" ca="1" si="199"/>
        <v>0</v>
      </c>
      <c r="M1023" s="27">
        <f t="shared" ca="1" si="200"/>
        <v>2564.3521995207116</v>
      </c>
      <c r="N1023" s="28">
        <f t="shared" ca="1" si="201"/>
        <v>0.13849847027594789</v>
      </c>
      <c r="O1023" s="29">
        <f t="shared" ca="1" si="202"/>
        <v>600000</v>
      </c>
      <c r="P1023" s="30">
        <f t="shared" ca="1" si="203"/>
        <v>32.405487117214363</v>
      </c>
    </row>
    <row r="1024" spans="1:16" x14ac:dyDescent="0.25">
      <c r="A1024" s="3">
        <f t="shared" si="204"/>
        <v>47546</v>
      </c>
      <c r="B1024" s="21">
        <f t="shared" si="195"/>
        <v>36589</v>
      </c>
      <c r="C1024" s="21">
        <f t="shared" si="196"/>
        <v>36605</v>
      </c>
      <c r="D1024" s="1">
        <f t="shared" si="205"/>
        <v>0</v>
      </c>
      <c r="E1024" s="3">
        <f t="array" ref="E1024">INDEX($A$9:A1023, MAX(IF($D$9:D1023=1, ROW(D$9:$D1023)-ROW($D$9)+1, 0)))</f>
        <v>47472</v>
      </c>
      <c r="F1024" s="23">
        <f t="shared" si="197"/>
        <v>3.890485968514716</v>
      </c>
      <c r="G1024" s="5">
        <f>INDEX('Default Prob'!$P$5:$P$14,MIN(1+_xlfn.IFNA(MATCH(F1024,'Default Prob'!$F$5:$F$14,1),0),COUNT('Default Prob'!$P$5:$P$14)))</f>
        <v>2.3050976347889798E-2</v>
      </c>
      <c r="H1024" s="5">
        <f t="shared" si="206"/>
        <v>0.9187115449532739</v>
      </c>
      <c r="I1024" s="24">
        <f t="shared" si="207"/>
        <v>1.7395649251328305E-4</v>
      </c>
      <c r="J1024" s="25">
        <f>INDEX('Default Prob'!$C$3:$C$13, _xlfn.IFNA(MATCH(F1024, 'Default Prob'!$B$3:$B$13, 1), 1))</f>
        <v>1.8499999999999999E-2</v>
      </c>
      <c r="K1024" s="26">
        <f t="shared" si="198"/>
        <v>0.93116728959844974</v>
      </c>
      <c r="L1024" s="27">
        <f t="shared" ca="1" si="199"/>
        <v>0</v>
      </c>
      <c r="M1024" s="27">
        <f t="shared" ca="1" si="200"/>
        <v>2672.7051093596151</v>
      </c>
      <c r="N1024" s="28">
        <f t="shared" ca="1" si="201"/>
        <v>0.43293171099876188</v>
      </c>
      <c r="O1024" s="29">
        <f t="shared" ca="1" si="202"/>
        <v>600000</v>
      </c>
      <c r="P1024" s="30">
        <f t="shared" ca="1" si="203"/>
        <v>97.189557384988063</v>
      </c>
    </row>
    <row r="1025" spans="1:16" x14ac:dyDescent="0.25">
      <c r="A1025" s="3">
        <f t="shared" si="204"/>
        <v>47547</v>
      </c>
      <c r="B1025" s="21">
        <f t="shared" si="195"/>
        <v>36590</v>
      </c>
      <c r="C1025" s="21">
        <f t="shared" si="196"/>
        <v>36605</v>
      </c>
      <c r="D1025" s="1">
        <f t="shared" si="205"/>
        <v>0</v>
      </c>
      <c r="E1025" s="3">
        <f t="array" ref="E1025">INDEX($A$9:A1024, MAX(IF($D$9:D1024=1, ROW(D$9:$D1024)-ROW($D$9)+1, 0)))</f>
        <v>47472</v>
      </c>
      <c r="F1025" s="23">
        <f t="shared" si="197"/>
        <v>3.893223819301848</v>
      </c>
      <c r="G1025" s="5">
        <f>INDEX('Default Prob'!$P$5:$P$14,MIN(1+_xlfn.IFNA(MATCH(F1025,'Default Prob'!$F$5:$F$14,1),0),COUNT('Default Prob'!$P$5:$P$14)))</f>
        <v>2.3050976347889798E-2</v>
      </c>
      <c r="H1025" s="5">
        <f t="shared" si="206"/>
        <v>0.91865356677432952</v>
      </c>
      <c r="I1025" s="24">
        <f t="shared" si="207"/>
        <v>5.7978178944373404E-5</v>
      </c>
      <c r="J1025" s="25">
        <f>INDEX('Default Prob'!$C$3:$C$13, _xlfn.IFNA(MATCH(F1025, 'Default Prob'!$B$3:$B$13, 1), 1))</f>
        <v>1.8499999999999999E-2</v>
      </c>
      <c r="K1025" s="26">
        <f t="shared" si="198"/>
        <v>0.93112055788337866</v>
      </c>
      <c r="L1025" s="27">
        <f t="shared" ca="1" si="199"/>
        <v>0</v>
      </c>
      <c r="M1025" s="27">
        <f t="shared" ca="1" si="200"/>
        <v>2708.8227459725827</v>
      </c>
      <c r="N1025" s="28">
        <f t="shared" ca="1" si="201"/>
        <v>0.1462349137420888</v>
      </c>
      <c r="O1025" s="29">
        <f t="shared" ca="1" si="202"/>
        <v>600000</v>
      </c>
      <c r="P1025" s="30">
        <f t="shared" ca="1" si="203"/>
        <v>32.390804594248394</v>
      </c>
    </row>
    <row r="1026" spans="1:16" x14ac:dyDescent="0.25">
      <c r="A1026" s="3">
        <f t="shared" si="204"/>
        <v>47548</v>
      </c>
      <c r="B1026" s="21">
        <f t="shared" si="195"/>
        <v>36591</v>
      </c>
      <c r="C1026" s="21">
        <f t="shared" si="196"/>
        <v>36605</v>
      </c>
      <c r="D1026" s="1">
        <f t="shared" si="205"/>
        <v>0</v>
      </c>
      <c r="E1026" s="3">
        <f t="array" ref="E1026">INDEX($A$9:A1025, MAX(IF($D$9:D1025=1, ROW(D$9:$D1025)-ROW($D$9)+1, 0)))</f>
        <v>47472</v>
      </c>
      <c r="F1026" s="23">
        <f t="shared" si="197"/>
        <v>3.8959616700889801</v>
      </c>
      <c r="G1026" s="5">
        <f>INDEX('Default Prob'!$P$5:$P$14,MIN(1+_xlfn.IFNA(MATCH(F1026,'Default Prob'!$F$5:$F$14,1),0),COUNT('Default Prob'!$P$5:$P$14)))</f>
        <v>2.3050976347889798E-2</v>
      </c>
      <c r="H1026" s="5">
        <f t="shared" si="206"/>
        <v>0.91859559225428034</v>
      </c>
      <c r="I1026" s="24">
        <f t="shared" si="207"/>
        <v>5.7974520049186573E-5</v>
      </c>
      <c r="J1026" s="25">
        <f>INDEX('Default Prob'!$C$3:$C$13, _xlfn.IFNA(MATCH(F1026, 'Default Prob'!$B$3:$B$13, 1), 1))</f>
        <v>1.8499999999999999E-2</v>
      </c>
      <c r="K1026" s="26">
        <f t="shared" si="198"/>
        <v>0.93107382851359288</v>
      </c>
      <c r="L1026" s="27">
        <f t="shared" ca="1" si="199"/>
        <v>0</v>
      </c>
      <c r="M1026" s="27">
        <f t="shared" ca="1" si="200"/>
        <v>2744.9403825855502</v>
      </c>
      <c r="N1026" s="28">
        <f t="shared" ca="1" si="201"/>
        <v>0.14816792457691799</v>
      </c>
      <c r="O1026" s="29">
        <f t="shared" ca="1" si="202"/>
        <v>600000</v>
      </c>
      <c r="P1026" s="30">
        <f t="shared" ca="1" si="203"/>
        <v>32.387135003060514</v>
      </c>
    </row>
    <row r="1027" spans="1:16" x14ac:dyDescent="0.25">
      <c r="A1027" s="3">
        <f t="shared" si="204"/>
        <v>47549</v>
      </c>
      <c r="B1027" s="21">
        <f t="shared" si="195"/>
        <v>36592</v>
      </c>
      <c r="C1027" s="21">
        <f t="shared" si="196"/>
        <v>36605</v>
      </c>
      <c r="D1027" s="1">
        <f t="shared" si="205"/>
        <v>0</v>
      </c>
      <c r="E1027" s="3">
        <f t="array" ref="E1027">INDEX($A$9:A1026, MAX(IF($D$9:D1026=1, ROW(D$9:$D1026)-ROW($D$9)+1, 0)))</f>
        <v>47472</v>
      </c>
      <c r="F1027" s="23">
        <f t="shared" si="197"/>
        <v>3.8986995208761122</v>
      </c>
      <c r="G1027" s="5">
        <f>INDEX('Default Prob'!$P$5:$P$14,MIN(1+_xlfn.IFNA(MATCH(F1027,'Default Prob'!$F$5:$F$14,1),0),COUNT('Default Prob'!$P$5:$P$14)))</f>
        <v>2.3050976347889798E-2</v>
      </c>
      <c r="H1027" s="5">
        <f t="shared" si="206"/>
        <v>0.91853762139289541</v>
      </c>
      <c r="I1027" s="24">
        <f t="shared" si="207"/>
        <v>5.7970861384926131E-5</v>
      </c>
      <c r="J1027" s="25">
        <f>INDEX('Default Prob'!$C$3:$C$13, _xlfn.IFNA(MATCH(F1027, 'Default Prob'!$B$3:$B$13, 1), 1))</f>
        <v>1.8499999999999999E-2</v>
      </c>
      <c r="K1027" s="26">
        <f t="shared" si="198"/>
        <v>0.93102710148897516</v>
      </c>
      <c r="L1027" s="27">
        <f t="shared" ca="1" si="199"/>
        <v>0</v>
      </c>
      <c r="M1027" s="27">
        <f t="shared" ca="1" si="200"/>
        <v>2781.0580191985182</v>
      </c>
      <c r="N1027" s="28">
        <f t="shared" ca="1" si="201"/>
        <v>0.15010049554888849</v>
      </c>
      <c r="O1027" s="29">
        <f t="shared" ca="1" si="202"/>
        <v>600000</v>
      </c>
      <c r="P1027" s="30">
        <f t="shared" ca="1" si="203"/>
        <v>32.383465827616156</v>
      </c>
    </row>
    <row r="1028" spans="1:16" x14ac:dyDescent="0.25">
      <c r="A1028" s="3">
        <f t="shared" si="204"/>
        <v>47550</v>
      </c>
      <c r="B1028" s="21">
        <f t="shared" si="195"/>
        <v>36593</v>
      </c>
      <c r="C1028" s="21">
        <f t="shared" si="196"/>
        <v>36605</v>
      </c>
      <c r="D1028" s="1">
        <f t="shared" si="205"/>
        <v>0</v>
      </c>
      <c r="E1028" s="3">
        <f t="array" ref="E1028">INDEX($A$9:A1027, MAX(IF($D$9:D1027=1, ROW(D$9:$D1027)-ROW($D$9)+1, 0)))</f>
        <v>47472</v>
      </c>
      <c r="F1028" s="23">
        <f t="shared" si="197"/>
        <v>3.9014373716632442</v>
      </c>
      <c r="G1028" s="5">
        <f>INDEX('Default Prob'!$P$5:$P$14,MIN(1+_xlfn.IFNA(MATCH(F1028,'Default Prob'!$F$5:$F$14,1),0),COUNT('Default Prob'!$P$5:$P$14)))</f>
        <v>2.3050976347889798E-2</v>
      </c>
      <c r="H1028" s="5">
        <f t="shared" si="206"/>
        <v>0.91847965418994382</v>
      </c>
      <c r="I1028" s="24">
        <f t="shared" si="207"/>
        <v>5.7967202951592078E-5</v>
      </c>
      <c r="J1028" s="25">
        <f>INDEX('Default Prob'!$C$3:$C$13, _xlfn.IFNA(MATCH(F1028, 'Default Prob'!$B$3:$B$13, 1), 1))</f>
        <v>1.8499999999999999E-2</v>
      </c>
      <c r="K1028" s="26">
        <f t="shared" si="198"/>
        <v>0.93098037680940748</v>
      </c>
      <c r="L1028" s="27">
        <f t="shared" ca="1" si="199"/>
        <v>0</v>
      </c>
      <c r="M1028" s="27">
        <f t="shared" ca="1" si="200"/>
        <v>2817.1756558114857</v>
      </c>
      <c r="N1028" s="28">
        <f t="shared" ca="1" si="201"/>
        <v>0.15203262673289566</v>
      </c>
      <c r="O1028" s="29">
        <f t="shared" ca="1" si="202"/>
        <v>600000</v>
      </c>
      <c r="P1028" s="30">
        <f t="shared" ca="1" si="203"/>
        <v>32.379797067876353</v>
      </c>
    </row>
    <row r="1029" spans="1:16" x14ac:dyDescent="0.25">
      <c r="A1029" s="3">
        <f t="shared" si="204"/>
        <v>47553</v>
      </c>
      <c r="B1029" s="21">
        <f t="shared" si="195"/>
        <v>36596</v>
      </c>
      <c r="C1029" s="21">
        <f t="shared" si="196"/>
        <v>36605</v>
      </c>
      <c r="D1029" s="1">
        <f t="shared" si="205"/>
        <v>0</v>
      </c>
      <c r="E1029" s="3">
        <f t="array" ref="E1029">INDEX($A$9:A1028, MAX(IF($D$9:D1028=1, ROW(D$9:$D1028)-ROW($D$9)+1, 0)))</f>
        <v>47472</v>
      </c>
      <c r="F1029" s="23">
        <f t="shared" si="197"/>
        <v>3.9096509240246409</v>
      </c>
      <c r="G1029" s="5">
        <f>INDEX('Default Prob'!$P$5:$P$14,MIN(1+_xlfn.IFNA(MATCH(F1029,'Default Prob'!$F$5:$F$14,1),0),COUNT('Default Prob'!$P$5:$P$14)))</f>
        <v>2.3050976347889798E-2</v>
      </c>
      <c r="H1029" s="5">
        <f t="shared" si="206"/>
        <v>0.91830577452938078</v>
      </c>
      <c r="I1029" s="24">
        <f t="shared" si="207"/>
        <v>1.7387966056303661E-4</v>
      </c>
      <c r="J1029" s="25">
        <f>INDEX('Default Prob'!$C$3:$C$13, _xlfn.IFNA(MATCH(F1029, 'Default Prob'!$B$3:$B$13, 1), 1))</f>
        <v>1.8499999999999999E-2</v>
      </c>
      <c r="K1029" s="26">
        <f t="shared" si="198"/>
        <v>0.93084021683982887</v>
      </c>
      <c r="L1029" s="27">
        <f t="shared" ca="1" si="199"/>
        <v>0</v>
      </c>
      <c r="M1029" s="27">
        <f t="shared" ca="1" si="200"/>
        <v>2925.5285656503888</v>
      </c>
      <c r="N1029" s="28">
        <f t="shared" ca="1" si="201"/>
        <v>0.47350902981732662</v>
      </c>
      <c r="O1029" s="29">
        <f t="shared" ca="1" si="202"/>
        <v>600000</v>
      </c>
      <c r="P1029" s="30">
        <f t="shared" ca="1" si="203"/>
        <v>97.112508565519704</v>
      </c>
    </row>
    <row r="1030" spans="1:16" x14ac:dyDescent="0.25">
      <c r="A1030" s="3">
        <f t="shared" si="204"/>
        <v>47554</v>
      </c>
      <c r="B1030" s="21">
        <f t="shared" si="195"/>
        <v>36597</v>
      </c>
      <c r="C1030" s="21">
        <f t="shared" si="196"/>
        <v>36605</v>
      </c>
      <c r="D1030" s="1">
        <f t="shared" si="205"/>
        <v>0</v>
      </c>
      <c r="E1030" s="3">
        <f t="array" ref="E1030">INDEX($A$9:A1029, MAX(IF($D$9:D1029=1, ROW(D$9:$D1029)-ROW($D$9)+1, 0)))</f>
        <v>47472</v>
      </c>
      <c r="F1030" s="23">
        <f t="shared" si="197"/>
        <v>3.9123887748117729</v>
      </c>
      <c r="G1030" s="5">
        <f>INDEX('Default Prob'!$P$5:$P$14,MIN(1+_xlfn.IFNA(MATCH(F1030,'Default Prob'!$F$5:$F$14,1),0),COUNT('Default Prob'!$P$5:$P$14)))</f>
        <v>2.3050976347889798E-2</v>
      </c>
      <c r="H1030" s="5">
        <f t="shared" si="206"/>
        <v>0.91824782195785415</v>
      </c>
      <c r="I1030" s="24">
        <f t="shared" si="207"/>
        <v>5.795257152663158E-5</v>
      </c>
      <c r="J1030" s="25">
        <f>INDEX('Default Prob'!$C$3:$C$13, _xlfn.IFNA(MATCH(F1030, 'Default Prob'!$B$3:$B$13, 1), 1))</f>
        <v>1.8499999999999999E-2</v>
      </c>
      <c r="K1030" s="26">
        <f t="shared" si="198"/>
        <v>0.93079350153928486</v>
      </c>
      <c r="L1030" s="27">
        <f t="shared" ca="1" si="199"/>
        <v>0</v>
      </c>
      <c r="M1030" s="27">
        <f t="shared" ca="1" si="200"/>
        <v>2961.6462022633568</v>
      </c>
      <c r="N1030" s="28">
        <f t="shared" ca="1" si="201"/>
        <v>0.15975675508442375</v>
      </c>
      <c r="O1030" s="29">
        <f t="shared" ca="1" si="202"/>
        <v>600000</v>
      </c>
      <c r="P1030" s="30">
        <f t="shared" ca="1" si="203"/>
        <v>32.365126184687561</v>
      </c>
    </row>
    <row r="1031" spans="1:16" x14ac:dyDescent="0.25">
      <c r="A1031" s="3">
        <f t="shared" si="204"/>
        <v>47555</v>
      </c>
      <c r="B1031" s="21">
        <f t="shared" si="195"/>
        <v>36598</v>
      </c>
      <c r="C1031" s="21">
        <f t="shared" si="196"/>
        <v>36605</v>
      </c>
      <c r="D1031" s="1">
        <f t="shared" si="205"/>
        <v>0</v>
      </c>
      <c r="E1031" s="3">
        <f t="array" ref="E1031">INDEX($A$9:A1030, MAX(IF($D$9:D1030=1, ROW(D$9:$D1030)-ROW($D$9)+1, 0)))</f>
        <v>47472</v>
      </c>
      <c r="F1031" s="23">
        <f t="shared" si="197"/>
        <v>3.915126625598905</v>
      </c>
      <c r="G1031" s="5">
        <f>INDEX('Default Prob'!$P$5:$P$14,MIN(1+_xlfn.IFNA(MATCH(F1031,'Default Prob'!$F$5:$F$14,1),0),COUNT('Default Prob'!$P$5:$P$14)))</f>
        <v>2.3050976347889798E-2</v>
      </c>
      <c r="H1031" s="5">
        <f t="shared" si="206"/>
        <v>0.91818987304360655</v>
      </c>
      <c r="I1031" s="24">
        <f t="shared" si="207"/>
        <v>5.7948914247596406E-5</v>
      </c>
      <c r="J1031" s="25">
        <f>INDEX('Default Prob'!$C$3:$C$13, _xlfn.IFNA(MATCH(F1031, 'Default Prob'!$B$3:$B$13, 1), 1))</f>
        <v>1.8499999999999999E-2</v>
      </c>
      <c r="K1031" s="26">
        <f t="shared" si="198"/>
        <v>0.93074678858320281</v>
      </c>
      <c r="L1031" s="27">
        <f t="shared" ca="1" si="199"/>
        <v>0</v>
      </c>
      <c r="M1031" s="27">
        <f t="shared" ca="1" si="200"/>
        <v>2997.7638388763244</v>
      </c>
      <c r="N1031" s="28">
        <f t="shared" ca="1" si="201"/>
        <v>0.16168668845075904</v>
      </c>
      <c r="O1031" s="29">
        <f t="shared" ca="1" si="202"/>
        <v>600000</v>
      </c>
      <c r="P1031" s="30">
        <f t="shared" ca="1" si="203"/>
        <v>32.361459502700257</v>
      </c>
    </row>
    <row r="1032" spans="1:16" x14ac:dyDescent="0.25">
      <c r="A1032" s="3">
        <f t="shared" si="204"/>
        <v>47556</v>
      </c>
      <c r="B1032" s="21">
        <f t="shared" si="195"/>
        <v>36599</v>
      </c>
      <c r="C1032" s="21">
        <f t="shared" si="196"/>
        <v>36605</v>
      </c>
      <c r="D1032" s="1">
        <f t="shared" si="205"/>
        <v>0</v>
      </c>
      <c r="E1032" s="3">
        <f t="array" ref="E1032">INDEX($A$9:A1031, MAX(IF($D$9:D1031=1, ROW(D$9:$D1031)-ROW($D$9)+1, 0)))</f>
        <v>47472</v>
      </c>
      <c r="F1032" s="23">
        <f t="shared" si="197"/>
        <v>3.9178644763860371</v>
      </c>
      <c r="G1032" s="5">
        <f>INDEX('Default Prob'!$P$5:$P$14,MIN(1+_xlfn.IFNA(MATCH(F1032,'Default Prob'!$F$5:$F$14,1),0),COUNT('Default Prob'!$P$5:$P$14)))</f>
        <v>2.3050976347889798E-2</v>
      </c>
      <c r="H1032" s="5">
        <f t="shared" si="206"/>
        <v>0.91813192778640729</v>
      </c>
      <c r="I1032" s="24">
        <f t="shared" si="207"/>
        <v>5.7945257199265576E-5</v>
      </c>
      <c r="J1032" s="25">
        <f>INDEX('Default Prob'!$C$3:$C$13, _xlfn.IFNA(MATCH(F1032, 'Default Prob'!$B$3:$B$13, 1), 1))</f>
        <v>1.8499999999999999E-2</v>
      </c>
      <c r="K1032" s="26">
        <f t="shared" si="198"/>
        <v>0.93070007797146492</v>
      </c>
      <c r="L1032" s="27">
        <f t="shared" ca="1" si="199"/>
        <v>0</v>
      </c>
      <c r="M1032" s="27">
        <f t="shared" ca="1" si="200"/>
        <v>3033.8814754892928</v>
      </c>
      <c r="N1032" s="28">
        <f t="shared" ca="1" si="201"/>
        <v>0.16361618247765777</v>
      </c>
      <c r="O1032" s="29">
        <f t="shared" ca="1" si="202"/>
        <v>600000</v>
      </c>
      <c r="P1032" s="30">
        <f t="shared" ca="1" si="203"/>
        <v>32.357793236059834</v>
      </c>
    </row>
    <row r="1033" spans="1:16" x14ac:dyDescent="0.25">
      <c r="A1033" s="3">
        <f t="shared" si="204"/>
        <v>47557</v>
      </c>
      <c r="B1033" s="21">
        <f t="shared" ref="B1033:B1096" si="208">DATE(2000, MONTH(A1033), DAY(A1033))</f>
        <v>36600</v>
      </c>
      <c r="C1033" s="21">
        <f t="shared" ref="C1033:C1096" si="209">VLOOKUP(B1033, $R$9:$S$13, 2)</f>
        <v>36605</v>
      </c>
      <c r="D1033" s="1">
        <f t="shared" si="205"/>
        <v>0</v>
      </c>
      <c r="E1033" s="3">
        <f t="array" ref="E1033">INDEX($A$9:A1032, MAX(IF($D$9:D1032=1, ROW(D$9:$D1032)-ROW($D$9)+1, 0)))</f>
        <v>47472</v>
      </c>
      <c r="F1033" s="23">
        <f t="shared" ref="F1033:F1096" si="210">(A1033-$A$2)/365.25</f>
        <v>3.9206023271731691</v>
      </c>
      <c r="G1033" s="5">
        <f>INDEX('Default Prob'!$P$5:$P$14,MIN(1+_xlfn.IFNA(MATCH(F1033,'Default Prob'!$F$5:$F$14,1),0),COUNT('Default Prob'!$P$5:$P$14)))</f>
        <v>2.3050976347889798E-2</v>
      </c>
      <c r="H1033" s="5">
        <f t="shared" si="206"/>
        <v>0.91807398618602565</v>
      </c>
      <c r="I1033" s="24">
        <f t="shared" si="207"/>
        <v>5.7941600381639091E-5</v>
      </c>
      <c r="J1033" s="25">
        <f>INDEX('Default Prob'!$C$3:$C$13, _xlfn.IFNA(MATCH(F1033, 'Default Prob'!$B$3:$B$13, 1), 1))</f>
        <v>1.8499999999999999E-2</v>
      </c>
      <c r="K1033" s="26">
        <f t="shared" ref="K1033:K1096" si="211">1/((1+J1033)^F1033)</f>
        <v>0.93065336970395329</v>
      </c>
      <c r="L1033" s="27">
        <f t="shared" ref="L1033:L1096" ca="1" si="212">IF(AND(D1033, A1033 &lt;= $G$2), $D$5*$D$2*(A1033-E1033)/365.25, 0)</f>
        <v>0</v>
      </c>
      <c r="M1033" s="27">
        <f t="shared" ref="M1033:M1096" ca="1" si="213">IF(A1033&lt;=$G$2, $D$5*$D$2*(A1033-E1033)/365.25, 0)</f>
        <v>3069.9991121022604</v>
      </c>
      <c r="N1033" s="28">
        <f t="shared" ref="N1033:N1096" ca="1" si="214">(L1033*H1033 + M1033*I1033) * K1033</f>
        <v>0.16554523723992742</v>
      </c>
      <c r="O1033" s="29">
        <f t="shared" ref="O1033:O1096" ca="1" si="215">IF(A1033&lt;=$G$2, $D$2*(1-$D$3), 0)</f>
        <v>600000</v>
      </c>
      <c r="P1033" s="30">
        <f t="shared" ref="P1033:P1096" ca="1" si="216">O1033*I1033*K1033</f>
        <v>32.35412738472737</v>
      </c>
    </row>
    <row r="1034" spans="1:16" x14ac:dyDescent="0.25">
      <c r="A1034" s="3">
        <f t="shared" ref="A1034:A1097" si="217">WORKDAY(A1033, 1)</f>
        <v>47560</v>
      </c>
      <c r="B1034" s="21">
        <f t="shared" si="208"/>
        <v>36603</v>
      </c>
      <c r="C1034" s="21">
        <f t="shared" si="209"/>
        <v>36605</v>
      </c>
      <c r="D1034" s="1">
        <f t="shared" ref="D1034:D1097" si="218">IF(OR(C1034=B1034, AND(C1034&lt;&gt;C1033, C1033&gt;B1033)), 1, 0)</f>
        <v>0</v>
      </c>
      <c r="E1034" s="3">
        <f t="array" ref="E1034">INDEX($A$9:A1033, MAX(IF($D$9:D1033=1, ROW(D$9:$D1033)-ROW($D$9)+1, 0)))</f>
        <v>47472</v>
      </c>
      <c r="F1034" s="23">
        <f t="shared" si="210"/>
        <v>3.9288158795345653</v>
      </c>
      <c r="G1034" s="5">
        <f>INDEX('Default Prob'!$P$5:$P$14,MIN(1+_xlfn.IFNA(MATCH(F1034,'Default Prob'!$F$5:$F$14,1),0),COUNT('Default Prob'!$P$5:$P$14)))</f>
        <v>2.3050976347889798E-2</v>
      </c>
      <c r="H1034" s="5">
        <f t="shared" ref="H1034:H1097" si="219">H1033*EXP(-G1033*(F1034-F1033))</f>
        <v>0.91790018332347822</v>
      </c>
      <c r="I1034" s="24">
        <f t="shared" ref="I1034:I1097" si="220">H1033-H1034</f>
        <v>1.7380286254742305E-4</v>
      </c>
      <c r="J1034" s="25">
        <f>INDEX('Default Prob'!$C$3:$C$13, _xlfn.IFNA(MATCH(F1034, 'Default Prob'!$B$3:$B$13, 1), 1))</f>
        <v>1.8499999999999999E-2</v>
      </c>
      <c r="K1034" s="26">
        <f t="shared" si="211"/>
        <v>0.93051325896560133</v>
      </c>
      <c r="L1034" s="27">
        <f t="shared" ca="1" si="212"/>
        <v>0</v>
      </c>
      <c r="M1034" s="27">
        <f t="shared" ca="1" si="213"/>
        <v>3178.3520219411635</v>
      </c>
      <c r="N1034" s="28">
        <f t="shared" ca="1" si="214"/>
        <v>0.51402173970595177</v>
      </c>
      <c r="O1034" s="29">
        <f t="shared" ca="1" si="215"/>
        <v>600000</v>
      </c>
      <c r="P1034" s="30">
        <f t="shared" ca="1" si="216"/>
        <v>97.035520827931862</v>
      </c>
    </row>
    <row r="1035" spans="1:16" x14ac:dyDescent="0.25">
      <c r="A1035" s="3">
        <f t="shared" si="217"/>
        <v>47561</v>
      </c>
      <c r="B1035" s="21">
        <f t="shared" si="208"/>
        <v>36604</v>
      </c>
      <c r="C1035" s="21">
        <f t="shared" si="209"/>
        <v>36605</v>
      </c>
      <c r="D1035" s="1">
        <f t="shared" si="218"/>
        <v>0</v>
      </c>
      <c r="E1035" s="3">
        <f t="array" ref="E1035">INDEX($A$9:A1034, MAX(IF($D$9:D1034=1, ROW(D$9:$D1034)-ROW($D$9)+1, 0)))</f>
        <v>47472</v>
      </c>
      <c r="F1035" s="23">
        <f t="shared" si="210"/>
        <v>3.9315537303216974</v>
      </c>
      <c r="G1035" s="5">
        <f>INDEX('Default Prob'!$P$5:$P$14,MIN(1+_xlfn.IFNA(MATCH(F1035,'Default Prob'!$F$5:$F$14,1),0),COUNT('Default Prob'!$P$5:$P$14)))</f>
        <v>2.3050976347889798E-2</v>
      </c>
      <c r="H1035" s="5">
        <f t="shared" si="219"/>
        <v>0.91784225634805905</v>
      </c>
      <c r="I1035" s="24">
        <f t="shared" si="220"/>
        <v>5.7926975419175797E-5</v>
      </c>
      <c r="J1035" s="25">
        <f>INDEX('Default Prob'!$C$3:$C$13, _xlfn.IFNA(MATCH(F1035, 'Default Prob'!$B$3:$B$13, 1), 1))</f>
        <v>1.8499999999999999E-2</v>
      </c>
      <c r="K1035" s="26">
        <f t="shared" si="211"/>
        <v>0.93046656007381923</v>
      </c>
      <c r="L1035" s="27">
        <f t="shared" ca="1" si="212"/>
        <v>0</v>
      </c>
      <c r="M1035" s="27">
        <f t="shared" ca="1" si="213"/>
        <v>3214.4696585541315</v>
      </c>
      <c r="N1035" s="28">
        <f t="shared" ca="1" si="214"/>
        <v>0.17325706514152908</v>
      </c>
      <c r="O1035" s="29">
        <f t="shared" ca="1" si="215"/>
        <v>600000</v>
      </c>
      <c r="P1035" s="30">
        <f t="shared" ca="1" si="216"/>
        <v>32.339468132256712</v>
      </c>
    </row>
    <row r="1036" spans="1:16" x14ac:dyDescent="0.25">
      <c r="A1036" s="3">
        <f t="shared" si="217"/>
        <v>47562</v>
      </c>
      <c r="B1036" s="21">
        <f t="shared" si="208"/>
        <v>36605</v>
      </c>
      <c r="C1036" s="21">
        <f t="shared" si="209"/>
        <v>36605</v>
      </c>
      <c r="D1036" s="1">
        <f t="shared" si="218"/>
        <v>1</v>
      </c>
      <c r="E1036" s="3">
        <f t="array" ref="E1036">INDEX($A$9:A1035, MAX(IF($D$9:D1035=1, ROW(D$9:$D1035)-ROW($D$9)+1, 0)))</f>
        <v>47472</v>
      </c>
      <c r="F1036" s="23">
        <f t="shared" si="210"/>
        <v>3.9342915811088295</v>
      </c>
      <c r="G1036" s="5">
        <f>INDEX('Default Prob'!$P$5:$P$14,MIN(1+_xlfn.IFNA(MATCH(F1036,'Default Prob'!$F$5:$F$14,1),0),COUNT('Default Prob'!$P$5:$P$14)))</f>
        <v>2.3050976347889798E-2</v>
      </c>
      <c r="H1036" s="5">
        <f t="shared" si="219"/>
        <v>0.91778433302830376</v>
      </c>
      <c r="I1036" s="24">
        <f t="shared" si="220"/>
        <v>5.7923319755293079E-5</v>
      </c>
      <c r="J1036" s="25">
        <f>INDEX('Default Prob'!$C$3:$C$13, _xlfn.IFNA(MATCH(F1036, 'Default Prob'!$B$3:$B$13, 1), 1))</f>
        <v>1.8499999999999999E-2</v>
      </c>
      <c r="K1036" s="26">
        <f t="shared" si="211"/>
        <v>0.93041986352567541</v>
      </c>
      <c r="L1036" s="27">
        <f t="shared" ca="1" si="212"/>
        <v>3250.587295167099</v>
      </c>
      <c r="M1036" s="27">
        <f t="shared" ca="1" si="213"/>
        <v>3250.587295167099</v>
      </c>
      <c r="N1036" s="28">
        <f t="shared" ca="1" si="214"/>
        <v>2775.9322049346115</v>
      </c>
      <c r="O1036" s="29">
        <f t="shared" ca="1" si="215"/>
        <v>600000</v>
      </c>
      <c r="P1036" s="30">
        <f t="shared" ca="1" si="216"/>
        <v>32.335804357004307</v>
      </c>
    </row>
    <row r="1037" spans="1:16" x14ac:dyDescent="0.25">
      <c r="A1037" s="3">
        <f t="shared" si="217"/>
        <v>47563</v>
      </c>
      <c r="B1037" s="21">
        <f t="shared" si="208"/>
        <v>36606</v>
      </c>
      <c r="C1037" s="21">
        <f t="shared" si="209"/>
        <v>36697</v>
      </c>
      <c r="D1037" s="1">
        <f t="shared" si="218"/>
        <v>0</v>
      </c>
      <c r="E1037" s="3">
        <f t="array" ref="E1037">INDEX($A$9:A1036, MAX(IF($D$9:D1036=1, ROW(D$9:$D1036)-ROW($D$9)+1, 0)))</f>
        <v>47562</v>
      </c>
      <c r="F1037" s="23">
        <f t="shared" si="210"/>
        <v>3.9370294318959616</v>
      </c>
      <c r="G1037" s="5">
        <f>INDEX('Default Prob'!$P$5:$P$14,MIN(1+_xlfn.IFNA(MATCH(F1037,'Default Prob'!$F$5:$F$14,1),0),COUNT('Default Prob'!$P$5:$P$14)))</f>
        <v>2.3050976347889798E-2</v>
      </c>
      <c r="H1037" s="5">
        <f t="shared" si="219"/>
        <v>0.91772641336398153</v>
      </c>
      <c r="I1037" s="24">
        <f t="shared" si="220"/>
        <v>5.7919664322225728E-5</v>
      </c>
      <c r="J1037" s="25">
        <f>INDEX('Default Prob'!$C$3:$C$13, _xlfn.IFNA(MATCH(F1037, 'Default Prob'!$B$3:$B$13, 1), 1))</f>
        <v>1.8499999999999999E-2</v>
      </c>
      <c r="K1037" s="26">
        <f t="shared" si="211"/>
        <v>0.9303731693210523</v>
      </c>
      <c r="L1037" s="27">
        <f t="shared" ca="1" si="212"/>
        <v>0</v>
      </c>
      <c r="M1037" s="27">
        <f t="shared" ca="1" si="213"/>
        <v>36.117636612967765</v>
      </c>
      <c r="N1037" s="28">
        <f t="shared" ca="1" si="214"/>
        <v>1.9462675324080864E-3</v>
      </c>
      <c r="O1037" s="29">
        <f t="shared" ca="1" si="215"/>
        <v>600000</v>
      </c>
      <c r="P1037" s="30">
        <f t="shared" ca="1" si="216"/>
        <v>32.332140996888377</v>
      </c>
    </row>
    <row r="1038" spans="1:16" x14ac:dyDescent="0.25">
      <c r="A1038" s="3">
        <f t="shared" si="217"/>
        <v>47564</v>
      </c>
      <c r="B1038" s="21">
        <f t="shared" si="208"/>
        <v>36607</v>
      </c>
      <c r="C1038" s="21">
        <f t="shared" si="209"/>
        <v>36697</v>
      </c>
      <c r="D1038" s="1">
        <f t="shared" si="218"/>
        <v>0</v>
      </c>
      <c r="E1038" s="3">
        <f t="array" ref="E1038">INDEX($A$9:A1037, MAX(IF($D$9:D1037=1, ROW(D$9:$D1037)-ROW($D$9)+1, 0)))</f>
        <v>47562</v>
      </c>
      <c r="F1038" s="23">
        <f t="shared" si="210"/>
        <v>3.9397672826830936</v>
      </c>
      <c r="G1038" s="5">
        <f>INDEX('Default Prob'!$P$5:$P$14,MIN(1+_xlfn.IFNA(MATCH(F1038,'Default Prob'!$F$5:$F$14,1),0),COUNT('Default Prob'!$P$5:$P$14)))</f>
        <v>2.3050976347889798E-2</v>
      </c>
      <c r="H1038" s="5">
        <f t="shared" si="219"/>
        <v>0.91766849735486178</v>
      </c>
      <c r="I1038" s="24">
        <f t="shared" si="220"/>
        <v>5.7916009119751699E-5</v>
      </c>
      <c r="J1038" s="25">
        <f>INDEX('Default Prob'!$C$3:$C$13, _xlfn.IFNA(MATCH(F1038, 'Default Prob'!$B$3:$B$13, 1), 1))</f>
        <v>1.8499999999999999E-2</v>
      </c>
      <c r="K1038" s="26">
        <f t="shared" si="211"/>
        <v>0.93032647745983232</v>
      </c>
      <c r="L1038" s="27">
        <f t="shared" ca="1" si="212"/>
        <v>0</v>
      </c>
      <c r="M1038" s="27">
        <f t="shared" ca="1" si="213"/>
        <v>72.235273225935529</v>
      </c>
      <c r="N1038" s="28">
        <f t="shared" ca="1" si="214"/>
        <v>3.8920940750775622E-3</v>
      </c>
      <c r="O1038" s="29">
        <f t="shared" ca="1" si="215"/>
        <v>600000</v>
      </c>
      <c r="P1038" s="30">
        <f t="shared" ca="1" si="216"/>
        <v>32.328478051746075</v>
      </c>
    </row>
    <row r="1039" spans="1:16" x14ac:dyDescent="0.25">
      <c r="A1039" s="3">
        <f t="shared" si="217"/>
        <v>47567</v>
      </c>
      <c r="B1039" s="21">
        <f t="shared" si="208"/>
        <v>36610</v>
      </c>
      <c r="C1039" s="21">
        <f t="shared" si="209"/>
        <v>36697</v>
      </c>
      <c r="D1039" s="1">
        <f t="shared" si="218"/>
        <v>0</v>
      </c>
      <c r="E1039" s="3">
        <f t="array" ref="E1039">INDEX($A$9:A1038, MAX(IF($D$9:D1038=1, ROW(D$9:$D1038)-ROW($D$9)+1, 0)))</f>
        <v>47562</v>
      </c>
      <c r="F1039" s="23">
        <f t="shared" si="210"/>
        <v>3.9479808350444903</v>
      </c>
      <c r="G1039" s="5">
        <f>INDEX('Default Prob'!$P$5:$P$14,MIN(1+_xlfn.IFNA(MATCH(F1039,'Default Prob'!$F$5:$F$14,1),0),COUNT('Default Prob'!$P$5:$P$14)))</f>
        <v>2.3050976347889798E-2</v>
      </c>
      <c r="H1039" s="5">
        <f t="shared" si="219"/>
        <v>0.91749477125641032</v>
      </c>
      <c r="I1039" s="24">
        <f t="shared" si="220"/>
        <v>1.7372609845145437E-4</v>
      </c>
      <c r="J1039" s="25">
        <f>INDEX('Default Prob'!$C$3:$C$13, _xlfn.IFNA(MATCH(F1039, 'Default Prob'!$B$3:$B$13, 1), 1))</f>
        <v>1.8499999999999999E-2</v>
      </c>
      <c r="K1039" s="26">
        <f t="shared" si="211"/>
        <v>0.93018641593541429</v>
      </c>
      <c r="L1039" s="27">
        <f t="shared" ca="1" si="212"/>
        <v>0</v>
      </c>
      <c r="M1039" s="27">
        <f t="shared" ca="1" si="213"/>
        <v>180.58818306483883</v>
      </c>
      <c r="N1039" s="28">
        <f t="shared" ca="1" si="214"/>
        <v>2.9182627242230565E-2</v>
      </c>
      <c r="O1039" s="29">
        <f t="shared" ca="1" si="215"/>
        <v>600000</v>
      </c>
      <c r="P1039" s="30">
        <f t="shared" ca="1" si="216"/>
        <v>96.958594123800765</v>
      </c>
    </row>
    <row r="1040" spans="1:16" x14ac:dyDescent="0.25">
      <c r="A1040" s="3">
        <f t="shared" si="217"/>
        <v>47568</v>
      </c>
      <c r="B1040" s="21">
        <f t="shared" si="208"/>
        <v>36611</v>
      </c>
      <c r="C1040" s="21">
        <f t="shared" si="209"/>
        <v>36697</v>
      </c>
      <c r="D1040" s="1">
        <f t="shared" si="218"/>
        <v>0</v>
      </c>
      <c r="E1040" s="3">
        <f t="array" ref="E1040">INDEX($A$9:A1039, MAX(IF($D$9:D1039=1, ROW(D$9:$D1039)-ROW($D$9)+1, 0)))</f>
        <v>47562</v>
      </c>
      <c r="F1040" s="23">
        <f t="shared" si="210"/>
        <v>3.9507186858316223</v>
      </c>
      <c r="G1040" s="5">
        <f>INDEX('Default Prob'!$P$5:$P$14,MIN(1+_xlfn.IFNA(MATCH(F1040,'Default Prob'!$F$5:$F$14,1),0),COUNT('Default Prob'!$P$5:$P$14)))</f>
        <v>2.3050976347889798E-2</v>
      </c>
      <c r="H1040" s="5">
        <f t="shared" si="219"/>
        <v>0.91743686986579365</v>
      </c>
      <c r="I1040" s="24">
        <f t="shared" si="220"/>
        <v>5.7901390616676984E-5</v>
      </c>
      <c r="J1040" s="25">
        <f>INDEX('Default Prob'!$C$3:$C$13, _xlfn.IFNA(MATCH(F1040, 'Default Prob'!$B$3:$B$13, 1), 1))</f>
        <v>1.8499999999999999E-2</v>
      </c>
      <c r="K1040" s="26">
        <f t="shared" si="211"/>
        <v>0.93013973344663037</v>
      </c>
      <c r="L1040" s="27">
        <f t="shared" ca="1" si="212"/>
        <v>0</v>
      </c>
      <c r="M1040" s="27">
        <f t="shared" ca="1" si="213"/>
        <v>216.70581967780663</v>
      </c>
      <c r="N1040" s="28">
        <f t="shared" ca="1" si="214"/>
        <v>1.1670991847054174E-2</v>
      </c>
      <c r="O1040" s="29">
        <f t="shared" ca="1" si="215"/>
        <v>600000</v>
      </c>
      <c r="P1040" s="30">
        <f t="shared" ca="1" si="216"/>
        <v>32.313830420631092</v>
      </c>
    </row>
    <row r="1041" spans="1:16" x14ac:dyDescent="0.25">
      <c r="A1041" s="3">
        <f t="shared" si="217"/>
        <v>47569</v>
      </c>
      <c r="B1041" s="21">
        <f t="shared" si="208"/>
        <v>36612</v>
      </c>
      <c r="C1041" s="21">
        <f t="shared" si="209"/>
        <v>36697</v>
      </c>
      <c r="D1041" s="1">
        <f t="shared" si="218"/>
        <v>0</v>
      </c>
      <c r="E1041" s="3">
        <f t="array" ref="E1041">INDEX($A$9:A1040, MAX(IF($D$9:D1040=1, ROW(D$9:$D1040)-ROW($D$9)+1, 0)))</f>
        <v>47562</v>
      </c>
      <c r="F1041" s="23">
        <f t="shared" si="210"/>
        <v>3.9534565366187544</v>
      </c>
      <c r="G1041" s="5">
        <f>INDEX('Default Prob'!$P$5:$P$14,MIN(1+_xlfn.IFNA(MATCH(F1041,'Default Prob'!$F$5:$F$14,1),0),COUNT('Default Prob'!$P$5:$P$14)))</f>
        <v>2.3050976347889798E-2</v>
      </c>
      <c r="H1041" s="5">
        <f t="shared" si="219"/>
        <v>0.91737897212922614</v>
      </c>
      <c r="I1041" s="24">
        <f t="shared" si="220"/>
        <v>5.7897736567502633E-5</v>
      </c>
      <c r="J1041" s="25">
        <f>INDEX('Default Prob'!$C$3:$C$13, _xlfn.IFNA(MATCH(F1041, 'Default Prob'!$B$3:$B$13, 1), 1))</f>
        <v>1.8499999999999999E-2</v>
      </c>
      <c r="K1041" s="26">
        <f t="shared" si="211"/>
        <v>0.93009305330066161</v>
      </c>
      <c r="L1041" s="27">
        <f t="shared" ca="1" si="212"/>
        <v>0</v>
      </c>
      <c r="M1041" s="27">
        <f t="shared" ca="1" si="213"/>
        <v>252.82345629077437</v>
      </c>
      <c r="N1041" s="28">
        <f t="shared" ca="1" si="214"/>
        <v>1.3614614564936173E-2</v>
      </c>
      <c r="O1041" s="29">
        <f t="shared" ca="1" si="215"/>
        <v>600000</v>
      </c>
      <c r="P1041" s="30">
        <f t="shared" ca="1" si="216"/>
        <v>32.310169549959532</v>
      </c>
    </row>
    <row r="1042" spans="1:16" x14ac:dyDescent="0.25">
      <c r="A1042" s="3">
        <f t="shared" si="217"/>
        <v>47570</v>
      </c>
      <c r="B1042" s="21">
        <f t="shared" si="208"/>
        <v>36613</v>
      </c>
      <c r="C1042" s="21">
        <f t="shared" si="209"/>
        <v>36697</v>
      </c>
      <c r="D1042" s="1">
        <f t="shared" si="218"/>
        <v>0</v>
      </c>
      <c r="E1042" s="3">
        <f t="array" ref="E1042">INDEX($A$9:A1041, MAX(IF($D$9:D1041=1, ROW(D$9:$D1041)-ROW($D$9)+1, 0)))</f>
        <v>47562</v>
      </c>
      <c r="F1042" s="23">
        <f t="shared" si="210"/>
        <v>3.9561943874058865</v>
      </c>
      <c r="G1042" s="5">
        <f>INDEX('Default Prob'!$P$5:$P$14,MIN(1+_xlfn.IFNA(MATCH(F1042,'Default Prob'!$F$5:$F$14,1),0),COUNT('Default Prob'!$P$5:$P$14)))</f>
        <v>2.3050976347889798E-2</v>
      </c>
      <c r="H1042" s="5">
        <f t="shared" si="219"/>
        <v>0.91732107804647722</v>
      </c>
      <c r="I1042" s="24">
        <f t="shared" si="220"/>
        <v>5.7894082748921605E-5</v>
      </c>
      <c r="J1042" s="25">
        <f>INDEX('Default Prob'!$C$3:$C$13, _xlfn.IFNA(MATCH(F1042, 'Default Prob'!$B$3:$B$13, 1), 1))</f>
        <v>1.8499999999999999E-2</v>
      </c>
      <c r="K1042" s="26">
        <f t="shared" si="211"/>
        <v>0.93004637549739033</v>
      </c>
      <c r="L1042" s="27">
        <f t="shared" ca="1" si="212"/>
        <v>0</v>
      </c>
      <c r="M1042" s="27">
        <f t="shared" ca="1" si="213"/>
        <v>288.94109290374212</v>
      </c>
      <c r="N1042" s="28">
        <f t="shared" ca="1" si="214"/>
        <v>1.5557796742555377E-2</v>
      </c>
      <c r="O1042" s="29">
        <f t="shared" ca="1" si="215"/>
        <v>600000</v>
      </c>
      <c r="P1042" s="30">
        <f t="shared" ca="1" si="216"/>
        <v>32.306509094028321</v>
      </c>
    </row>
    <row r="1043" spans="1:16" x14ac:dyDescent="0.25">
      <c r="A1043" s="3">
        <f t="shared" si="217"/>
        <v>47571</v>
      </c>
      <c r="B1043" s="21">
        <f t="shared" si="208"/>
        <v>36614</v>
      </c>
      <c r="C1043" s="21">
        <f t="shared" si="209"/>
        <v>36697</v>
      </c>
      <c r="D1043" s="1">
        <f t="shared" si="218"/>
        <v>0</v>
      </c>
      <c r="E1043" s="3">
        <f t="array" ref="E1043">INDEX($A$9:A1042, MAX(IF($D$9:D1042=1, ROW(D$9:$D1042)-ROW($D$9)+1, 0)))</f>
        <v>47562</v>
      </c>
      <c r="F1043" s="23">
        <f t="shared" si="210"/>
        <v>3.9589322381930185</v>
      </c>
      <c r="G1043" s="5">
        <f>INDEX('Default Prob'!$P$5:$P$14,MIN(1+_xlfn.IFNA(MATCH(F1043,'Default Prob'!$F$5:$F$14,1),0),COUNT('Default Prob'!$P$5:$P$14)))</f>
        <v>2.3050976347889798E-2</v>
      </c>
      <c r="H1043" s="5">
        <f t="shared" si="219"/>
        <v>0.9172631876173164</v>
      </c>
      <c r="I1043" s="24">
        <f t="shared" si="220"/>
        <v>5.7890429160822876E-5</v>
      </c>
      <c r="J1043" s="25">
        <f>INDEX('Default Prob'!$C$3:$C$13, _xlfn.IFNA(MATCH(F1043, 'Default Prob'!$B$3:$B$13, 1), 1))</f>
        <v>1.8499999999999999E-2</v>
      </c>
      <c r="K1043" s="26">
        <f t="shared" si="211"/>
        <v>0.92999970003669907</v>
      </c>
      <c r="L1043" s="27">
        <f t="shared" ca="1" si="212"/>
        <v>0</v>
      </c>
      <c r="M1043" s="27">
        <f t="shared" ca="1" si="213"/>
        <v>325.05872951670989</v>
      </c>
      <c r="N1043" s="28">
        <f t="shared" ca="1" si="214"/>
        <v>1.7500538454754376E-2</v>
      </c>
      <c r="O1043" s="29">
        <f t="shared" ca="1" si="215"/>
        <v>600000</v>
      </c>
      <c r="P1043" s="30">
        <f t="shared" ca="1" si="216"/>
        <v>32.302849052736633</v>
      </c>
    </row>
    <row r="1044" spans="1:16" x14ac:dyDescent="0.25">
      <c r="A1044" s="3">
        <f t="shared" si="217"/>
        <v>47574</v>
      </c>
      <c r="B1044" s="21">
        <f t="shared" si="208"/>
        <v>36617</v>
      </c>
      <c r="C1044" s="21">
        <f t="shared" si="209"/>
        <v>36697</v>
      </c>
      <c r="D1044" s="1">
        <f t="shared" si="218"/>
        <v>0</v>
      </c>
      <c r="E1044" s="3">
        <f t="array" ref="E1044">INDEX($A$9:A1043, MAX(IF($D$9:D1043=1, ROW(D$9:$D1043)-ROW($D$9)+1, 0)))</f>
        <v>47562</v>
      </c>
      <c r="F1044" s="23">
        <f t="shared" si="210"/>
        <v>3.9671457905544147</v>
      </c>
      <c r="G1044" s="5">
        <f>INDEX('Default Prob'!$P$5:$P$14,MIN(1+_xlfn.IFNA(MATCH(F1044,'Default Prob'!$F$5:$F$14,1),0),COUNT('Default Prob'!$P$5:$P$14)))</f>
        <v>2.3050976347889798E-2</v>
      </c>
      <c r="H1044" s="5">
        <f t="shared" si="219"/>
        <v>0.91708953824905626</v>
      </c>
      <c r="I1044" s="24">
        <f t="shared" si="220"/>
        <v>1.7364936826014254E-4</v>
      </c>
      <c r="J1044" s="25">
        <f>INDEX('Default Prob'!$C$3:$C$13, _xlfn.IFNA(MATCH(F1044, 'Default Prob'!$B$3:$B$13, 1), 1))</f>
        <v>1.8499999999999999E-2</v>
      </c>
      <c r="K1044" s="26">
        <f t="shared" si="211"/>
        <v>0.92985968770892879</v>
      </c>
      <c r="L1044" s="27">
        <f t="shared" ca="1" si="212"/>
        <v>0</v>
      </c>
      <c r="M1044" s="27">
        <f t="shared" ca="1" si="213"/>
        <v>433.41163935561326</v>
      </c>
      <c r="N1044" s="28">
        <f t="shared" ca="1" si="214"/>
        <v>6.9982781219170828E-2</v>
      </c>
      <c r="O1044" s="29">
        <f t="shared" ca="1" si="215"/>
        <v>600000</v>
      </c>
      <c r="P1044" s="30">
        <f t="shared" ca="1" si="216"/>
        <v>96.881728404737345</v>
      </c>
    </row>
    <row r="1045" spans="1:16" x14ac:dyDescent="0.25">
      <c r="A1045" s="3">
        <f t="shared" si="217"/>
        <v>47575</v>
      </c>
      <c r="B1045" s="21">
        <f t="shared" si="208"/>
        <v>36618</v>
      </c>
      <c r="C1045" s="21">
        <f t="shared" si="209"/>
        <v>36697</v>
      </c>
      <c r="D1045" s="1">
        <f t="shared" si="218"/>
        <v>0</v>
      </c>
      <c r="E1045" s="3">
        <f t="array" ref="E1045">INDEX($A$9:A1044, MAX(IF($D$9:D1044=1, ROW(D$9:$D1044)-ROW($D$9)+1, 0)))</f>
        <v>47562</v>
      </c>
      <c r="F1045" s="23">
        <f t="shared" si="210"/>
        <v>3.9698836413415468</v>
      </c>
      <c r="G1045" s="5">
        <f>INDEX('Default Prob'!$P$5:$P$14,MIN(1+_xlfn.IFNA(MATCH(F1045,'Default Prob'!$F$5:$F$14,1),0),COUNT('Default Prob'!$P$5:$P$14)))</f>
        <v>2.3050976347889798E-2</v>
      </c>
      <c r="H1045" s="5">
        <f t="shared" si="219"/>
        <v>0.9170316624319419</v>
      </c>
      <c r="I1045" s="24">
        <f t="shared" si="220"/>
        <v>5.7875817114361183E-5</v>
      </c>
      <c r="J1045" s="25">
        <f>INDEX('Default Prob'!$C$3:$C$13, _xlfn.IFNA(MATCH(F1045, 'Default Prob'!$B$3:$B$13, 1), 1))</f>
        <v>1.8499999999999999E-2</v>
      </c>
      <c r="K1045" s="26">
        <f t="shared" si="211"/>
        <v>0.92981302161738144</v>
      </c>
      <c r="L1045" s="27">
        <f t="shared" ca="1" si="212"/>
        <v>0</v>
      </c>
      <c r="M1045" s="27">
        <f t="shared" ca="1" si="213"/>
        <v>469.52927596858098</v>
      </c>
      <c r="N1045" s="28">
        <f t="shared" ca="1" si="214"/>
        <v>2.5267102146804873E-2</v>
      </c>
      <c r="O1045" s="29">
        <f t="shared" ca="1" si="215"/>
        <v>600000</v>
      </c>
      <c r="P1045" s="30">
        <f t="shared" ca="1" si="216"/>
        <v>32.28821303380748</v>
      </c>
    </row>
    <row r="1046" spans="1:16" x14ac:dyDescent="0.25">
      <c r="A1046" s="3">
        <f t="shared" si="217"/>
        <v>47576</v>
      </c>
      <c r="B1046" s="21">
        <f t="shared" si="208"/>
        <v>36619</v>
      </c>
      <c r="C1046" s="21">
        <f t="shared" si="209"/>
        <v>36697</v>
      </c>
      <c r="D1046" s="1">
        <f t="shared" si="218"/>
        <v>0</v>
      </c>
      <c r="E1046" s="3">
        <f t="array" ref="E1046">INDEX($A$9:A1045, MAX(IF($D$9:D1045=1, ROW(D$9:$D1045)-ROW($D$9)+1, 0)))</f>
        <v>47562</v>
      </c>
      <c r="F1046" s="23">
        <f t="shared" si="210"/>
        <v>3.9726214921286789</v>
      </c>
      <c r="G1046" s="5">
        <f>INDEX('Default Prob'!$P$5:$P$14,MIN(1+_xlfn.IFNA(MATCH(F1046,'Default Prob'!$F$5:$F$14,1),0),COUNT('Default Prob'!$P$5:$P$14)))</f>
        <v>2.3050976347889798E-2</v>
      </c>
      <c r="H1046" s="5">
        <f t="shared" si="219"/>
        <v>0.91697379026726278</v>
      </c>
      <c r="I1046" s="24">
        <f t="shared" si="220"/>
        <v>5.7872164679118043E-5</v>
      </c>
      <c r="J1046" s="25">
        <f>INDEX('Default Prob'!$C$3:$C$13, _xlfn.IFNA(MATCH(F1046, 'Default Prob'!$B$3:$B$13, 1), 1))</f>
        <v>1.8499999999999999E-2</v>
      </c>
      <c r="K1046" s="26">
        <f t="shared" si="211"/>
        <v>0.92976635786782635</v>
      </c>
      <c r="L1046" s="27">
        <f t="shared" ca="1" si="212"/>
        <v>0</v>
      </c>
      <c r="M1046" s="27">
        <f t="shared" ca="1" si="213"/>
        <v>505.64691258154875</v>
      </c>
      <c r="N1046" s="28">
        <f t="shared" ca="1" si="214"/>
        <v>2.7207642654795972E-2</v>
      </c>
      <c r="O1046" s="29">
        <f t="shared" ca="1" si="215"/>
        <v>600000</v>
      </c>
      <c r="P1046" s="30">
        <f t="shared" ca="1" si="216"/>
        <v>32.284555065378385</v>
      </c>
    </row>
    <row r="1047" spans="1:16" x14ac:dyDescent="0.25">
      <c r="A1047" s="3">
        <f t="shared" si="217"/>
        <v>47577</v>
      </c>
      <c r="B1047" s="21">
        <f t="shared" si="208"/>
        <v>36620</v>
      </c>
      <c r="C1047" s="21">
        <f t="shared" si="209"/>
        <v>36697</v>
      </c>
      <c r="D1047" s="1">
        <f t="shared" si="218"/>
        <v>0</v>
      </c>
      <c r="E1047" s="3">
        <f t="array" ref="E1047">INDEX($A$9:A1046, MAX(IF($D$9:D1046=1, ROW(D$9:$D1046)-ROW($D$9)+1, 0)))</f>
        <v>47562</v>
      </c>
      <c r="F1047" s="23">
        <f t="shared" si="210"/>
        <v>3.9753593429158109</v>
      </c>
      <c r="G1047" s="5">
        <f>INDEX('Default Prob'!$P$5:$P$14,MIN(1+_xlfn.IFNA(MATCH(F1047,'Default Prob'!$F$5:$F$14,1),0),COUNT('Default Prob'!$P$5:$P$14)))</f>
        <v>2.3050976347889798E-2</v>
      </c>
      <c r="H1047" s="5">
        <f t="shared" si="219"/>
        <v>0.91691592175478853</v>
      </c>
      <c r="I1047" s="24">
        <f t="shared" si="220"/>
        <v>5.7868512474246181E-5</v>
      </c>
      <c r="J1047" s="25">
        <f>INDEX('Default Prob'!$C$3:$C$13, _xlfn.IFNA(MATCH(F1047, 'Default Prob'!$B$3:$B$13, 1), 1))</f>
        <v>1.8499999999999999E-2</v>
      </c>
      <c r="K1047" s="26">
        <f t="shared" si="211"/>
        <v>0.92971969646014596</v>
      </c>
      <c r="L1047" s="27">
        <f t="shared" ca="1" si="212"/>
        <v>0</v>
      </c>
      <c r="M1047" s="27">
        <f t="shared" ca="1" si="213"/>
        <v>541.76454919451646</v>
      </c>
      <c r="N1047" s="28">
        <f t="shared" ca="1" si="214"/>
        <v>2.9147743146334119E-2</v>
      </c>
      <c r="O1047" s="29">
        <f t="shared" ca="1" si="215"/>
        <v>600000</v>
      </c>
      <c r="P1047" s="30">
        <f t="shared" ca="1" si="216"/>
        <v>32.280897511293794</v>
      </c>
    </row>
    <row r="1048" spans="1:16" x14ac:dyDescent="0.25">
      <c r="A1048" s="3">
        <f t="shared" si="217"/>
        <v>47578</v>
      </c>
      <c r="B1048" s="21">
        <f t="shared" si="208"/>
        <v>36621</v>
      </c>
      <c r="C1048" s="21">
        <f t="shared" si="209"/>
        <v>36697</v>
      </c>
      <c r="D1048" s="1">
        <f t="shared" si="218"/>
        <v>0</v>
      </c>
      <c r="E1048" s="3">
        <f t="array" ref="E1048">INDEX($A$9:A1047, MAX(IF($D$9:D1047=1, ROW(D$9:$D1047)-ROW($D$9)+1, 0)))</f>
        <v>47562</v>
      </c>
      <c r="F1048" s="23">
        <f t="shared" si="210"/>
        <v>3.978097193702943</v>
      </c>
      <c r="G1048" s="5">
        <f>INDEX('Default Prob'!$P$5:$P$14,MIN(1+_xlfn.IFNA(MATCH(F1048,'Default Prob'!$F$5:$F$14,1),0),COUNT('Default Prob'!$P$5:$P$14)))</f>
        <v>2.3050976347889798E-2</v>
      </c>
      <c r="H1048" s="5">
        <f t="shared" si="219"/>
        <v>0.91685805689428856</v>
      </c>
      <c r="I1048" s="24">
        <f t="shared" si="220"/>
        <v>5.7864860499967641E-5</v>
      </c>
      <c r="J1048" s="25">
        <f>INDEX('Default Prob'!$C$3:$C$13, _xlfn.IFNA(MATCH(F1048, 'Default Prob'!$B$3:$B$13, 1), 1))</f>
        <v>1.8499999999999999E-2</v>
      </c>
      <c r="K1048" s="26">
        <f t="shared" si="211"/>
        <v>0.92967303739422269</v>
      </c>
      <c r="L1048" s="27">
        <f t="shared" ca="1" si="212"/>
        <v>0</v>
      </c>
      <c r="M1048" s="27">
        <f t="shared" ca="1" si="213"/>
        <v>577.88218580748423</v>
      </c>
      <c r="N1048" s="28">
        <f t="shared" ca="1" si="214"/>
        <v>3.1087403696326947E-2</v>
      </c>
      <c r="O1048" s="29">
        <f t="shared" ca="1" si="215"/>
        <v>600000</v>
      </c>
      <c r="P1048" s="30">
        <f t="shared" ca="1" si="216"/>
        <v>32.27724037163874</v>
      </c>
    </row>
    <row r="1049" spans="1:16" x14ac:dyDescent="0.25">
      <c r="A1049" s="3">
        <f t="shared" si="217"/>
        <v>47581</v>
      </c>
      <c r="B1049" s="21">
        <f t="shared" si="208"/>
        <v>36624</v>
      </c>
      <c r="C1049" s="21">
        <f t="shared" si="209"/>
        <v>36697</v>
      </c>
      <c r="D1049" s="1">
        <f t="shared" si="218"/>
        <v>0</v>
      </c>
      <c r="E1049" s="3">
        <f t="array" ref="E1049">INDEX($A$9:A1048, MAX(IF($D$9:D1048=1, ROW(D$9:$D1048)-ROW($D$9)+1, 0)))</f>
        <v>47562</v>
      </c>
      <c r="F1049" s="23">
        <f t="shared" si="210"/>
        <v>3.9863107460643397</v>
      </c>
      <c r="G1049" s="5">
        <f>INDEX('Default Prob'!$P$5:$P$14,MIN(1+_xlfn.IFNA(MATCH(F1049,'Default Prob'!$F$5:$F$14,1),0),COUNT('Default Prob'!$P$5:$P$14)))</f>
        <v>2.3050976347889798E-2</v>
      </c>
      <c r="H1049" s="5">
        <f t="shared" si="219"/>
        <v>0.91668448422233006</v>
      </c>
      <c r="I1049" s="24">
        <f t="shared" si="220"/>
        <v>1.7357267195849957E-4</v>
      </c>
      <c r="J1049" s="25">
        <f>INDEX('Default Prob'!$C$3:$C$13, _xlfn.IFNA(MATCH(F1049, 'Default Prob'!$B$3:$B$13, 1), 1))</f>
        <v>1.8499999999999999E-2</v>
      </c>
      <c r="K1049" s="26">
        <f t="shared" si="211"/>
        <v>0.92953307424581988</v>
      </c>
      <c r="L1049" s="27">
        <f t="shared" ca="1" si="212"/>
        <v>0</v>
      </c>
      <c r="M1049" s="27">
        <f t="shared" ca="1" si="213"/>
        <v>686.23509564638755</v>
      </c>
      <c r="N1049" s="28">
        <f t="shared" ca="1" si="214"/>
        <v>0.11071822670175019</v>
      </c>
      <c r="O1049" s="29">
        <f t="shared" ca="1" si="215"/>
        <v>600000</v>
      </c>
      <c r="P1049" s="30">
        <f t="shared" ca="1" si="216"/>
        <v>96.804923622387193</v>
      </c>
    </row>
    <row r="1050" spans="1:16" x14ac:dyDescent="0.25">
      <c r="A1050" s="3">
        <f t="shared" si="217"/>
        <v>47582</v>
      </c>
      <c r="B1050" s="21">
        <f t="shared" si="208"/>
        <v>36625</v>
      </c>
      <c r="C1050" s="21">
        <f t="shared" si="209"/>
        <v>36697</v>
      </c>
      <c r="D1050" s="1">
        <f t="shared" si="218"/>
        <v>0</v>
      </c>
      <c r="E1050" s="3">
        <f t="array" ref="E1050">INDEX($A$9:A1049, MAX(IF($D$9:D1049=1, ROW(D$9:$D1049)-ROW($D$9)+1, 0)))</f>
        <v>47562</v>
      </c>
      <c r="F1050" s="23">
        <f t="shared" si="210"/>
        <v>3.9890485968514717</v>
      </c>
      <c r="G1050" s="5">
        <f>INDEX('Default Prob'!$P$5:$P$14,MIN(1+_xlfn.IFNA(MATCH(F1050,'Default Prob'!$F$5:$F$14,1),0),COUNT('Default Prob'!$P$5:$P$14)))</f>
        <v>2.3050976347889798E-2</v>
      </c>
      <c r="H1050" s="5">
        <f t="shared" si="219"/>
        <v>0.91662663396742283</v>
      </c>
      <c r="I1050" s="24">
        <f t="shared" si="220"/>
        <v>5.785025490723239E-5</v>
      </c>
      <c r="J1050" s="25">
        <f>INDEX('Default Prob'!$C$3:$C$13, _xlfn.IFNA(MATCH(F1050, 'Default Prob'!$B$3:$B$13, 1), 1))</f>
        <v>1.8499999999999999E-2</v>
      </c>
      <c r="K1050" s="26">
        <f t="shared" si="211"/>
        <v>0.9294864245457497</v>
      </c>
      <c r="L1050" s="27">
        <f t="shared" ca="1" si="212"/>
        <v>0</v>
      </c>
      <c r="M1050" s="27">
        <f t="shared" ca="1" si="213"/>
        <v>722.35273225935532</v>
      </c>
      <c r="N1050" s="28">
        <f t="shared" ca="1" si="214"/>
        <v>3.8841647975687718E-2</v>
      </c>
      <c r="O1050" s="29">
        <f t="shared" ca="1" si="215"/>
        <v>600000</v>
      </c>
      <c r="P1050" s="30">
        <f t="shared" ca="1" si="216"/>
        <v>32.262615955670185</v>
      </c>
    </row>
    <row r="1051" spans="1:16" x14ac:dyDescent="0.25">
      <c r="A1051" s="3">
        <f t="shared" si="217"/>
        <v>47583</v>
      </c>
      <c r="B1051" s="21">
        <f t="shared" si="208"/>
        <v>36626</v>
      </c>
      <c r="C1051" s="21">
        <f t="shared" si="209"/>
        <v>36697</v>
      </c>
      <c r="D1051" s="1">
        <f t="shared" si="218"/>
        <v>0</v>
      </c>
      <c r="E1051" s="3">
        <f t="array" ref="E1051">INDEX($A$9:A1050, MAX(IF($D$9:D1050=1, ROW(D$9:$D1050)-ROW($D$9)+1, 0)))</f>
        <v>47562</v>
      </c>
      <c r="F1051" s="23">
        <f t="shared" si="210"/>
        <v>3.9917864476386038</v>
      </c>
      <c r="G1051" s="5">
        <f>INDEX('Default Prob'!$P$5:$P$14,MIN(1+_xlfn.IFNA(MATCH(F1051,'Default Prob'!$F$5:$F$14,1),0),COUNT('Default Prob'!$P$5:$P$14)))</f>
        <v>2.3050976347889798E-2</v>
      </c>
      <c r="H1051" s="5">
        <f t="shared" si="219"/>
        <v>0.91656878736333769</v>
      </c>
      <c r="I1051" s="24">
        <f t="shared" si="220"/>
        <v>5.7846604085143305E-5</v>
      </c>
      <c r="J1051" s="25">
        <f>INDEX('Default Prob'!$C$3:$C$13, _xlfn.IFNA(MATCH(F1051, 'Default Prob'!$B$3:$B$13, 1), 1))</f>
        <v>1.8499999999999999E-2</v>
      </c>
      <c r="K1051" s="26">
        <f t="shared" si="211"/>
        <v>0.92943977718684923</v>
      </c>
      <c r="L1051" s="27">
        <f t="shared" ca="1" si="212"/>
        <v>0</v>
      </c>
      <c r="M1051" s="27">
        <f t="shared" ca="1" si="213"/>
        <v>758.47036887232321</v>
      </c>
      <c r="N1051" s="28">
        <f t="shared" ca="1" si="214"/>
        <v>4.0779109939186903E-2</v>
      </c>
      <c r="O1051" s="29">
        <f t="shared" ca="1" si="215"/>
        <v>600000</v>
      </c>
      <c r="P1051" s="30">
        <f t="shared" ca="1" si="216"/>
        <v>32.258960887146884</v>
      </c>
    </row>
    <row r="1052" spans="1:16" x14ac:dyDescent="0.25">
      <c r="A1052" s="3">
        <f t="shared" si="217"/>
        <v>47584</v>
      </c>
      <c r="B1052" s="21">
        <f t="shared" si="208"/>
        <v>36627</v>
      </c>
      <c r="C1052" s="21">
        <f t="shared" si="209"/>
        <v>36697</v>
      </c>
      <c r="D1052" s="1">
        <f t="shared" si="218"/>
        <v>0</v>
      </c>
      <c r="E1052" s="3">
        <f t="array" ref="E1052">INDEX($A$9:A1051, MAX(IF($D$9:D1051=1, ROW(D$9:$D1051)-ROW($D$9)+1, 0)))</f>
        <v>47562</v>
      </c>
      <c r="F1052" s="23">
        <f t="shared" si="210"/>
        <v>3.9945242984257359</v>
      </c>
      <c r="G1052" s="5">
        <f>INDEX('Default Prob'!$P$5:$P$14,MIN(1+_xlfn.IFNA(MATCH(F1052,'Default Prob'!$F$5:$F$14,1),0),COUNT('Default Prob'!$P$5:$P$14)))</f>
        <v>2.3050976347889798E-2</v>
      </c>
      <c r="H1052" s="5">
        <f t="shared" si="219"/>
        <v>0.91651094440984437</v>
      </c>
      <c r="I1052" s="24">
        <f t="shared" si="220"/>
        <v>5.7842953493314475E-5</v>
      </c>
      <c r="J1052" s="25">
        <f>INDEX('Default Prob'!$C$3:$C$13, _xlfn.IFNA(MATCH(F1052, 'Default Prob'!$B$3:$B$13, 1), 1))</f>
        <v>1.8499999999999999E-2</v>
      </c>
      <c r="K1052" s="26">
        <f t="shared" si="211"/>
        <v>0.92939313216900055</v>
      </c>
      <c r="L1052" s="27">
        <f t="shared" ca="1" si="212"/>
        <v>0</v>
      </c>
      <c r="M1052" s="27">
        <f t="shared" ca="1" si="213"/>
        <v>794.58800548529086</v>
      </c>
      <c r="N1052" s="28">
        <f t="shared" ca="1" si="214"/>
        <v>4.2716132409510429E-2</v>
      </c>
      <c r="O1052" s="29">
        <f t="shared" ca="1" si="215"/>
        <v>600000</v>
      </c>
      <c r="P1052" s="30">
        <f t="shared" ca="1" si="216"/>
        <v>32.255306232634425</v>
      </c>
    </row>
    <row r="1053" spans="1:16" x14ac:dyDescent="0.25">
      <c r="A1053" s="3">
        <f t="shared" si="217"/>
        <v>47585</v>
      </c>
      <c r="B1053" s="21">
        <f t="shared" si="208"/>
        <v>36628</v>
      </c>
      <c r="C1053" s="21">
        <f t="shared" si="209"/>
        <v>36697</v>
      </c>
      <c r="D1053" s="1">
        <f t="shared" si="218"/>
        <v>0</v>
      </c>
      <c r="E1053" s="3">
        <f t="array" ref="E1053">INDEX($A$9:A1052, MAX(IF($D$9:D1052=1, ROW(D$9:$D1052)-ROW($D$9)+1, 0)))</f>
        <v>47562</v>
      </c>
      <c r="F1053" s="23">
        <f t="shared" si="210"/>
        <v>3.9972621492128679</v>
      </c>
      <c r="G1053" s="5">
        <f>INDEX('Default Prob'!$P$5:$P$14,MIN(1+_xlfn.IFNA(MATCH(F1053,'Default Prob'!$F$5:$F$14,1),0),COUNT('Default Prob'!$P$5:$P$14)))</f>
        <v>2.3050976347889798E-2</v>
      </c>
      <c r="H1053" s="5">
        <f t="shared" si="219"/>
        <v>0.91645310510671241</v>
      </c>
      <c r="I1053" s="24">
        <f t="shared" si="220"/>
        <v>5.7839303131967945E-5</v>
      </c>
      <c r="J1053" s="25">
        <f>INDEX('Default Prob'!$C$3:$C$13, _xlfn.IFNA(MATCH(F1053, 'Default Prob'!$B$3:$B$13, 1), 1))</f>
        <v>1.8499999999999999E-2</v>
      </c>
      <c r="K1053" s="26">
        <f t="shared" si="211"/>
        <v>0.92934648949208642</v>
      </c>
      <c r="L1053" s="27">
        <f t="shared" ca="1" si="212"/>
        <v>0</v>
      </c>
      <c r="M1053" s="27">
        <f t="shared" ca="1" si="213"/>
        <v>830.70564209825864</v>
      </c>
      <c r="N1053" s="28">
        <f t="shared" ca="1" si="214"/>
        <v>4.4652715461541495E-2</v>
      </c>
      <c r="O1053" s="29">
        <f t="shared" ca="1" si="215"/>
        <v>600000</v>
      </c>
      <c r="P1053" s="30">
        <f t="shared" ca="1" si="216"/>
        <v>32.25165199221783</v>
      </c>
    </row>
    <row r="1054" spans="1:16" x14ac:dyDescent="0.25">
      <c r="A1054" s="3">
        <f t="shared" si="217"/>
        <v>47588</v>
      </c>
      <c r="B1054" s="21">
        <f t="shared" si="208"/>
        <v>36631</v>
      </c>
      <c r="C1054" s="21">
        <f t="shared" si="209"/>
        <v>36697</v>
      </c>
      <c r="D1054" s="1">
        <f t="shared" si="218"/>
        <v>0</v>
      </c>
      <c r="E1054" s="3">
        <f t="array" ref="E1054">INDEX($A$9:A1053, MAX(IF($D$9:D1053=1, ROW(D$9:$D1053)-ROW($D$9)+1, 0)))</f>
        <v>47562</v>
      </c>
      <c r="F1054" s="23">
        <f t="shared" si="210"/>
        <v>4.0054757015742641</v>
      </c>
      <c r="G1054" s="5">
        <f>INDEX('Default Prob'!$P$5:$P$14,MIN(1+_xlfn.IFNA(MATCH(F1054,'Default Prob'!$F$5:$F$14,1),0),COUNT('Default Prob'!$P$5:$P$14)))</f>
        <v>2.046797531464158E-2</v>
      </c>
      <c r="H1054" s="5">
        <f t="shared" si="219"/>
        <v>0.91627960909718087</v>
      </c>
      <c r="I1054" s="24">
        <f t="shared" si="220"/>
        <v>1.7349600953153743E-4</v>
      </c>
      <c r="J1054" s="25">
        <f>INDEX('Default Prob'!$C$3:$C$13, _xlfn.IFNA(MATCH(F1054, 'Default Prob'!$B$3:$B$13, 1), 1))</f>
        <v>1.95E-2</v>
      </c>
      <c r="K1054" s="26">
        <f t="shared" si="211"/>
        <v>0.92556122791055162</v>
      </c>
      <c r="L1054" s="27">
        <f t="shared" ca="1" si="212"/>
        <v>0</v>
      </c>
      <c r="M1054" s="27">
        <f t="shared" ca="1" si="213"/>
        <v>939.05855193716195</v>
      </c>
      <c r="N1054" s="28">
        <f t="shared" ca="1" si="214"/>
        <v>0.15079513000193401</v>
      </c>
      <c r="O1054" s="29">
        <f t="shared" ca="1" si="215"/>
        <v>600000</v>
      </c>
      <c r="P1054" s="30">
        <f t="shared" ca="1" si="216"/>
        <v>96.348707771754334</v>
      </c>
    </row>
    <row r="1055" spans="1:16" x14ac:dyDescent="0.25">
      <c r="A1055" s="3">
        <f t="shared" si="217"/>
        <v>47589</v>
      </c>
      <c r="B1055" s="21">
        <f t="shared" si="208"/>
        <v>36632</v>
      </c>
      <c r="C1055" s="21">
        <f t="shared" si="209"/>
        <v>36697</v>
      </c>
      <c r="D1055" s="1">
        <f t="shared" si="218"/>
        <v>0</v>
      </c>
      <c r="E1055" s="3">
        <f t="array" ref="E1055">INDEX($A$9:A1054, MAX(IF($D$9:D1054=1, ROW(D$9:$D1054)-ROW($D$9)+1, 0)))</f>
        <v>47562</v>
      </c>
      <c r="F1055" s="23">
        <f t="shared" si="210"/>
        <v>4.0082135523613962</v>
      </c>
      <c r="G1055" s="5">
        <f>INDEX('Default Prob'!$P$5:$P$14,MIN(1+_xlfn.IFNA(MATCH(F1055,'Default Prob'!$F$5:$F$14,1),0),COUNT('Default Prob'!$P$5:$P$14)))</f>
        <v>2.046797531464158E-2</v>
      </c>
      <c r="H1055" s="5">
        <f t="shared" si="219"/>
        <v>0.91622826381874567</v>
      </c>
      <c r="I1055" s="24">
        <f t="shared" si="220"/>
        <v>5.1345278435199759E-5</v>
      </c>
      <c r="J1055" s="25">
        <f>INDEX('Default Prob'!$C$3:$C$13, _xlfn.IFNA(MATCH(F1055, 'Default Prob'!$B$3:$B$13, 1), 1))</f>
        <v>1.95E-2</v>
      </c>
      <c r="K1055" s="26">
        <f t="shared" si="211"/>
        <v>0.92551229087081133</v>
      </c>
      <c r="L1055" s="27">
        <f t="shared" ca="1" si="212"/>
        <v>0</v>
      </c>
      <c r="M1055" s="27">
        <f t="shared" ca="1" si="213"/>
        <v>975.17618855012961</v>
      </c>
      <c r="N1055" s="28">
        <f t="shared" ca="1" si="214"/>
        <v>4.6341041714027434E-2</v>
      </c>
      <c r="O1055" s="29">
        <f t="shared" ca="1" si="215"/>
        <v>600000</v>
      </c>
      <c r="P1055" s="30">
        <f t="shared" ca="1" si="216"/>
        <v>28.512411761976839</v>
      </c>
    </row>
    <row r="1056" spans="1:16" x14ac:dyDescent="0.25">
      <c r="A1056" s="3">
        <f t="shared" si="217"/>
        <v>47590</v>
      </c>
      <c r="B1056" s="21">
        <f t="shared" si="208"/>
        <v>36633</v>
      </c>
      <c r="C1056" s="21">
        <f t="shared" si="209"/>
        <v>36697</v>
      </c>
      <c r="D1056" s="1">
        <f t="shared" si="218"/>
        <v>0</v>
      </c>
      <c r="E1056" s="3">
        <f t="array" ref="E1056">INDEX($A$9:A1055, MAX(IF($D$9:D1055=1, ROW(D$9:$D1055)-ROW($D$9)+1, 0)))</f>
        <v>47562</v>
      </c>
      <c r="F1056" s="23">
        <f t="shared" si="210"/>
        <v>4.0109514031485283</v>
      </c>
      <c r="G1056" s="5">
        <f>INDEX('Default Prob'!$P$5:$P$14,MIN(1+_xlfn.IFNA(MATCH(F1056,'Default Prob'!$F$5:$F$14,1),0),COUNT('Default Prob'!$P$5:$P$14)))</f>
        <v>2.046797531464158E-2</v>
      </c>
      <c r="H1056" s="5">
        <f t="shared" si="219"/>
        <v>0.91617692141753004</v>
      </c>
      <c r="I1056" s="24">
        <f t="shared" si="220"/>
        <v>5.1342401215626055E-5</v>
      </c>
      <c r="J1056" s="25">
        <f>INDEX('Default Prob'!$C$3:$C$13, _xlfn.IFNA(MATCH(F1056, 'Default Prob'!$B$3:$B$13, 1), 1))</f>
        <v>1.95E-2</v>
      </c>
      <c r="K1056" s="26">
        <f t="shared" si="211"/>
        <v>0.92546335641851107</v>
      </c>
      <c r="L1056" s="27">
        <f t="shared" ca="1" si="212"/>
        <v>0</v>
      </c>
      <c r="M1056" s="27">
        <f t="shared" ca="1" si="213"/>
        <v>1011.2938251630975</v>
      </c>
      <c r="N1056" s="28">
        <f t="shared" ca="1" si="214"/>
        <v>4.8052142828866912E-2</v>
      </c>
      <c r="O1056" s="29">
        <f t="shared" ca="1" si="215"/>
        <v>600000</v>
      </c>
      <c r="P1056" s="30">
        <f t="shared" ca="1" si="216"/>
        <v>28.509306573359478</v>
      </c>
    </row>
    <row r="1057" spans="1:16" x14ac:dyDescent="0.25">
      <c r="A1057" s="3">
        <f t="shared" si="217"/>
        <v>47591</v>
      </c>
      <c r="B1057" s="21">
        <f t="shared" si="208"/>
        <v>36634</v>
      </c>
      <c r="C1057" s="21">
        <f t="shared" si="209"/>
        <v>36697</v>
      </c>
      <c r="D1057" s="1">
        <f t="shared" si="218"/>
        <v>0</v>
      </c>
      <c r="E1057" s="3">
        <f t="array" ref="E1057">INDEX($A$9:A1056, MAX(IF($D$9:D1056=1, ROW(D$9:$D1056)-ROW($D$9)+1, 0)))</f>
        <v>47562</v>
      </c>
      <c r="F1057" s="23">
        <f t="shared" si="210"/>
        <v>4.0136892539356603</v>
      </c>
      <c r="G1057" s="5">
        <f>INDEX('Default Prob'!$P$5:$P$14,MIN(1+_xlfn.IFNA(MATCH(F1057,'Default Prob'!$F$5:$F$14,1),0),COUNT('Default Prob'!$P$5:$P$14)))</f>
        <v>2.046797531464158E-2</v>
      </c>
      <c r="H1057" s="5">
        <f t="shared" si="219"/>
        <v>0.91612558189337279</v>
      </c>
      <c r="I1057" s="24">
        <f t="shared" si="220"/>
        <v>5.1339524157256733E-5</v>
      </c>
      <c r="J1057" s="25">
        <f>INDEX('Default Prob'!$C$3:$C$13, _xlfn.IFNA(MATCH(F1057, 'Default Prob'!$B$3:$B$13, 1), 1))</f>
        <v>1.95E-2</v>
      </c>
      <c r="K1057" s="26">
        <f t="shared" si="211"/>
        <v>0.92541442455351342</v>
      </c>
      <c r="L1057" s="27">
        <f t="shared" ca="1" si="212"/>
        <v>0</v>
      </c>
      <c r="M1057" s="27">
        <f t="shared" ca="1" si="213"/>
        <v>1047.4114617760652</v>
      </c>
      <c r="N1057" s="28">
        <f t="shared" ca="1" si="214"/>
        <v>4.9762870693782664E-2</v>
      </c>
      <c r="O1057" s="29">
        <f t="shared" ca="1" si="215"/>
        <v>600000</v>
      </c>
      <c r="P1057" s="30">
        <f t="shared" ca="1" si="216"/>
        <v>28.506201722903363</v>
      </c>
    </row>
    <row r="1058" spans="1:16" x14ac:dyDescent="0.25">
      <c r="A1058" s="3">
        <f t="shared" si="217"/>
        <v>47592</v>
      </c>
      <c r="B1058" s="21">
        <f t="shared" si="208"/>
        <v>36635</v>
      </c>
      <c r="C1058" s="21">
        <f t="shared" si="209"/>
        <v>36697</v>
      </c>
      <c r="D1058" s="1">
        <f t="shared" si="218"/>
        <v>0</v>
      </c>
      <c r="E1058" s="3">
        <f t="array" ref="E1058">INDEX($A$9:A1057, MAX(IF($D$9:D1057=1, ROW(D$9:$D1057)-ROW($D$9)+1, 0)))</f>
        <v>47562</v>
      </c>
      <c r="F1058" s="23">
        <f t="shared" si="210"/>
        <v>4.0164271047227924</v>
      </c>
      <c r="G1058" s="5">
        <f>INDEX('Default Prob'!$P$5:$P$14,MIN(1+_xlfn.IFNA(MATCH(F1058,'Default Prob'!$F$5:$F$14,1),0),COUNT('Default Prob'!$P$5:$P$14)))</f>
        <v>2.046797531464158E-2</v>
      </c>
      <c r="H1058" s="5">
        <f t="shared" si="219"/>
        <v>0.91607424524611258</v>
      </c>
      <c r="I1058" s="24">
        <f t="shared" si="220"/>
        <v>5.1336647260202817E-5</v>
      </c>
      <c r="J1058" s="25">
        <f>INDEX('Default Prob'!$C$3:$C$13, _xlfn.IFNA(MATCH(F1058, 'Default Prob'!$B$3:$B$13, 1), 1))</f>
        <v>1.95E-2</v>
      </c>
      <c r="K1058" s="26">
        <f t="shared" si="211"/>
        <v>0.92536549527568202</v>
      </c>
      <c r="L1058" s="27">
        <f t="shared" ca="1" si="212"/>
        <v>0</v>
      </c>
      <c r="M1058" s="27">
        <f t="shared" ca="1" si="213"/>
        <v>1083.5290983890329</v>
      </c>
      <c r="N1058" s="28">
        <f t="shared" ca="1" si="214"/>
        <v>5.1473225369896528E-2</v>
      </c>
      <c r="O1058" s="29">
        <f t="shared" ca="1" si="215"/>
        <v>600000</v>
      </c>
      <c r="P1058" s="30">
        <f t="shared" ca="1" si="216"/>
        <v>28.503097210638337</v>
      </c>
    </row>
    <row r="1059" spans="1:16" x14ac:dyDescent="0.25">
      <c r="A1059" s="3">
        <f t="shared" si="217"/>
        <v>47595</v>
      </c>
      <c r="B1059" s="21">
        <f t="shared" si="208"/>
        <v>36638</v>
      </c>
      <c r="C1059" s="21">
        <f t="shared" si="209"/>
        <v>36697</v>
      </c>
      <c r="D1059" s="1">
        <f t="shared" si="218"/>
        <v>0</v>
      </c>
      <c r="E1059" s="3">
        <f t="array" ref="E1059">INDEX($A$9:A1058, MAX(IF($D$9:D1058=1, ROW(D$9:$D1058)-ROW($D$9)+1, 0)))</f>
        <v>47562</v>
      </c>
      <c r="F1059" s="23">
        <f t="shared" si="210"/>
        <v>4.0246406570841886</v>
      </c>
      <c r="G1059" s="5">
        <f>INDEX('Default Prob'!$P$5:$P$14,MIN(1+_xlfn.IFNA(MATCH(F1059,'Default Prob'!$F$5:$F$14,1),0),COUNT('Default Prob'!$P$5:$P$14)))</f>
        <v>2.046797531464158E-2</v>
      </c>
      <c r="H1059" s="5">
        <f t="shared" si="219"/>
        <v>0.91592025256410259</v>
      </c>
      <c r="I1059" s="24">
        <f t="shared" si="220"/>
        <v>1.5399268200999572E-4</v>
      </c>
      <c r="J1059" s="25">
        <f>INDEX('Default Prob'!$C$3:$C$13, _xlfn.IFNA(MATCH(F1059, 'Default Prob'!$B$3:$B$13, 1), 1))</f>
        <v>1.95E-2</v>
      </c>
      <c r="K1059" s="26">
        <f t="shared" si="211"/>
        <v>0.92521872296381624</v>
      </c>
      <c r="L1059" s="27">
        <f t="shared" ca="1" si="212"/>
        <v>0</v>
      </c>
      <c r="M1059" s="27">
        <f t="shared" ca="1" si="213"/>
        <v>1191.8820082279362</v>
      </c>
      <c r="N1059" s="28">
        <f t="shared" ca="1" si="214"/>
        <v>0.16981566870991779</v>
      </c>
      <c r="O1059" s="29">
        <f t="shared" ca="1" si="215"/>
        <v>600000</v>
      </c>
      <c r="P1059" s="30">
        <f t="shared" ca="1" si="216"/>
        <v>85.486147557036773</v>
      </c>
    </row>
    <row r="1060" spans="1:16" x14ac:dyDescent="0.25">
      <c r="A1060" s="3">
        <f t="shared" si="217"/>
        <v>47596</v>
      </c>
      <c r="B1060" s="21">
        <f t="shared" si="208"/>
        <v>36639</v>
      </c>
      <c r="C1060" s="21">
        <f t="shared" si="209"/>
        <v>36697</v>
      </c>
      <c r="D1060" s="1">
        <f t="shared" si="218"/>
        <v>0</v>
      </c>
      <c r="E1060" s="3">
        <f t="array" ref="E1060">INDEX($A$9:A1059, MAX(IF($D$9:D1059=1, ROW(D$9:$D1059)-ROW($D$9)+1, 0)))</f>
        <v>47562</v>
      </c>
      <c r="F1060" s="23">
        <f t="shared" si="210"/>
        <v>4.0273785078713207</v>
      </c>
      <c r="G1060" s="5">
        <f>INDEX('Default Prob'!$P$5:$P$14,MIN(1+_xlfn.IFNA(MATCH(F1060,'Default Prob'!$F$5:$F$14,1),0),COUNT('Default Prob'!$P$5:$P$14)))</f>
        <v>2.046797531464158E-2</v>
      </c>
      <c r="H1060" s="5">
        <f t="shared" si="219"/>
        <v>0.91586892742281878</v>
      </c>
      <c r="I1060" s="24">
        <f t="shared" si="220"/>
        <v>5.1325141283808939E-5</v>
      </c>
      <c r="J1060" s="25">
        <f>INDEX('Default Prob'!$C$3:$C$13, _xlfn.IFNA(MATCH(F1060, 'Default Prob'!$B$3:$B$13, 1), 1))</f>
        <v>1.95E-2</v>
      </c>
      <c r="K1060" s="26">
        <f t="shared" si="211"/>
        <v>0.92516980403328142</v>
      </c>
      <c r="L1060" s="27">
        <f t="shared" ca="1" si="212"/>
        <v>0</v>
      </c>
      <c r="M1060" s="27">
        <f t="shared" ca="1" si="213"/>
        <v>1227.9996448409042</v>
      </c>
      <c r="N1060" s="28">
        <f t="shared" ca="1" si="214"/>
        <v>5.8310913404983268E-2</v>
      </c>
      <c r="O1060" s="29">
        <f t="shared" ca="1" si="215"/>
        <v>600000</v>
      </c>
      <c r="P1060" s="30">
        <f t="shared" ca="1" si="216"/>
        <v>28.490682542113198</v>
      </c>
    </row>
    <row r="1061" spans="1:16" x14ac:dyDescent="0.25">
      <c r="A1061" s="3">
        <f t="shared" si="217"/>
        <v>47597</v>
      </c>
      <c r="B1061" s="21">
        <f t="shared" si="208"/>
        <v>36640</v>
      </c>
      <c r="C1061" s="21">
        <f t="shared" si="209"/>
        <v>36697</v>
      </c>
      <c r="D1061" s="1">
        <f t="shared" si="218"/>
        <v>0</v>
      </c>
      <c r="E1061" s="3">
        <f t="array" ref="E1061">INDEX($A$9:A1060, MAX(IF($D$9:D1060=1, ROW(D$9:$D1060)-ROW($D$9)+1, 0)))</f>
        <v>47562</v>
      </c>
      <c r="F1061" s="23">
        <f t="shared" si="210"/>
        <v>4.0301163586584527</v>
      </c>
      <c r="G1061" s="5">
        <f>INDEX('Default Prob'!$P$5:$P$14,MIN(1+_xlfn.IFNA(MATCH(F1061,'Default Prob'!$F$5:$F$14,1),0),COUNT('Default Prob'!$P$5:$P$14)))</f>
        <v>2.046797531464158E-2</v>
      </c>
      <c r="H1061" s="5">
        <f t="shared" si="219"/>
        <v>0.91581760515762611</v>
      </c>
      <c r="I1061" s="24">
        <f t="shared" si="220"/>
        <v>5.1322265192665917E-5</v>
      </c>
      <c r="J1061" s="25">
        <f>INDEX('Default Prob'!$C$3:$C$13, _xlfn.IFNA(MATCH(F1061, 'Default Prob'!$B$3:$B$13, 1), 1))</f>
        <v>1.95E-2</v>
      </c>
      <c r="K1061" s="26">
        <f t="shared" si="211"/>
        <v>0.92512088768922862</v>
      </c>
      <c r="L1061" s="27">
        <f t="shared" ca="1" si="212"/>
        <v>0</v>
      </c>
      <c r="M1061" s="27">
        <f t="shared" ca="1" si="213"/>
        <v>1264.1172814538718</v>
      </c>
      <c r="N1061" s="28">
        <f t="shared" ca="1" si="214"/>
        <v>6.0019403051320093E-2</v>
      </c>
      <c r="O1061" s="29">
        <f t="shared" ca="1" si="215"/>
        <v>600000</v>
      </c>
      <c r="P1061" s="30">
        <f t="shared" ca="1" si="216"/>
        <v>28.487579719956656</v>
      </c>
    </row>
    <row r="1062" spans="1:16" x14ac:dyDescent="0.25">
      <c r="A1062" s="3">
        <f t="shared" si="217"/>
        <v>47598</v>
      </c>
      <c r="B1062" s="21">
        <f t="shared" si="208"/>
        <v>36641</v>
      </c>
      <c r="C1062" s="21">
        <f t="shared" si="209"/>
        <v>36697</v>
      </c>
      <c r="D1062" s="1">
        <f t="shared" si="218"/>
        <v>0</v>
      </c>
      <c r="E1062" s="3">
        <f t="array" ref="E1062">INDEX($A$9:A1061, MAX(IF($D$9:D1061=1, ROW(D$9:$D1061)-ROW($D$9)+1, 0)))</f>
        <v>47562</v>
      </c>
      <c r="F1062" s="23">
        <f t="shared" si="210"/>
        <v>4.0328542094455848</v>
      </c>
      <c r="G1062" s="5">
        <f>INDEX('Default Prob'!$P$5:$P$14,MIN(1+_xlfn.IFNA(MATCH(F1062,'Default Prob'!$F$5:$F$14,1),0),COUNT('Default Prob'!$P$5:$P$14)))</f>
        <v>2.046797531464158E-2</v>
      </c>
      <c r="H1062" s="5">
        <f t="shared" si="219"/>
        <v>0.9157662857683635</v>
      </c>
      <c r="I1062" s="24">
        <f t="shared" si="220"/>
        <v>5.1319389262616255E-5</v>
      </c>
      <c r="J1062" s="25">
        <f>INDEX('Default Prob'!$C$3:$C$13, _xlfn.IFNA(MATCH(F1062, 'Default Prob'!$B$3:$B$13, 1), 1))</f>
        <v>1.95E-2</v>
      </c>
      <c r="K1062" s="26">
        <f t="shared" si="211"/>
        <v>0.9250719739315213</v>
      </c>
      <c r="L1062" s="27">
        <f t="shared" ca="1" si="212"/>
        <v>0</v>
      </c>
      <c r="M1062" s="27">
        <f t="shared" ca="1" si="213"/>
        <v>1300.2349180668396</v>
      </c>
      <c r="N1062" s="28">
        <f t="shared" ca="1" si="214"/>
        <v>6.1727519874512332E-2</v>
      </c>
      <c r="O1062" s="29">
        <f t="shared" ca="1" si="215"/>
        <v>600000</v>
      </c>
      <c r="P1062" s="30">
        <f t="shared" ca="1" si="216"/>
        <v>28.484477235677122</v>
      </c>
    </row>
    <row r="1063" spans="1:16" x14ac:dyDescent="0.25">
      <c r="A1063" s="3">
        <f t="shared" si="217"/>
        <v>47599</v>
      </c>
      <c r="B1063" s="21">
        <f t="shared" si="208"/>
        <v>36642</v>
      </c>
      <c r="C1063" s="21">
        <f t="shared" si="209"/>
        <v>36697</v>
      </c>
      <c r="D1063" s="1">
        <f t="shared" si="218"/>
        <v>0</v>
      </c>
      <c r="E1063" s="3">
        <f t="array" ref="E1063">INDEX($A$9:A1062, MAX(IF($D$9:D1062=1, ROW(D$9:$D1062)-ROW($D$9)+1, 0)))</f>
        <v>47562</v>
      </c>
      <c r="F1063" s="23">
        <f t="shared" si="210"/>
        <v>4.0355920602327169</v>
      </c>
      <c r="G1063" s="5">
        <f>INDEX('Default Prob'!$P$5:$P$14,MIN(1+_xlfn.IFNA(MATCH(F1063,'Default Prob'!$F$5:$F$14,1),0),COUNT('Default Prob'!$P$5:$P$14)))</f>
        <v>2.046797531464158E-2</v>
      </c>
      <c r="H1063" s="5">
        <f t="shared" si="219"/>
        <v>0.91571496925486973</v>
      </c>
      <c r="I1063" s="24">
        <f t="shared" si="220"/>
        <v>5.1316513493770977E-5</v>
      </c>
      <c r="J1063" s="25">
        <f>INDEX('Default Prob'!$C$3:$C$13, _xlfn.IFNA(MATCH(F1063, 'Default Prob'!$B$3:$B$13, 1), 1))</f>
        <v>1.95E-2</v>
      </c>
      <c r="K1063" s="26">
        <f t="shared" si="211"/>
        <v>0.92502306276002277</v>
      </c>
      <c r="L1063" s="27">
        <f t="shared" ca="1" si="212"/>
        <v>0</v>
      </c>
      <c r="M1063" s="27">
        <f t="shared" ca="1" si="213"/>
        <v>1336.3525546798076</v>
      </c>
      <c r="N1063" s="28">
        <f t="shared" ca="1" si="214"/>
        <v>6.3435263935643027E-2</v>
      </c>
      <c r="O1063" s="29">
        <f t="shared" ca="1" si="215"/>
        <v>600000</v>
      </c>
      <c r="P1063" s="30">
        <f t="shared" ca="1" si="216"/>
        <v>28.481375089304439</v>
      </c>
    </row>
    <row r="1064" spans="1:16" x14ac:dyDescent="0.25">
      <c r="A1064" s="3">
        <f t="shared" si="217"/>
        <v>47602</v>
      </c>
      <c r="B1064" s="21">
        <f t="shared" si="208"/>
        <v>36645</v>
      </c>
      <c r="C1064" s="21">
        <f t="shared" si="209"/>
        <v>36697</v>
      </c>
      <c r="D1064" s="1">
        <f t="shared" si="218"/>
        <v>0</v>
      </c>
      <c r="E1064" s="3">
        <f t="array" ref="E1064">INDEX($A$9:A1063, MAX(IF($D$9:D1063=1, ROW(D$9:$D1063)-ROW($D$9)+1, 0)))</f>
        <v>47562</v>
      </c>
      <c r="F1064" s="23">
        <f t="shared" si="210"/>
        <v>4.043805612594114</v>
      </c>
      <c r="G1064" s="5">
        <f>INDEX('Default Prob'!$P$5:$P$14,MIN(1+_xlfn.IFNA(MATCH(F1064,'Default Prob'!$F$5:$F$14,1),0),COUNT('Default Prob'!$P$5:$P$14)))</f>
        <v>2.046797531464158E-2</v>
      </c>
      <c r="H1064" s="5">
        <f t="shared" si="219"/>
        <v>0.91556103696738977</v>
      </c>
      <c r="I1064" s="24">
        <f t="shared" si="220"/>
        <v>1.5393228747995202E-4</v>
      </c>
      <c r="J1064" s="25">
        <f>INDEX('Default Prob'!$C$3:$C$13, _xlfn.IFNA(MATCH(F1064, 'Default Prob'!$B$3:$B$13, 1), 1))</f>
        <v>1.95E-2</v>
      </c>
      <c r="K1064" s="26">
        <f t="shared" si="211"/>
        <v>0.92487634476141189</v>
      </c>
      <c r="L1064" s="27">
        <f t="shared" ca="1" si="212"/>
        <v>0</v>
      </c>
      <c r="M1064" s="27">
        <f t="shared" ca="1" si="213"/>
        <v>1444.7054645187106</v>
      </c>
      <c r="N1064" s="28">
        <f t="shared" ca="1" si="214"/>
        <v>0.20568030632663925</v>
      </c>
      <c r="O1064" s="29">
        <f t="shared" ca="1" si="215"/>
        <v>600000</v>
      </c>
      <c r="P1064" s="30">
        <f t="shared" ca="1" si="216"/>
        <v>85.420998831132522</v>
      </c>
    </row>
    <row r="1065" spans="1:16" x14ac:dyDescent="0.25">
      <c r="A1065" s="3">
        <f t="shared" si="217"/>
        <v>47603</v>
      </c>
      <c r="B1065" s="21">
        <f t="shared" si="208"/>
        <v>36646</v>
      </c>
      <c r="C1065" s="21">
        <f t="shared" si="209"/>
        <v>36697</v>
      </c>
      <c r="D1065" s="1">
        <f t="shared" si="218"/>
        <v>0</v>
      </c>
      <c r="E1065" s="3">
        <f t="array" ref="E1065">INDEX($A$9:A1064, MAX(IF($D$9:D1064=1, ROW(D$9:$D1064)-ROW($D$9)+1, 0)))</f>
        <v>47562</v>
      </c>
      <c r="F1065" s="23">
        <f t="shared" si="210"/>
        <v>4.046543463381246</v>
      </c>
      <c r="G1065" s="5">
        <f>INDEX('Default Prob'!$P$5:$P$14,MIN(1+_xlfn.IFNA(MATCH(F1065,'Default Prob'!$F$5:$F$14,1),0),COUNT('Default Prob'!$P$5:$P$14)))</f>
        <v>2.046797531464158E-2</v>
      </c>
      <c r="H1065" s="5">
        <f t="shared" si="219"/>
        <v>0.91550973195535978</v>
      </c>
      <c r="I1065" s="24">
        <f t="shared" si="220"/>
        <v>5.1305012029989605E-5</v>
      </c>
      <c r="J1065" s="25">
        <f>INDEX('Default Prob'!$C$3:$C$13, _xlfn.IFNA(MATCH(F1065, 'Default Prob'!$B$3:$B$13, 1), 1))</f>
        <v>1.95E-2</v>
      </c>
      <c r="K1065" s="26">
        <f t="shared" si="211"/>
        <v>0.92482744393338068</v>
      </c>
      <c r="L1065" s="27">
        <f t="shared" ca="1" si="212"/>
        <v>0</v>
      </c>
      <c r="M1065" s="27">
        <f t="shared" ca="1" si="213"/>
        <v>1480.8231011316784</v>
      </c>
      <c r="N1065" s="28">
        <f t="shared" ca="1" si="214"/>
        <v>7.0262513777812605E-2</v>
      </c>
      <c r="O1065" s="29">
        <f t="shared" ca="1" si="215"/>
        <v>600000</v>
      </c>
      <c r="P1065" s="30">
        <f t="shared" ca="1" si="216"/>
        <v>28.468969881999978</v>
      </c>
    </row>
    <row r="1066" spans="1:16" x14ac:dyDescent="0.25">
      <c r="A1066" s="3">
        <f t="shared" si="217"/>
        <v>47604</v>
      </c>
      <c r="B1066" s="21">
        <f t="shared" si="208"/>
        <v>36647</v>
      </c>
      <c r="C1066" s="21">
        <f t="shared" si="209"/>
        <v>36697</v>
      </c>
      <c r="D1066" s="1">
        <f t="shared" si="218"/>
        <v>0</v>
      </c>
      <c r="E1066" s="3">
        <f t="array" ref="E1066">INDEX($A$9:A1065, MAX(IF($D$9:D1065=1, ROW(D$9:$D1065)-ROW($D$9)+1, 0)))</f>
        <v>47562</v>
      </c>
      <c r="F1066" s="23">
        <f t="shared" si="210"/>
        <v>4.0492813141683781</v>
      </c>
      <c r="G1066" s="5">
        <f>INDEX('Default Prob'!$P$5:$P$14,MIN(1+_xlfn.IFNA(MATCH(F1066,'Default Prob'!$F$5:$F$14,1),0),COUNT('Default Prob'!$P$5:$P$14)))</f>
        <v>2.046797531464158E-2</v>
      </c>
      <c r="H1066" s="5">
        <f t="shared" si="219"/>
        <v>0.91545842981829306</v>
      </c>
      <c r="I1066" s="24">
        <f t="shared" si="220"/>
        <v>5.1302137066722153E-5</v>
      </c>
      <c r="J1066" s="25">
        <f>INDEX('Default Prob'!$C$3:$C$13, _xlfn.IFNA(MATCH(F1066, 'Default Prob'!$B$3:$B$13, 1), 1))</f>
        <v>1.95E-2</v>
      </c>
      <c r="K1066" s="26">
        <f t="shared" si="211"/>
        <v>0.9247785456908747</v>
      </c>
      <c r="L1066" s="27">
        <f t="shared" ca="1" si="212"/>
        <v>0</v>
      </c>
      <c r="M1066" s="27">
        <f t="shared" ca="1" si="213"/>
        <v>1516.9407377446464</v>
      </c>
      <c r="N1066" s="28">
        <f t="shared" ca="1" si="214"/>
        <v>7.1968394942083777E-2</v>
      </c>
      <c r="O1066" s="29">
        <f t="shared" ca="1" si="215"/>
        <v>600000</v>
      </c>
      <c r="P1066" s="30">
        <f t="shared" ca="1" si="216"/>
        <v>28.465869424438338</v>
      </c>
    </row>
    <row r="1067" spans="1:16" x14ac:dyDescent="0.25">
      <c r="A1067" s="3">
        <f t="shared" si="217"/>
        <v>47605</v>
      </c>
      <c r="B1067" s="21">
        <f t="shared" si="208"/>
        <v>36648</v>
      </c>
      <c r="C1067" s="21">
        <f t="shared" si="209"/>
        <v>36697</v>
      </c>
      <c r="D1067" s="1">
        <f t="shared" si="218"/>
        <v>0</v>
      </c>
      <c r="E1067" s="3">
        <f t="array" ref="E1067">INDEX($A$9:A1066, MAX(IF($D$9:D1066=1, ROW(D$9:$D1066)-ROW($D$9)+1, 0)))</f>
        <v>47562</v>
      </c>
      <c r="F1067" s="23">
        <f t="shared" si="210"/>
        <v>4.0520191649555102</v>
      </c>
      <c r="G1067" s="5">
        <f>INDEX('Default Prob'!$P$5:$P$14,MIN(1+_xlfn.IFNA(MATCH(F1067,'Default Prob'!$F$5:$F$14,1),0),COUNT('Default Prob'!$P$5:$P$14)))</f>
        <v>2.046797531464158E-2</v>
      </c>
      <c r="H1067" s="5">
        <f t="shared" si="219"/>
        <v>0.9154071305560284</v>
      </c>
      <c r="I1067" s="24">
        <f t="shared" si="220"/>
        <v>5.1299262264659085E-5</v>
      </c>
      <c r="J1067" s="25">
        <f>INDEX('Default Prob'!$C$3:$C$13, _xlfn.IFNA(MATCH(F1067, 'Default Prob'!$B$3:$B$13, 1), 1))</f>
        <v>1.95E-2</v>
      </c>
      <c r="K1067" s="26">
        <f t="shared" si="211"/>
        <v>0.92472965003375707</v>
      </c>
      <c r="L1067" s="27">
        <f t="shared" ca="1" si="212"/>
        <v>0</v>
      </c>
      <c r="M1067" s="27">
        <f t="shared" ca="1" si="213"/>
        <v>1553.0583743576142</v>
      </c>
      <c r="N1067" s="28">
        <f t="shared" ca="1" si="214"/>
        <v>7.3673903709844668E-2</v>
      </c>
      <c r="O1067" s="29">
        <f t="shared" ca="1" si="215"/>
        <v>600000</v>
      </c>
      <c r="P1067" s="30">
        <f t="shared" ca="1" si="216"/>
        <v>28.462769304592868</v>
      </c>
    </row>
    <row r="1068" spans="1:16" x14ac:dyDescent="0.25">
      <c r="A1068" s="3">
        <f t="shared" si="217"/>
        <v>47606</v>
      </c>
      <c r="B1068" s="21">
        <f t="shared" si="208"/>
        <v>36649</v>
      </c>
      <c r="C1068" s="21">
        <f t="shared" si="209"/>
        <v>36697</v>
      </c>
      <c r="D1068" s="1">
        <f t="shared" si="218"/>
        <v>0</v>
      </c>
      <c r="E1068" s="3">
        <f t="array" ref="E1068">INDEX($A$9:A1067, MAX(IF($D$9:D1067=1, ROW(D$9:$D1067)-ROW($D$9)+1, 0)))</f>
        <v>47562</v>
      </c>
      <c r="F1068" s="23">
        <f t="shared" si="210"/>
        <v>4.0547570157426422</v>
      </c>
      <c r="G1068" s="5">
        <f>INDEX('Default Prob'!$P$5:$P$14,MIN(1+_xlfn.IFNA(MATCH(F1068,'Default Prob'!$F$5:$F$14,1),0),COUNT('Default Prob'!$P$5:$P$14)))</f>
        <v>2.046797531464158E-2</v>
      </c>
      <c r="H1068" s="5">
        <f t="shared" si="219"/>
        <v>0.91535583416840471</v>
      </c>
      <c r="I1068" s="24">
        <f t="shared" si="220"/>
        <v>5.1296387623689377E-5</v>
      </c>
      <c r="J1068" s="25">
        <f>INDEX('Default Prob'!$C$3:$C$13, _xlfn.IFNA(MATCH(F1068, 'Default Prob'!$B$3:$B$13, 1), 1))</f>
        <v>1.95E-2</v>
      </c>
      <c r="K1068" s="26">
        <f t="shared" si="211"/>
        <v>0.92468075696189123</v>
      </c>
      <c r="L1068" s="27">
        <f t="shared" ca="1" si="212"/>
        <v>0</v>
      </c>
      <c r="M1068" s="27">
        <f t="shared" ca="1" si="213"/>
        <v>1589.1760109705817</v>
      </c>
      <c r="N1068" s="28">
        <f t="shared" ca="1" si="214"/>
        <v>7.5379040141835538E-2</v>
      </c>
      <c r="O1068" s="29">
        <f t="shared" ca="1" si="215"/>
        <v>600000</v>
      </c>
      <c r="P1068" s="30">
        <f t="shared" ca="1" si="216"/>
        <v>28.459669522370209</v>
      </c>
    </row>
    <row r="1069" spans="1:16" x14ac:dyDescent="0.25">
      <c r="A1069" s="3">
        <f t="shared" si="217"/>
        <v>47609</v>
      </c>
      <c r="B1069" s="21">
        <f t="shared" si="208"/>
        <v>36652</v>
      </c>
      <c r="C1069" s="21">
        <f t="shared" si="209"/>
        <v>36697</v>
      </c>
      <c r="D1069" s="1">
        <f t="shared" si="218"/>
        <v>0</v>
      </c>
      <c r="E1069" s="3">
        <f t="array" ref="E1069">INDEX($A$9:A1068, MAX(IF($D$9:D1068=1, ROW(D$9:$D1068)-ROW($D$9)+1, 0)))</f>
        <v>47562</v>
      </c>
      <c r="F1069" s="23">
        <f t="shared" si="210"/>
        <v>4.0629705681040384</v>
      </c>
      <c r="G1069" s="5">
        <f>INDEX('Default Prob'!$P$5:$P$14,MIN(1+_xlfn.IFNA(MATCH(F1069,'Default Prob'!$F$5:$F$14,1),0),COUNT('Default Prob'!$P$5:$P$14)))</f>
        <v>2.046797531464158E-2</v>
      </c>
      <c r="H1069" s="5">
        <f t="shared" si="219"/>
        <v>0.91520196225176853</v>
      </c>
      <c r="I1069" s="24">
        <f t="shared" si="220"/>
        <v>1.5387191663618349E-4</v>
      </c>
      <c r="J1069" s="25">
        <f>INDEX('Default Prob'!$C$3:$C$13, _xlfn.IFNA(MATCH(F1069, 'Default Prob'!$B$3:$B$13, 1), 1))</f>
        <v>1.95E-2</v>
      </c>
      <c r="K1069" s="26">
        <f t="shared" si="211"/>
        <v>0.92453409325643654</v>
      </c>
      <c r="L1069" s="27">
        <f t="shared" ca="1" si="212"/>
        <v>0</v>
      </c>
      <c r="M1069" s="27">
        <f t="shared" ca="1" si="213"/>
        <v>1697.528920809485</v>
      </c>
      <c r="N1069" s="28">
        <f t="shared" ca="1" si="214"/>
        <v>0.24149018065948186</v>
      </c>
      <c r="O1069" s="29">
        <f t="shared" ca="1" si="215"/>
        <v>600000</v>
      </c>
      <c r="P1069" s="30">
        <f t="shared" ca="1" si="216"/>
        <v>85.355899754918326</v>
      </c>
    </row>
    <row r="1070" spans="1:16" x14ac:dyDescent="0.25">
      <c r="A1070" s="3">
        <f t="shared" si="217"/>
        <v>47610</v>
      </c>
      <c r="B1070" s="21">
        <f t="shared" si="208"/>
        <v>36653</v>
      </c>
      <c r="C1070" s="21">
        <f t="shared" si="209"/>
        <v>36697</v>
      </c>
      <c r="D1070" s="1">
        <f t="shared" si="218"/>
        <v>0</v>
      </c>
      <c r="E1070" s="3">
        <f t="array" ref="E1070">INDEX($A$9:A1069, MAX(IF($D$9:D1069=1, ROW(D$9:$D1069)-ROW($D$9)+1, 0)))</f>
        <v>47562</v>
      </c>
      <c r="F1070" s="23">
        <f t="shared" si="210"/>
        <v>4.0657084188911705</v>
      </c>
      <c r="G1070" s="5">
        <f>INDEX('Default Prob'!$P$5:$P$14,MIN(1+_xlfn.IFNA(MATCH(F1070,'Default Prob'!$F$5:$F$14,1),0),COUNT('Default Prob'!$P$5:$P$14)))</f>
        <v>2.046797531464158E-2</v>
      </c>
      <c r="H1070" s="5">
        <f t="shared" si="219"/>
        <v>0.9151506773610979</v>
      </c>
      <c r="I1070" s="24">
        <f t="shared" si="220"/>
        <v>5.1284890670633132E-5</v>
      </c>
      <c r="J1070" s="25">
        <f>INDEX('Default Prob'!$C$3:$C$13, _xlfn.IFNA(MATCH(F1070, 'Default Prob'!$B$3:$B$13, 1), 1))</f>
        <v>1.95E-2</v>
      </c>
      <c r="K1070" s="26">
        <f t="shared" si="211"/>
        <v>0.92448521052421029</v>
      </c>
      <c r="L1070" s="27">
        <f t="shared" ca="1" si="212"/>
        <v>0</v>
      </c>
      <c r="M1070" s="27">
        <f t="shared" ca="1" si="213"/>
        <v>1733.646557422453</v>
      </c>
      <c r="N1070" s="28">
        <f t="shared" ca="1" si="214"/>
        <v>8.2195863729499455E-2</v>
      </c>
      <c r="O1070" s="29">
        <f t="shared" ca="1" si="215"/>
        <v>600000</v>
      </c>
      <c r="P1070" s="30">
        <f t="shared" ca="1" si="216"/>
        <v>28.447273769010827</v>
      </c>
    </row>
    <row r="1071" spans="1:16" x14ac:dyDescent="0.25">
      <c r="A1071" s="3">
        <f t="shared" si="217"/>
        <v>47611</v>
      </c>
      <c r="B1071" s="21">
        <f t="shared" si="208"/>
        <v>36654</v>
      </c>
      <c r="C1071" s="21">
        <f t="shared" si="209"/>
        <v>36697</v>
      </c>
      <c r="D1071" s="1">
        <f t="shared" si="218"/>
        <v>0</v>
      </c>
      <c r="E1071" s="3">
        <f t="array" ref="E1071">INDEX($A$9:A1070, MAX(IF($D$9:D1070=1, ROW(D$9:$D1070)-ROW($D$9)+1, 0)))</f>
        <v>47562</v>
      </c>
      <c r="F1071" s="23">
        <f t="shared" si="210"/>
        <v>4.0684462696783026</v>
      </c>
      <c r="G1071" s="5">
        <f>INDEX('Default Prob'!$P$5:$P$14,MIN(1+_xlfn.IFNA(MATCH(F1071,'Default Prob'!$F$5:$F$14,1),0),COUNT('Default Prob'!$P$5:$P$14)))</f>
        <v>2.046797531464158E-2</v>
      </c>
      <c r="H1071" s="5">
        <f t="shared" si="219"/>
        <v>0.91509939534426288</v>
      </c>
      <c r="I1071" s="24">
        <f t="shared" si="220"/>
        <v>5.1282016835019206E-5</v>
      </c>
      <c r="J1071" s="25">
        <f>INDEX('Default Prob'!$C$3:$C$13, _xlfn.IFNA(MATCH(F1071, 'Default Prob'!$B$3:$B$13, 1), 1))</f>
        <v>1.95E-2</v>
      </c>
      <c r="K1071" s="26">
        <f t="shared" si="211"/>
        <v>0.92443633037655271</v>
      </c>
      <c r="L1071" s="27">
        <f t="shared" ca="1" si="212"/>
        <v>0</v>
      </c>
      <c r="M1071" s="27">
        <f t="shared" ca="1" si="213"/>
        <v>1769.7641940354208</v>
      </c>
      <c r="N1071" s="28">
        <f t="shared" ca="1" si="214"/>
        <v>8.3899139395571948E-2</v>
      </c>
      <c r="O1071" s="29">
        <f t="shared" ca="1" si="215"/>
        <v>600000</v>
      </c>
      <c r="P1071" s="30">
        <f t="shared" ca="1" si="216"/>
        <v>28.444175674364253</v>
      </c>
    </row>
    <row r="1072" spans="1:16" x14ac:dyDescent="0.25">
      <c r="A1072" s="3">
        <f t="shared" si="217"/>
        <v>47612</v>
      </c>
      <c r="B1072" s="21">
        <f t="shared" si="208"/>
        <v>36655</v>
      </c>
      <c r="C1072" s="21">
        <f t="shared" si="209"/>
        <v>36697</v>
      </c>
      <c r="D1072" s="1">
        <f t="shared" si="218"/>
        <v>0</v>
      </c>
      <c r="E1072" s="3">
        <f t="array" ref="E1072">INDEX($A$9:A1071, MAX(IF($D$9:D1071=1, ROW(D$9:$D1071)-ROW($D$9)+1, 0)))</f>
        <v>47562</v>
      </c>
      <c r="F1072" s="23">
        <f t="shared" si="210"/>
        <v>4.0711841204654347</v>
      </c>
      <c r="G1072" s="5">
        <f>INDEX('Default Prob'!$P$5:$P$14,MIN(1+_xlfn.IFNA(MATCH(F1072,'Default Prob'!$F$5:$F$14,1),0),COUNT('Default Prob'!$P$5:$P$14)))</f>
        <v>2.046797531464158E-2</v>
      </c>
      <c r="H1072" s="5">
        <f t="shared" si="219"/>
        <v>0.91504811620110249</v>
      </c>
      <c r="I1072" s="24">
        <f t="shared" si="220"/>
        <v>5.1279143160387619E-5</v>
      </c>
      <c r="J1072" s="25">
        <f>INDEX('Default Prob'!$C$3:$C$13, _xlfn.IFNA(MATCH(F1072, 'Default Prob'!$B$3:$B$13, 1), 1))</f>
        <v>1.95E-2</v>
      </c>
      <c r="K1072" s="26">
        <f t="shared" si="211"/>
        <v>0.92438745281332646</v>
      </c>
      <c r="L1072" s="27">
        <f t="shared" ca="1" si="212"/>
        <v>0</v>
      </c>
      <c r="M1072" s="27">
        <f t="shared" ca="1" si="213"/>
        <v>1805.8818306483884</v>
      </c>
      <c r="N1072" s="28">
        <f t="shared" ca="1" si="214"/>
        <v>8.5602043090875005E-2</v>
      </c>
      <c r="O1072" s="29">
        <f t="shared" ca="1" si="215"/>
        <v>600000</v>
      </c>
      <c r="P1072" s="30">
        <f t="shared" ca="1" si="216"/>
        <v>28.441077917088375</v>
      </c>
    </row>
    <row r="1073" spans="1:16" x14ac:dyDescent="0.25">
      <c r="A1073" s="3">
        <f t="shared" si="217"/>
        <v>47613</v>
      </c>
      <c r="B1073" s="21">
        <f t="shared" si="208"/>
        <v>36656</v>
      </c>
      <c r="C1073" s="21">
        <f t="shared" si="209"/>
        <v>36697</v>
      </c>
      <c r="D1073" s="1">
        <f t="shared" si="218"/>
        <v>0</v>
      </c>
      <c r="E1073" s="3">
        <f t="array" ref="E1073">INDEX($A$9:A1072, MAX(IF($D$9:D1072=1, ROW(D$9:$D1072)-ROW($D$9)+1, 0)))</f>
        <v>47562</v>
      </c>
      <c r="F1073" s="23">
        <f t="shared" si="210"/>
        <v>4.0739219712525667</v>
      </c>
      <c r="G1073" s="5">
        <f>INDEX('Default Prob'!$P$5:$P$14,MIN(1+_xlfn.IFNA(MATCH(F1073,'Default Prob'!$F$5:$F$14,1),0),COUNT('Default Prob'!$P$5:$P$14)))</f>
        <v>2.046797531464158E-2</v>
      </c>
      <c r="H1073" s="5">
        <f t="shared" si="219"/>
        <v>0.91499683993145564</v>
      </c>
      <c r="I1073" s="24">
        <f t="shared" si="220"/>
        <v>5.1276269646849393E-5</v>
      </c>
      <c r="J1073" s="25">
        <f>INDEX('Default Prob'!$C$3:$C$13, _xlfn.IFNA(MATCH(F1073, 'Default Prob'!$B$3:$B$13, 1), 1))</f>
        <v>1.95E-2</v>
      </c>
      <c r="K1073" s="26">
        <f t="shared" si="211"/>
        <v>0.92433857783439533</v>
      </c>
      <c r="L1073" s="27">
        <f t="shared" ca="1" si="212"/>
        <v>0</v>
      </c>
      <c r="M1073" s="27">
        <f t="shared" ca="1" si="213"/>
        <v>1841.9994672613561</v>
      </c>
      <c r="N1073" s="28">
        <f t="shared" ca="1" si="214"/>
        <v>8.7304574876425442E-2</v>
      </c>
      <c r="O1073" s="29">
        <f t="shared" ca="1" si="215"/>
        <v>600000</v>
      </c>
      <c r="P1073" s="30">
        <f t="shared" ca="1" si="216"/>
        <v>28.437980497213044</v>
      </c>
    </row>
    <row r="1074" spans="1:16" x14ac:dyDescent="0.25">
      <c r="A1074" s="3">
        <f t="shared" si="217"/>
        <v>47616</v>
      </c>
      <c r="B1074" s="21">
        <f t="shared" si="208"/>
        <v>36659</v>
      </c>
      <c r="C1074" s="21">
        <f t="shared" si="209"/>
        <v>36697</v>
      </c>
      <c r="D1074" s="1">
        <f t="shared" si="218"/>
        <v>0</v>
      </c>
      <c r="E1074" s="3">
        <f t="array" ref="E1074">INDEX($A$9:A1073, MAX(IF($D$9:D1073=1, ROW(D$9:$D1073)-ROW($D$9)+1, 0)))</f>
        <v>47562</v>
      </c>
      <c r="F1074" s="23">
        <f t="shared" si="210"/>
        <v>4.0821355236139629</v>
      </c>
      <c r="G1074" s="5">
        <f>INDEX('Default Prob'!$P$5:$P$14,MIN(1+_xlfn.IFNA(MATCH(F1074,'Default Prob'!$F$5:$F$14,1),0),COUNT('Default Prob'!$P$5:$P$14)))</f>
        <v>2.046797531464158E-2</v>
      </c>
      <c r="H1074" s="5">
        <f t="shared" si="219"/>
        <v>0.91484302836198639</v>
      </c>
      <c r="I1074" s="24">
        <f t="shared" si="220"/>
        <v>1.5381156946925323E-4</v>
      </c>
      <c r="J1074" s="25">
        <f>INDEX('Default Prob'!$C$3:$C$13, _xlfn.IFNA(MATCH(F1074, 'Default Prob'!$B$3:$B$13, 1), 1))</f>
        <v>1.95E-2</v>
      </c>
      <c r="K1074" s="26">
        <f t="shared" si="211"/>
        <v>0.92419196840200557</v>
      </c>
      <c r="L1074" s="27">
        <f t="shared" ca="1" si="212"/>
        <v>0</v>
      </c>
      <c r="M1074" s="27">
        <f t="shared" ca="1" si="213"/>
        <v>1950.3523771002592</v>
      </c>
      <c r="N1074" s="28">
        <f t="shared" ca="1" si="214"/>
        <v>0.27724535434821573</v>
      </c>
      <c r="O1074" s="29">
        <f t="shared" ca="1" si="215"/>
        <v>600000</v>
      </c>
      <c r="P1074" s="30">
        <f t="shared" ca="1" si="216"/>
        <v>85.29085029047458</v>
      </c>
    </row>
    <row r="1075" spans="1:16" x14ac:dyDescent="0.25">
      <c r="A1075" s="3">
        <f t="shared" si="217"/>
        <v>47617</v>
      </c>
      <c r="B1075" s="21">
        <f t="shared" si="208"/>
        <v>36660</v>
      </c>
      <c r="C1075" s="21">
        <f t="shared" si="209"/>
        <v>36697</v>
      </c>
      <c r="D1075" s="1">
        <f t="shared" si="218"/>
        <v>0</v>
      </c>
      <c r="E1075" s="3">
        <f t="array" ref="E1075">INDEX($A$9:A1074, MAX(IF($D$9:D1074=1, ROW(D$9:$D1074)-ROW($D$9)+1, 0)))</f>
        <v>47562</v>
      </c>
      <c r="F1075" s="23">
        <f t="shared" si="210"/>
        <v>4.084873374401095</v>
      </c>
      <c r="G1075" s="5">
        <f>INDEX('Default Prob'!$P$5:$P$14,MIN(1+_xlfn.IFNA(MATCH(F1075,'Default Prob'!$F$5:$F$14,1),0),COUNT('Default Prob'!$P$5:$P$14)))</f>
        <v>2.046797531464158E-2</v>
      </c>
      <c r="H1075" s="5">
        <f t="shared" si="219"/>
        <v>0.91479176358478365</v>
      </c>
      <c r="I1075" s="24">
        <f t="shared" si="220"/>
        <v>5.1264777202741918E-5</v>
      </c>
      <c r="J1075" s="25">
        <f>INDEX('Default Prob'!$C$3:$C$13, _xlfn.IFNA(MATCH(F1075, 'Default Prob'!$B$3:$B$13, 1), 1))</f>
        <v>1.95E-2</v>
      </c>
      <c r="K1075" s="26">
        <f t="shared" si="211"/>
        <v>0.92414310375888808</v>
      </c>
      <c r="L1075" s="27">
        <f t="shared" ca="1" si="212"/>
        <v>0</v>
      </c>
      <c r="M1075" s="27">
        <f t="shared" ca="1" si="213"/>
        <v>1986.4700137132272</v>
      </c>
      <c r="N1075" s="28">
        <f t="shared" ca="1" si="214"/>
        <v>9.4110984135979528E-2</v>
      </c>
      <c r="O1075" s="29">
        <f t="shared" ca="1" si="215"/>
        <v>600000</v>
      </c>
      <c r="P1075" s="30">
        <f t="shared" ca="1" si="216"/>
        <v>28.425594190589884</v>
      </c>
    </row>
    <row r="1076" spans="1:16" x14ac:dyDescent="0.25">
      <c r="A1076" s="3">
        <f t="shared" si="217"/>
        <v>47618</v>
      </c>
      <c r="B1076" s="21">
        <f t="shared" si="208"/>
        <v>36661</v>
      </c>
      <c r="C1076" s="21">
        <f t="shared" si="209"/>
        <v>36697</v>
      </c>
      <c r="D1076" s="1">
        <f t="shared" si="218"/>
        <v>0</v>
      </c>
      <c r="E1076" s="3">
        <f t="array" ref="E1076">INDEX($A$9:A1075, MAX(IF($D$9:D1075=1, ROW(D$9:$D1075)-ROW($D$9)+1, 0)))</f>
        <v>47562</v>
      </c>
      <c r="F1076" s="23">
        <f t="shared" si="210"/>
        <v>4.0876112251882271</v>
      </c>
      <c r="G1076" s="5">
        <f>INDEX('Default Prob'!$P$5:$P$14,MIN(1+_xlfn.IFNA(MATCH(F1076,'Default Prob'!$F$5:$F$14,1),0),COUNT('Default Prob'!$P$5:$P$14)))</f>
        <v>2.046797531464158E-2</v>
      </c>
      <c r="H1076" s="5">
        <f t="shared" si="219"/>
        <v>0.91474050168028953</v>
      </c>
      <c r="I1076" s="24">
        <f t="shared" si="220"/>
        <v>5.1261904494115385E-5</v>
      </c>
      <c r="J1076" s="25">
        <f>INDEX('Default Prob'!$C$3:$C$13, _xlfn.IFNA(MATCH(F1076, 'Default Prob'!$B$3:$B$13, 1), 1))</f>
        <v>1.95E-2</v>
      </c>
      <c r="K1076" s="26">
        <f t="shared" si="211"/>
        <v>0.92409424169938248</v>
      </c>
      <c r="L1076" s="27">
        <f t="shared" ca="1" si="212"/>
        <v>0</v>
      </c>
      <c r="M1076" s="27">
        <f t="shared" ca="1" si="213"/>
        <v>2022.587650326195</v>
      </c>
      <c r="N1076" s="28">
        <f t="shared" ca="1" si="214"/>
        <v>9.5811657284014834E-2</v>
      </c>
      <c r="O1076" s="29">
        <f t="shared" ca="1" si="215"/>
        <v>600000</v>
      </c>
      <c r="P1076" s="30">
        <f t="shared" ca="1" si="216"/>
        <v>28.422498456933432</v>
      </c>
    </row>
    <row r="1077" spans="1:16" x14ac:dyDescent="0.25">
      <c r="A1077" s="3">
        <f t="shared" si="217"/>
        <v>47619</v>
      </c>
      <c r="B1077" s="21">
        <f t="shared" si="208"/>
        <v>36662</v>
      </c>
      <c r="C1077" s="21">
        <f t="shared" si="209"/>
        <v>36697</v>
      </c>
      <c r="D1077" s="1">
        <f t="shared" si="218"/>
        <v>0</v>
      </c>
      <c r="E1077" s="3">
        <f t="array" ref="E1077">INDEX($A$9:A1076, MAX(IF($D$9:D1076=1, ROW(D$9:$D1076)-ROW($D$9)+1, 0)))</f>
        <v>47562</v>
      </c>
      <c r="F1077" s="23">
        <f t="shared" si="210"/>
        <v>4.0903490759753591</v>
      </c>
      <c r="G1077" s="5">
        <f>INDEX('Default Prob'!$P$5:$P$14,MIN(1+_xlfn.IFNA(MATCH(F1077,'Default Prob'!$F$5:$F$14,1),0),COUNT('Default Prob'!$P$5:$P$14)))</f>
        <v>2.046797531464158E-2</v>
      </c>
      <c r="H1077" s="5">
        <f t="shared" si="219"/>
        <v>0.91468924264834295</v>
      </c>
      <c r="I1077" s="24">
        <f t="shared" si="220"/>
        <v>5.1259031946582212E-5</v>
      </c>
      <c r="J1077" s="25">
        <f>INDEX('Default Prob'!$C$3:$C$13, _xlfn.IFNA(MATCH(F1077, 'Default Prob'!$B$3:$B$13, 1), 1))</f>
        <v>1.95E-2</v>
      </c>
      <c r="K1077" s="26">
        <f t="shared" si="211"/>
        <v>0.92404538222335209</v>
      </c>
      <c r="L1077" s="27">
        <f t="shared" ca="1" si="212"/>
        <v>0</v>
      </c>
      <c r="M1077" s="27">
        <f t="shared" ca="1" si="213"/>
        <v>2058.7052869391628</v>
      </c>
      <c r="N1077" s="28">
        <f t="shared" ca="1" si="214"/>
        <v>9.7511958887133182E-2</v>
      </c>
      <c r="O1077" s="29">
        <f t="shared" ca="1" si="215"/>
        <v>600000</v>
      </c>
      <c r="P1077" s="30">
        <f t="shared" ca="1" si="216"/>
        <v>28.419403060487145</v>
      </c>
    </row>
    <row r="1078" spans="1:16" x14ac:dyDescent="0.25">
      <c r="A1078" s="3">
        <f t="shared" si="217"/>
        <v>47620</v>
      </c>
      <c r="B1078" s="21">
        <f t="shared" si="208"/>
        <v>36663</v>
      </c>
      <c r="C1078" s="21">
        <f t="shared" si="209"/>
        <v>36697</v>
      </c>
      <c r="D1078" s="1">
        <f t="shared" si="218"/>
        <v>0</v>
      </c>
      <c r="E1078" s="3">
        <f t="array" ref="E1078">INDEX($A$9:A1077, MAX(IF($D$9:D1077=1, ROW(D$9:$D1077)-ROW($D$9)+1, 0)))</f>
        <v>47562</v>
      </c>
      <c r="F1078" s="23">
        <f t="shared" si="210"/>
        <v>4.0930869267624912</v>
      </c>
      <c r="G1078" s="5">
        <f>INDEX('Default Prob'!$P$5:$P$14,MIN(1+_xlfn.IFNA(MATCH(F1078,'Default Prob'!$F$5:$F$14,1),0),COUNT('Default Prob'!$P$5:$P$14)))</f>
        <v>2.046797531464158E-2</v>
      </c>
      <c r="H1078" s="5">
        <f t="shared" si="219"/>
        <v>0.91463798648878292</v>
      </c>
      <c r="I1078" s="24">
        <f t="shared" si="220"/>
        <v>5.1256159560031378E-5</v>
      </c>
      <c r="J1078" s="25">
        <f>INDEX('Default Prob'!$C$3:$C$13, _xlfn.IFNA(MATCH(F1078, 'Default Prob'!$B$3:$B$13, 1), 1))</f>
        <v>1.95E-2</v>
      </c>
      <c r="K1078" s="26">
        <f t="shared" si="211"/>
        <v>0.92399652533066057</v>
      </c>
      <c r="L1078" s="27">
        <f t="shared" ca="1" si="212"/>
        <v>0</v>
      </c>
      <c r="M1078" s="27">
        <f t="shared" ca="1" si="213"/>
        <v>2094.8229235521303</v>
      </c>
      <c r="N1078" s="28">
        <f t="shared" ca="1" si="214"/>
        <v>9.9211889005905107E-2</v>
      </c>
      <c r="O1078" s="29">
        <f t="shared" ca="1" si="215"/>
        <v>600000</v>
      </c>
      <c r="P1078" s="30">
        <f t="shared" ca="1" si="216"/>
        <v>28.416308001157748</v>
      </c>
    </row>
    <row r="1079" spans="1:16" x14ac:dyDescent="0.25">
      <c r="A1079" s="3">
        <f t="shared" si="217"/>
        <v>47623</v>
      </c>
      <c r="B1079" s="21">
        <f t="shared" si="208"/>
        <v>36666</v>
      </c>
      <c r="C1079" s="21">
        <f t="shared" si="209"/>
        <v>36697</v>
      </c>
      <c r="D1079" s="1">
        <f t="shared" si="218"/>
        <v>0</v>
      </c>
      <c r="E1079" s="3">
        <f t="array" ref="E1079">INDEX($A$9:A1078, MAX(IF($D$9:D1078=1, ROW(D$9:$D1078)-ROW($D$9)+1, 0)))</f>
        <v>47562</v>
      </c>
      <c r="F1079" s="23">
        <f t="shared" si="210"/>
        <v>4.1013004791238874</v>
      </c>
      <c r="G1079" s="5">
        <f>INDEX('Default Prob'!$P$5:$P$14,MIN(1+_xlfn.IFNA(MATCH(F1079,'Default Prob'!$F$5:$F$14,1),0),COUNT('Default Prob'!$P$5:$P$14)))</f>
        <v>2.046797531464158E-2</v>
      </c>
      <c r="H1079" s="5">
        <f t="shared" si="219"/>
        <v>0.91448423524281297</v>
      </c>
      <c r="I1079" s="24">
        <f t="shared" si="220"/>
        <v>1.5375124596994638E-4</v>
      </c>
      <c r="J1079" s="25">
        <f>INDEX('Default Prob'!$C$3:$C$13, _xlfn.IFNA(MATCH(F1079, 'Default Prob'!$B$3:$B$13, 1), 1))</f>
        <v>1.95E-2</v>
      </c>
      <c r="K1079" s="26">
        <f t="shared" si="211"/>
        <v>0.92384997015125203</v>
      </c>
      <c r="L1079" s="27">
        <f t="shared" ca="1" si="212"/>
        <v>0</v>
      </c>
      <c r="M1079" s="27">
        <f t="shared" ca="1" si="213"/>
        <v>2203.1758333910338</v>
      </c>
      <c r="N1079" s="28">
        <f t="shared" ca="1" si="214"/>
        <v>0.31294588996924888</v>
      </c>
      <c r="O1079" s="29">
        <f t="shared" ca="1" si="215"/>
        <v>600000</v>
      </c>
      <c r="P1079" s="30">
        <f t="shared" ca="1" si="216"/>
        <v>85.225850400031661</v>
      </c>
    </row>
    <row r="1080" spans="1:16" x14ac:dyDescent="0.25">
      <c r="A1080" s="3">
        <f t="shared" si="217"/>
        <v>47624</v>
      </c>
      <c r="B1080" s="21">
        <f t="shared" si="208"/>
        <v>36667</v>
      </c>
      <c r="C1080" s="21">
        <f t="shared" si="209"/>
        <v>36697</v>
      </c>
      <c r="D1080" s="1">
        <f t="shared" si="218"/>
        <v>0</v>
      </c>
      <c r="E1080" s="3">
        <f t="array" ref="E1080">INDEX($A$9:A1079, MAX(IF($D$9:D1079=1, ROW(D$9:$D1079)-ROW($D$9)+1, 0)))</f>
        <v>47562</v>
      </c>
      <c r="F1080" s="23">
        <f t="shared" si="210"/>
        <v>4.1040383299110195</v>
      </c>
      <c r="G1080" s="5">
        <f>INDEX('Default Prob'!$P$5:$P$14,MIN(1+_xlfn.IFNA(MATCH(F1080,'Default Prob'!$F$5:$F$14,1),0),COUNT('Default Prob'!$P$5:$P$14)))</f>
        <v>2.046797531464158E-2</v>
      </c>
      <c r="H1080" s="5">
        <f t="shared" si="219"/>
        <v>0.91443299057118987</v>
      </c>
      <c r="I1080" s="24">
        <f t="shared" si="220"/>
        <v>5.1244671623096316E-5</v>
      </c>
      <c r="J1080" s="25">
        <f>INDEX('Default Prob'!$C$3:$C$13, _xlfn.IFNA(MATCH(F1080, 'Default Prob'!$B$3:$B$13, 1), 1))</f>
        <v>1.95E-2</v>
      </c>
      <c r="K1080" s="26">
        <f t="shared" si="211"/>
        <v>0.92380112359054922</v>
      </c>
      <c r="L1080" s="27">
        <f t="shared" ca="1" si="212"/>
        <v>0</v>
      </c>
      <c r="M1080" s="27">
        <f t="shared" ca="1" si="213"/>
        <v>2239.2934700040018</v>
      </c>
      <c r="N1080" s="28">
        <f t="shared" ca="1" si="214"/>
        <v>0.10600789585159957</v>
      </c>
      <c r="O1080" s="29">
        <f t="shared" ca="1" si="215"/>
        <v>600000</v>
      </c>
      <c r="P1080" s="30">
        <f t="shared" ca="1" si="216"/>
        <v>28.403931134067065</v>
      </c>
    </row>
    <row r="1081" spans="1:16" x14ac:dyDescent="0.25">
      <c r="A1081" s="3">
        <f t="shared" si="217"/>
        <v>47625</v>
      </c>
      <c r="B1081" s="21">
        <f t="shared" si="208"/>
        <v>36668</v>
      </c>
      <c r="C1081" s="21">
        <f t="shared" si="209"/>
        <v>36697</v>
      </c>
      <c r="D1081" s="1">
        <f t="shared" si="218"/>
        <v>0</v>
      </c>
      <c r="E1081" s="3">
        <f t="array" ref="E1081">INDEX($A$9:A1080, MAX(IF($D$9:D1080=1, ROW(D$9:$D1080)-ROW($D$9)+1, 0)))</f>
        <v>47562</v>
      </c>
      <c r="F1081" s="23">
        <f t="shared" si="210"/>
        <v>4.1067761806981515</v>
      </c>
      <c r="G1081" s="5">
        <f>INDEX('Default Prob'!$P$5:$P$14,MIN(1+_xlfn.IFNA(MATCH(F1081,'Default Prob'!$F$5:$F$14,1),0),COUNT('Default Prob'!$P$5:$P$14)))</f>
        <v>2.046797531464158E-2</v>
      </c>
      <c r="H1081" s="5">
        <f t="shared" si="219"/>
        <v>0.91438174877114864</v>
      </c>
      <c r="I1081" s="24">
        <f t="shared" si="220"/>
        <v>5.124180004123513E-5</v>
      </c>
      <c r="J1081" s="25">
        <f>INDEX('Default Prob'!$C$3:$C$13, _xlfn.IFNA(MATCH(F1081, 'Default Prob'!$B$3:$B$13, 1), 1))</f>
        <v>1.95E-2</v>
      </c>
      <c r="K1081" s="26">
        <f t="shared" si="211"/>
        <v>0.92375227961250228</v>
      </c>
      <c r="L1081" s="27">
        <f t="shared" ca="1" si="212"/>
        <v>0</v>
      </c>
      <c r="M1081" s="27">
        <f t="shared" ca="1" si="213"/>
        <v>2275.4111066169694</v>
      </c>
      <c r="N1081" s="28">
        <f t="shared" ca="1" si="214"/>
        <v>0.10770596945950196</v>
      </c>
      <c r="O1081" s="29">
        <f t="shared" ca="1" si="215"/>
        <v>600000</v>
      </c>
      <c r="P1081" s="30">
        <f t="shared" ca="1" si="216"/>
        <v>28.40083775972338</v>
      </c>
    </row>
    <row r="1082" spans="1:16" x14ac:dyDescent="0.25">
      <c r="A1082" s="3">
        <f t="shared" si="217"/>
        <v>47626</v>
      </c>
      <c r="B1082" s="21">
        <f t="shared" si="208"/>
        <v>36669</v>
      </c>
      <c r="C1082" s="21">
        <f t="shared" si="209"/>
        <v>36697</v>
      </c>
      <c r="D1082" s="1">
        <f t="shared" si="218"/>
        <v>0</v>
      </c>
      <c r="E1082" s="3">
        <f t="array" ref="E1082">INDEX($A$9:A1081, MAX(IF($D$9:D1081=1, ROW(D$9:$D1081)-ROW($D$9)+1, 0)))</f>
        <v>47562</v>
      </c>
      <c r="F1082" s="23">
        <f t="shared" si="210"/>
        <v>4.1095140314852845</v>
      </c>
      <c r="G1082" s="5">
        <f>INDEX('Default Prob'!$P$5:$P$14,MIN(1+_xlfn.IFNA(MATCH(F1082,'Default Prob'!$F$5:$F$14,1),0),COUNT('Default Prob'!$P$5:$P$14)))</f>
        <v>2.046797531464158E-2</v>
      </c>
      <c r="H1082" s="5">
        <f t="shared" si="219"/>
        <v>0.91433050984252839</v>
      </c>
      <c r="I1082" s="24">
        <f t="shared" si="220"/>
        <v>5.1238928620245261E-5</v>
      </c>
      <c r="J1082" s="25">
        <f>INDEX('Default Prob'!$C$3:$C$13, _xlfn.IFNA(MATCH(F1082, 'Default Prob'!$B$3:$B$13, 1), 1))</f>
        <v>1.95E-2</v>
      </c>
      <c r="K1082" s="26">
        <f t="shared" si="211"/>
        <v>0.92370343821697476</v>
      </c>
      <c r="L1082" s="27">
        <f t="shared" ca="1" si="212"/>
        <v>0</v>
      </c>
      <c r="M1082" s="27">
        <f t="shared" ca="1" si="213"/>
        <v>2311.5287432299369</v>
      </c>
      <c r="N1082" s="28">
        <f t="shared" ca="1" si="214"/>
        <v>0.10940367194729191</v>
      </c>
      <c r="O1082" s="29">
        <f t="shared" ca="1" si="215"/>
        <v>600000</v>
      </c>
      <c r="P1082" s="30">
        <f t="shared" ca="1" si="216"/>
        <v>28.39774472224482</v>
      </c>
    </row>
    <row r="1083" spans="1:16" x14ac:dyDescent="0.25">
      <c r="A1083" s="3">
        <f t="shared" si="217"/>
        <v>47627</v>
      </c>
      <c r="B1083" s="21">
        <f t="shared" si="208"/>
        <v>36670</v>
      </c>
      <c r="C1083" s="21">
        <f t="shared" si="209"/>
        <v>36697</v>
      </c>
      <c r="D1083" s="1">
        <f t="shared" si="218"/>
        <v>0</v>
      </c>
      <c r="E1083" s="3">
        <f t="array" ref="E1083">INDEX($A$9:A1082, MAX(IF($D$9:D1082=1, ROW(D$9:$D1082)-ROW($D$9)+1, 0)))</f>
        <v>47562</v>
      </c>
      <c r="F1083" s="23">
        <f t="shared" si="210"/>
        <v>4.1122518822724166</v>
      </c>
      <c r="G1083" s="5">
        <f>INDEX('Default Prob'!$P$5:$P$14,MIN(1+_xlfn.IFNA(MATCH(F1083,'Default Prob'!$F$5:$F$14,1),0),COUNT('Default Prob'!$P$5:$P$14)))</f>
        <v>2.046797531464158E-2</v>
      </c>
      <c r="H1083" s="5">
        <f t="shared" si="219"/>
        <v>0.91427927378516827</v>
      </c>
      <c r="I1083" s="24">
        <f t="shared" si="220"/>
        <v>5.1236057360126708E-5</v>
      </c>
      <c r="J1083" s="25">
        <f>INDEX('Default Prob'!$C$3:$C$13, _xlfn.IFNA(MATCH(F1083, 'Default Prob'!$B$3:$B$13, 1), 1))</f>
        <v>1.95E-2</v>
      </c>
      <c r="K1083" s="26">
        <f t="shared" si="211"/>
        <v>0.92365459940382966</v>
      </c>
      <c r="L1083" s="27">
        <f t="shared" ca="1" si="212"/>
        <v>0</v>
      </c>
      <c r="M1083" s="27">
        <f t="shared" ca="1" si="213"/>
        <v>2347.6463798429049</v>
      </c>
      <c r="N1083" s="28">
        <f t="shared" ca="1" si="214"/>
        <v>0.1111010033756792</v>
      </c>
      <c r="O1083" s="29">
        <f t="shared" ca="1" si="215"/>
        <v>600000</v>
      </c>
      <c r="P1083" s="30">
        <f t="shared" ca="1" si="216"/>
        <v>28.394652021599683</v>
      </c>
    </row>
    <row r="1084" spans="1:16" x14ac:dyDescent="0.25">
      <c r="A1084" s="3">
        <f t="shared" si="217"/>
        <v>47630</v>
      </c>
      <c r="B1084" s="21">
        <f t="shared" si="208"/>
        <v>36673</v>
      </c>
      <c r="C1084" s="21">
        <f t="shared" si="209"/>
        <v>36697</v>
      </c>
      <c r="D1084" s="1">
        <f t="shared" si="218"/>
        <v>0</v>
      </c>
      <c r="E1084" s="3">
        <f t="array" ref="E1084">INDEX($A$9:A1083, MAX(IF($D$9:D1083=1, ROW(D$9:$D1083)-ROW($D$9)+1, 0)))</f>
        <v>47562</v>
      </c>
      <c r="F1084" s="23">
        <f t="shared" si="210"/>
        <v>4.1204654346338128</v>
      </c>
      <c r="G1084" s="5">
        <f>INDEX('Default Prob'!$P$5:$P$14,MIN(1+_xlfn.IFNA(MATCH(F1084,'Default Prob'!$F$5:$F$14,1),0),COUNT('Default Prob'!$P$5:$P$14)))</f>
        <v>2.046797531464158E-2</v>
      </c>
      <c r="H1084" s="5">
        <f t="shared" si="219"/>
        <v>0.91412558283903922</v>
      </c>
      <c r="I1084" s="24">
        <f t="shared" si="220"/>
        <v>1.536909461290481E-4</v>
      </c>
      <c r="J1084" s="25">
        <f>INDEX('Default Prob'!$C$3:$C$13, _xlfn.IFNA(MATCH(F1084, 'Default Prob'!$B$3:$B$13, 1), 1))</f>
        <v>1.95E-2</v>
      </c>
      <c r="K1084" s="26">
        <f t="shared" si="211"/>
        <v>0.92350809845732595</v>
      </c>
      <c r="L1084" s="27">
        <f t="shared" ca="1" si="212"/>
        <v>0</v>
      </c>
      <c r="M1084" s="27">
        <f t="shared" ca="1" si="213"/>
        <v>2455.9992896818085</v>
      </c>
      <c r="N1084" s="28">
        <f t="shared" ca="1" si="214"/>
        <v>0.34859185003543841</v>
      </c>
      <c r="O1084" s="29">
        <f t="shared" ca="1" si="215"/>
        <v>600000</v>
      </c>
      <c r="P1084" s="30">
        <f t="shared" ca="1" si="216"/>
        <v>85.160900045846716</v>
      </c>
    </row>
    <row r="1085" spans="1:16" x14ac:dyDescent="0.25">
      <c r="A1085" s="3">
        <f t="shared" si="217"/>
        <v>47631</v>
      </c>
      <c r="B1085" s="21">
        <f t="shared" si="208"/>
        <v>36674</v>
      </c>
      <c r="C1085" s="21">
        <f t="shared" si="209"/>
        <v>36697</v>
      </c>
      <c r="D1085" s="1">
        <f t="shared" si="218"/>
        <v>0</v>
      </c>
      <c r="E1085" s="3">
        <f t="array" ref="E1085">INDEX($A$9:A1084, MAX(IF($D$9:D1084=1, ROW(D$9:$D1084)-ROW($D$9)+1, 0)))</f>
        <v>47562</v>
      </c>
      <c r="F1085" s="23">
        <f t="shared" si="210"/>
        <v>4.1232032854209448</v>
      </c>
      <c r="G1085" s="5">
        <f>INDEX('Default Prob'!$P$5:$P$14,MIN(1+_xlfn.IFNA(MATCH(F1085,'Default Prob'!$F$5:$F$14,1),0),COUNT('Default Prob'!$P$5:$P$14)))</f>
        <v>2.046797531464158E-2</v>
      </c>
      <c r="H1085" s="5">
        <f t="shared" si="219"/>
        <v>0.91407435826511041</v>
      </c>
      <c r="I1085" s="24">
        <f t="shared" si="220"/>
        <v>5.1224573928809747E-5</v>
      </c>
      <c r="J1085" s="25">
        <f>INDEX('Default Prob'!$C$3:$C$13, _xlfn.IFNA(MATCH(F1085, 'Default Prob'!$B$3:$B$13, 1), 1))</f>
        <v>1.95E-2</v>
      </c>
      <c r="K1085" s="26">
        <f t="shared" si="211"/>
        <v>0.92345926997234651</v>
      </c>
      <c r="L1085" s="27">
        <f t="shared" ca="1" si="212"/>
        <v>0</v>
      </c>
      <c r="M1085" s="27">
        <f t="shared" ca="1" si="213"/>
        <v>2492.116926294776</v>
      </c>
      <c r="N1085" s="28">
        <f t="shared" ca="1" si="214"/>
        <v>0.11788661971015504</v>
      </c>
      <c r="O1085" s="29">
        <f t="shared" ca="1" si="215"/>
        <v>600000</v>
      </c>
      <c r="P1085" s="30">
        <f t="shared" ca="1" si="216"/>
        <v>28.382284586965884</v>
      </c>
    </row>
    <row r="1086" spans="1:16" x14ac:dyDescent="0.25">
      <c r="A1086" s="3">
        <f t="shared" si="217"/>
        <v>47632</v>
      </c>
      <c r="B1086" s="21">
        <f t="shared" si="208"/>
        <v>36675</v>
      </c>
      <c r="C1086" s="21">
        <f t="shared" si="209"/>
        <v>36697</v>
      </c>
      <c r="D1086" s="1">
        <f t="shared" si="218"/>
        <v>0</v>
      </c>
      <c r="E1086" s="3">
        <f t="array" ref="E1086">INDEX($A$9:A1085, MAX(IF($D$9:D1085=1, ROW(D$9:$D1085)-ROW($D$9)+1, 0)))</f>
        <v>47562</v>
      </c>
      <c r="F1086" s="23">
        <f t="shared" si="210"/>
        <v>4.1259411362080769</v>
      </c>
      <c r="G1086" s="5">
        <f>INDEX('Default Prob'!$P$5:$P$14,MIN(1+_xlfn.IFNA(MATCH(F1086,'Default Prob'!$F$5:$F$14,1),0),COUNT('Default Prob'!$P$5:$P$14)))</f>
        <v>2.046797531464158E-2</v>
      </c>
      <c r="H1086" s="5">
        <f t="shared" si="219"/>
        <v>0.91402313656163736</v>
      </c>
      <c r="I1086" s="24">
        <f t="shared" si="220"/>
        <v>5.1221703473047775E-5</v>
      </c>
      <c r="J1086" s="25">
        <f>INDEX('Default Prob'!$C$3:$C$13, _xlfn.IFNA(MATCH(F1086, 'Default Prob'!$B$3:$B$13, 1), 1))</f>
        <v>1.95E-2</v>
      </c>
      <c r="K1086" s="26">
        <f t="shared" si="211"/>
        <v>0.92341044406906725</v>
      </c>
      <c r="L1086" s="27">
        <f t="shared" ca="1" si="212"/>
        <v>0</v>
      </c>
      <c r="M1086" s="27">
        <f t="shared" ca="1" si="213"/>
        <v>2528.2345629077436</v>
      </c>
      <c r="N1086" s="28">
        <f t="shared" ca="1" si="214"/>
        <v>0.11958209675192542</v>
      </c>
      <c r="O1086" s="29">
        <f t="shared" ca="1" si="215"/>
        <v>600000</v>
      </c>
      <c r="P1086" s="30">
        <f t="shared" ca="1" si="216"/>
        <v>28.379193570012678</v>
      </c>
    </row>
    <row r="1087" spans="1:16" x14ac:dyDescent="0.25">
      <c r="A1087" s="3">
        <f t="shared" si="217"/>
        <v>47633</v>
      </c>
      <c r="B1087" s="21">
        <f t="shared" si="208"/>
        <v>36676</v>
      </c>
      <c r="C1087" s="21">
        <f t="shared" si="209"/>
        <v>36697</v>
      </c>
      <c r="D1087" s="1">
        <f t="shared" si="218"/>
        <v>0</v>
      </c>
      <c r="E1087" s="3">
        <f t="array" ref="E1087">INDEX($A$9:A1086, MAX(IF($D$9:D1086=1, ROW(D$9:$D1086)-ROW($D$9)+1, 0)))</f>
        <v>47562</v>
      </c>
      <c r="F1087" s="23">
        <f t="shared" si="210"/>
        <v>4.128678986995209</v>
      </c>
      <c r="G1087" s="5">
        <f>INDEX('Default Prob'!$P$5:$P$14,MIN(1+_xlfn.IFNA(MATCH(F1087,'Default Prob'!$F$5:$F$14,1),0),COUNT('Default Prob'!$P$5:$P$14)))</f>
        <v>2.046797531464158E-2</v>
      </c>
      <c r="H1087" s="5">
        <f t="shared" si="219"/>
        <v>0.91397191772845909</v>
      </c>
      <c r="I1087" s="24">
        <f t="shared" si="220"/>
        <v>5.1218833178268142E-5</v>
      </c>
      <c r="J1087" s="25">
        <f>INDEX('Default Prob'!$C$3:$C$13, _xlfn.IFNA(MATCH(F1087, 'Default Prob'!$B$3:$B$13, 1), 1))</f>
        <v>1.95E-2</v>
      </c>
      <c r="K1087" s="26">
        <f t="shared" si="211"/>
        <v>0.92336162074735151</v>
      </c>
      <c r="L1087" s="27">
        <f t="shared" ca="1" si="212"/>
        <v>0</v>
      </c>
      <c r="M1087" s="27">
        <f t="shared" ca="1" si="213"/>
        <v>2564.3521995207116</v>
      </c>
      <c r="N1087" s="28">
        <f t="shared" ca="1" si="214"/>
        <v>0.12127720309865533</v>
      </c>
      <c r="O1087" s="29">
        <f t="shared" ca="1" si="215"/>
        <v>600000</v>
      </c>
      <c r="P1087" s="30">
        <f t="shared" ca="1" si="216"/>
        <v>28.376102889764336</v>
      </c>
    </row>
    <row r="1088" spans="1:16" x14ac:dyDescent="0.25">
      <c r="A1088" s="3">
        <f t="shared" si="217"/>
        <v>47634</v>
      </c>
      <c r="B1088" s="21">
        <f t="shared" si="208"/>
        <v>36677</v>
      </c>
      <c r="C1088" s="21">
        <f t="shared" si="209"/>
        <v>36697</v>
      </c>
      <c r="D1088" s="1">
        <f t="shared" si="218"/>
        <v>0</v>
      </c>
      <c r="E1088" s="3">
        <f t="array" ref="E1088">INDEX($A$9:A1087, MAX(IF($D$9:D1087=1, ROW(D$9:$D1087)-ROW($D$9)+1, 0)))</f>
        <v>47562</v>
      </c>
      <c r="F1088" s="23">
        <f t="shared" si="210"/>
        <v>4.131416837782341</v>
      </c>
      <c r="G1088" s="5">
        <f>INDEX('Default Prob'!$P$5:$P$14,MIN(1+_xlfn.IFNA(MATCH(F1088,'Default Prob'!$F$5:$F$14,1),0),COUNT('Default Prob'!$P$5:$P$14)))</f>
        <v>2.046797531464158E-2</v>
      </c>
      <c r="H1088" s="5">
        <f t="shared" si="219"/>
        <v>0.91392070176541484</v>
      </c>
      <c r="I1088" s="24">
        <f t="shared" si="220"/>
        <v>5.1215963044248802E-5</v>
      </c>
      <c r="J1088" s="25">
        <f>INDEX('Default Prob'!$C$3:$C$13, _xlfn.IFNA(MATCH(F1088, 'Default Prob'!$B$3:$B$13, 1), 1))</f>
        <v>1.95E-2</v>
      </c>
      <c r="K1088" s="26">
        <f t="shared" si="211"/>
        <v>0.92331280000706284</v>
      </c>
      <c r="L1088" s="27">
        <f t="shared" ca="1" si="212"/>
        <v>0</v>
      </c>
      <c r="M1088" s="27">
        <f t="shared" ca="1" si="213"/>
        <v>2600.4698361336791</v>
      </c>
      <c r="N1088" s="28">
        <f t="shared" ca="1" si="214"/>
        <v>0.1229719388104792</v>
      </c>
      <c r="O1088" s="29">
        <f t="shared" ca="1" si="215"/>
        <v>600000</v>
      </c>
      <c r="P1088" s="30">
        <f t="shared" ca="1" si="216"/>
        <v>28.373012546066171</v>
      </c>
    </row>
    <row r="1089" spans="1:16" x14ac:dyDescent="0.25">
      <c r="A1089" s="3">
        <f t="shared" si="217"/>
        <v>47637</v>
      </c>
      <c r="B1089" s="21">
        <f t="shared" si="208"/>
        <v>36680</v>
      </c>
      <c r="C1089" s="21">
        <f t="shared" si="209"/>
        <v>36697</v>
      </c>
      <c r="D1089" s="1">
        <f t="shared" si="218"/>
        <v>0</v>
      </c>
      <c r="E1089" s="3">
        <f t="array" ref="E1089">INDEX($A$9:A1088, MAX(IF($D$9:D1088=1, ROW(D$9:$D1088)-ROW($D$9)+1, 0)))</f>
        <v>47562</v>
      </c>
      <c r="F1089" s="23">
        <f t="shared" si="210"/>
        <v>4.1396303901437372</v>
      </c>
      <c r="G1089" s="5">
        <f>INDEX('Default Prob'!$P$5:$P$14,MIN(1+_xlfn.IFNA(MATCH(F1089,'Default Prob'!$F$5:$F$14,1),0),COUNT('Default Prob'!$P$5:$P$14)))</f>
        <v>2.046797531464158E-2</v>
      </c>
      <c r="H1089" s="5">
        <f t="shared" si="219"/>
        <v>0.91376707109547772</v>
      </c>
      <c r="I1089" s="24">
        <f t="shared" si="220"/>
        <v>1.5363066993712149E-4</v>
      </c>
      <c r="J1089" s="25">
        <f>INDEX('Default Prob'!$C$3:$C$13, _xlfn.IFNA(MATCH(F1089, 'Default Prob'!$B$3:$B$13, 1), 1))</f>
        <v>1.95E-2</v>
      </c>
      <c r="K1089" s="26">
        <f t="shared" si="211"/>
        <v>0.9231663532733948</v>
      </c>
      <c r="L1089" s="27">
        <f t="shared" ca="1" si="212"/>
        <v>0</v>
      </c>
      <c r="M1089" s="27">
        <f t="shared" ca="1" si="213"/>
        <v>2708.8227459725827</v>
      </c>
      <c r="N1089" s="28">
        <f t="shared" ca="1" si="214"/>
        <v>0.38418329699559134</v>
      </c>
      <c r="O1089" s="29">
        <f t="shared" ca="1" si="215"/>
        <v>600000</v>
      </c>
      <c r="P1089" s="30">
        <f t="shared" ca="1" si="216"/>
        <v>85.095999190080605</v>
      </c>
    </row>
    <row r="1090" spans="1:16" x14ac:dyDescent="0.25">
      <c r="A1090" s="3">
        <f t="shared" si="217"/>
        <v>47638</v>
      </c>
      <c r="B1090" s="21">
        <f t="shared" si="208"/>
        <v>36681</v>
      </c>
      <c r="C1090" s="21">
        <f t="shared" si="209"/>
        <v>36697</v>
      </c>
      <c r="D1090" s="1">
        <f t="shared" si="218"/>
        <v>0</v>
      </c>
      <c r="E1090" s="3">
        <f t="array" ref="E1090">INDEX($A$9:A1089, MAX(IF($D$9:D1089=1, ROW(D$9:$D1089)-ROW($D$9)+1, 0)))</f>
        <v>47562</v>
      </c>
      <c r="F1090" s="23">
        <f t="shared" si="210"/>
        <v>4.1423682409308693</v>
      </c>
      <c r="G1090" s="5">
        <f>INDEX('Default Prob'!$P$5:$P$14,MIN(1+_xlfn.IFNA(MATCH(F1090,'Default Prob'!$F$5:$F$14,1),0),COUNT('Default Prob'!$P$5:$P$14)))</f>
        <v>2.046797531464158E-2</v>
      </c>
      <c r="H1090" s="5">
        <f t="shared" si="219"/>
        <v>0.91371586661136117</v>
      </c>
      <c r="I1090" s="24">
        <f t="shared" si="220"/>
        <v>5.1204484116551541E-5</v>
      </c>
      <c r="J1090" s="25">
        <f>INDEX('Default Prob'!$C$3:$C$13, _xlfn.IFNA(MATCH(F1090, 'Default Prob'!$B$3:$B$13, 1), 1))</f>
        <v>1.95E-2</v>
      </c>
      <c r="K1090" s="26">
        <f t="shared" si="211"/>
        <v>0.92311754285744985</v>
      </c>
      <c r="L1090" s="27">
        <f t="shared" ca="1" si="212"/>
        <v>0</v>
      </c>
      <c r="M1090" s="27">
        <f t="shared" ca="1" si="213"/>
        <v>2744.9403825855502</v>
      </c>
      <c r="N1090" s="28">
        <f t="shared" ca="1" si="214"/>
        <v>0.12974717652332715</v>
      </c>
      <c r="O1090" s="29">
        <f t="shared" ca="1" si="215"/>
        <v>600000</v>
      </c>
      <c r="P1090" s="30">
        <f t="shared" ca="1" si="216"/>
        <v>28.360654536572625</v>
      </c>
    </row>
    <row r="1091" spans="1:16" x14ac:dyDescent="0.25">
      <c r="A1091" s="3">
        <f t="shared" si="217"/>
        <v>47639</v>
      </c>
      <c r="B1091" s="21">
        <f t="shared" si="208"/>
        <v>36682</v>
      </c>
      <c r="C1091" s="21">
        <f t="shared" si="209"/>
        <v>36697</v>
      </c>
      <c r="D1091" s="1">
        <f t="shared" si="218"/>
        <v>0</v>
      </c>
      <c r="E1091" s="3">
        <f t="array" ref="E1091">INDEX($A$9:A1090, MAX(IF($D$9:D1090=1, ROW(D$9:$D1090)-ROW($D$9)+1, 0)))</f>
        <v>47562</v>
      </c>
      <c r="F1091" s="23">
        <f t="shared" si="210"/>
        <v>4.1451060917180014</v>
      </c>
      <c r="G1091" s="5">
        <f>INDEX('Default Prob'!$P$5:$P$14,MIN(1+_xlfn.IFNA(MATCH(F1091,'Default Prob'!$F$5:$F$14,1),0),COUNT('Default Prob'!$P$5:$P$14)))</f>
        <v>2.046797531464158E-2</v>
      </c>
      <c r="H1091" s="5">
        <f t="shared" si="219"/>
        <v>0.9136646649965745</v>
      </c>
      <c r="I1091" s="24">
        <f t="shared" si="220"/>
        <v>5.1201614786666738E-5</v>
      </c>
      <c r="J1091" s="25">
        <f>INDEX('Default Prob'!$C$3:$C$13, _xlfn.IFNA(MATCH(F1091, 'Default Prob'!$B$3:$B$13, 1), 1))</f>
        <v>1.95E-2</v>
      </c>
      <c r="K1091" s="26">
        <f t="shared" si="211"/>
        <v>0.92306873502224962</v>
      </c>
      <c r="L1091" s="27">
        <f t="shared" ca="1" si="212"/>
        <v>0</v>
      </c>
      <c r="M1091" s="27">
        <f t="shared" ca="1" si="213"/>
        <v>2781.0580191985182</v>
      </c>
      <c r="N1091" s="28">
        <f t="shared" ca="1" si="214"/>
        <v>0.13144005997091768</v>
      </c>
      <c r="O1091" s="29">
        <f t="shared" ca="1" si="215"/>
        <v>600000</v>
      </c>
      <c r="P1091" s="30">
        <f t="shared" ca="1" si="216"/>
        <v>28.357565875334988</v>
      </c>
    </row>
    <row r="1092" spans="1:16" x14ac:dyDescent="0.25">
      <c r="A1092" s="3">
        <f t="shared" si="217"/>
        <v>47640</v>
      </c>
      <c r="B1092" s="21">
        <f t="shared" si="208"/>
        <v>36683</v>
      </c>
      <c r="C1092" s="21">
        <f t="shared" si="209"/>
        <v>36697</v>
      </c>
      <c r="D1092" s="1">
        <f t="shared" si="218"/>
        <v>0</v>
      </c>
      <c r="E1092" s="3">
        <f t="array" ref="E1092">INDEX($A$9:A1091, MAX(IF($D$9:D1091=1, ROW(D$9:$D1091)-ROW($D$9)+1, 0)))</f>
        <v>47562</v>
      </c>
      <c r="F1092" s="23">
        <f t="shared" si="210"/>
        <v>4.1478439425051334</v>
      </c>
      <c r="G1092" s="5">
        <f>INDEX('Default Prob'!$P$5:$P$14,MIN(1+_xlfn.IFNA(MATCH(F1092,'Default Prob'!$F$5:$F$14,1),0),COUNT('Default Prob'!$P$5:$P$14)))</f>
        <v>2.046797531464158E-2</v>
      </c>
      <c r="H1092" s="5">
        <f t="shared" si="219"/>
        <v>0.91361346625095696</v>
      </c>
      <c r="I1092" s="24">
        <f t="shared" si="220"/>
        <v>5.119874561754223E-5</v>
      </c>
      <c r="J1092" s="25">
        <f>INDEX('Default Prob'!$C$3:$C$13, _xlfn.IFNA(MATCH(F1092, 'Default Prob'!$B$3:$B$13, 1), 1))</f>
        <v>1.95E-2</v>
      </c>
      <c r="K1092" s="26">
        <f t="shared" si="211"/>
        <v>0.92301992976765745</v>
      </c>
      <c r="L1092" s="27">
        <f t="shared" ca="1" si="212"/>
        <v>0</v>
      </c>
      <c r="M1092" s="27">
        <f t="shared" ca="1" si="213"/>
        <v>2817.1756558114857</v>
      </c>
      <c r="N1092" s="28">
        <f t="shared" ca="1" si="214"/>
        <v>0.13313257314733737</v>
      </c>
      <c r="O1092" s="29">
        <f t="shared" ca="1" si="215"/>
        <v>600000</v>
      </c>
      <c r="P1092" s="30">
        <f t="shared" ca="1" si="216"/>
        <v>28.354477550457592</v>
      </c>
    </row>
    <row r="1093" spans="1:16" x14ac:dyDescent="0.25">
      <c r="A1093" s="3">
        <f t="shared" si="217"/>
        <v>47641</v>
      </c>
      <c r="B1093" s="21">
        <f t="shared" si="208"/>
        <v>36684</v>
      </c>
      <c r="C1093" s="21">
        <f t="shared" si="209"/>
        <v>36697</v>
      </c>
      <c r="D1093" s="1">
        <f t="shared" si="218"/>
        <v>0</v>
      </c>
      <c r="E1093" s="3">
        <f t="array" ref="E1093">INDEX($A$9:A1092, MAX(IF($D$9:D1092=1, ROW(D$9:$D1092)-ROW($D$9)+1, 0)))</f>
        <v>47562</v>
      </c>
      <c r="F1093" s="23">
        <f t="shared" si="210"/>
        <v>4.1505817932922655</v>
      </c>
      <c r="G1093" s="5">
        <f>INDEX('Default Prob'!$P$5:$P$14,MIN(1+_xlfn.IFNA(MATCH(F1093,'Default Prob'!$F$5:$F$14,1),0),COUNT('Default Prob'!$P$5:$P$14)))</f>
        <v>2.046797531464158E-2</v>
      </c>
      <c r="H1093" s="5">
        <f t="shared" si="219"/>
        <v>0.91356227037434778</v>
      </c>
      <c r="I1093" s="24">
        <f t="shared" si="220"/>
        <v>5.1195876609178015E-5</v>
      </c>
      <c r="J1093" s="25">
        <f>INDEX('Default Prob'!$C$3:$C$13, _xlfn.IFNA(MATCH(F1093, 'Default Prob'!$B$3:$B$13, 1), 1))</f>
        <v>1.95E-2</v>
      </c>
      <c r="K1093" s="26">
        <f t="shared" si="211"/>
        <v>0.92297112709353724</v>
      </c>
      <c r="L1093" s="27">
        <f t="shared" ca="1" si="212"/>
        <v>0</v>
      </c>
      <c r="M1093" s="27">
        <f t="shared" ca="1" si="213"/>
        <v>2853.2932924244533</v>
      </c>
      <c r="N1093" s="28">
        <f t="shared" ca="1" si="214"/>
        <v>0.13482471611317845</v>
      </c>
      <c r="O1093" s="29">
        <f t="shared" ca="1" si="215"/>
        <v>600000</v>
      </c>
      <c r="P1093" s="30">
        <f t="shared" ca="1" si="216"/>
        <v>28.351389561908814</v>
      </c>
    </row>
    <row r="1094" spans="1:16" x14ac:dyDescent="0.25">
      <c r="A1094" s="3">
        <f t="shared" si="217"/>
        <v>47644</v>
      </c>
      <c r="B1094" s="21">
        <f t="shared" si="208"/>
        <v>36687</v>
      </c>
      <c r="C1094" s="21">
        <f t="shared" si="209"/>
        <v>36697</v>
      </c>
      <c r="D1094" s="1">
        <f t="shared" si="218"/>
        <v>0</v>
      </c>
      <c r="E1094" s="3">
        <f t="array" ref="E1094">INDEX($A$9:A1093, MAX(IF($D$9:D1093=1, ROW(D$9:$D1093)-ROW($D$9)+1, 0)))</f>
        <v>47562</v>
      </c>
      <c r="F1094" s="23">
        <f t="shared" si="210"/>
        <v>4.1587953456536617</v>
      </c>
      <c r="G1094" s="5">
        <f>INDEX('Default Prob'!$P$5:$P$14,MIN(1+_xlfn.IFNA(MATCH(F1094,'Default Prob'!$F$5:$F$14,1),0),COUNT('Default Prob'!$P$5:$P$14)))</f>
        <v>2.046797531464158E-2</v>
      </c>
      <c r="H1094" s="5">
        <f t="shared" si="219"/>
        <v>0.91340869995696283</v>
      </c>
      <c r="I1094" s="24">
        <f t="shared" si="220"/>
        <v>1.535704173849517E-4</v>
      </c>
      <c r="J1094" s="25">
        <f>INDEX('Default Prob'!$C$3:$C$13, _xlfn.IFNA(MATCH(F1094, 'Default Prob'!$B$3:$B$13, 1), 1))</f>
        <v>1.95E-2</v>
      </c>
      <c r="K1094" s="26">
        <f t="shared" si="211"/>
        <v>0.92282473455264358</v>
      </c>
      <c r="L1094" s="27">
        <f t="shared" ca="1" si="212"/>
        <v>0</v>
      </c>
      <c r="M1094" s="27">
        <f t="shared" ca="1" si="213"/>
        <v>2961.6462022633568</v>
      </c>
      <c r="N1094" s="28">
        <f t="shared" ca="1" si="214"/>
        <v>0.41972029323547733</v>
      </c>
      <c r="O1094" s="29">
        <f t="shared" ca="1" si="215"/>
        <v>600000</v>
      </c>
      <c r="P1094" s="30">
        <f t="shared" ca="1" si="216"/>
        <v>85.031147795044035</v>
      </c>
    </row>
    <row r="1095" spans="1:16" x14ac:dyDescent="0.25">
      <c r="A1095" s="3">
        <f t="shared" si="217"/>
        <v>47645</v>
      </c>
      <c r="B1095" s="21">
        <f t="shared" si="208"/>
        <v>36688</v>
      </c>
      <c r="C1095" s="21">
        <f t="shared" si="209"/>
        <v>36697</v>
      </c>
      <c r="D1095" s="1">
        <f t="shared" si="218"/>
        <v>0</v>
      </c>
      <c r="E1095" s="3">
        <f t="array" ref="E1095">INDEX($A$9:A1094, MAX(IF($D$9:D1094=1, ROW(D$9:$D1094)-ROW($D$9)+1, 0)))</f>
        <v>47562</v>
      </c>
      <c r="F1095" s="23">
        <f t="shared" si="210"/>
        <v>4.1615331964407938</v>
      </c>
      <c r="G1095" s="5">
        <f>INDEX('Default Prob'!$P$5:$P$14,MIN(1+_xlfn.IFNA(MATCH(F1095,'Default Prob'!$F$5:$F$14,1),0),COUNT('Default Prob'!$P$5:$P$14)))</f>
        <v>2.046797531464158E-2</v>
      </c>
      <c r="H1095" s="5">
        <f t="shared" si="219"/>
        <v>0.91335751555477951</v>
      </c>
      <c r="I1095" s="24">
        <f t="shared" si="220"/>
        <v>5.1184402183324096E-5</v>
      </c>
      <c r="J1095" s="25">
        <f>INDEX('Default Prob'!$C$3:$C$13, _xlfn.IFNA(MATCH(F1095, 'Default Prob'!$B$3:$B$13, 1), 1))</f>
        <v>1.95E-2</v>
      </c>
      <c r="K1095" s="26">
        <f t="shared" si="211"/>
        <v>0.92277594219904635</v>
      </c>
      <c r="L1095" s="27">
        <f t="shared" ca="1" si="212"/>
        <v>0</v>
      </c>
      <c r="M1095" s="27">
        <f t="shared" ca="1" si="213"/>
        <v>2997.7638388763244</v>
      </c>
      <c r="N1095" s="28">
        <f t="shared" ca="1" si="214"/>
        <v>0.14158958708233513</v>
      </c>
      <c r="O1095" s="29">
        <f t="shared" ca="1" si="215"/>
        <v>600000</v>
      </c>
      <c r="P1095" s="30">
        <f t="shared" ca="1" si="216"/>
        <v>28.33904097036709</v>
      </c>
    </row>
    <row r="1096" spans="1:16" x14ac:dyDescent="0.25">
      <c r="A1096" s="3">
        <f t="shared" si="217"/>
        <v>47646</v>
      </c>
      <c r="B1096" s="21">
        <f t="shared" si="208"/>
        <v>36689</v>
      </c>
      <c r="C1096" s="21">
        <f t="shared" si="209"/>
        <v>36697</v>
      </c>
      <c r="D1096" s="1">
        <f t="shared" si="218"/>
        <v>0</v>
      </c>
      <c r="E1096" s="3">
        <f t="array" ref="E1096">INDEX($A$9:A1095, MAX(IF($D$9:D1095=1, ROW(D$9:$D1095)-ROW($D$9)+1, 0)))</f>
        <v>47562</v>
      </c>
      <c r="F1096" s="23">
        <f t="shared" si="210"/>
        <v>4.1642710472279258</v>
      </c>
      <c r="G1096" s="5">
        <f>INDEX('Default Prob'!$P$5:$P$14,MIN(1+_xlfn.IFNA(MATCH(F1096,'Default Prob'!$F$5:$F$14,1),0),COUNT('Default Prob'!$P$5:$P$14)))</f>
        <v>2.046797531464158E-2</v>
      </c>
      <c r="H1096" s="5">
        <f t="shared" si="219"/>
        <v>0.91330633402080075</v>
      </c>
      <c r="I1096" s="24">
        <f t="shared" si="220"/>
        <v>5.1181533978761351E-5</v>
      </c>
      <c r="J1096" s="25">
        <f>INDEX('Default Prob'!$C$3:$C$13, _xlfn.IFNA(MATCH(F1096, 'Default Prob'!$B$3:$B$13, 1), 1))</f>
        <v>1.95E-2</v>
      </c>
      <c r="K1096" s="26">
        <f t="shared" si="211"/>
        <v>0.92272715242523917</v>
      </c>
      <c r="L1096" s="27">
        <f t="shared" ca="1" si="212"/>
        <v>0</v>
      </c>
      <c r="M1096" s="27">
        <f t="shared" ca="1" si="213"/>
        <v>3033.8814754892928</v>
      </c>
      <c r="N1096" s="28">
        <f t="shared" ca="1" si="214"/>
        <v>0.1432798799039004</v>
      </c>
      <c r="O1096" s="29">
        <f t="shared" ca="1" si="215"/>
        <v>600000</v>
      </c>
      <c r="P1096" s="30">
        <f t="shared" ca="1" si="216"/>
        <v>28.33595466298685</v>
      </c>
    </row>
    <row r="1097" spans="1:16" x14ac:dyDescent="0.25">
      <c r="A1097" s="3">
        <f t="shared" si="217"/>
        <v>47647</v>
      </c>
      <c r="B1097" s="21">
        <f t="shared" ref="B1097:B1160" si="221">DATE(2000, MONTH(A1097), DAY(A1097))</f>
        <v>36690</v>
      </c>
      <c r="C1097" s="21">
        <f t="shared" ref="C1097:C1160" si="222">VLOOKUP(B1097, $R$9:$S$13, 2)</f>
        <v>36697</v>
      </c>
      <c r="D1097" s="1">
        <f t="shared" si="218"/>
        <v>0</v>
      </c>
      <c r="E1097" s="3">
        <f t="array" ref="E1097">INDEX($A$9:A1096, MAX(IF($D$9:D1096=1, ROW(D$9:$D1096)-ROW($D$9)+1, 0)))</f>
        <v>47562</v>
      </c>
      <c r="F1097" s="23">
        <f t="shared" ref="F1097:F1160" si="223">(A1097-$A$2)/365.25</f>
        <v>4.1670088980150579</v>
      </c>
      <c r="G1097" s="5">
        <f>INDEX('Default Prob'!$P$5:$P$14,MIN(1+_xlfn.IFNA(MATCH(F1097,'Default Prob'!$F$5:$F$14,1),0),COUNT('Default Prob'!$P$5:$P$14)))</f>
        <v>2.046797531464158E-2</v>
      </c>
      <c r="H1097" s="5">
        <f t="shared" si="219"/>
        <v>0.9132551553548659</v>
      </c>
      <c r="I1097" s="24">
        <f t="shared" si="220"/>
        <v>5.1178665934847878E-5</v>
      </c>
      <c r="J1097" s="25">
        <f>INDEX('Default Prob'!$C$3:$C$13, _xlfn.IFNA(MATCH(F1097, 'Default Prob'!$B$3:$B$13, 1), 1))</f>
        <v>1.95E-2</v>
      </c>
      <c r="K1097" s="26">
        <f t="shared" ref="K1097:K1160" si="224">1/((1+J1097)^F1097)</f>
        <v>0.92267836523108504</v>
      </c>
      <c r="L1097" s="27">
        <f t="shared" ref="L1097:L1160" ca="1" si="225">IF(AND(D1097, A1097 &lt;= $G$2), $D$5*$D$2*(A1097-E1097)/365.25, 0)</f>
        <v>0</v>
      </c>
      <c r="M1097" s="27">
        <f t="shared" ref="M1097:M1160" ca="1" si="226">IF(A1097&lt;=$G$2, $D$5*$D$2*(A1097-E1097)/365.25, 0)</f>
        <v>3069.9991121022604</v>
      </c>
      <c r="N1097" s="28">
        <f t="shared" ref="N1097:N1160" ca="1" si="227">(L1097*H1097 + M1097*I1097) * K1097</f>
        <v>0.14496980287796613</v>
      </c>
      <c r="O1097" s="29">
        <f t="shared" ref="O1097:O1160" ca="1" si="228">IF(A1097&lt;=$G$2, $D$2*(1-$D$3), 0)</f>
        <v>600000</v>
      </c>
      <c r="P1097" s="30">
        <f t="shared" ref="P1097:P1160" ca="1" si="229">O1097*I1097*K1097</f>
        <v>28.332868691683956</v>
      </c>
    </row>
    <row r="1098" spans="1:16" x14ac:dyDescent="0.25">
      <c r="A1098" s="3">
        <f t="shared" ref="A1098:A1161" si="230">WORKDAY(A1097, 1)</f>
        <v>47648</v>
      </c>
      <c r="B1098" s="21">
        <f t="shared" si="221"/>
        <v>36691</v>
      </c>
      <c r="C1098" s="21">
        <f t="shared" si="222"/>
        <v>36697</v>
      </c>
      <c r="D1098" s="1">
        <f t="shared" ref="D1098:D1161" si="231">IF(OR(C1098=B1098, AND(C1098&lt;&gt;C1097, C1097&gt;B1097)), 1, 0)</f>
        <v>0</v>
      </c>
      <c r="E1098" s="3">
        <f t="array" ref="E1098">INDEX($A$9:A1097, MAX(IF($D$9:D1097=1, ROW(D$9:$D1097)-ROW($D$9)+1, 0)))</f>
        <v>47562</v>
      </c>
      <c r="F1098" s="23">
        <f t="shared" si="223"/>
        <v>4.16974674880219</v>
      </c>
      <c r="G1098" s="5">
        <f>INDEX('Default Prob'!$P$5:$P$14,MIN(1+_xlfn.IFNA(MATCH(F1098,'Default Prob'!$F$5:$F$14,1),0),COUNT('Default Prob'!$P$5:$P$14)))</f>
        <v>2.046797531464158E-2</v>
      </c>
      <c r="H1098" s="5">
        <f t="shared" ref="H1098:H1161" si="232">H1097*EXP(-G1097*(F1098-F1097))</f>
        <v>0.9132039795568142</v>
      </c>
      <c r="I1098" s="24">
        <f t="shared" ref="I1098:I1161" si="233">H1097-H1098</f>
        <v>5.1175798051694699E-5</v>
      </c>
      <c r="J1098" s="25">
        <f>INDEX('Default Prob'!$C$3:$C$13, _xlfn.IFNA(MATCH(F1098, 'Default Prob'!$B$3:$B$13, 1), 1))</f>
        <v>1.95E-2</v>
      </c>
      <c r="K1098" s="26">
        <f t="shared" si="224"/>
        <v>0.92262958061644795</v>
      </c>
      <c r="L1098" s="27">
        <f t="shared" ca="1" si="225"/>
        <v>0</v>
      </c>
      <c r="M1098" s="27">
        <f t="shared" ca="1" si="226"/>
        <v>3106.1167487152284</v>
      </c>
      <c r="N1098" s="28">
        <f t="shared" ca="1" si="227"/>
        <v>0.14665935606537853</v>
      </c>
      <c r="O1098" s="29">
        <f t="shared" ca="1" si="228"/>
        <v>600000</v>
      </c>
      <c r="P1098" s="30">
        <f t="shared" ca="1" si="229"/>
        <v>28.329783056488267</v>
      </c>
    </row>
    <row r="1099" spans="1:16" x14ac:dyDescent="0.25">
      <c r="A1099" s="3">
        <f t="shared" si="230"/>
        <v>47651</v>
      </c>
      <c r="B1099" s="21">
        <f t="shared" si="221"/>
        <v>36694</v>
      </c>
      <c r="C1099" s="21">
        <f t="shared" si="222"/>
        <v>36697</v>
      </c>
      <c r="D1099" s="1">
        <f t="shared" si="231"/>
        <v>0</v>
      </c>
      <c r="E1099" s="3">
        <f t="array" ref="E1099">INDEX($A$9:A1098, MAX(IF($D$9:D1098=1, ROW(D$9:$D1098)-ROW($D$9)+1, 0)))</f>
        <v>47562</v>
      </c>
      <c r="F1099" s="23">
        <f t="shared" si="223"/>
        <v>4.1779603011635862</v>
      </c>
      <c r="G1099" s="5">
        <f>INDEX('Default Prob'!$P$5:$P$14,MIN(1+_xlfn.IFNA(MATCH(F1099,'Default Prob'!$F$5:$F$14,1),0),COUNT('Default Prob'!$P$5:$P$14)))</f>
        <v>2.046797531464158E-2</v>
      </c>
      <c r="H1099" s="5">
        <f t="shared" si="232"/>
        <v>0.91305046936835088</v>
      </c>
      <c r="I1099" s="24">
        <f t="shared" si="233"/>
        <v>1.5351018846332387E-4</v>
      </c>
      <c r="J1099" s="25">
        <f>INDEX('Default Prob'!$C$3:$C$13, _xlfn.IFNA(MATCH(F1099, 'Default Prob'!$B$3:$B$13, 1), 1))</f>
        <v>1.95E-2</v>
      </c>
      <c r="K1099" s="26">
        <f t="shared" si="224"/>
        <v>0.92248324224827449</v>
      </c>
      <c r="L1099" s="27">
        <f t="shared" ca="1" si="225"/>
        <v>0</v>
      </c>
      <c r="M1099" s="27">
        <f t="shared" ca="1" si="226"/>
        <v>3214.4696585541315</v>
      </c>
      <c r="N1099" s="28">
        <f t="shared" ca="1" si="227"/>
        <v>0.45520290107748368</v>
      </c>
      <c r="O1099" s="29">
        <f t="shared" ca="1" si="228"/>
        <v>600000</v>
      </c>
      <c r="P1099" s="30">
        <f t="shared" ca="1" si="229"/>
        <v>84.966345823074406</v>
      </c>
    </row>
    <row r="1100" spans="1:16" x14ac:dyDescent="0.25">
      <c r="A1100" s="3">
        <f t="shared" si="230"/>
        <v>47652</v>
      </c>
      <c r="B1100" s="21">
        <f t="shared" si="221"/>
        <v>36695</v>
      </c>
      <c r="C1100" s="21">
        <f t="shared" si="222"/>
        <v>36697</v>
      </c>
      <c r="D1100" s="1">
        <f t="shared" si="231"/>
        <v>0</v>
      </c>
      <c r="E1100" s="3">
        <f t="array" ref="E1100">INDEX($A$9:A1099, MAX(IF($D$9:D1099=1, ROW(D$9:$D1099)-ROW($D$9)+1, 0)))</f>
        <v>47562</v>
      </c>
      <c r="F1100" s="23">
        <f t="shared" si="223"/>
        <v>4.1806981519507183</v>
      </c>
      <c r="G1100" s="5">
        <f>INDEX('Default Prob'!$P$5:$P$14,MIN(1+_xlfn.IFNA(MATCH(F1100,'Default Prob'!$F$5:$F$14,1),0),COUNT('Default Prob'!$P$5:$P$14)))</f>
        <v>2.046797531464158E-2</v>
      </c>
      <c r="H1100" s="5">
        <f t="shared" si="232"/>
        <v>0.91299930504022475</v>
      </c>
      <c r="I1100" s="24">
        <f t="shared" si="233"/>
        <v>5.116432812612981E-5</v>
      </c>
      <c r="J1100" s="25">
        <f>INDEX('Default Prob'!$C$3:$C$13, _xlfn.IFNA(MATCH(F1100, 'Default Prob'!$B$3:$B$13, 1), 1))</f>
        <v>1.95E-2</v>
      </c>
      <c r="K1100" s="26">
        <f t="shared" si="224"/>
        <v>0.92243446795034123</v>
      </c>
      <c r="L1100" s="27">
        <f t="shared" ca="1" si="225"/>
        <v>0</v>
      </c>
      <c r="M1100" s="27">
        <f t="shared" ca="1" si="226"/>
        <v>3250.587295167099</v>
      </c>
      <c r="N1100" s="28">
        <f t="shared" ca="1" si="227"/>
        <v>0.15341387215734362</v>
      </c>
      <c r="O1100" s="29">
        <f t="shared" ca="1" si="228"/>
        <v>600000</v>
      </c>
      <c r="P1100" s="30">
        <f t="shared" ca="1" si="229"/>
        <v>28.317443875837938</v>
      </c>
    </row>
    <row r="1101" spans="1:16" x14ac:dyDescent="0.25">
      <c r="A1101" s="3">
        <f t="shared" si="230"/>
        <v>47653</v>
      </c>
      <c r="B1101" s="21">
        <f t="shared" si="221"/>
        <v>36696</v>
      </c>
      <c r="C1101" s="21">
        <f t="shared" si="222"/>
        <v>36697</v>
      </c>
      <c r="D1101" s="1">
        <f t="shared" si="231"/>
        <v>0</v>
      </c>
      <c r="E1101" s="3">
        <f t="array" ref="E1101">INDEX($A$9:A1100, MAX(IF($D$9:D1100=1, ROW(D$9:$D1100)-ROW($D$9)+1, 0)))</f>
        <v>47562</v>
      </c>
      <c r="F1101" s="23">
        <f t="shared" si="223"/>
        <v>4.1834360027378512</v>
      </c>
      <c r="G1101" s="5">
        <f>INDEX('Default Prob'!$P$5:$P$14,MIN(1+_xlfn.IFNA(MATCH(F1101,'Default Prob'!$F$5:$F$14,1),0),COUNT('Default Prob'!$P$5:$P$14)))</f>
        <v>2.046797531464158E-2</v>
      </c>
      <c r="H1101" s="5">
        <f t="shared" si="232"/>
        <v>0.91294814357917831</v>
      </c>
      <c r="I1101" s="24">
        <f t="shared" si="233"/>
        <v>5.1161461046445034E-5</v>
      </c>
      <c r="J1101" s="25">
        <f>INDEX('Default Prob'!$C$3:$C$13, _xlfn.IFNA(MATCH(F1101, 'Default Prob'!$B$3:$B$13, 1), 1))</f>
        <v>1.95E-2</v>
      </c>
      <c r="K1101" s="26">
        <f t="shared" si="224"/>
        <v>0.922385696231243</v>
      </c>
      <c r="L1101" s="27">
        <f t="shared" ca="1" si="225"/>
        <v>0</v>
      </c>
      <c r="M1101" s="27">
        <f t="shared" ca="1" si="226"/>
        <v>3286.7049317800665</v>
      </c>
      <c r="N1101" s="28">
        <f t="shared" ca="1" si="227"/>
        <v>0.15510157731827987</v>
      </c>
      <c r="O1101" s="29">
        <f t="shared" ca="1" si="228"/>
        <v>600000</v>
      </c>
      <c r="P1101" s="30">
        <f t="shared" ca="1" si="229"/>
        <v>28.314359920519692</v>
      </c>
    </row>
    <row r="1102" spans="1:16" x14ac:dyDescent="0.25">
      <c r="A1102" s="3">
        <f t="shared" si="230"/>
        <v>47654</v>
      </c>
      <c r="B1102" s="21">
        <f t="shared" si="221"/>
        <v>36697</v>
      </c>
      <c r="C1102" s="21">
        <f t="shared" si="222"/>
        <v>36697</v>
      </c>
      <c r="D1102" s="1">
        <f t="shared" si="231"/>
        <v>1</v>
      </c>
      <c r="E1102" s="3">
        <f t="array" ref="E1102">INDEX($A$9:A1101, MAX(IF($D$9:D1101=1, ROW(D$9:$D1101)-ROW($D$9)+1, 0)))</f>
        <v>47562</v>
      </c>
      <c r="F1102" s="23">
        <f t="shared" si="223"/>
        <v>4.1861738535249833</v>
      </c>
      <c r="G1102" s="5">
        <f>INDEX('Default Prob'!$P$5:$P$14,MIN(1+_xlfn.IFNA(MATCH(F1102,'Default Prob'!$F$5:$F$14,1),0),COUNT('Default Prob'!$P$5:$P$14)))</f>
        <v>2.046797531464158E-2</v>
      </c>
      <c r="H1102" s="5">
        <f t="shared" si="232"/>
        <v>0.9128969849850509</v>
      </c>
      <c r="I1102" s="24">
        <f t="shared" si="233"/>
        <v>5.1158594127409529E-5</v>
      </c>
      <c r="J1102" s="25">
        <f>INDEX('Default Prob'!$C$3:$C$13, _xlfn.IFNA(MATCH(F1102, 'Default Prob'!$B$3:$B$13, 1), 1))</f>
        <v>1.95E-2</v>
      </c>
      <c r="K1102" s="26">
        <f t="shared" si="224"/>
        <v>0.92233692709084369</v>
      </c>
      <c r="L1102" s="27">
        <f t="shared" ca="1" si="225"/>
        <v>3322.8225683930345</v>
      </c>
      <c r="M1102" s="27">
        <f t="shared" ca="1" si="226"/>
        <v>3322.8225683930345</v>
      </c>
      <c r="N1102" s="28">
        <f t="shared" ca="1" si="227"/>
        <v>2797.9687391549987</v>
      </c>
      <c r="O1102" s="29">
        <f t="shared" ca="1" si="228"/>
        <v>600000</v>
      </c>
      <c r="P1102" s="30">
        <f t="shared" ca="1" si="229"/>
        <v>28.311276301057553</v>
      </c>
    </row>
    <row r="1103" spans="1:16" x14ac:dyDescent="0.25">
      <c r="A1103" s="3">
        <f t="shared" si="230"/>
        <v>47655</v>
      </c>
      <c r="B1103" s="21">
        <f t="shared" si="221"/>
        <v>36698</v>
      </c>
      <c r="C1103" s="21">
        <f t="shared" si="222"/>
        <v>36789</v>
      </c>
      <c r="D1103" s="1">
        <f t="shared" si="231"/>
        <v>0</v>
      </c>
      <c r="E1103" s="3">
        <f t="array" ref="E1103">INDEX($A$9:A1102, MAX(IF($D$9:D1102=1, ROW(D$9:$D1102)-ROW($D$9)+1, 0)))</f>
        <v>47654</v>
      </c>
      <c r="F1103" s="23">
        <f t="shared" si="223"/>
        <v>4.1889117043121153</v>
      </c>
      <c r="G1103" s="5">
        <f>INDEX('Default Prob'!$P$5:$P$14,MIN(1+_xlfn.IFNA(MATCH(F1103,'Default Prob'!$F$5:$F$14,1),0),COUNT('Default Prob'!$P$5:$P$14)))</f>
        <v>2.046797531464158E-2</v>
      </c>
      <c r="H1103" s="5">
        <f t="shared" si="232"/>
        <v>0.91284582925768198</v>
      </c>
      <c r="I1103" s="24">
        <f t="shared" si="233"/>
        <v>5.1155727368912274E-5</v>
      </c>
      <c r="J1103" s="25">
        <f>INDEX('Default Prob'!$C$3:$C$13, _xlfn.IFNA(MATCH(F1103, 'Default Prob'!$B$3:$B$13, 1), 1))</f>
        <v>1.95E-2</v>
      </c>
      <c r="K1103" s="26">
        <f t="shared" si="224"/>
        <v>0.92228816052900675</v>
      </c>
      <c r="L1103" s="27">
        <f t="shared" ca="1" si="225"/>
        <v>0</v>
      </c>
      <c r="M1103" s="27">
        <f t="shared" ca="1" si="226"/>
        <v>36.117636612967765</v>
      </c>
      <c r="N1103" s="28">
        <f t="shared" ca="1" si="227"/>
        <v>1.7040417142845084E-3</v>
      </c>
      <c r="O1103" s="29">
        <f t="shared" ca="1" si="228"/>
        <v>600000</v>
      </c>
      <c r="P1103" s="30">
        <f t="shared" ca="1" si="229"/>
        <v>28.30819301735848</v>
      </c>
    </row>
    <row r="1104" spans="1:16" x14ac:dyDescent="0.25">
      <c r="A1104" s="3">
        <f t="shared" si="230"/>
        <v>47658</v>
      </c>
      <c r="B1104" s="21">
        <f t="shared" si="221"/>
        <v>36701</v>
      </c>
      <c r="C1104" s="21">
        <f t="shared" si="222"/>
        <v>36789</v>
      </c>
      <c r="D1104" s="1">
        <f t="shared" si="231"/>
        <v>0</v>
      </c>
      <c r="E1104" s="3">
        <f t="array" ref="E1104">INDEX($A$9:A1103, MAX(IF($D$9:D1103=1, ROW(D$9:$D1103)-ROW($D$9)+1, 0)))</f>
        <v>47654</v>
      </c>
      <c r="F1104" s="23">
        <f t="shared" si="223"/>
        <v>4.1971252566735116</v>
      </c>
      <c r="G1104" s="5">
        <f>INDEX('Default Prob'!$P$5:$P$14,MIN(1+_xlfn.IFNA(MATCH(F1104,'Default Prob'!$F$5:$F$14,1),0),COUNT('Default Prob'!$P$5:$P$14)))</f>
        <v>2.046797531464158E-2</v>
      </c>
      <c r="H1104" s="5">
        <f t="shared" si="232"/>
        <v>0.91269237927451907</v>
      </c>
      <c r="I1104" s="24">
        <f t="shared" si="233"/>
        <v>1.5344998316291214E-4</v>
      </c>
      <c r="J1104" s="25">
        <f>INDEX('Default Prob'!$C$3:$C$13, _xlfn.IFNA(MATCH(F1104, 'Default Prob'!$B$3:$B$13, 1), 1))</f>
        <v>1.95E-2</v>
      </c>
      <c r="K1104" s="26">
        <f t="shared" si="224"/>
        <v>0.92214187631350664</v>
      </c>
      <c r="L1104" s="27">
        <f t="shared" ca="1" si="225"/>
        <v>0</v>
      </c>
      <c r="M1104" s="27">
        <f t="shared" ca="1" si="226"/>
        <v>144.47054645187106</v>
      </c>
      <c r="N1104" s="28">
        <f t="shared" ca="1" si="227"/>
        <v>2.0442965949179867E-2</v>
      </c>
      <c r="O1104" s="29">
        <f t="shared" ca="1" si="228"/>
        <v>600000</v>
      </c>
      <c r="P1104" s="30">
        <f t="shared" ca="1" si="229"/>
        <v>84.901593236474284</v>
      </c>
    </row>
    <row r="1105" spans="1:16" x14ac:dyDescent="0.25">
      <c r="A1105" s="3">
        <f t="shared" si="230"/>
        <v>47659</v>
      </c>
      <c r="B1105" s="21">
        <f t="shared" si="221"/>
        <v>36702</v>
      </c>
      <c r="C1105" s="21">
        <f t="shared" si="222"/>
        <v>36789</v>
      </c>
      <c r="D1105" s="1">
        <f t="shared" si="231"/>
        <v>0</v>
      </c>
      <c r="E1105" s="3">
        <f t="array" ref="E1105">INDEX($A$9:A1104, MAX(IF($D$9:D1104=1, ROW(D$9:$D1104)-ROW($D$9)+1, 0)))</f>
        <v>47654</v>
      </c>
      <c r="F1105" s="23">
        <f t="shared" si="223"/>
        <v>4.1998631074606436</v>
      </c>
      <c r="G1105" s="5">
        <f>INDEX('Default Prob'!$P$5:$P$14,MIN(1+_xlfn.IFNA(MATCH(F1105,'Default Prob'!$F$5:$F$14,1),0),COUNT('Default Prob'!$P$5:$P$14)))</f>
        <v>2.046797531464158E-2</v>
      </c>
      <c r="H1105" s="5">
        <f t="shared" si="232"/>
        <v>0.91264123501257732</v>
      </c>
      <c r="I1105" s="24">
        <f t="shared" si="233"/>
        <v>5.1144261941749036E-5</v>
      </c>
      <c r="J1105" s="25">
        <f>INDEX('Default Prob'!$C$3:$C$13, _xlfn.IFNA(MATCH(F1105, 'Default Prob'!$B$3:$B$13, 1), 1))</f>
        <v>1.95E-2</v>
      </c>
      <c r="K1105" s="26">
        <f t="shared" si="224"/>
        <v>0.92209312006455579</v>
      </c>
      <c r="L1105" s="27">
        <f t="shared" ca="1" si="225"/>
        <v>0</v>
      </c>
      <c r="M1105" s="27">
        <f t="shared" ca="1" si="226"/>
        <v>180.58818306483883</v>
      </c>
      <c r="N1105" s="28">
        <f t="shared" ca="1" si="227"/>
        <v>8.5164975513795562E-3</v>
      </c>
      <c r="O1105" s="29">
        <f t="shared" ca="1" si="228"/>
        <v>600000</v>
      </c>
      <c r="P1105" s="30">
        <f t="shared" ca="1" si="229"/>
        <v>28.295863240359772</v>
      </c>
    </row>
    <row r="1106" spans="1:16" x14ac:dyDescent="0.25">
      <c r="A1106" s="3">
        <f t="shared" si="230"/>
        <v>47660</v>
      </c>
      <c r="B1106" s="21">
        <f t="shared" si="221"/>
        <v>36703</v>
      </c>
      <c r="C1106" s="21">
        <f t="shared" si="222"/>
        <v>36789</v>
      </c>
      <c r="D1106" s="1">
        <f t="shared" si="231"/>
        <v>0</v>
      </c>
      <c r="E1106" s="3">
        <f t="array" ref="E1106">INDEX($A$9:A1105, MAX(IF($D$9:D1105=1, ROW(D$9:$D1105)-ROW($D$9)+1, 0)))</f>
        <v>47654</v>
      </c>
      <c r="F1106" s="23">
        <f t="shared" si="223"/>
        <v>4.2026009582477757</v>
      </c>
      <c r="G1106" s="5">
        <f>INDEX('Default Prob'!$P$5:$P$14,MIN(1+_xlfn.IFNA(MATCH(F1106,'Default Prob'!$F$5:$F$14,1),0),COUNT('Default Prob'!$P$5:$P$14)))</f>
        <v>2.046797531464158E-2</v>
      </c>
      <c r="H1106" s="5">
        <f t="shared" si="232"/>
        <v>0.91259009361659083</v>
      </c>
      <c r="I1106" s="24">
        <f t="shared" si="233"/>
        <v>5.1141395986498139E-5</v>
      </c>
      <c r="J1106" s="25">
        <f>INDEX('Default Prob'!$C$3:$C$13, _xlfn.IFNA(MATCH(F1106, 'Default Prob'!$B$3:$B$13, 1), 1))</f>
        <v>1.95E-2</v>
      </c>
      <c r="K1106" s="26">
        <f t="shared" si="224"/>
        <v>0.92204436639348586</v>
      </c>
      <c r="L1106" s="27">
        <f t="shared" ca="1" si="225"/>
        <v>0</v>
      </c>
      <c r="M1106" s="27">
        <f t="shared" ca="1" si="226"/>
        <v>216.70581967780663</v>
      </c>
      <c r="N1106" s="28">
        <f t="shared" ca="1" si="227"/>
        <v>1.0218684058741538E-2</v>
      </c>
      <c r="O1106" s="29">
        <f t="shared" ca="1" si="228"/>
        <v>600000</v>
      </c>
      <c r="P1106" s="30">
        <f t="shared" ca="1" si="229"/>
        <v>28.292781635309421</v>
      </c>
    </row>
    <row r="1107" spans="1:16" x14ac:dyDescent="0.25">
      <c r="A1107" s="3">
        <f t="shared" si="230"/>
        <v>47661</v>
      </c>
      <c r="B1107" s="21">
        <f t="shared" si="221"/>
        <v>36704</v>
      </c>
      <c r="C1107" s="21">
        <f t="shared" si="222"/>
        <v>36789</v>
      </c>
      <c r="D1107" s="1">
        <f t="shared" si="231"/>
        <v>0</v>
      </c>
      <c r="E1107" s="3">
        <f t="array" ref="E1107">INDEX($A$9:A1106, MAX(IF($D$9:D1106=1, ROW(D$9:$D1106)-ROW($D$9)+1, 0)))</f>
        <v>47654</v>
      </c>
      <c r="F1107" s="23">
        <f t="shared" si="223"/>
        <v>4.2053388090349078</v>
      </c>
      <c r="G1107" s="5">
        <f>INDEX('Default Prob'!$P$5:$P$14,MIN(1+_xlfn.IFNA(MATCH(F1107,'Default Prob'!$F$5:$F$14,1),0),COUNT('Default Prob'!$P$5:$P$14)))</f>
        <v>2.046797531464158E-2</v>
      </c>
      <c r="H1107" s="5">
        <f t="shared" si="232"/>
        <v>0.91253895508639904</v>
      </c>
      <c r="I1107" s="24">
        <f t="shared" si="233"/>
        <v>5.1138530191785492E-5</v>
      </c>
      <c r="J1107" s="25">
        <f>INDEX('Default Prob'!$C$3:$C$13, _xlfn.IFNA(MATCH(F1107, 'Default Prob'!$B$3:$B$13, 1), 1))</f>
        <v>1.95E-2</v>
      </c>
      <c r="K1107" s="26">
        <f t="shared" si="224"/>
        <v>0.92199561530016039</v>
      </c>
      <c r="L1107" s="27">
        <f t="shared" ca="1" si="225"/>
        <v>0</v>
      </c>
      <c r="M1107" s="27">
        <f t="shared" ca="1" si="226"/>
        <v>252.82345629077437</v>
      </c>
      <c r="N1107" s="28">
        <f t="shared" ca="1" si="227"/>
        <v>1.1920499706533661E-2</v>
      </c>
      <c r="O1107" s="29">
        <f t="shared" ca="1" si="228"/>
        <v>600000</v>
      </c>
      <c r="P1107" s="30">
        <f t="shared" ca="1" si="229"/>
        <v>28.289700365832655</v>
      </c>
    </row>
    <row r="1108" spans="1:16" x14ac:dyDescent="0.25">
      <c r="A1108" s="3">
        <f t="shared" si="230"/>
        <v>47662</v>
      </c>
      <c r="B1108" s="21">
        <f t="shared" si="221"/>
        <v>36705</v>
      </c>
      <c r="C1108" s="21">
        <f t="shared" si="222"/>
        <v>36789</v>
      </c>
      <c r="D1108" s="1">
        <f t="shared" si="231"/>
        <v>0</v>
      </c>
      <c r="E1108" s="3">
        <f t="array" ref="E1108">INDEX($A$9:A1107, MAX(IF($D$9:D1107=1, ROW(D$9:$D1107)-ROW($D$9)+1, 0)))</f>
        <v>47654</v>
      </c>
      <c r="F1108" s="23">
        <f t="shared" si="223"/>
        <v>4.2080766598220398</v>
      </c>
      <c r="G1108" s="5">
        <f>INDEX('Default Prob'!$P$5:$P$14,MIN(1+_xlfn.IFNA(MATCH(F1108,'Default Prob'!$F$5:$F$14,1),0),COUNT('Default Prob'!$P$5:$P$14)))</f>
        <v>2.046797531464158E-2</v>
      </c>
      <c r="H1108" s="5">
        <f t="shared" si="232"/>
        <v>0.91248781942184132</v>
      </c>
      <c r="I1108" s="24">
        <f t="shared" si="233"/>
        <v>5.1135664557722116E-5</v>
      </c>
      <c r="J1108" s="25">
        <f>INDEX('Default Prob'!$C$3:$C$13, _xlfn.IFNA(MATCH(F1108, 'Default Prob'!$B$3:$B$13, 1), 1))</f>
        <v>1.95E-2</v>
      </c>
      <c r="K1108" s="26">
        <f t="shared" si="224"/>
        <v>0.92194686678444282</v>
      </c>
      <c r="L1108" s="27">
        <f t="shared" ca="1" si="225"/>
        <v>0</v>
      </c>
      <c r="M1108" s="27">
        <f t="shared" ca="1" si="226"/>
        <v>288.94109290374212</v>
      </c>
      <c r="N1108" s="28">
        <f t="shared" ca="1" si="227"/>
        <v>1.3621944555370922E-2</v>
      </c>
      <c r="O1108" s="29">
        <f t="shared" ca="1" si="228"/>
        <v>600000</v>
      </c>
      <c r="P1108" s="30">
        <f t="shared" ca="1" si="229"/>
        <v>28.286619431959313</v>
      </c>
    </row>
    <row r="1109" spans="1:16" x14ac:dyDescent="0.25">
      <c r="A1109" s="3">
        <f t="shared" si="230"/>
        <v>47665</v>
      </c>
      <c r="B1109" s="21">
        <f t="shared" si="221"/>
        <v>36708</v>
      </c>
      <c r="C1109" s="21">
        <f t="shared" si="222"/>
        <v>36789</v>
      </c>
      <c r="D1109" s="1">
        <f t="shared" si="231"/>
        <v>0</v>
      </c>
      <c r="E1109" s="3">
        <f t="array" ref="E1109">INDEX($A$9:A1108, MAX(IF($D$9:D1108=1, ROW(D$9:$D1108)-ROW($D$9)+1, 0)))</f>
        <v>47654</v>
      </c>
      <c r="F1109" s="23">
        <f t="shared" si="223"/>
        <v>4.216290212183436</v>
      </c>
      <c r="G1109" s="5">
        <f>INDEX('Default Prob'!$P$5:$P$14,MIN(1+_xlfn.IFNA(MATCH(F1109,'Default Prob'!$F$5:$F$14,1),0),COUNT('Default Prob'!$P$5:$P$14)))</f>
        <v>2.046797531464158E-2</v>
      </c>
      <c r="H1109" s="5">
        <f t="shared" si="232"/>
        <v>0.91233442962036682</v>
      </c>
      <c r="I1109" s="24">
        <f t="shared" si="233"/>
        <v>1.5338980147450165E-4</v>
      </c>
      <c r="J1109" s="25">
        <f>INDEX('Default Prob'!$C$3:$C$13, _xlfn.IFNA(MATCH(F1109, 'Default Prob'!$B$3:$B$13, 1), 1))</f>
        <v>1.95E-2</v>
      </c>
      <c r="K1109" s="26">
        <f t="shared" si="224"/>
        <v>0.92180063670157719</v>
      </c>
      <c r="L1109" s="27">
        <f t="shared" ca="1" si="225"/>
        <v>0</v>
      </c>
      <c r="M1109" s="27">
        <f t="shared" ca="1" si="226"/>
        <v>397.29400274264543</v>
      </c>
      <c r="N1109" s="28">
        <f t="shared" ca="1" si="227"/>
        <v>5.6175312678996177E-2</v>
      </c>
      <c r="O1109" s="29">
        <f t="shared" ca="1" si="228"/>
        <v>600000</v>
      </c>
      <c r="P1109" s="30">
        <f t="shared" ca="1" si="229"/>
        <v>84.836889997634486</v>
      </c>
    </row>
    <row r="1110" spans="1:16" x14ac:dyDescent="0.25">
      <c r="A1110" s="3">
        <f t="shared" si="230"/>
        <v>47666</v>
      </c>
      <c r="B1110" s="21">
        <f t="shared" si="221"/>
        <v>36709</v>
      </c>
      <c r="C1110" s="21">
        <f t="shared" si="222"/>
        <v>36789</v>
      </c>
      <c r="D1110" s="1">
        <f t="shared" si="231"/>
        <v>0</v>
      </c>
      <c r="E1110" s="3">
        <f t="array" ref="E1110">INDEX($A$9:A1109, MAX(IF($D$9:D1109=1, ROW(D$9:$D1109)-ROW($D$9)+1, 0)))</f>
        <v>47654</v>
      </c>
      <c r="F1110" s="23">
        <f t="shared" si="223"/>
        <v>4.2190280629705681</v>
      </c>
      <c r="G1110" s="5">
        <f>INDEX('Default Prob'!$P$5:$P$14,MIN(1+_xlfn.IFNA(MATCH(F1110,'Default Prob'!$F$5:$F$14,1),0),COUNT('Default Prob'!$P$5:$P$14)))</f>
        <v>2.046797531464158E-2</v>
      </c>
      <c r="H1110" s="5">
        <f t="shared" si="232"/>
        <v>0.91228330541673963</v>
      </c>
      <c r="I1110" s="24">
        <f t="shared" si="233"/>
        <v>5.1124203627184173E-5</v>
      </c>
      <c r="J1110" s="25">
        <f>INDEX('Default Prob'!$C$3:$C$13, _xlfn.IFNA(MATCH(F1110, 'Default Prob'!$B$3:$B$13, 1), 1))</f>
        <v>1.95E-2</v>
      </c>
      <c r="K1110" s="26">
        <f t="shared" si="224"/>
        <v>0.92175189849492978</v>
      </c>
      <c r="L1110" s="27">
        <f t="shared" ca="1" si="225"/>
        <v>0</v>
      </c>
      <c r="M1110" s="27">
        <f t="shared" ca="1" si="226"/>
        <v>433.41163935561326</v>
      </c>
      <c r="N1110" s="28">
        <f t="shared" ca="1" si="227"/>
        <v>2.0424017172525087E-2</v>
      </c>
      <c r="O1110" s="29">
        <f t="shared" ca="1" si="228"/>
        <v>600000</v>
      </c>
      <c r="P1110" s="30">
        <f t="shared" ca="1" si="229"/>
        <v>28.27429905143903</v>
      </c>
    </row>
    <row r="1111" spans="1:16" x14ac:dyDescent="0.25">
      <c r="A1111" s="3">
        <f t="shared" si="230"/>
        <v>47667</v>
      </c>
      <c r="B1111" s="21">
        <f t="shared" si="221"/>
        <v>36710</v>
      </c>
      <c r="C1111" s="21">
        <f t="shared" si="222"/>
        <v>36789</v>
      </c>
      <c r="D1111" s="1">
        <f t="shared" si="231"/>
        <v>0</v>
      </c>
      <c r="E1111" s="3">
        <f t="array" ref="E1111">INDEX($A$9:A1110, MAX(IF($D$9:D1110=1, ROW(D$9:$D1110)-ROW($D$9)+1, 0)))</f>
        <v>47654</v>
      </c>
      <c r="F1111" s="23">
        <f t="shared" si="223"/>
        <v>4.2217659137577002</v>
      </c>
      <c r="G1111" s="5">
        <f>INDEX('Default Prob'!$P$5:$P$14,MIN(1+_xlfn.IFNA(MATCH(F1111,'Default Prob'!$F$5:$F$14,1),0),COUNT('Default Prob'!$P$5:$P$14)))</f>
        <v>2.046797531464158E-2</v>
      </c>
      <c r="H1111" s="5">
        <f t="shared" si="232"/>
        <v>0.91223218407794371</v>
      </c>
      <c r="I1111" s="24">
        <f t="shared" si="233"/>
        <v>5.1121338795923066E-5</v>
      </c>
      <c r="J1111" s="25">
        <f>INDEX('Default Prob'!$C$3:$C$13, _xlfn.IFNA(MATCH(F1111, 'Default Prob'!$B$3:$B$13, 1), 1))</f>
        <v>1.95E-2</v>
      </c>
      <c r="K1111" s="26">
        <f t="shared" si="224"/>
        <v>0.92170316286520904</v>
      </c>
      <c r="L1111" s="27">
        <f t="shared" ca="1" si="225"/>
        <v>0</v>
      </c>
      <c r="M1111" s="27">
        <f t="shared" ca="1" si="226"/>
        <v>469.52927596858098</v>
      </c>
      <c r="N1111" s="28">
        <f t="shared" ca="1" si="227"/>
        <v>2.2123608935051633E-2</v>
      </c>
      <c r="O1111" s="29">
        <f t="shared" ca="1" si="228"/>
        <v>600000</v>
      </c>
      <c r="P1111" s="30">
        <f t="shared" ca="1" si="229"/>
        <v>28.271219794863725</v>
      </c>
    </row>
    <row r="1112" spans="1:16" x14ac:dyDescent="0.25">
      <c r="A1112" s="3">
        <f t="shared" si="230"/>
        <v>47668</v>
      </c>
      <c r="B1112" s="21">
        <f t="shared" si="221"/>
        <v>36711</v>
      </c>
      <c r="C1112" s="21">
        <f t="shared" si="222"/>
        <v>36789</v>
      </c>
      <c r="D1112" s="1">
        <f t="shared" si="231"/>
        <v>0</v>
      </c>
      <c r="E1112" s="3">
        <f t="array" ref="E1112">INDEX($A$9:A1111, MAX(IF($D$9:D1111=1, ROW(D$9:$D1111)-ROW($D$9)+1, 0)))</f>
        <v>47654</v>
      </c>
      <c r="F1112" s="23">
        <f t="shared" si="223"/>
        <v>4.2245037645448322</v>
      </c>
      <c r="G1112" s="5">
        <f>INDEX('Default Prob'!$P$5:$P$14,MIN(1+_xlfn.IFNA(MATCH(F1112,'Default Prob'!$F$5:$F$14,1),0),COUNT('Default Prob'!$P$5:$P$14)))</f>
        <v>2.046797531464158E-2</v>
      </c>
      <c r="H1112" s="5">
        <f t="shared" si="232"/>
        <v>0.91218106560381851</v>
      </c>
      <c r="I1112" s="24">
        <f t="shared" si="233"/>
        <v>5.1118474125200208E-5</v>
      </c>
      <c r="J1112" s="25">
        <f>INDEX('Default Prob'!$C$3:$C$13, _xlfn.IFNA(MATCH(F1112, 'Default Prob'!$B$3:$B$13, 1), 1))</f>
        <v>1.95E-2</v>
      </c>
      <c r="K1112" s="26">
        <f t="shared" si="224"/>
        <v>0.92165442981227919</v>
      </c>
      <c r="L1112" s="27">
        <f t="shared" ca="1" si="225"/>
        <v>0</v>
      </c>
      <c r="M1112" s="27">
        <f t="shared" ca="1" si="226"/>
        <v>505.64691258154875</v>
      </c>
      <c r="N1112" s="28">
        <f t="shared" ca="1" si="227"/>
        <v>2.3822830261961501E-2</v>
      </c>
      <c r="O1112" s="29">
        <f t="shared" ca="1" si="228"/>
        <v>600000</v>
      </c>
      <c r="P1112" s="30">
        <f t="shared" ca="1" si="229"/>
        <v>28.268140873641087</v>
      </c>
    </row>
    <row r="1113" spans="1:16" x14ac:dyDescent="0.25">
      <c r="A1113" s="3">
        <f t="shared" si="230"/>
        <v>47669</v>
      </c>
      <c r="B1113" s="21">
        <f t="shared" si="221"/>
        <v>36712</v>
      </c>
      <c r="C1113" s="21">
        <f t="shared" si="222"/>
        <v>36789</v>
      </c>
      <c r="D1113" s="1">
        <f t="shared" si="231"/>
        <v>0</v>
      </c>
      <c r="E1113" s="3">
        <f t="array" ref="E1113">INDEX($A$9:A1112, MAX(IF($D$9:D1112=1, ROW(D$9:$D1112)-ROW($D$9)+1, 0)))</f>
        <v>47654</v>
      </c>
      <c r="F1113" s="23">
        <f t="shared" si="223"/>
        <v>4.2272416153319643</v>
      </c>
      <c r="G1113" s="5">
        <f>INDEX('Default Prob'!$P$5:$P$14,MIN(1+_xlfn.IFNA(MATCH(F1113,'Default Prob'!$F$5:$F$14,1),0),COUNT('Default Prob'!$P$5:$P$14)))</f>
        <v>2.046797531464158E-2</v>
      </c>
      <c r="H1113" s="5">
        <f t="shared" si="232"/>
        <v>0.9121299499942036</v>
      </c>
      <c r="I1113" s="24">
        <f t="shared" si="233"/>
        <v>5.1115609614904578E-5</v>
      </c>
      <c r="J1113" s="25">
        <f>INDEX('Default Prob'!$C$3:$C$13, _xlfn.IFNA(MATCH(F1113, 'Default Prob'!$B$3:$B$13, 1), 1))</f>
        <v>1.95E-2</v>
      </c>
      <c r="K1113" s="26">
        <f t="shared" si="224"/>
        <v>0.92160569933600334</v>
      </c>
      <c r="L1113" s="27">
        <f t="shared" ca="1" si="225"/>
        <v>0</v>
      </c>
      <c r="M1113" s="27">
        <f t="shared" ca="1" si="226"/>
        <v>541.76454919451646</v>
      </c>
      <c r="N1113" s="28">
        <f t="shared" ca="1" si="227"/>
        <v>2.5521681213731481E-2</v>
      </c>
      <c r="O1113" s="29">
        <f t="shared" ca="1" si="228"/>
        <v>600000</v>
      </c>
      <c r="P1113" s="30">
        <f t="shared" ca="1" si="229"/>
        <v>28.265062287678163</v>
      </c>
    </row>
    <row r="1114" spans="1:16" x14ac:dyDescent="0.25">
      <c r="A1114" s="3">
        <f t="shared" si="230"/>
        <v>47672</v>
      </c>
      <c r="B1114" s="21">
        <f t="shared" si="221"/>
        <v>36715</v>
      </c>
      <c r="C1114" s="21">
        <f t="shared" si="222"/>
        <v>36789</v>
      </c>
      <c r="D1114" s="1">
        <f t="shared" si="231"/>
        <v>0</v>
      </c>
      <c r="E1114" s="3">
        <f t="array" ref="E1114">INDEX($A$9:A1113, MAX(IF($D$9:D1113=1, ROW(D$9:$D1113)-ROW($D$9)+1, 0)))</f>
        <v>47654</v>
      </c>
      <c r="F1114" s="23">
        <f t="shared" si="223"/>
        <v>4.2354551676933605</v>
      </c>
      <c r="G1114" s="5">
        <f>INDEX('Default Prob'!$P$5:$P$14,MIN(1+_xlfn.IFNA(MATCH(F1114,'Default Prob'!$F$5:$F$14,1),0),COUNT('Default Prob'!$P$5:$P$14)))</f>
        <v>2.046797531464158E-2</v>
      </c>
      <c r="H1114" s="5">
        <f t="shared" si="232"/>
        <v>0.91197662035081484</v>
      </c>
      <c r="I1114" s="24">
        <f t="shared" si="233"/>
        <v>1.5332964338876653E-4</v>
      </c>
      <c r="J1114" s="25">
        <f>INDEX('Default Prob'!$C$3:$C$13, _xlfn.IFNA(MATCH(F1114, 'Default Prob'!$B$3:$B$13, 1), 1))</f>
        <v>1.95E-2</v>
      </c>
      <c r="K1114" s="26">
        <f t="shared" si="224"/>
        <v>0.92145952336574011</v>
      </c>
      <c r="L1114" s="27">
        <f t="shared" ca="1" si="225"/>
        <v>0</v>
      </c>
      <c r="M1114" s="27">
        <f t="shared" ca="1" si="226"/>
        <v>650.11745903341978</v>
      </c>
      <c r="N1114" s="28">
        <f t="shared" ca="1" si="227"/>
        <v>9.1853184516169431E-2</v>
      </c>
      <c r="O1114" s="29">
        <f t="shared" ca="1" si="228"/>
        <v>600000</v>
      </c>
      <c r="P1114" s="30">
        <f t="shared" ca="1" si="229"/>
        <v>84.772236068911042</v>
      </c>
    </row>
    <row r="1115" spans="1:16" x14ac:dyDescent="0.25">
      <c r="A1115" s="3">
        <f t="shared" si="230"/>
        <v>47673</v>
      </c>
      <c r="B1115" s="21">
        <f t="shared" si="221"/>
        <v>36716</v>
      </c>
      <c r="C1115" s="21">
        <f t="shared" si="222"/>
        <v>36789</v>
      </c>
      <c r="D1115" s="1">
        <f t="shared" si="231"/>
        <v>0</v>
      </c>
      <c r="E1115" s="3">
        <f t="array" ref="E1115">INDEX($A$9:A1114, MAX(IF($D$9:D1114=1, ROW(D$9:$D1114)-ROW($D$9)+1, 0)))</f>
        <v>47654</v>
      </c>
      <c r="F1115" s="23">
        <f t="shared" si="223"/>
        <v>4.2381930184804926</v>
      </c>
      <c r="G1115" s="5">
        <f>INDEX('Default Prob'!$P$5:$P$14,MIN(1+_xlfn.IFNA(MATCH(F1115,'Default Prob'!$F$5:$F$14,1),0),COUNT('Default Prob'!$P$5:$P$14)))</f>
        <v>2.046797531464158E-2</v>
      </c>
      <c r="H1115" s="5">
        <f t="shared" si="232"/>
        <v>0.91192551619763562</v>
      </c>
      <c r="I1115" s="24">
        <f t="shared" si="233"/>
        <v>5.1104153179215572E-5</v>
      </c>
      <c r="J1115" s="25">
        <f>INDEX('Default Prob'!$C$3:$C$13, _xlfn.IFNA(MATCH(F1115, 'Default Prob'!$B$3:$B$13, 1), 1))</f>
        <v>1.95E-2</v>
      </c>
      <c r="K1115" s="26">
        <f t="shared" si="224"/>
        <v>0.92141080319471935</v>
      </c>
      <c r="L1115" s="27">
        <f t="shared" ca="1" si="225"/>
        <v>0</v>
      </c>
      <c r="M1115" s="27">
        <f t="shared" ca="1" si="226"/>
        <v>686.23509564638755</v>
      </c>
      <c r="N1115" s="28">
        <f t="shared" ca="1" si="227"/>
        <v>3.231338248034242E-2</v>
      </c>
      <c r="O1115" s="29">
        <f t="shared" ca="1" si="228"/>
        <v>600000</v>
      </c>
      <c r="P1115" s="30">
        <f t="shared" ca="1" si="229"/>
        <v>28.252751296468194</v>
      </c>
    </row>
    <row r="1116" spans="1:16" x14ac:dyDescent="0.25">
      <c r="A1116" s="3">
        <f t="shared" si="230"/>
        <v>47674</v>
      </c>
      <c r="B1116" s="21">
        <f t="shared" si="221"/>
        <v>36717</v>
      </c>
      <c r="C1116" s="21">
        <f t="shared" si="222"/>
        <v>36789</v>
      </c>
      <c r="D1116" s="1">
        <f t="shared" si="231"/>
        <v>0</v>
      </c>
      <c r="E1116" s="3">
        <f t="array" ref="E1116">INDEX($A$9:A1115, MAX(IF($D$9:D1115=1, ROW(D$9:$D1115)-ROW($D$9)+1, 0)))</f>
        <v>47654</v>
      </c>
      <c r="F1116" s="23">
        <f t="shared" si="223"/>
        <v>4.2409308692676246</v>
      </c>
      <c r="G1116" s="5">
        <f>INDEX('Default Prob'!$P$5:$P$14,MIN(1+_xlfn.IFNA(MATCH(F1116,'Default Prob'!$F$5:$F$14,1),0),COUNT('Default Prob'!$P$5:$P$14)))</f>
        <v>2.046797531464158E-2</v>
      </c>
      <c r="H1116" s="5">
        <f t="shared" si="232"/>
        <v>0.91187441490816412</v>
      </c>
      <c r="I1116" s="24">
        <f t="shared" si="233"/>
        <v>5.1101289471500166E-5</v>
      </c>
      <c r="J1116" s="25">
        <f>INDEX('Default Prob'!$C$3:$C$13, _xlfn.IFNA(MATCH(F1116, 'Default Prob'!$B$3:$B$13, 1), 1))</f>
        <v>1.95E-2</v>
      </c>
      <c r="K1116" s="26">
        <f t="shared" si="224"/>
        <v>0.92136208559967203</v>
      </c>
      <c r="L1116" s="27">
        <f t="shared" ca="1" si="225"/>
        <v>0</v>
      </c>
      <c r="M1116" s="27">
        <f t="shared" ca="1" si="226"/>
        <v>722.35273225935532</v>
      </c>
      <c r="N1116" s="28">
        <f t="shared" ca="1" si="227"/>
        <v>3.4010382464300951E-2</v>
      </c>
      <c r="O1116" s="29">
        <f t="shared" ca="1" si="228"/>
        <v>600000</v>
      </c>
      <c r="P1116" s="30">
        <f t="shared" ca="1" si="229"/>
        <v>28.249674386576373</v>
      </c>
    </row>
    <row r="1117" spans="1:16" x14ac:dyDescent="0.25">
      <c r="A1117" s="3">
        <f t="shared" si="230"/>
        <v>47675</v>
      </c>
      <c r="B1117" s="21">
        <f t="shared" si="221"/>
        <v>36718</v>
      </c>
      <c r="C1117" s="21">
        <f t="shared" si="222"/>
        <v>36789</v>
      </c>
      <c r="D1117" s="1">
        <f t="shared" si="231"/>
        <v>0</v>
      </c>
      <c r="E1117" s="3">
        <f t="array" ref="E1117">INDEX($A$9:A1116, MAX(IF($D$9:D1116=1, ROW(D$9:$D1116)-ROW($D$9)+1, 0)))</f>
        <v>47654</v>
      </c>
      <c r="F1117" s="23">
        <f t="shared" si="223"/>
        <v>4.2436687200547567</v>
      </c>
      <c r="G1117" s="5">
        <f>INDEX('Default Prob'!$P$5:$P$14,MIN(1+_xlfn.IFNA(MATCH(F1117,'Default Prob'!$F$5:$F$14,1),0),COUNT('Default Prob'!$P$5:$P$14)))</f>
        <v>2.046797531464158E-2</v>
      </c>
      <c r="H1117" s="5">
        <f t="shared" si="232"/>
        <v>0.9118233164822398</v>
      </c>
      <c r="I1117" s="24">
        <f t="shared" si="233"/>
        <v>5.109842592432301E-5</v>
      </c>
      <c r="J1117" s="25">
        <f>INDEX('Default Prob'!$C$3:$C$13, _xlfn.IFNA(MATCH(F1117, 'Default Prob'!$B$3:$B$13, 1), 1))</f>
        <v>1.95E-2</v>
      </c>
      <c r="K1117" s="26">
        <f t="shared" si="224"/>
        <v>0.92131337058046159</v>
      </c>
      <c r="L1117" s="27">
        <f t="shared" ca="1" si="225"/>
        <v>0</v>
      </c>
      <c r="M1117" s="27">
        <f t="shared" ca="1" si="226"/>
        <v>758.47036887232321</v>
      </c>
      <c r="N1117" s="28">
        <f t="shared" ca="1" si="227"/>
        <v>3.5707012436194285E-2</v>
      </c>
      <c r="O1117" s="29">
        <f t="shared" ca="1" si="228"/>
        <v>600000</v>
      </c>
      <c r="P1117" s="30">
        <f t="shared" ca="1" si="229"/>
        <v>28.246597811816443</v>
      </c>
    </row>
    <row r="1118" spans="1:16" x14ac:dyDescent="0.25">
      <c r="A1118" s="3">
        <f t="shared" si="230"/>
        <v>47676</v>
      </c>
      <c r="B1118" s="21">
        <f t="shared" si="221"/>
        <v>36719</v>
      </c>
      <c r="C1118" s="21">
        <f t="shared" si="222"/>
        <v>36789</v>
      </c>
      <c r="D1118" s="1">
        <f t="shared" si="231"/>
        <v>0</v>
      </c>
      <c r="E1118" s="3">
        <f t="array" ref="E1118">INDEX($A$9:A1117, MAX(IF($D$9:D1117=1, ROW(D$9:$D1117)-ROW($D$9)+1, 0)))</f>
        <v>47654</v>
      </c>
      <c r="F1118" s="23">
        <f t="shared" si="223"/>
        <v>4.2464065708418888</v>
      </c>
      <c r="G1118" s="5">
        <f>INDEX('Default Prob'!$P$5:$P$14,MIN(1+_xlfn.IFNA(MATCH(F1118,'Default Prob'!$F$5:$F$14,1),0),COUNT('Default Prob'!$P$5:$P$14)))</f>
        <v>2.046797531464158E-2</v>
      </c>
      <c r="H1118" s="5">
        <f t="shared" si="232"/>
        <v>0.91177222091970223</v>
      </c>
      <c r="I1118" s="24">
        <f t="shared" si="233"/>
        <v>5.109556253757308E-5</v>
      </c>
      <c r="J1118" s="25">
        <f>INDEX('Default Prob'!$C$3:$C$13, _xlfn.IFNA(MATCH(F1118, 'Default Prob'!$B$3:$B$13, 1), 1))</f>
        <v>1.95E-2</v>
      </c>
      <c r="K1118" s="26">
        <f t="shared" si="224"/>
        <v>0.92126465813695202</v>
      </c>
      <c r="L1118" s="27">
        <f t="shared" ca="1" si="225"/>
        <v>0</v>
      </c>
      <c r="M1118" s="27">
        <f t="shared" ca="1" si="226"/>
        <v>794.58800548529086</v>
      </c>
      <c r="N1118" s="28">
        <f t="shared" ca="1" si="227"/>
        <v>3.7403272456420264E-2</v>
      </c>
      <c r="O1118" s="29">
        <f t="shared" ca="1" si="228"/>
        <v>600000</v>
      </c>
      <c r="P1118" s="30">
        <f t="shared" ca="1" si="229"/>
        <v>28.24352157209551</v>
      </c>
    </row>
    <row r="1119" spans="1:16" x14ac:dyDescent="0.25">
      <c r="A1119" s="3">
        <f t="shared" si="230"/>
        <v>47679</v>
      </c>
      <c r="B1119" s="21">
        <f t="shared" si="221"/>
        <v>36722</v>
      </c>
      <c r="C1119" s="21">
        <f t="shared" si="222"/>
        <v>36789</v>
      </c>
      <c r="D1119" s="1">
        <f t="shared" si="231"/>
        <v>0</v>
      </c>
      <c r="E1119" s="3">
        <f t="array" ref="E1119">INDEX($A$9:A1118, MAX(IF($D$9:D1118=1, ROW(D$9:$D1118)-ROW($D$9)+1, 0)))</f>
        <v>47654</v>
      </c>
      <c r="F1119" s="23">
        <f t="shared" si="223"/>
        <v>4.2546201232032859</v>
      </c>
      <c r="G1119" s="5">
        <f>INDEX('Default Prob'!$P$5:$P$14,MIN(1+_xlfn.IFNA(MATCH(F1119,'Default Prob'!$F$5:$F$14,1),0),COUNT('Default Prob'!$P$5:$P$14)))</f>
        <v>2.046797531464158E-2</v>
      </c>
      <c r="H1119" s="5">
        <f t="shared" si="232"/>
        <v>0.91161895141080573</v>
      </c>
      <c r="I1119" s="24">
        <f t="shared" si="233"/>
        <v>1.5326950889649193E-4</v>
      </c>
      <c r="J1119" s="25">
        <f>INDEX('Default Prob'!$C$3:$C$13, _xlfn.IFNA(MATCH(F1119, 'Default Prob'!$B$3:$B$13, 1), 1))</f>
        <v>1.95E-2</v>
      </c>
      <c r="K1119" s="26">
        <f t="shared" si="224"/>
        <v>0.92111853625926665</v>
      </c>
      <c r="L1119" s="27">
        <f t="shared" ca="1" si="225"/>
        <v>0</v>
      </c>
      <c r="M1119" s="27">
        <f t="shared" ca="1" si="226"/>
        <v>902.94091532419418</v>
      </c>
      <c r="N1119" s="28">
        <f t="shared" ca="1" si="227"/>
        <v>0.12747664373795187</v>
      </c>
      <c r="O1119" s="29">
        <f t="shared" ca="1" si="228"/>
        <v>600000</v>
      </c>
      <c r="P1119" s="30">
        <f t="shared" ca="1" si="229"/>
        <v>84.707631412747972</v>
      </c>
    </row>
    <row r="1120" spans="1:16" x14ac:dyDescent="0.25">
      <c r="A1120" s="3">
        <f t="shared" si="230"/>
        <v>47680</v>
      </c>
      <c r="B1120" s="21">
        <f t="shared" si="221"/>
        <v>36723</v>
      </c>
      <c r="C1120" s="21">
        <f t="shared" si="222"/>
        <v>36789</v>
      </c>
      <c r="D1120" s="1">
        <f t="shared" si="231"/>
        <v>0</v>
      </c>
      <c r="E1120" s="3">
        <f t="array" ref="E1120">INDEX($A$9:A1119, MAX(IF($D$9:D1119=1, ROW(D$9:$D1119)-ROW($D$9)+1, 0)))</f>
        <v>47654</v>
      </c>
      <c r="F1120" s="23">
        <f t="shared" si="223"/>
        <v>4.2573579739904179</v>
      </c>
      <c r="G1120" s="5">
        <f>INDEX('Default Prob'!$P$5:$P$14,MIN(1+_xlfn.IFNA(MATCH(F1120,'Default Prob'!$F$5:$F$14,1),0),COUNT('Default Prob'!$P$5:$P$14)))</f>
        <v>2.046797531464158E-2</v>
      </c>
      <c r="H1120" s="5">
        <f t="shared" si="232"/>
        <v>0.91156786730021078</v>
      </c>
      <c r="I1120" s="24">
        <f t="shared" si="233"/>
        <v>5.1084110594956655E-5</v>
      </c>
      <c r="J1120" s="25">
        <f>INDEX('Default Prob'!$C$3:$C$13, _xlfn.IFNA(MATCH(F1120, 'Default Prob'!$B$3:$B$13, 1), 1))</f>
        <v>1.95E-2</v>
      </c>
      <c r="K1120" s="26">
        <f t="shared" si="224"/>
        <v>0.92106983411719867</v>
      </c>
      <c r="L1120" s="27">
        <f t="shared" ca="1" si="225"/>
        <v>0</v>
      </c>
      <c r="M1120" s="27">
        <f t="shared" ca="1" si="226"/>
        <v>939.05855193716195</v>
      </c>
      <c r="N1120" s="28">
        <f t="shared" ca="1" si="227"/>
        <v>4.4184614229841823E-2</v>
      </c>
      <c r="O1120" s="29">
        <f t="shared" ca="1" si="228"/>
        <v>600000</v>
      </c>
      <c r="P1120" s="30">
        <f t="shared" ca="1" si="229"/>
        <v>28.231219963032814</v>
      </c>
    </row>
    <row r="1121" spans="1:16" x14ac:dyDescent="0.25">
      <c r="A1121" s="3">
        <f t="shared" si="230"/>
        <v>47681</v>
      </c>
      <c r="B1121" s="21">
        <f t="shared" si="221"/>
        <v>36724</v>
      </c>
      <c r="C1121" s="21">
        <f t="shared" si="222"/>
        <v>36789</v>
      </c>
      <c r="D1121" s="1">
        <f t="shared" si="231"/>
        <v>0</v>
      </c>
      <c r="E1121" s="3">
        <f t="array" ref="E1121">INDEX($A$9:A1120, MAX(IF($D$9:D1120=1, ROW(D$9:$D1120)-ROW($D$9)+1, 0)))</f>
        <v>47654</v>
      </c>
      <c r="F1121" s="23">
        <f t="shared" si="223"/>
        <v>4.26009582477755</v>
      </c>
      <c r="G1121" s="5">
        <f>INDEX('Default Prob'!$P$5:$P$14,MIN(1+_xlfn.IFNA(MATCH(F1121,'Default Prob'!$F$5:$F$14,1),0),COUNT('Default Prob'!$P$5:$P$14)))</f>
        <v>2.046797531464158E-2</v>
      </c>
      <c r="H1121" s="5">
        <f t="shared" si="232"/>
        <v>0.91151678605220043</v>
      </c>
      <c r="I1121" s="24">
        <f t="shared" si="233"/>
        <v>5.1081248010342861E-5</v>
      </c>
      <c r="J1121" s="25">
        <f>INDEX('Default Prob'!$C$3:$C$13, _xlfn.IFNA(MATCH(F1121, 'Default Prob'!$B$3:$B$13, 1), 1))</f>
        <v>1.95E-2</v>
      </c>
      <c r="K1121" s="26">
        <f t="shared" si="224"/>
        <v>0.92102113455015067</v>
      </c>
      <c r="L1121" s="27">
        <f t="shared" ca="1" si="225"/>
        <v>0</v>
      </c>
      <c r="M1121" s="27">
        <f t="shared" ca="1" si="226"/>
        <v>975.17618855012961</v>
      </c>
      <c r="N1121" s="28">
        <f t="shared" ca="1" si="227"/>
        <v>4.5879025398489731E-2</v>
      </c>
      <c r="O1121" s="29">
        <f t="shared" ca="1" si="228"/>
        <v>600000</v>
      </c>
      <c r="P1121" s="30">
        <f t="shared" ca="1" si="229"/>
        <v>28.228145398034165</v>
      </c>
    </row>
    <row r="1122" spans="1:16" x14ac:dyDescent="0.25">
      <c r="A1122" s="3">
        <f t="shared" si="230"/>
        <v>47682</v>
      </c>
      <c r="B1122" s="21">
        <f t="shared" si="221"/>
        <v>36725</v>
      </c>
      <c r="C1122" s="21">
        <f t="shared" si="222"/>
        <v>36789</v>
      </c>
      <c r="D1122" s="1">
        <f t="shared" si="231"/>
        <v>0</v>
      </c>
      <c r="E1122" s="3">
        <f t="array" ref="E1122">INDEX($A$9:A1121, MAX(IF($D$9:D1121=1, ROW(D$9:$D1121)-ROW($D$9)+1, 0)))</f>
        <v>47654</v>
      </c>
      <c r="F1122" s="23">
        <f t="shared" si="223"/>
        <v>4.2628336755646821</v>
      </c>
      <c r="G1122" s="5">
        <f>INDEX('Default Prob'!$P$5:$P$14,MIN(1+_xlfn.IFNA(MATCH(F1122,'Default Prob'!$F$5:$F$14,1),0),COUNT('Default Prob'!$P$5:$P$14)))</f>
        <v>2.046797531464158E-2</v>
      </c>
      <c r="H1122" s="5">
        <f t="shared" si="232"/>
        <v>0.91146570766661428</v>
      </c>
      <c r="I1122" s="24">
        <f t="shared" si="233"/>
        <v>5.1078385586156294E-5</v>
      </c>
      <c r="J1122" s="25">
        <f>INDEX('Default Prob'!$C$3:$C$13, _xlfn.IFNA(MATCH(F1122, 'Default Prob'!$B$3:$B$13, 1), 1))</f>
        <v>1.95E-2</v>
      </c>
      <c r="K1122" s="26">
        <f t="shared" si="224"/>
        <v>0.92097243755798675</v>
      </c>
      <c r="L1122" s="27">
        <f t="shared" ca="1" si="225"/>
        <v>0</v>
      </c>
      <c r="M1122" s="27">
        <f t="shared" ca="1" si="226"/>
        <v>1011.2938251630975</v>
      </c>
      <c r="N1122" s="28">
        <f t="shared" ca="1" si="227"/>
        <v>4.7573066978119236E-2</v>
      </c>
      <c r="O1122" s="29">
        <f t="shared" ca="1" si="228"/>
        <v>600000</v>
      </c>
      <c r="P1122" s="30">
        <f t="shared" ca="1" si="229"/>
        <v>28.22507116788546</v>
      </c>
    </row>
    <row r="1123" spans="1:16" x14ac:dyDescent="0.25">
      <c r="A1123" s="3">
        <f t="shared" si="230"/>
        <v>47683</v>
      </c>
      <c r="B1123" s="21">
        <f t="shared" si="221"/>
        <v>36726</v>
      </c>
      <c r="C1123" s="21">
        <f t="shared" si="222"/>
        <v>36789</v>
      </c>
      <c r="D1123" s="1">
        <f t="shared" si="231"/>
        <v>0</v>
      </c>
      <c r="E1123" s="3">
        <f t="array" ref="E1123">INDEX($A$9:A1122, MAX(IF($D$9:D1122=1, ROW(D$9:$D1122)-ROW($D$9)+1, 0)))</f>
        <v>47654</v>
      </c>
      <c r="F1123" s="23">
        <f t="shared" si="223"/>
        <v>4.2655715263518141</v>
      </c>
      <c r="G1123" s="5">
        <f>INDEX('Default Prob'!$P$5:$P$14,MIN(1+_xlfn.IFNA(MATCH(F1123,'Default Prob'!$F$5:$F$14,1),0),COUNT('Default Prob'!$P$5:$P$14)))</f>
        <v>2.046797531464158E-2</v>
      </c>
      <c r="H1123" s="5">
        <f t="shared" si="232"/>
        <v>0.91141463214329188</v>
      </c>
      <c r="I1123" s="24">
        <f t="shared" si="233"/>
        <v>5.1075523322396954E-5</v>
      </c>
      <c r="J1123" s="25">
        <f>INDEX('Default Prob'!$C$3:$C$13, _xlfn.IFNA(MATCH(F1123, 'Default Prob'!$B$3:$B$13, 1), 1))</f>
        <v>1.95E-2</v>
      </c>
      <c r="K1123" s="26">
        <f t="shared" si="224"/>
        <v>0.92092374314057013</v>
      </c>
      <c r="L1123" s="27">
        <f t="shared" ca="1" si="225"/>
        <v>0</v>
      </c>
      <c r="M1123" s="27">
        <f t="shared" ca="1" si="226"/>
        <v>1047.4114617760652</v>
      </c>
      <c r="N1123" s="28">
        <f t="shared" ca="1" si="227"/>
        <v>4.9266739029145232E-2</v>
      </c>
      <c r="O1123" s="29">
        <f t="shared" ca="1" si="228"/>
        <v>600000</v>
      </c>
      <c r="P1123" s="30">
        <f t="shared" ca="1" si="229"/>
        <v>28.221997272555175</v>
      </c>
    </row>
    <row r="1124" spans="1:16" x14ac:dyDescent="0.25">
      <c r="A1124" s="3">
        <f t="shared" si="230"/>
        <v>47686</v>
      </c>
      <c r="B1124" s="21">
        <f t="shared" si="221"/>
        <v>36729</v>
      </c>
      <c r="C1124" s="21">
        <f t="shared" si="222"/>
        <v>36789</v>
      </c>
      <c r="D1124" s="1">
        <f t="shared" si="231"/>
        <v>0</v>
      </c>
      <c r="E1124" s="3">
        <f t="array" ref="E1124">INDEX($A$9:A1123, MAX(IF($D$9:D1123=1, ROW(D$9:$D1123)-ROW($D$9)+1, 0)))</f>
        <v>47654</v>
      </c>
      <c r="F1124" s="23">
        <f t="shared" si="223"/>
        <v>4.2737850787132103</v>
      </c>
      <c r="G1124" s="5">
        <f>INDEX('Default Prob'!$P$5:$P$14,MIN(1+_xlfn.IFNA(MATCH(F1124,'Default Prob'!$F$5:$F$14,1),0),COUNT('Default Prob'!$P$5:$P$14)))</f>
        <v>2.046797531464158E-2</v>
      </c>
      <c r="H1124" s="5">
        <f t="shared" si="232"/>
        <v>0.91126142274530342</v>
      </c>
      <c r="I1124" s="24">
        <f t="shared" si="233"/>
        <v>1.53209397988463E-4</v>
      </c>
      <c r="J1124" s="25">
        <f>INDEX('Default Prob'!$C$3:$C$13, _xlfn.IFNA(MATCH(F1124, 'Default Prob'!$B$3:$B$13, 1), 1))</f>
        <v>1.95E-2</v>
      </c>
      <c r="K1124" s="26">
        <f t="shared" si="224"/>
        <v>0.92077767533544586</v>
      </c>
      <c r="L1124" s="27">
        <f t="shared" ca="1" si="225"/>
        <v>0</v>
      </c>
      <c r="M1124" s="27">
        <f t="shared" ca="1" si="226"/>
        <v>1155.7643716149685</v>
      </c>
      <c r="N1124" s="28">
        <f t="shared" ca="1" si="227"/>
        <v>0.16304575255834694</v>
      </c>
      <c r="O1124" s="29">
        <f t="shared" ca="1" si="228"/>
        <v>600000</v>
      </c>
      <c r="P1124" s="30">
        <f t="shared" ca="1" si="229"/>
        <v>84.643075991616072</v>
      </c>
    </row>
    <row r="1125" spans="1:16" x14ac:dyDescent="0.25">
      <c r="A1125" s="3">
        <f t="shared" si="230"/>
        <v>47687</v>
      </c>
      <c r="B1125" s="21">
        <f t="shared" si="221"/>
        <v>36730</v>
      </c>
      <c r="C1125" s="21">
        <f t="shared" si="222"/>
        <v>36789</v>
      </c>
      <c r="D1125" s="1">
        <f t="shared" si="231"/>
        <v>0</v>
      </c>
      <c r="E1125" s="3">
        <f t="array" ref="E1125">INDEX($A$9:A1124, MAX(IF($D$9:D1124=1, ROW(D$9:$D1124)-ROW($D$9)+1, 0)))</f>
        <v>47654</v>
      </c>
      <c r="F1125" s="23">
        <f t="shared" si="223"/>
        <v>4.2765229295003424</v>
      </c>
      <c r="G1125" s="5">
        <f>INDEX('Default Prob'!$P$5:$P$14,MIN(1+_xlfn.IFNA(MATCH(F1125,'Default Prob'!$F$5:$F$14,1),0),COUNT('Default Prob'!$P$5:$P$14)))</f>
        <v>2.046797531464158E-2</v>
      </c>
      <c r="H1125" s="5">
        <f t="shared" si="232"/>
        <v>0.91121035866943223</v>
      </c>
      <c r="I1125" s="24">
        <f t="shared" si="233"/>
        <v>5.1064075871187775E-5</v>
      </c>
      <c r="J1125" s="25">
        <f>INDEX('Default Prob'!$C$3:$C$13, _xlfn.IFNA(MATCH(F1125, 'Default Prob'!$B$3:$B$13, 1), 1))</f>
        <v>1.95E-2</v>
      </c>
      <c r="K1125" s="26">
        <f t="shared" si="224"/>
        <v>0.92072899121565888</v>
      </c>
      <c r="L1125" s="27">
        <f t="shared" ca="1" si="225"/>
        <v>0</v>
      </c>
      <c r="M1125" s="27">
        <f t="shared" ca="1" si="226"/>
        <v>1191.8820082279362</v>
      </c>
      <c r="N1125" s="28">
        <f t="shared" ca="1" si="227"/>
        <v>5.6037733154760905E-2</v>
      </c>
      <c r="O1125" s="29">
        <f t="shared" ca="1" si="228"/>
        <v>600000</v>
      </c>
      <c r="P1125" s="30">
        <f t="shared" ca="1" si="229"/>
        <v>28.209705038543152</v>
      </c>
    </row>
    <row r="1126" spans="1:16" x14ac:dyDescent="0.25">
      <c r="A1126" s="3">
        <f t="shared" si="230"/>
        <v>47688</v>
      </c>
      <c r="B1126" s="21">
        <f t="shared" si="221"/>
        <v>36731</v>
      </c>
      <c r="C1126" s="21">
        <f t="shared" si="222"/>
        <v>36789</v>
      </c>
      <c r="D1126" s="1">
        <f t="shared" si="231"/>
        <v>0</v>
      </c>
      <c r="E1126" s="3">
        <f t="array" ref="E1126">INDEX($A$9:A1125, MAX(IF($D$9:D1125=1, ROW(D$9:$D1125)-ROW($D$9)+1, 0)))</f>
        <v>47654</v>
      </c>
      <c r="F1126" s="23">
        <f t="shared" si="223"/>
        <v>4.2792607802874745</v>
      </c>
      <c r="G1126" s="5">
        <f>INDEX('Default Prob'!$P$5:$P$14,MIN(1+_xlfn.IFNA(MATCH(F1126,'Default Prob'!$F$5:$F$14,1),0),COUNT('Default Prob'!$P$5:$P$14)))</f>
        <v>2.046797531464158E-2</v>
      </c>
      <c r="H1126" s="5">
        <f t="shared" si="232"/>
        <v>0.911159297455023</v>
      </c>
      <c r="I1126" s="24">
        <f t="shared" si="233"/>
        <v>5.1061214409231503E-5</v>
      </c>
      <c r="J1126" s="25">
        <f>INDEX('Default Prob'!$C$3:$C$13, _xlfn.IFNA(MATCH(F1126, 'Default Prob'!$B$3:$B$13, 1), 1))</f>
        <v>1.95E-2</v>
      </c>
      <c r="K1126" s="26">
        <f t="shared" si="224"/>
        <v>0.92068030966993908</v>
      </c>
      <c r="L1126" s="27">
        <f t="shared" ca="1" si="225"/>
        <v>0</v>
      </c>
      <c r="M1126" s="27">
        <f t="shared" ca="1" si="226"/>
        <v>1227.9996448409042</v>
      </c>
      <c r="N1126" s="28">
        <f t="shared" ca="1" si="227"/>
        <v>5.7729558468337223E-2</v>
      </c>
      <c r="O1126" s="29">
        <f t="shared" ca="1" si="228"/>
        <v>600000</v>
      </c>
      <c r="P1126" s="30">
        <f t="shared" ca="1" si="229"/>
        <v>28.20663281664865</v>
      </c>
    </row>
    <row r="1127" spans="1:16" x14ac:dyDescent="0.25">
      <c r="A1127" s="3">
        <f t="shared" si="230"/>
        <v>47689</v>
      </c>
      <c r="B1127" s="21">
        <f t="shared" si="221"/>
        <v>36732</v>
      </c>
      <c r="C1127" s="21">
        <f t="shared" si="222"/>
        <v>36789</v>
      </c>
      <c r="D1127" s="1">
        <f t="shared" si="231"/>
        <v>0</v>
      </c>
      <c r="E1127" s="3">
        <f t="array" ref="E1127">INDEX($A$9:A1126, MAX(IF($D$9:D1126=1, ROW(D$9:$D1126)-ROW($D$9)+1, 0)))</f>
        <v>47654</v>
      </c>
      <c r="F1127" s="23">
        <f t="shared" si="223"/>
        <v>4.2819986310746065</v>
      </c>
      <c r="G1127" s="5">
        <f>INDEX('Default Prob'!$P$5:$P$14,MIN(1+_xlfn.IFNA(MATCH(F1127,'Default Prob'!$F$5:$F$14,1),0),COUNT('Default Prob'!$P$5:$P$14)))</f>
        <v>2.046797531464158E-2</v>
      </c>
      <c r="H1127" s="5">
        <f t="shared" si="232"/>
        <v>0.9111082391019153</v>
      </c>
      <c r="I1127" s="24">
        <f t="shared" si="233"/>
        <v>5.1058353107702459E-5</v>
      </c>
      <c r="J1127" s="25">
        <f>INDEX('Default Prob'!$C$3:$C$13, _xlfn.IFNA(MATCH(F1127, 'Default Prob'!$B$3:$B$13, 1), 1))</f>
        <v>1.95E-2</v>
      </c>
      <c r="K1127" s="26">
        <f t="shared" si="224"/>
        <v>0.92063163069815035</v>
      </c>
      <c r="L1127" s="27">
        <f t="shared" ca="1" si="225"/>
        <v>0</v>
      </c>
      <c r="M1127" s="27">
        <f t="shared" ca="1" si="226"/>
        <v>1264.1172814538718</v>
      </c>
      <c r="N1127" s="28">
        <f t="shared" ca="1" si="227"/>
        <v>5.9421014615618502E-2</v>
      </c>
      <c r="O1127" s="29">
        <f t="shared" ca="1" si="228"/>
        <v>600000</v>
      </c>
      <c r="P1127" s="30">
        <f t="shared" ca="1" si="229"/>
        <v>28.203560929383652</v>
      </c>
    </row>
    <row r="1128" spans="1:16" x14ac:dyDescent="0.25">
      <c r="A1128" s="3">
        <f t="shared" si="230"/>
        <v>47690</v>
      </c>
      <c r="B1128" s="21">
        <f t="shared" si="221"/>
        <v>36733</v>
      </c>
      <c r="C1128" s="21">
        <f t="shared" si="222"/>
        <v>36789</v>
      </c>
      <c r="D1128" s="1">
        <f t="shared" si="231"/>
        <v>0</v>
      </c>
      <c r="E1128" s="3">
        <f t="array" ref="E1128">INDEX($A$9:A1127, MAX(IF($D$9:D1127=1, ROW(D$9:$D1127)-ROW($D$9)+1, 0)))</f>
        <v>47654</v>
      </c>
      <c r="F1128" s="23">
        <f t="shared" si="223"/>
        <v>4.2847364818617386</v>
      </c>
      <c r="G1128" s="5">
        <f>INDEX('Default Prob'!$P$5:$P$14,MIN(1+_xlfn.IFNA(MATCH(F1128,'Default Prob'!$F$5:$F$14,1),0),COUNT('Default Prob'!$P$5:$P$14)))</f>
        <v>2.046797531464158E-2</v>
      </c>
      <c r="H1128" s="5">
        <f t="shared" si="232"/>
        <v>0.91105718360994881</v>
      </c>
      <c r="I1128" s="24">
        <f t="shared" si="233"/>
        <v>5.1055491966489619E-5</v>
      </c>
      <c r="J1128" s="25">
        <f>INDEX('Default Prob'!$C$3:$C$13, _xlfn.IFNA(MATCH(F1128, 'Default Prob'!$B$3:$B$13, 1), 1))</f>
        <v>1.95E-2</v>
      </c>
      <c r="K1128" s="26">
        <f t="shared" si="224"/>
        <v>0.92058295430015635</v>
      </c>
      <c r="L1128" s="27">
        <f t="shared" ca="1" si="225"/>
        <v>0</v>
      </c>
      <c r="M1128" s="27">
        <f t="shared" ca="1" si="226"/>
        <v>1300.2349180668396</v>
      </c>
      <c r="N1128" s="28">
        <f t="shared" ca="1" si="227"/>
        <v>6.1112101656833749E-2</v>
      </c>
      <c r="O1128" s="29">
        <f t="shared" ca="1" si="228"/>
        <v>600000</v>
      </c>
      <c r="P1128" s="30">
        <f t="shared" ca="1" si="229"/>
        <v>28.200489376655348</v>
      </c>
    </row>
    <row r="1129" spans="1:16" x14ac:dyDescent="0.25">
      <c r="A1129" s="3">
        <f t="shared" si="230"/>
        <v>47693</v>
      </c>
      <c r="B1129" s="21">
        <f t="shared" si="221"/>
        <v>36736</v>
      </c>
      <c r="C1129" s="21">
        <f t="shared" si="222"/>
        <v>36789</v>
      </c>
      <c r="D1129" s="1">
        <f t="shared" si="231"/>
        <v>0</v>
      </c>
      <c r="E1129" s="3">
        <f t="array" ref="E1129">INDEX($A$9:A1128, MAX(IF($D$9:D1128=1, ROW(D$9:$D1128)-ROW($D$9)+1, 0)))</f>
        <v>47654</v>
      </c>
      <c r="F1129" s="23">
        <f t="shared" si="223"/>
        <v>4.2929500342231348</v>
      </c>
      <c r="G1129" s="5">
        <f>INDEX('Default Prob'!$P$5:$P$14,MIN(1+_xlfn.IFNA(MATCH(F1129,'Default Prob'!$F$5:$F$14,1),0),COUNT('Default Prob'!$P$5:$P$14)))</f>
        <v>2.046797531464158E-2</v>
      </c>
      <c r="H1129" s="5">
        <f t="shared" si="232"/>
        <v>0.91090403429929345</v>
      </c>
      <c r="I1129" s="24">
        <f t="shared" si="233"/>
        <v>1.5314931065535387E-4</v>
      </c>
      <c r="J1129" s="25">
        <f>INDEX('Default Prob'!$C$3:$C$13, _xlfn.IFNA(MATCH(F1129, 'Default Prob'!$B$3:$B$13, 1), 1))</f>
        <v>1.95E-2</v>
      </c>
      <c r="K1129" s="26">
        <f t="shared" si="224"/>
        <v>0.92043694054758329</v>
      </c>
      <c r="L1129" s="27">
        <f t="shared" ca="1" si="225"/>
        <v>0</v>
      </c>
      <c r="M1129" s="27">
        <f t="shared" ca="1" si="226"/>
        <v>1408.5878279057429</v>
      </c>
      <c r="N1129" s="28">
        <f t="shared" ca="1" si="227"/>
        <v>0.19856057312802114</v>
      </c>
      <c r="O1129" s="29">
        <f t="shared" ca="1" si="228"/>
        <v>600000</v>
      </c>
      <c r="P1129" s="30">
        <f t="shared" ca="1" si="229"/>
        <v>84.57856976795118</v>
      </c>
    </row>
    <row r="1130" spans="1:16" x14ac:dyDescent="0.25">
      <c r="A1130" s="3">
        <f t="shared" si="230"/>
        <v>47694</v>
      </c>
      <c r="B1130" s="21">
        <f t="shared" si="221"/>
        <v>36737</v>
      </c>
      <c r="C1130" s="21">
        <f t="shared" si="222"/>
        <v>36789</v>
      </c>
      <c r="D1130" s="1">
        <f t="shared" si="231"/>
        <v>0</v>
      </c>
      <c r="E1130" s="3">
        <f t="array" ref="E1130">INDEX($A$9:A1129, MAX(IF($D$9:D1129=1, ROW(D$9:$D1129)-ROW($D$9)+1, 0)))</f>
        <v>47654</v>
      </c>
      <c r="F1130" s="23">
        <f t="shared" si="223"/>
        <v>4.2956878850102669</v>
      </c>
      <c r="G1130" s="5">
        <f>INDEX('Default Prob'!$P$5:$P$14,MIN(1+_xlfn.IFNA(MATCH(F1130,'Default Prob'!$F$5:$F$14,1),0),COUNT('Default Prob'!$P$5:$P$14)))</f>
        <v>2.046797531464158E-2</v>
      </c>
      <c r="H1130" s="5">
        <f t="shared" si="232"/>
        <v>0.91085299025028865</v>
      </c>
      <c r="I1130" s="24">
        <f t="shared" si="233"/>
        <v>5.1044049004800307E-5</v>
      </c>
      <c r="J1130" s="25">
        <f>INDEX('Default Prob'!$C$3:$C$13, _xlfn.IFNA(MATCH(F1130, 'Default Prob'!$B$3:$B$13, 1), 1))</f>
        <v>1.95E-2</v>
      </c>
      <c r="K1130" s="26">
        <f t="shared" si="224"/>
        <v>0.92038827444340832</v>
      </c>
      <c r="L1130" s="27">
        <f t="shared" ca="1" si="225"/>
        <v>0</v>
      </c>
      <c r="M1130" s="27">
        <f t="shared" ca="1" si="226"/>
        <v>1444.7054645187106</v>
      </c>
      <c r="N1130" s="28">
        <f t="shared" ca="1" si="227"/>
        <v>6.7872759967786661E-2</v>
      </c>
      <c r="O1130" s="29">
        <f t="shared" ca="1" si="228"/>
        <v>600000</v>
      </c>
      <c r="P1130" s="30">
        <f t="shared" ca="1" si="229"/>
        <v>28.188206510479755</v>
      </c>
    </row>
    <row r="1131" spans="1:16" x14ac:dyDescent="0.25">
      <c r="A1131" s="3">
        <f t="shared" si="230"/>
        <v>47695</v>
      </c>
      <c r="B1131" s="21">
        <f t="shared" si="221"/>
        <v>36738</v>
      </c>
      <c r="C1131" s="21">
        <f t="shared" si="222"/>
        <v>36789</v>
      </c>
      <c r="D1131" s="1">
        <f t="shared" si="231"/>
        <v>0</v>
      </c>
      <c r="E1131" s="3">
        <f t="array" ref="E1131">INDEX($A$9:A1130, MAX(IF($D$9:D1130=1, ROW(D$9:$D1130)-ROW($D$9)+1, 0)))</f>
        <v>47654</v>
      </c>
      <c r="F1131" s="23">
        <f t="shared" si="223"/>
        <v>4.2984257357973989</v>
      </c>
      <c r="G1131" s="5">
        <f>INDEX('Default Prob'!$P$5:$P$14,MIN(1+_xlfn.IFNA(MATCH(F1131,'Default Prob'!$F$5:$F$14,1),0),COUNT('Default Prob'!$P$5:$P$14)))</f>
        <v>2.046797531464158E-2</v>
      </c>
      <c r="H1131" s="5">
        <f t="shared" si="232"/>
        <v>0.91080194906162348</v>
      </c>
      <c r="I1131" s="24">
        <f t="shared" si="233"/>
        <v>5.1041188665168491E-5</v>
      </c>
      <c r="J1131" s="25">
        <f>INDEX('Default Prob'!$C$3:$C$13, _xlfn.IFNA(MATCH(F1131, 'Default Prob'!$B$3:$B$13, 1), 1))</f>
        <v>1.95E-2</v>
      </c>
      <c r="K1131" s="26">
        <f t="shared" si="224"/>
        <v>0.92033961091234784</v>
      </c>
      <c r="L1131" s="27">
        <f t="shared" ca="1" si="225"/>
        <v>0</v>
      </c>
      <c r="M1131" s="27">
        <f t="shared" ca="1" si="226"/>
        <v>1480.8231011316784</v>
      </c>
      <c r="N1131" s="28">
        <f t="shared" ca="1" si="227"/>
        <v>6.9562002383669649E-2</v>
      </c>
      <c r="O1131" s="29">
        <f t="shared" ca="1" si="228"/>
        <v>600000</v>
      </c>
      <c r="P1131" s="30">
        <f t="shared" ca="1" si="229"/>
        <v>28.185136629962944</v>
      </c>
    </row>
    <row r="1132" spans="1:16" x14ac:dyDescent="0.25">
      <c r="A1132" s="3">
        <f t="shared" si="230"/>
        <v>47696</v>
      </c>
      <c r="B1132" s="21">
        <f t="shared" si="221"/>
        <v>36739</v>
      </c>
      <c r="C1132" s="21">
        <f t="shared" si="222"/>
        <v>36789</v>
      </c>
      <c r="D1132" s="1">
        <f t="shared" si="231"/>
        <v>0</v>
      </c>
      <c r="E1132" s="3">
        <f t="array" ref="E1132">INDEX($A$9:A1131, MAX(IF($D$9:D1131=1, ROW(D$9:$D1131)-ROW($D$9)+1, 0)))</f>
        <v>47654</v>
      </c>
      <c r="F1132" s="23">
        <f t="shared" si="223"/>
        <v>4.301163586584531</v>
      </c>
      <c r="G1132" s="5">
        <f>INDEX('Default Prob'!$P$5:$P$14,MIN(1+_xlfn.IFNA(MATCH(F1132,'Default Prob'!$F$5:$F$14,1),0),COUNT('Default Prob'!$P$5:$P$14)))</f>
        <v>2.046797531464158E-2</v>
      </c>
      <c r="H1132" s="5">
        <f t="shared" si="232"/>
        <v>0.91075091073313774</v>
      </c>
      <c r="I1132" s="24">
        <f t="shared" si="233"/>
        <v>5.1038328485741857E-5</v>
      </c>
      <c r="J1132" s="25">
        <f>INDEX('Default Prob'!$C$3:$C$13, _xlfn.IFNA(MATCH(F1132, 'Default Prob'!$B$3:$B$13, 1), 1))</f>
        <v>1.95E-2</v>
      </c>
      <c r="K1132" s="26">
        <f t="shared" si="224"/>
        <v>0.92029094995426575</v>
      </c>
      <c r="L1132" s="27">
        <f t="shared" ca="1" si="225"/>
        <v>0</v>
      </c>
      <c r="M1132" s="27">
        <f t="shared" ca="1" si="226"/>
        <v>1516.9407377446464</v>
      </c>
      <c r="N1132" s="28">
        <f t="shared" ca="1" si="227"/>
        <v>7.1250876055277759E-2</v>
      </c>
      <c r="O1132" s="29">
        <f t="shared" ca="1" si="228"/>
        <v>600000</v>
      </c>
      <c r="P1132" s="30">
        <f t="shared" ca="1" si="229"/>
        <v>28.18206708373274</v>
      </c>
    </row>
    <row r="1133" spans="1:16" x14ac:dyDescent="0.25">
      <c r="A1133" s="3">
        <f t="shared" si="230"/>
        <v>47697</v>
      </c>
      <c r="B1133" s="21">
        <f t="shared" si="221"/>
        <v>36740</v>
      </c>
      <c r="C1133" s="21">
        <f t="shared" si="222"/>
        <v>36789</v>
      </c>
      <c r="D1133" s="1">
        <f t="shared" si="231"/>
        <v>0</v>
      </c>
      <c r="E1133" s="3">
        <f t="array" ref="E1133">INDEX($A$9:A1132, MAX(IF($D$9:D1132=1, ROW(D$9:$D1132)-ROW($D$9)+1, 0)))</f>
        <v>47654</v>
      </c>
      <c r="F1133" s="23">
        <f t="shared" si="223"/>
        <v>4.3039014373716631</v>
      </c>
      <c r="G1133" s="5">
        <f>INDEX('Default Prob'!$P$5:$P$14,MIN(1+_xlfn.IFNA(MATCH(F1133,'Default Prob'!$F$5:$F$14,1),0),COUNT('Default Prob'!$P$5:$P$14)))</f>
        <v>2.046797531464158E-2</v>
      </c>
      <c r="H1133" s="5">
        <f t="shared" si="232"/>
        <v>0.91069987526467111</v>
      </c>
      <c r="I1133" s="24">
        <f t="shared" si="233"/>
        <v>5.1035468466631428E-5</v>
      </c>
      <c r="J1133" s="25">
        <f>INDEX('Default Prob'!$C$3:$C$13, _xlfn.IFNA(MATCH(F1133, 'Default Prob'!$B$3:$B$13, 1), 1))</f>
        <v>1.95E-2</v>
      </c>
      <c r="K1133" s="26">
        <f t="shared" si="224"/>
        <v>0.92024229156902637</v>
      </c>
      <c r="L1133" s="27">
        <f t="shared" ca="1" si="225"/>
        <v>0</v>
      </c>
      <c r="M1133" s="27">
        <f t="shared" ca="1" si="226"/>
        <v>1553.0583743576142</v>
      </c>
      <c r="N1133" s="28">
        <f t="shared" ca="1" si="227"/>
        <v>7.2939381043056514E-2</v>
      </c>
      <c r="O1133" s="29">
        <f t="shared" ca="1" si="228"/>
        <v>600000</v>
      </c>
      <c r="P1133" s="30">
        <f t="shared" ca="1" si="229"/>
        <v>28.178997871819014</v>
      </c>
    </row>
    <row r="1134" spans="1:16" x14ac:dyDescent="0.25">
      <c r="A1134" s="3">
        <f t="shared" si="230"/>
        <v>47700</v>
      </c>
      <c r="B1134" s="21">
        <f t="shared" si="221"/>
        <v>36743</v>
      </c>
      <c r="C1134" s="21">
        <f t="shared" si="222"/>
        <v>36789</v>
      </c>
      <c r="D1134" s="1">
        <f t="shared" si="231"/>
        <v>0</v>
      </c>
      <c r="E1134" s="3">
        <f t="array" ref="E1134">INDEX($A$9:A1133, MAX(IF($D$9:D1133=1, ROW(D$9:$D1133)-ROW($D$9)+1, 0)))</f>
        <v>47654</v>
      </c>
      <c r="F1134" s="23">
        <f t="shared" si="223"/>
        <v>4.3121149897330593</v>
      </c>
      <c r="G1134" s="5">
        <f>INDEX('Default Prob'!$P$5:$P$14,MIN(1+_xlfn.IFNA(MATCH(F1134,'Default Prob'!$F$5:$F$14,1),0),COUNT('Default Prob'!$P$5:$P$14)))</f>
        <v>2.046797531464158E-2</v>
      </c>
      <c r="H1134" s="5">
        <f t="shared" si="232"/>
        <v>0.91054678601778316</v>
      </c>
      <c r="I1134" s="24">
        <f t="shared" si="233"/>
        <v>1.5308924688794967E-4</v>
      </c>
      <c r="J1134" s="25">
        <f>INDEX('Default Prob'!$C$3:$C$13, _xlfn.IFNA(MATCH(F1134, 'Default Prob'!$B$3:$B$13, 1), 1))</f>
        <v>1.95E-2</v>
      </c>
      <c r="K1134" s="26">
        <f t="shared" si="224"/>
        <v>0.92009633184900241</v>
      </c>
      <c r="L1134" s="27">
        <f t="shared" ca="1" si="225"/>
        <v>0</v>
      </c>
      <c r="M1134" s="27">
        <f t="shared" ca="1" si="226"/>
        <v>1661.4112841965173</v>
      </c>
      <c r="N1134" s="28">
        <f t="shared" ca="1" si="227"/>
        <v>0.23402116753457083</v>
      </c>
      <c r="O1134" s="29">
        <f t="shared" ca="1" si="228"/>
        <v>600000</v>
      </c>
      <c r="P1134" s="30">
        <f t="shared" ca="1" si="229"/>
        <v>84.514112704277281</v>
      </c>
    </row>
    <row r="1135" spans="1:16" x14ac:dyDescent="0.25">
      <c r="A1135" s="3">
        <f t="shared" si="230"/>
        <v>47701</v>
      </c>
      <c r="B1135" s="21">
        <f t="shared" si="221"/>
        <v>36744</v>
      </c>
      <c r="C1135" s="21">
        <f t="shared" si="222"/>
        <v>36789</v>
      </c>
      <c r="D1135" s="1">
        <f t="shared" si="231"/>
        <v>0</v>
      </c>
      <c r="E1135" s="3">
        <f t="array" ref="E1135">INDEX($A$9:A1134, MAX(IF($D$9:D1134=1, ROW(D$9:$D1134)-ROW($D$9)+1, 0)))</f>
        <v>47654</v>
      </c>
      <c r="F1135" s="23">
        <f t="shared" si="223"/>
        <v>4.3148528405201914</v>
      </c>
      <c r="G1135" s="5">
        <f>INDEX('Default Prob'!$P$5:$P$14,MIN(1+_xlfn.IFNA(MATCH(F1135,'Default Prob'!$F$5:$F$14,1),0),COUNT('Default Prob'!$P$5:$P$14)))</f>
        <v>2.046797531464158E-2</v>
      </c>
      <c r="H1135" s="5">
        <f t="shared" si="232"/>
        <v>0.91049576198779036</v>
      </c>
      <c r="I1135" s="24">
        <f t="shared" si="233"/>
        <v>5.1024029992796649E-5</v>
      </c>
      <c r="J1135" s="25">
        <f>INDEX('Default Prob'!$C$3:$C$13, _xlfn.IFNA(MATCH(F1135, 'Default Prob'!$B$3:$B$13, 1), 1))</f>
        <v>1.95E-2</v>
      </c>
      <c r="K1135" s="26">
        <f t="shared" si="224"/>
        <v>0.92004768375377255</v>
      </c>
      <c r="L1135" s="27">
        <f t="shared" ca="1" si="225"/>
        <v>0</v>
      </c>
      <c r="M1135" s="27">
        <f t="shared" ca="1" si="226"/>
        <v>1697.528920809485</v>
      </c>
      <c r="N1135" s="28">
        <f t="shared" ca="1" si="227"/>
        <v>7.9689715360703212E-2</v>
      </c>
      <c r="O1135" s="29">
        <f t="shared" ca="1" si="228"/>
        <v>600000</v>
      </c>
      <c r="P1135" s="30">
        <f t="shared" ca="1" si="229"/>
        <v>28.166724366393346</v>
      </c>
    </row>
    <row r="1136" spans="1:16" x14ac:dyDescent="0.25">
      <c r="A1136" s="3">
        <f t="shared" si="230"/>
        <v>47702</v>
      </c>
      <c r="B1136" s="21">
        <f t="shared" si="221"/>
        <v>36745</v>
      </c>
      <c r="C1136" s="21">
        <f t="shared" si="222"/>
        <v>36789</v>
      </c>
      <c r="D1136" s="1">
        <f t="shared" si="231"/>
        <v>0</v>
      </c>
      <c r="E1136" s="3">
        <f t="array" ref="E1136">INDEX($A$9:A1135, MAX(IF($D$9:D1135=1, ROW(D$9:$D1135)-ROW($D$9)+1, 0)))</f>
        <v>47654</v>
      </c>
      <c r="F1136" s="23">
        <f t="shared" si="223"/>
        <v>4.3175906913073234</v>
      </c>
      <c r="G1136" s="5">
        <f>INDEX('Default Prob'!$P$5:$P$14,MIN(1+_xlfn.IFNA(MATCH(F1136,'Default Prob'!$F$5:$F$14,1),0),COUNT('Default Prob'!$P$5:$P$14)))</f>
        <v>2.046797531464158E-2</v>
      </c>
      <c r="H1136" s="5">
        <f t="shared" si="232"/>
        <v>0.91044474081701543</v>
      </c>
      <c r="I1136" s="24">
        <f t="shared" si="233"/>
        <v>5.1021170774934177E-5</v>
      </c>
      <c r="J1136" s="25">
        <f>INDEX('Default Prob'!$C$3:$C$13, _xlfn.IFNA(MATCH(F1136, 'Default Prob'!$B$3:$B$13, 1), 1))</f>
        <v>1.95E-2</v>
      </c>
      <c r="K1136" s="26">
        <f t="shared" si="224"/>
        <v>0.91999903823070517</v>
      </c>
      <c r="L1136" s="27">
        <f t="shared" ca="1" si="225"/>
        <v>0</v>
      </c>
      <c r="M1136" s="27">
        <f t="shared" ca="1" si="226"/>
        <v>1733.646557422453</v>
      </c>
      <c r="N1136" s="28">
        <f t="shared" ca="1" si="227"/>
        <v>8.1376377832988636E-2</v>
      </c>
      <c r="O1136" s="29">
        <f t="shared" ca="1" si="228"/>
        <v>600000</v>
      </c>
      <c r="P1136" s="30">
        <f t="shared" ca="1" si="229"/>
        <v>28.163656825406402</v>
      </c>
    </row>
    <row r="1137" spans="1:16" x14ac:dyDescent="0.25">
      <c r="A1137" s="3">
        <f t="shared" si="230"/>
        <v>47703</v>
      </c>
      <c r="B1137" s="21">
        <f t="shared" si="221"/>
        <v>36746</v>
      </c>
      <c r="C1137" s="21">
        <f t="shared" si="222"/>
        <v>36789</v>
      </c>
      <c r="D1137" s="1">
        <f t="shared" si="231"/>
        <v>0</v>
      </c>
      <c r="E1137" s="3">
        <f t="array" ref="E1137">INDEX($A$9:A1136, MAX(IF($D$9:D1136=1, ROW(D$9:$D1136)-ROW($D$9)+1, 0)))</f>
        <v>47654</v>
      </c>
      <c r="F1137" s="23">
        <f t="shared" si="223"/>
        <v>4.3203285420944555</v>
      </c>
      <c r="G1137" s="5">
        <f>INDEX('Default Prob'!$P$5:$P$14,MIN(1+_xlfn.IFNA(MATCH(F1137,'Default Prob'!$F$5:$F$14,1),0),COUNT('Default Prob'!$P$5:$P$14)))</f>
        <v>2.046797531464158E-2</v>
      </c>
      <c r="H1137" s="5">
        <f t="shared" si="232"/>
        <v>0.91039372250529815</v>
      </c>
      <c r="I1137" s="24">
        <f t="shared" si="233"/>
        <v>5.1018311717276887E-5</v>
      </c>
      <c r="J1137" s="25">
        <f>INDEX('Default Prob'!$C$3:$C$13, _xlfn.IFNA(MATCH(F1137, 'Default Prob'!$B$3:$B$13, 1), 1))</f>
        <v>1.95E-2</v>
      </c>
      <c r="K1137" s="26">
        <f t="shared" si="224"/>
        <v>0.91995039527966416</v>
      </c>
      <c r="L1137" s="27">
        <f t="shared" ca="1" si="225"/>
        <v>0</v>
      </c>
      <c r="M1137" s="27">
        <f t="shared" ca="1" si="226"/>
        <v>1769.7641940354208</v>
      </c>
      <c r="N1137" s="28">
        <f t="shared" ca="1" si="227"/>
        <v>8.3062671982870179E-2</v>
      </c>
      <c r="O1137" s="29">
        <f t="shared" ca="1" si="228"/>
        <v>600000</v>
      </c>
      <c r="P1137" s="30">
        <f t="shared" ca="1" si="229"/>
        <v>28.160589618485997</v>
      </c>
    </row>
    <row r="1138" spans="1:16" x14ac:dyDescent="0.25">
      <c r="A1138" s="3">
        <f t="shared" si="230"/>
        <v>47704</v>
      </c>
      <c r="B1138" s="21">
        <f t="shared" si="221"/>
        <v>36747</v>
      </c>
      <c r="C1138" s="21">
        <f t="shared" si="222"/>
        <v>36789</v>
      </c>
      <c r="D1138" s="1">
        <f t="shared" si="231"/>
        <v>0</v>
      </c>
      <c r="E1138" s="3">
        <f t="array" ref="E1138">INDEX($A$9:A1137, MAX(IF($D$9:D1137=1, ROW(D$9:$D1137)-ROW($D$9)+1, 0)))</f>
        <v>47654</v>
      </c>
      <c r="F1138" s="23">
        <f t="shared" si="223"/>
        <v>4.3230663928815876</v>
      </c>
      <c r="G1138" s="5">
        <f>INDEX('Default Prob'!$P$5:$P$14,MIN(1+_xlfn.IFNA(MATCH(F1138,'Default Prob'!$F$5:$F$14,1),0),COUNT('Default Prob'!$P$5:$P$14)))</f>
        <v>2.046797531464158E-2</v>
      </c>
      <c r="H1138" s="5">
        <f t="shared" si="232"/>
        <v>0.91034270705247833</v>
      </c>
      <c r="I1138" s="24">
        <f t="shared" si="233"/>
        <v>5.101545281982478E-5</v>
      </c>
      <c r="J1138" s="25">
        <f>INDEX('Default Prob'!$C$3:$C$13, _xlfn.IFNA(MATCH(F1138, 'Default Prob'!$B$3:$B$13, 1), 1))</f>
        <v>1.95E-2</v>
      </c>
      <c r="K1138" s="26">
        <f t="shared" si="224"/>
        <v>0.91990175490051351</v>
      </c>
      <c r="L1138" s="27">
        <f t="shared" ca="1" si="225"/>
        <v>0</v>
      </c>
      <c r="M1138" s="27">
        <f t="shared" ca="1" si="226"/>
        <v>1805.8818306483884</v>
      </c>
      <c r="N1138" s="28">
        <f t="shared" ca="1" si="227"/>
        <v>8.4748597870581713E-2</v>
      </c>
      <c r="O1138" s="29">
        <f t="shared" ca="1" si="228"/>
        <v>600000</v>
      </c>
      <c r="P1138" s="30">
        <f t="shared" ca="1" si="229"/>
        <v>28.157522745600701</v>
      </c>
    </row>
    <row r="1139" spans="1:16" x14ac:dyDescent="0.25">
      <c r="A1139" s="3">
        <f t="shared" si="230"/>
        <v>47707</v>
      </c>
      <c r="B1139" s="21">
        <f t="shared" si="221"/>
        <v>36750</v>
      </c>
      <c r="C1139" s="21">
        <f t="shared" si="222"/>
        <v>36789</v>
      </c>
      <c r="D1139" s="1">
        <f t="shared" si="231"/>
        <v>0</v>
      </c>
      <c r="E1139" s="3">
        <f t="array" ref="E1139">INDEX($A$9:A1138, MAX(IF($D$9:D1138=1, ROW(D$9:$D1138)-ROW($D$9)+1, 0)))</f>
        <v>47654</v>
      </c>
      <c r="F1139" s="23">
        <f t="shared" si="223"/>
        <v>4.3312799452429847</v>
      </c>
      <c r="G1139" s="5">
        <f>INDEX('Default Prob'!$P$5:$P$14,MIN(1+_xlfn.IFNA(MATCH(F1139,'Default Prob'!$F$5:$F$14,1),0),COUNT('Default Prob'!$P$5:$P$14)))</f>
        <v>2.046797531464158E-2</v>
      </c>
      <c r="H1139" s="5">
        <f t="shared" si="232"/>
        <v>0.91018967784580129</v>
      </c>
      <c r="I1139" s="24">
        <f t="shared" si="233"/>
        <v>1.5302920667703557E-4</v>
      </c>
      <c r="J1139" s="25">
        <f>INDEX('Default Prob'!$C$3:$C$13, _xlfn.IFNA(MATCH(F1139, 'Default Prob'!$B$3:$B$13, 1), 1))</f>
        <v>1.95E-2</v>
      </c>
      <c r="K1139" s="26">
        <f t="shared" si="224"/>
        <v>0.91975584919304387</v>
      </c>
      <c r="L1139" s="27">
        <f t="shared" ca="1" si="225"/>
        <v>0</v>
      </c>
      <c r="M1139" s="27">
        <f t="shared" ca="1" si="226"/>
        <v>1914.2347404872917</v>
      </c>
      <c r="N1139" s="28">
        <f t="shared" ca="1" si="227"/>
        <v>0.26942759780251146</v>
      </c>
      <c r="O1139" s="29">
        <f t="shared" ca="1" si="228"/>
        <v>600000</v>
      </c>
      <c r="P1139" s="30">
        <f t="shared" ca="1" si="229"/>
        <v>84.449704763144794</v>
      </c>
    </row>
    <row r="1140" spans="1:16" x14ac:dyDescent="0.25">
      <c r="A1140" s="3">
        <f t="shared" si="230"/>
        <v>47708</v>
      </c>
      <c r="B1140" s="21">
        <f t="shared" si="221"/>
        <v>36751</v>
      </c>
      <c r="C1140" s="21">
        <f t="shared" si="222"/>
        <v>36789</v>
      </c>
      <c r="D1140" s="1">
        <f t="shared" si="231"/>
        <v>0</v>
      </c>
      <c r="E1140" s="3">
        <f t="array" ref="E1140">INDEX($A$9:A1139, MAX(IF($D$9:D1139=1, ROW(D$9:$D1139)-ROW($D$9)+1, 0)))</f>
        <v>47654</v>
      </c>
      <c r="F1140" s="23">
        <f t="shared" si="223"/>
        <v>4.3340177960301167</v>
      </c>
      <c r="G1140" s="5">
        <f>INDEX('Default Prob'!$P$5:$P$14,MIN(1+_xlfn.IFNA(MATCH(F1140,'Default Prob'!$F$5:$F$14,1),0),COUNT('Default Prob'!$P$5:$P$14)))</f>
        <v>2.046797531464158E-2</v>
      </c>
      <c r="H1140" s="5">
        <f t="shared" si="232"/>
        <v>0.91013867382696922</v>
      </c>
      <c r="I1140" s="24">
        <f t="shared" si="233"/>
        <v>5.1004018832068176E-5</v>
      </c>
      <c r="J1140" s="25">
        <f>INDEX('Default Prob'!$C$3:$C$13, _xlfn.IFNA(MATCH(F1140, 'Default Prob'!$B$3:$B$13, 1), 1))</f>
        <v>1.95E-2</v>
      </c>
      <c r="K1140" s="26">
        <f t="shared" si="224"/>
        <v>0.91970721910009501</v>
      </c>
      <c r="L1140" s="27">
        <f t="shared" ca="1" si="225"/>
        <v>0</v>
      </c>
      <c r="M1140" s="27">
        <f t="shared" ca="1" si="226"/>
        <v>1950.3523771002592</v>
      </c>
      <c r="N1140" s="28">
        <f t="shared" ca="1" si="227"/>
        <v>9.1488620004140944E-2</v>
      </c>
      <c r="O1140" s="29">
        <f t="shared" ca="1" si="228"/>
        <v>600000</v>
      </c>
      <c r="P1140" s="30">
        <f t="shared" ca="1" si="229"/>
        <v>28.145258593782177</v>
      </c>
    </row>
    <row r="1141" spans="1:16" x14ac:dyDescent="0.25">
      <c r="A1141" s="3">
        <f t="shared" si="230"/>
        <v>47709</v>
      </c>
      <c r="B1141" s="21">
        <f t="shared" si="221"/>
        <v>36752</v>
      </c>
      <c r="C1141" s="21">
        <f t="shared" si="222"/>
        <v>36789</v>
      </c>
      <c r="D1141" s="1">
        <f t="shared" si="231"/>
        <v>0</v>
      </c>
      <c r="E1141" s="3">
        <f t="array" ref="E1141">INDEX($A$9:A1140, MAX(IF($D$9:D1140=1, ROW(D$9:$D1140)-ROW($D$9)+1, 0)))</f>
        <v>47654</v>
      </c>
      <c r="F1141" s="23">
        <f t="shared" si="223"/>
        <v>4.3367556468172488</v>
      </c>
      <c r="G1141" s="5">
        <f>INDEX('Default Prob'!$P$5:$P$14,MIN(1+_xlfn.IFNA(MATCH(F1141,'Default Prob'!$F$5:$F$14,1),0),COUNT('Default Prob'!$P$5:$P$14)))</f>
        <v>2.046797531464158E-2</v>
      </c>
      <c r="H1141" s="5">
        <f t="shared" si="232"/>
        <v>0.91008767266623369</v>
      </c>
      <c r="I1141" s="24">
        <f t="shared" si="233"/>
        <v>5.1001160735530959E-5</v>
      </c>
      <c r="J1141" s="25">
        <f>INDEX('Default Prob'!$C$3:$C$13, _xlfn.IFNA(MATCH(F1141, 'Default Prob'!$B$3:$B$13, 1), 1))</f>
        <v>1.95E-2</v>
      </c>
      <c r="K1141" s="26">
        <f t="shared" si="224"/>
        <v>0.91965859157835672</v>
      </c>
      <c r="L1141" s="27">
        <f t="shared" ca="1" si="225"/>
        <v>0</v>
      </c>
      <c r="M1141" s="27">
        <f t="shared" ca="1" si="226"/>
        <v>1986.4700137132272</v>
      </c>
      <c r="N1141" s="28">
        <f t="shared" ca="1" si="227"/>
        <v>9.3172705484043397E-2</v>
      </c>
      <c r="O1141" s="29">
        <f t="shared" ca="1" si="228"/>
        <v>600000</v>
      </c>
      <c r="P1141" s="30">
        <f t="shared" ca="1" si="229"/>
        <v>28.142193390539873</v>
      </c>
    </row>
    <row r="1142" spans="1:16" x14ac:dyDescent="0.25">
      <c r="A1142" s="3">
        <f t="shared" si="230"/>
        <v>47710</v>
      </c>
      <c r="B1142" s="21">
        <f t="shared" si="221"/>
        <v>36753</v>
      </c>
      <c r="C1142" s="21">
        <f t="shared" si="222"/>
        <v>36789</v>
      </c>
      <c r="D1142" s="1">
        <f t="shared" si="231"/>
        <v>0</v>
      </c>
      <c r="E1142" s="3">
        <f t="array" ref="E1142">INDEX($A$9:A1141, MAX(IF($D$9:D1141=1, ROW(D$9:$D1141)-ROW($D$9)+1, 0)))</f>
        <v>47654</v>
      </c>
      <c r="F1142" s="23">
        <f t="shared" si="223"/>
        <v>4.3394934976043809</v>
      </c>
      <c r="G1142" s="5">
        <f>INDEX('Default Prob'!$P$5:$P$14,MIN(1+_xlfn.IFNA(MATCH(F1142,'Default Prob'!$F$5:$F$14,1),0),COUNT('Default Prob'!$P$5:$P$14)))</f>
        <v>2.046797531464158E-2</v>
      </c>
      <c r="H1142" s="5">
        <f t="shared" si="232"/>
        <v>0.91003667436343449</v>
      </c>
      <c r="I1142" s="24">
        <f t="shared" si="233"/>
        <v>5.0998302799198925E-5</v>
      </c>
      <c r="J1142" s="25">
        <f>INDEX('Default Prob'!$C$3:$C$13, _xlfn.IFNA(MATCH(F1142, 'Default Prob'!$B$3:$B$13, 1), 1))</f>
        <v>1.95E-2</v>
      </c>
      <c r="K1142" s="26">
        <f t="shared" si="224"/>
        <v>0.9196099666276929</v>
      </c>
      <c r="L1142" s="27">
        <f t="shared" ca="1" si="225"/>
        <v>0</v>
      </c>
      <c r="M1142" s="27">
        <f t="shared" ca="1" si="226"/>
        <v>2022.587650326195</v>
      </c>
      <c r="N1142" s="28">
        <f t="shared" ca="1" si="227"/>
        <v>9.4856423063013035E-2</v>
      </c>
      <c r="O1142" s="29">
        <f t="shared" ca="1" si="228"/>
        <v>600000</v>
      </c>
      <c r="P1142" s="30">
        <f t="shared" ca="1" si="229"/>
        <v>28.13912852114418</v>
      </c>
    </row>
    <row r="1143" spans="1:16" x14ac:dyDescent="0.25">
      <c r="A1143" s="3">
        <f t="shared" si="230"/>
        <v>47711</v>
      </c>
      <c r="B1143" s="21">
        <f t="shared" si="221"/>
        <v>36754</v>
      </c>
      <c r="C1143" s="21">
        <f t="shared" si="222"/>
        <v>36789</v>
      </c>
      <c r="D1143" s="1">
        <f t="shared" si="231"/>
        <v>0</v>
      </c>
      <c r="E1143" s="3">
        <f t="array" ref="E1143">INDEX($A$9:A1142, MAX(IF($D$9:D1142=1, ROW(D$9:$D1142)-ROW($D$9)+1, 0)))</f>
        <v>47654</v>
      </c>
      <c r="F1143" s="23">
        <f t="shared" si="223"/>
        <v>4.3422313483915129</v>
      </c>
      <c r="G1143" s="5">
        <f>INDEX('Default Prob'!$P$5:$P$14,MIN(1+_xlfn.IFNA(MATCH(F1143,'Default Prob'!$F$5:$F$14,1),0),COUNT('Default Prob'!$P$5:$P$14)))</f>
        <v>2.046797531464158E-2</v>
      </c>
      <c r="H1143" s="5">
        <f t="shared" si="232"/>
        <v>0.90998567891841142</v>
      </c>
      <c r="I1143" s="24">
        <f t="shared" si="233"/>
        <v>5.0995445023072072E-5</v>
      </c>
      <c r="J1143" s="25">
        <f>INDEX('Default Prob'!$C$3:$C$13, _xlfn.IFNA(MATCH(F1143, 'Default Prob'!$B$3:$B$13, 1), 1))</f>
        <v>1.95E-2</v>
      </c>
      <c r="K1143" s="26">
        <f t="shared" si="224"/>
        <v>0.91956134424796787</v>
      </c>
      <c r="L1143" s="27">
        <f t="shared" ca="1" si="225"/>
        <v>0</v>
      </c>
      <c r="M1143" s="27">
        <f t="shared" ca="1" si="226"/>
        <v>2058.7052869391628</v>
      </c>
      <c r="N1143" s="28">
        <f t="shared" ca="1" si="227"/>
        <v>9.6539772801230925E-2</v>
      </c>
      <c r="O1143" s="29">
        <f t="shared" ca="1" si="228"/>
        <v>600000</v>
      </c>
      <c r="P1143" s="30">
        <f t="shared" ca="1" si="229"/>
        <v>28.136063985563698</v>
      </c>
    </row>
    <row r="1144" spans="1:16" x14ac:dyDescent="0.25">
      <c r="A1144" s="3">
        <f t="shared" si="230"/>
        <v>47714</v>
      </c>
      <c r="B1144" s="21">
        <f t="shared" si="221"/>
        <v>36757</v>
      </c>
      <c r="C1144" s="21">
        <f t="shared" si="222"/>
        <v>36789</v>
      </c>
      <c r="D1144" s="1">
        <f t="shared" si="231"/>
        <v>0</v>
      </c>
      <c r="E1144" s="3">
        <f t="array" ref="E1144">INDEX($A$9:A1143, MAX(IF($D$9:D1143=1, ROW(D$9:$D1143)-ROW($D$9)+1, 0)))</f>
        <v>47654</v>
      </c>
      <c r="F1144" s="23">
        <f t="shared" si="223"/>
        <v>4.3504449007529091</v>
      </c>
      <c r="G1144" s="5">
        <f>INDEX('Default Prob'!$P$5:$P$14,MIN(1+_xlfn.IFNA(MATCH(F1144,'Default Prob'!$F$5:$F$14,1),0),COUNT('Default Prob'!$P$5:$P$14)))</f>
        <v>2.046797531464158E-2</v>
      </c>
      <c r="H1144" s="5">
        <f t="shared" si="232"/>
        <v>0.90983270972839814</v>
      </c>
      <c r="I1144" s="24">
        <f t="shared" si="233"/>
        <v>1.5296919001328568E-4</v>
      </c>
      <c r="J1144" s="25">
        <f>INDEX('Default Prob'!$C$3:$C$13, _xlfn.IFNA(MATCH(F1144, 'Default Prob'!$B$3:$B$13, 1), 1))</f>
        <v>1.95E-2</v>
      </c>
      <c r="K1144" s="26">
        <f t="shared" si="224"/>
        <v>0.9194154925330652</v>
      </c>
      <c r="L1144" s="27">
        <f t="shared" ca="1" si="225"/>
        <v>0</v>
      </c>
      <c r="M1144" s="27">
        <f t="shared" ca="1" si="226"/>
        <v>2167.0581967780658</v>
      </c>
      <c r="N1144" s="28">
        <f t="shared" ca="1" si="227"/>
        <v>0.30477992589311215</v>
      </c>
      <c r="O1144" s="29">
        <f t="shared" ca="1" si="228"/>
        <v>600000</v>
      </c>
      <c r="P1144" s="30">
        <f t="shared" ca="1" si="229"/>
        <v>84.385345907069464</v>
      </c>
    </row>
    <row r="1145" spans="1:16" x14ac:dyDescent="0.25">
      <c r="A1145" s="3">
        <f t="shared" si="230"/>
        <v>47715</v>
      </c>
      <c r="B1145" s="21">
        <f t="shared" si="221"/>
        <v>36758</v>
      </c>
      <c r="C1145" s="21">
        <f t="shared" si="222"/>
        <v>36789</v>
      </c>
      <c r="D1145" s="1">
        <f t="shared" si="231"/>
        <v>0</v>
      </c>
      <c r="E1145" s="3">
        <f t="array" ref="E1145">INDEX($A$9:A1144, MAX(IF($D$9:D1144=1, ROW(D$9:$D1144)-ROW($D$9)+1, 0)))</f>
        <v>47654</v>
      </c>
      <c r="F1145" s="23">
        <f t="shared" si="223"/>
        <v>4.3531827515400412</v>
      </c>
      <c r="G1145" s="5">
        <f>INDEX('Default Prob'!$P$5:$P$14,MIN(1+_xlfn.IFNA(MATCH(F1145,'Default Prob'!$F$5:$F$14,1),0),COUNT('Default Prob'!$P$5:$P$14)))</f>
        <v>2.046797531464158E-2</v>
      </c>
      <c r="H1145" s="5">
        <f t="shared" si="232"/>
        <v>0.90978172571287863</v>
      </c>
      <c r="I1145" s="24">
        <f t="shared" si="233"/>
        <v>5.0984015519506265E-5</v>
      </c>
      <c r="J1145" s="25">
        <f>INDEX('Default Prob'!$C$3:$C$13, _xlfn.IFNA(MATCH(F1145, 'Default Prob'!$B$3:$B$13, 1), 1))</f>
        <v>1.95E-2</v>
      </c>
      <c r="K1145" s="26">
        <f t="shared" si="224"/>
        <v>0.91936688043573556</v>
      </c>
      <c r="L1145" s="27">
        <f t="shared" ca="1" si="225"/>
        <v>0</v>
      </c>
      <c r="M1145" s="27">
        <f t="shared" ca="1" si="226"/>
        <v>2203.1758333910338</v>
      </c>
      <c r="N1145" s="28">
        <f t="shared" ca="1" si="227"/>
        <v>0.10326949454769131</v>
      </c>
      <c r="O1145" s="29">
        <f t="shared" ca="1" si="228"/>
        <v>600000</v>
      </c>
      <c r="P1145" s="30">
        <f t="shared" ca="1" si="229"/>
        <v>28.123809180153362</v>
      </c>
    </row>
    <row r="1146" spans="1:16" x14ac:dyDescent="0.25">
      <c r="A1146" s="3">
        <f t="shared" si="230"/>
        <v>47716</v>
      </c>
      <c r="B1146" s="21">
        <f t="shared" si="221"/>
        <v>36759</v>
      </c>
      <c r="C1146" s="21">
        <f t="shared" si="222"/>
        <v>36789</v>
      </c>
      <c r="D1146" s="1">
        <f t="shared" si="231"/>
        <v>0</v>
      </c>
      <c r="E1146" s="3">
        <f t="array" ref="E1146">INDEX($A$9:A1145, MAX(IF($D$9:D1145=1, ROW(D$9:$D1145)-ROW($D$9)+1, 0)))</f>
        <v>47654</v>
      </c>
      <c r="F1146" s="23">
        <f t="shared" si="223"/>
        <v>4.3559206023271733</v>
      </c>
      <c r="G1146" s="5">
        <f>INDEX('Default Prob'!$P$5:$P$14,MIN(1+_xlfn.IFNA(MATCH(F1146,'Default Prob'!$F$5:$F$14,1),0),COUNT('Default Prob'!$P$5:$P$14)))</f>
        <v>2.046797531464158E-2</v>
      </c>
      <c r="H1146" s="5">
        <f t="shared" si="232"/>
        <v>0.90973074455433467</v>
      </c>
      <c r="I1146" s="24">
        <f t="shared" si="233"/>
        <v>5.0981158543961236E-5</v>
      </c>
      <c r="J1146" s="25">
        <f>INDEX('Default Prob'!$C$3:$C$13, _xlfn.IFNA(MATCH(F1146, 'Default Prob'!$B$3:$B$13, 1), 1))</f>
        <v>1.95E-2</v>
      </c>
      <c r="K1146" s="26">
        <f t="shared" si="224"/>
        <v>0.9193182709086648</v>
      </c>
      <c r="L1146" s="27">
        <f t="shared" ca="1" si="225"/>
        <v>0</v>
      </c>
      <c r="M1146" s="27">
        <f t="shared" ca="1" si="226"/>
        <v>2239.2934700040018</v>
      </c>
      <c r="N1146" s="28">
        <f t="shared" ca="1" si="227"/>
        <v>0.10495100598364984</v>
      </c>
      <c r="O1146" s="29">
        <f t="shared" ca="1" si="228"/>
        <v>600000</v>
      </c>
      <c r="P1146" s="30">
        <f t="shared" ca="1" si="229"/>
        <v>28.120746312932969</v>
      </c>
    </row>
    <row r="1147" spans="1:16" x14ac:dyDescent="0.25">
      <c r="A1147" s="3">
        <f t="shared" si="230"/>
        <v>47717</v>
      </c>
      <c r="B1147" s="21">
        <f t="shared" si="221"/>
        <v>36760</v>
      </c>
      <c r="C1147" s="21">
        <f t="shared" si="222"/>
        <v>36789</v>
      </c>
      <c r="D1147" s="1">
        <f t="shared" si="231"/>
        <v>0</v>
      </c>
      <c r="E1147" s="3">
        <f t="array" ref="E1147">INDEX($A$9:A1146, MAX(IF($D$9:D1146=1, ROW(D$9:$D1146)-ROW($D$9)+1, 0)))</f>
        <v>47654</v>
      </c>
      <c r="F1147" s="23">
        <f t="shared" si="223"/>
        <v>4.3586584531143053</v>
      </c>
      <c r="G1147" s="5">
        <f>INDEX('Default Prob'!$P$5:$P$14,MIN(1+_xlfn.IFNA(MATCH(F1147,'Default Prob'!$F$5:$F$14,1),0),COUNT('Default Prob'!$P$5:$P$14)))</f>
        <v>2.046797531464158E-2</v>
      </c>
      <c r="H1147" s="5">
        <f t="shared" si="232"/>
        <v>0.90967976625260616</v>
      </c>
      <c r="I1147" s="24">
        <f t="shared" si="233"/>
        <v>5.0978301728510367E-5</v>
      </c>
      <c r="J1147" s="25">
        <f>INDEX('Default Prob'!$C$3:$C$13, _xlfn.IFNA(MATCH(F1147, 'Default Prob'!$B$3:$B$13, 1), 1))</f>
        <v>1.95E-2</v>
      </c>
      <c r="K1147" s="26">
        <f t="shared" si="224"/>
        <v>0.9192696639517175</v>
      </c>
      <c r="L1147" s="27">
        <f t="shared" ca="1" si="225"/>
        <v>0</v>
      </c>
      <c r="M1147" s="27">
        <f t="shared" ca="1" si="226"/>
        <v>2275.4111066169694</v>
      </c>
      <c r="N1147" s="28">
        <f t="shared" ca="1" si="227"/>
        <v>0.10663214993952233</v>
      </c>
      <c r="O1147" s="29">
        <f t="shared" ca="1" si="228"/>
        <v>600000</v>
      </c>
      <c r="P1147" s="30">
        <f t="shared" ca="1" si="229"/>
        <v>28.117683779278192</v>
      </c>
    </row>
    <row r="1148" spans="1:16" x14ac:dyDescent="0.25">
      <c r="A1148" s="3">
        <f t="shared" si="230"/>
        <v>47718</v>
      </c>
      <c r="B1148" s="21">
        <f t="shared" si="221"/>
        <v>36761</v>
      </c>
      <c r="C1148" s="21">
        <f t="shared" si="222"/>
        <v>36789</v>
      </c>
      <c r="D1148" s="1">
        <f t="shared" si="231"/>
        <v>0</v>
      </c>
      <c r="E1148" s="3">
        <f t="array" ref="E1148">INDEX($A$9:A1147, MAX(IF($D$9:D1147=1, ROW(D$9:$D1147)-ROW($D$9)+1, 0)))</f>
        <v>47654</v>
      </c>
      <c r="F1148" s="23">
        <f t="shared" si="223"/>
        <v>4.3613963039014374</v>
      </c>
      <c r="G1148" s="5">
        <f>INDEX('Default Prob'!$P$5:$P$14,MIN(1+_xlfn.IFNA(MATCH(F1148,'Default Prob'!$F$5:$F$14,1),0),COUNT('Default Prob'!$P$5:$P$14)))</f>
        <v>2.046797531464158E-2</v>
      </c>
      <c r="H1148" s="5">
        <f t="shared" si="232"/>
        <v>0.90962879080753312</v>
      </c>
      <c r="I1148" s="24">
        <f t="shared" si="233"/>
        <v>5.0975445073042636E-5</v>
      </c>
      <c r="J1148" s="25">
        <f>INDEX('Default Prob'!$C$3:$C$13, _xlfn.IFNA(MATCH(F1148, 'Default Prob'!$B$3:$B$13, 1), 1))</f>
        <v>1.95E-2</v>
      </c>
      <c r="K1148" s="26">
        <f t="shared" si="224"/>
        <v>0.91922105956475719</v>
      </c>
      <c r="L1148" s="27">
        <f t="shared" ca="1" si="225"/>
        <v>0</v>
      </c>
      <c r="M1148" s="27">
        <f t="shared" ca="1" si="226"/>
        <v>2311.5287432299369</v>
      </c>
      <c r="N1148" s="28">
        <f t="shared" ca="1" si="227"/>
        <v>0.10831292647518995</v>
      </c>
      <c r="O1148" s="29">
        <f t="shared" ca="1" si="228"/>
        <v>600000</v>
      </c>
      <c r="P1148" s="30">
        <f t="shared" ca="1" si="229"/>
        <v>28.114621579096401</v>
      </c>
    </row>
    <row r="1149" spans="1:16" x14ac:dyDescent="0.25">
      <c r="A1149" s="3">
        <f t="shared" si="230"/>
        <v>47721</v>
      </c>
      <c r="B1149" s="21">
        <f t="shared" si="221"/>
        <v>36764</v>
      </c>
      <c r="C1149" s="21">
        <f t="shared" si="222"/>
        <v>36789</v>
      </c>
      <c r="D1149" s="1">
        <f t="shared" si="231"/>
        <v>0</v>
      </c>
      <c r="E1149" s="3">
        <f t="array" ref="E1149">INDEX($A$9:A1148, MAX(IF($D$9:D1148=1, ROW(D$9:$D1148)-ROW($D$9)+1, 0)))</f>
        <v>47654</v>
      </c>
      <c r="F1149" s="23">
        <f t="shared" si="223"/>
        <v>4.3696098562628336</v>
      </c>
      <c r="G1149" s="5">
        <f>INDEX('Default Prob'!$P$5:$P$14,MIN(1+_xlfn.IFNA(MATCH(F1149,'Default Prob'!$F$5:$F$14,1),0),COUNT('Default Prob'!$P$5:$P$14)))</f>
        <v>2.046797531464158E-2</v>
      </c>
      <c r="H1149" s="5">
        <f t="shared" si="232"/>
        <v>0.90947588161064563</v>
      </c>
      <c r="I1149" s="24">
        <f t="shared" si="233"/>
        <v>1.5290919688748517E-4</v>
      </c>
      <c r="J1149" s="25">
        <f>INDEX('Default Prob'!$C$3:$C$13, _xlfn.IFNA(MATCH(F1149, 'Default Prob'!$B$3:$B$13, 1), 1))</f>
        <v>1.95E-2</v>
      </c>
      <c r="K1149" s="26">
        <f t="shared" si="224"/>
        <v>0.91907526182244159</v>
      </c>
      <c r="L1149" s="27">
        <f t="shared" ca="1" si="225"/>
        <v>0</v>
      </c>
      <c r="M1149" s="27">
        <f t="shared" ca="1" si="226"/>
        <v>2419.8816530688405</v>
      </c>
      <c r="N1149" s="28">
        <f t="shared" ca="1" si="227"/>
        <v>0.340078213704817</v>
      </c>
      <c r="O1149" s="29">
        <f t="shared" ca="1" si="228"/>
        <v>600000</v>
      </c>
      <c r="P1149" s="30">
        <f t="shared" ca="1" si="229"/>
        <v>84.321036098654815</v>
      </c>
    </row>
    <row r="1150" spans="1:16" x14ac:dyDescent="0.25">
      <c r="A1150" s="3">
        <f t="shared" si="230"/>
        <v>47722</v>
      </c>
      <c r="B1150" s="21">
        <f t="shared" si="221"/>
        <v>36765</v>
      </c>
      <c r="C1150" s="21">
        <f t="shared" si="222"/>
        <v>36789</v>
      </c>
      <c r="D1150" s="1">
        <f t="shared" si="231"/>
        <v>0</v>
      </c>
      <c r="E1150" s="3">
        <f t="array" ref="E1150">INDEX($A$9:A1149, MAX(IF($D$9:D1149=1, ROW(D$9:$D1149)-ROW($D$9)+1, 0)))</f>
        <v>47654</v>
      </c>
      <c r="F1150" s="23">
        <f t="shared" si="223"/>
        <v>4.3723477070499657</v>
      </c>
      <c r="G1150" s="5">
        <f>INDEX('Default Prob'!$P$5:$P$14,MIN(1+_xlfn.IFNA(MATCH(F1150,'Default Prob'!$F$5:$F$14,1),0),COUNT('Default Prob'!$P$5:$P$14)))</f>
        <v>2.046797531464158E-2</v>
      </c>
      <c r="H1150" s="5">
        <f t="shared" si="232"/>
        <v>0.90942491759059352</v>
      </c>
      <c r="I1150" s="24">
        <f t="shared" si="233"/>
        <v>5.0964020052113312E-5</v>
      </c>
      <c r="J1150" s="25">
        <f>INDEX('Default Prob'!$C$3:$C$13, _xlfn.IFNA(MATCH(F1150, 'Default Prob'!$B$3:$B$13, 1), 1))</f>
        <v>1.95E-2</v>
      </c>
      <c r="K1150" s="26">
        <f t="shared" si="224"/>
        <v>0.91902666771407193</v>
      </c>
      <c r="L1150" s="27">
        <f t="shared" ca="1" si="225"/>
        <v>0</v>
      </c>
      <c r="M1150" s="27">
        <f t="shared" ca="1" si="226"/>
        <v>2455.9992896818085</v>
      </c>
      <c r="N1150" s="28">
        <f t="shared" ca="1" si="227"/>
        <v>0.11503235962017598</v>
      </c>
      <c r="O1150" s="29">
        <f t="shared" ca="1" si="228"/>
        <v>600000</v>
      </c>
      <c r="P1150" s="30">
        <f t="shared" ca="1" si="229"/>
        <v>28.102376113084105</v>
      </c>
    </row>
    <row r="1151" spans="1:16" x14ac:dyDescent="0.25">
      <c r="A1151" s="3">
        <f t="shared" si="230"/>
        <v>47723</v>
      </c>
      <c r="B1151" s="21">
        <f t="shared" si="221"/>
        <v>36766</v>
      </c>
      <c r="C1151" s="21">
        <f t="shared" si="222"/>
        <v>36789</v>
      </c>
      <c r="D1151" s="1">
        <f t="shared" si="231"/>
        <v>0</v>
      </c>
      <c r="E1151" s="3">
        <f t="array" ref="E1151">INDEX($A$9:A1150, MAX(IF($D$9:D1150=1, ROW(D$9:$D1150)-ROW($D$9)+1, 0)))</f>
        <v>47654</v>
      </c>
      <c r="F1151" s="23">
        <f t="shared" si="223"/>
        <v>4.3750855578370977</v>
      </c>
      <c r="G1151" s="5">
        <f>INDEX('Default Prob'!$P$5:$P$14,MIN(1+_xlfn.IFNA(MATCH(F1151,'Default Prob'!$F$5:$F$14,1),0),COUNT('Default Prob'!$P$5:$P$14)))</f>
        <v>2.046797531464158E-2</v>
      </c>
      <c r="H1151" s="5">
        <f t="shared" si="232"/>
        <v>0.90937395642639651</v>
      </c>
      <c r="I1151" s="24">
        <f t="shared" si="233"/>
        <v>5.096116419700536E-5</v>
      </c>
      <c r="J1151" s="25">
        <f>INDEX('Default Prob'!$C$3:$C$13, _xlfn.IFNA(MATCH(F1151, 'Default Prob'!$B$3:$B$13, 1), 1))</f>
        <v>1.95E-2</v>
      </c>
      <c r="K1151" s="26">
        <f t="shared" si="224"/>
        <v>0.91897807617501004</v>
      </c>
      <c r="L1151" s="27">
        <f t="shared" ca="1" si="225"/>
        <v>0</v>
      </c>
      <c r="M1151" s="27">
        <f t="shared" ca="1" si="226"/>
        <v>2492.116926294776</v>
      </c>
      <c r="N1151" s="28">
        <f t="shared" ca="1" si="227"/>
        <v>0.1167112999572006</v>
      </c>
      <c r="O1151" s="29">
        <f t="shared" ca="1" si="228"/>
        <v>600000</v>
      </c>
      <c r="P1151" s="30">
        <f t="shared" ca="1" si="229"/>
        <v>28.099315580041672</v>
      </c>
    </row>
    <row r="1152" spans="1:16" x14ac:dyDescent="0.25">
      <c r="A1152" s="3">
        <f t="shared" si="230"/>
        <v>47724</v>
      </c>
      <c r="B1152" s="21">
        <f t="shared" si="221"/>
        <v>36767</v>
      </c>
      <c r="C1152" s="21">
        <f t="shared" si="222"/>
        <v>36789</v>
      </c>
      <c r="D1152" s="1">
        <f t="shared" si="231"/>
        <v>0</v>
      </c>
      <c r="E1152" s="3">
        <f t="array" ref="E1152">INDEX($A$9:A1151, MAX(IF($D$9:D1151=1, ROW(D$9:$D1151)-ROW($D$9)+1, 0)))</f>
        <v>47654</v>
      </c>
      <c r="F1152" s="23">
        <f t="shared" si="223"/>
        <v>4.3778234086242298</v>
      </c>
      <c r="G1152" s="5">
        <f>INDEX('Default Prob'!$P$5:$P$14,MIN(1+_xlfn.IFNA(MATCH(F1152,'Default Prob'!$F$5:$F$14,1),0),COUNT('Default Prob'!$P$5:$P$14)))</f>
        <v>2.046797531464158E-2</v>
      </c>
      <c r="H1152" s="5">
        <f t="shared" si="232"/>
        <v>0.90932299811789452</v>
      </c>
      <c r="I1152" s="24">
        <f t="shared" si="233"/>
        <v>5.0958308501991567E-5</v>
      </c>
      <c r="J1152" s="25">
        <f>INDEX('Default Prob'!$C$3:$C$13, _xlfn.IFNA(MATCH(F1152, 'Default Prob'!$B$3:$B$13, 1), 1))</f>
        <v>1.95E-2</v>
      </c>
      <c r="K1152" s="26">
        <f t="shared" si="224"/>
        <v>0.91892948720512013</v>
      </c>
      <c r="L1152" s="27">
        <f t="shared" ca="1" si="225"/>
        <v>0</v>
      </c>
      <c r="M1152" s="27">
        <f t="shared" ca="1" si="226"/>
        <v>2528.2345629077436</v>
      </c>
      <c r="N1152" s="28">
        <f t="shared" ca="1" si="227"/>
        <v>0.11838987323478588</v>
      </c>
      <c r="O1152" s="29">
        <f t="shared" ca="1" si="228"/>
        <v>600000</v>
      </c>
      <c r="P1152" s="30">
        <f t="shared" ca="1" si="229"/>
        <v>28.096255380345255</v>
      </c>
    </row>
    <row r="1153" spans="1:16" x14ac:dyDescent="0.25">
      <c r="A1153" s="3">
        <f t="shared" si="230"/>
        <v>47725</v>
      </c>
      <c r="B1153" s="21">
        <f t="shared" si="221"/>
        <v>36768</v>
      </c>
      <c r="C1153" s="21">
        <f t="shared" si="222"/>
        <v>36789</v>
      </c>
      <c r="D1153" s="1">
        <f t="shared" si="231"/>
        <v>0</v>
      </c>
      <c r="E1153" s="3">
        <f t="array" ref="E1153">INDEX($A$9:A1152, MAX(IF($D$9:D1152=1, ROW(D$9:$D1152)-ROW($D$9)+1, 0)))</f>
        <v>47654</v>
      </c>
      <c r="F1153" s="23">
        <f t="shared" si="223"/>
        <v>4.3805612594113619</v>
      </c>
      <c r="G1153" s="5">
        <f>INDEX('Default Prob'!$P$5:$P$14,MIN(1+_xlfn.IFNA(MATCH(F1153,'Default Prob'!$F$5:$F$14,1),0),COUNT('Default Prob'!$P$5:$P$14)))</f>
        <v>2.046797531464158E-2</v>
      </c>
      <c r="H1153" s="5">
        <f t="shared" si="232"/>
        <v>0.90927204266492756</v>
      </c>
      <c r="I1153" s="24">
        <f t="shared" si="233"/>
        <v>5.0955452966960912E-5</v>
      </c>
      <c r="J1153" s="25">
        <f>INDEX('Default Prob'!$C$3:$C$13, _xlfn.IFNA(MATCH(F1153, 'Default Prob'!$B$3:$B$13, 1), 1))</f>
        <v>1.95E-2</v>
      </c>
      <c r="K1153" s="26">
        <f t="shared" si="224"/>
        <v>0.91888090080426665</v>
      </c>
      <c r="L1153" s="27">
        <f t="shared" ca="1" si="225"/>
        <v>0</v>
      </c>
      <c r="M1153" s="27">
        <f t="shared" ca="1" si="226"/>
        <v>2564.3521995207116</v>
      </c>
      <c r="N1153" s="28">
        <f t="shared" ca="1" si="227"/>
        <v>0.12006807951273456</v>
      </c>
      <c r="O1153" s="29">
        <f t="shared" ca="1" si="228"/>
        <v>600000</v>
      </c>
      <c r="P1153" s="30">
        <f t="shared" ca="1" si="229"/>
        <v>28.093195513902291</v>
      </c>
    </row>
    <row r="1154" spans="1:16" x14ac:dyDescent="0.25">
      <c r="A1154" s="3">
        <f t="shared" si="230"/>
        <v>47728</v>
      </c>
      <c r="B1154" s="21">
        <f t="shared" si="221"/>
        <v>36771</v>
      </c>
      <c r="C1154" s="21">
        <f t="shared" si="222"/>
        <v>36789</v>
      </c>
      <c r="D1154" s="1">
        <f t="shared" si="231"/>
        <v>0</v>
      </c>
      <c r="E1154" s="3">
        <f t="array" ref="E1154">INDEX($A$9:A1153, MAX(IF($D$9:D1153=1, ROW(D$9:$D1153)-ROW($D$9)+1, 0)))</f>
        <v>47654</v>
      </c>
      <c r="F1154" s="23">
        <f t="shared" si="223"/>
        <v>4.3887748117727581</v>
      </c>
      <c r="G1154" s="5">
        <f>INDEX('Default Prob'!$P$5:$P$14,MIN(1+_xlfn.IFNA(MATCH(F1154,'Default Prob'!$F$5:$F$14,1),0),COUNT('Default Prob'!$P$5:$P$14)))</f>
        <v>2.046797531464158E-2</v>
      </c>
      <c r="H1154" s="5">
        <f t="shared" si="232"/>
        <v>0.90911919343763703</v>
      </c>
      <c r="I1154" s="24">
        <f t="shared" si="233"/>
        <v>1.5284922729053019E-4</v>
      </c>
      <c r="J1154" s="25">
        <f>INDEX('Default Prob'!$C$3:$C$13, _xlfn.IFNA(MATCH(F1154, 'Default Prob'!$B$3:$B$13, 1), 1))</f>
        <v>1.95E-2</v>
      </c>
      <c r="K1154" s="26">
        <f t="shared" si="224"/>
        <v>0.91873515701456543</v>
      </c>
      <c r="L1154" s="27">
        <f t="shared" ca="1" si="225"/>
        <v>0</v>
      </c>
      <c r="M1154" s="27">
        <f t="shared" ca="1" si="226"/>
        <v>2672.7051093596151</v>
      </c>
      <c r="N1154" s="28">
        <f t="shared" ca="1" si="227"/>
        <v>0.37532252307342945</v>
      </c>
      <c r="O1154" s="29">
        <f t="shared" ca="1" si="228"/>
        <v>600000</v>
      </c>
      <c r="P1154" s="30">
        <f t="shared" ca="1" si="229"/>
        <v>84.256775300592139</v>
      </c>
    </row>
    <row r="1155" spans="1:16" x14ac:dyDescent="0.25">
      <c r="A1155" s="3">
        <f t="shared" si="230"/>
        <v>47729</v>
      </c>
      <c r="B1155" s="21">
        <f t="shared" si="221"/>
        <v>36772</v>
      </c>
      <c r="C1155" s="21">
        <f t="shared" si="222"/>
        <v>36789</v>
      </c>
      <c r="D1155" s="1">
        <f t="shared" si="231"/>
        <v>0</v>
      </c>
      <c r="E1155" s="3">
        <f t="array" ref="E1155">INDEX($A$9:A1154, MAX(IF($D$9:D1154=1, ROW(D$9:$D1154)-ROW($D$9)+1, 0)))</f>
        <v>47654</v>
      </c>
      <c r="F1155" s="23">
        <f t="shared" si="223"/>
        <v>4.3915126625598901</v>
      </c>
      <c r="G1155" s="5">
        <f>INDEX('Default Prob'!$P$5:$P$14,MIN(1+_xlfn.IFNA(MATCH(F1155,'Default Prob'!$F$5:$F$14,1),0),COUNT('Default Prob'!$P$5:$P$14)))</f>
        <v>2.046797531464158E-2</v>
      </c>
      <c r="H1155" s="5">
        <f t="shared" si="232"/>
        <v>0.90906824940521025</v>
      </c>
      <c r="I1155" s="24">
        <f t="shared" si="233"/>
        <v>5.0944032426780694E-5</v>
      </c>
      <c r="J1155" s="25">
        <f>INDEX('Default Prob'!$C$3:$C$13, _xlfn.IFNA(MATCH(F1155, 'Default Prob'!$B$3:$B$13, 1), 1))</f>
        <v>1.95E-2</v>
      </c>
      <c r="K1155" s="26">
        <f t="shared" si="224"/>
        <v>0.91868658088849864</v>
      </c>
      <c r="L1155" s="27">
        <f t="shared" ca="1" si="225"/>
        <v>0</v>
      </c>
      <c r="M1155" s="27">
        <f t="shared" ca="1" si="226"/>
        <v>2708.8227459725827</v>
      </c>
      <c r="N1155" s="28">
        <f t="shared" ca="1" si="227"/>
        <v>0.12677723582924133</v>
      </c>
      <c r="O1155" s="29">
        <f t="shared" ca="1" si="228"/>
        <v>600000</v>
      </c>
      <c r="P1155" s="30">
        <f t="shared" ca="1" si="229"/>
        <v>28.080959380099177</v>
      </c>
    </row>
    <row r="1156" spans="1:16" x14ac:dyDescent="0.25">
      <c r="A1156" s="3">
        <f t="shared" si="230"/>
        <v>47730</v>
      </c>
      <c r="B1156" s="21">
        <f t="shared" si="221"/>
        <v>36773</v>
      </c>
      <c r="C1156" s="21">
        <f t="shared" si="222"/>
        <v>36789</v>
      </c>
      <c r="D1156" s="1">
        <f t="shared" si="231"/>
        <v>0</v>
      </c>
      <c r="E1156" s="3">
        <f t="array" ref="E1156">INDEX($A$9:A1155, MAX(IF($D$9:D1155=1, ROW(D$9:$D1155)-ROW($D$9)+1, 0)))</f>
        <v>47654</v>
      </c>
      <c r="F1156" s="23">
        <f t="shared" si="223"/>
        <v>4.3942505133470222</v>
      </c>
      <c r="G1156" s="5">
        <f>INDEX('Default Prob'!$P$5:$P$14,MIN(1+_xlfn.IFNA(MATCH(F1156,'Default Prob'!$F$5:$F$14,1),0),COUNT('Default Prob'!$P$5:$P$14)))</f>
        <v>2.046797531464158E-2</v>
      </c>
      <c r="H1156" s="5">
        <f t="shared" si="232"/>
        <v>0.90901730822751858</v>
      </c>
      <c r="I1156" s="24">
        <f t="shared" si="233"/>
        <v>5.0941177691665729E-5</v>
      </c>
      <c r="J1156" s="25">
        <f>INDEX('Default Prob'!$C$3:$C$13, _xlfn.IFNA(MATCH(F1156, 'Default Prob'!$B$3:$B$13, 1), 1))</f>
        <v>1.95E-2</v>
      </c>
      <c r="K1156" s="26">
        <f t="shared" si="224"/>
        <v>0.91863800733078893</v>
      </c>
      <c r="L1156" s="27">
        <f t="shared" ca="1" si="225"/>
        <v>0</v>
      </c>
      <c r="M1156" s="27">
        <f t="shared" ca="1" si="226"/>
        <v>2744.9403825855502</v>
      </c>
      <c r="N1156" s="28">
        <f t="shared" ca="1" si="227"/>
        <v>0.12845360800954619</v>
      </c>
      <c r="O1156" s="29">
        <f t="shared" ca="1" si="228"/>
        <v>600000</v>
      </c>
      <c r="P1156" s="30">
        <f t="shared" ca="1" si="229"/>
        <v>28.077901179453267</v>
      </c>
    </row>
    <row r="1157" spans="1:16" x14ac:dyDescent="0.25">
      <c r="A1157" s="3">
        <f t="shared" si="230"/>
        <v>47731</v>
      </c>
      <c r="B1157" s="21">
        <f t="shared" si="221"/>
        <v>36774</v>
      </c>
      <c r="C1157" s="21">
        <f t="shared" si="222"/>
        <v>36789</v>
      </c>
      <c r="D1157" s="1">
        <f t="shared" si="231"/>
        <v>0</v>
      </c>
      <c r="E1157" s="3">
        <f t="array" ref="E1157">INDEX($A$9:A1156, MAX(IF($D$9:D1156=1, ROW(D$9:$D1156)-ROW($D$9)+1, 0)))</f>
        <v>47654</v>
      </c>
      <c r="F1157" s="23">
        <f t="shared" si="223"/>
        <v>4.3969883641341543</v>
      </c>
      <c r="G1157" s="5">
        <f>INDEX('Default Prob'!$P$5:$P$14,MIN(1+_xlfn.IFNA(MATCH(F1157,'Default Prob'!$F$5:$F$14,1),0),COUNT('Default Prob'!$P$5:$P$14)))</f>
        <v>2.046797531464158E-2</v>
      </c>
      <c r="H1157" s="5">
        <f t="shared" si="232"/>
        <v>0.90896636990440194</v>
      </c>
      <c r="I1157" s="24">
        <f t="shared" si="233"/>
        <v>5.0938323116644924E-5</v>
      </c>
      <c r="J1157" s="25">
        <f>INDEX('Default Prob'!$C$3:$C$13, _xlfn.IFNA(MATCH(F1157, 'Default Prob'!$B$3:$B$13, 1), 1))</f>
        <v>1.95E-2</v>
      </c>
      <c r="K1157" s="26">
        <f t="shared" si="224"/>
        <v>0.91858943634130086</v>
      </c>
      <c r="L1157" s="27">
        <f t="shared" ca="1" si="225"/>
        <v>0</v>
      </c>
      <c r="M1157" s="27">
        <f t="shared" ca="1" si="226"/>
        <v>2781.0580191985182</v>
      </c>
      <c r="N1157" s="28">
        <f t="shared" ca="1" si="227"/>
        <v>0.13012961355065966</v>
      </c>
      <c r="O1157" s="29">
        <f t="shared" ca="1" si="228"/>
        <v>600000</v>
      </c>
      <c r="P1157" s="30">
        <f t="shared" ca="1" si="229"/>
        <v>28.07484331193395</v>
      </c>
    </row>
    <row r="1158" spans="1:16" x14ac:dyDescent="0.25">
      <c r="A1158" s="3">
        <f t="shared" si="230"/>
        <v>47732</v>
      </c>
      <c r="B1158" s="21">
        <f t="shared" si="221"/>
        <v>36775</v>
      </c>
      <c r="C1158" s="21">
        <f t="shared" si="222"/>
        <v>36789</v>
      </c>
      <c r="D1158" s="1">
        <f t="shared" si="231"/>
        <v>0</v>
      </c>
      <c r="E1158" s="3">
        <f t="array" ref="E1158">INDEX($A$9:A1157, MAX(IF($D$9:D1157=1, ROW(D$9:$D1157)-ROW($D$9)+1, 0)))</f>
        <v>47654</v>
      </c>
      <c r="F1158" s="23">
        <f t="shared" si="223"/>
        <v>4.3997262149212863</v>
      </c>
      <c r="G1158" s="5">
        <f>INDEX('Default Prob'!$P$5:$P$14,MIN(1+_xlfn.IFNA(MATCH(F1158,'Default Prob'!$F$5:$F$14,1),0),COUNT('Default Prob'!$P$5:$P$14)))</f>
        <v>2.046797531464158E-2</v>
      </c>
      <c r="H1158" s="5">
        <f t="shared" si="232"/>
        <v>0.90891543443570044</v>
      </c>
      <c r="I1158" s="24">
        <f t="shared" si="233"/>
        <v>5.0935468701496234E-5</v>
      </c>
      <c r="J1158" s="25">
        <f>INDEX('Default Prob'!$C$3:$C$13, _xlfn.IFNA(MATCH(F1158, 'Default Prob'!$B$3:$B$13, 1), 1))</f>
        <v>1.95E-2</v>
      </c>
      <c r="K1158" s="26">
        <f t="shared" si="224"/>
        <v>0.9185408679198982</v>
      </c>
      <c r="L1158" s="27">
        <f t="shared" ca="1" si="225"/>
        <v>0</v>
      </c>
      <c r="M1158" s="27">
        <f t="shared" ca="1" si="226"/>
        <v>2817.1756558114857</v>
      </c>
      <c r="N1158" s="28">
        <f t="shared" ca="1" si="227"/>
        <v>0.13180525251201861</v>
      </c>
      <c r="O1158" s="29">
        <f t="shared" ca="1" si="228"/>
        <v>600000</v>
      </c>
      <c r="P1158" s="30">
        <f t="shared" ca="1" si="229"/>
        <v>28.071785777387497</v>
      </c>
    </row>
    <row r="1159" spans="1:16" x14ac:dyDescent="0.25">
      <c r="A1159" s="3">
        <f t="shared" si="230"/>
        <v>47735</v>
      </c>
      <c r="B1159" s="21">
        <f t="shared" si="221"/>
        <v>36778</v>
      </c>
      <c r="C1159" s="21">
        <f t="shared" si="222"/>
        <v>36789</v>
      </c>
      <c r="D1159" s="1">
        <f t="shared" si="231"/>
        <v>0</v>
      </c>
      <c r="E1159" s="3">
        <f t="array" ref="E1159">INDEX($A$9:A1158, MAX(IF($D$9:D1158=1, ROW(D$9:$D1158)-ROW($D$9)+1, 0)))</f>
        <v>47654</v>
      </c>
      <c r="F1159" s="23">
        <f t="shared" si="223"/>
        <v>4.4079397672826834</v>
      </c>
      <c r="G1159" s="5">
        <f>INDEX('Default Prob'!$P$5:$P$14,MIN(1+_xlfn.IFNA(MATCH(F1159,'Default Prob'!$F$5:$F$14,1),0),COUNT('Default Prob'!$P$5:$P$14)))</f>
        <v>2.046797531464158E-2</v>
      </c>
      <c r="H1159" s="5">
        <f t="shared" si="232"/>
        <v>0.90876264515448735</v>
      </c>
      <c r="I1159" s="24">
        <f t="shared" si="233"/>
        <v>1.5278928121309487E-4</v>
      </c>
      <c r="J1159" s="25">
        <f>INDEX('Default Prob'!$C$3:$C$13, _xlfn.IFNA(MATCH(F1159, 'Default Prob'!$B$3:$B$13, 1), 1))</f>
        <v>1.95E-2</v>
      </c>
      <c r="K1159" s="26">
        <f t="shared" si="224"/>
        <v>0.91839517806284598</v>
      </c>
      <c r="L1159" s="27">
        <f t="shared" ca="1" si="225"/>
        <v>0</v>
      </c>
      <c r="M1159" s="27">
        <f t="shared" ca="1" si="226"/>
        <v>2925.5285656503888</v>
      </c>
      <c r="N1159" s="28">
        <f t="shared" ca="1" si="227"/>
        <v>0.4105129157714012</v>
      </c>
      <c r="O1159" s="29">
        <f t="shared" ca="1" si="228"/>
        <v>600000</v>
      </c>
      <c r="P1159" s="30">
        <f t="shared" ca="1" si="229"/>
        <v>84.192563475476703</v>
      </c>
    </row>
    <row r="1160" spans="1:16" x14ac:dyDescent="0.25">
      <c r="A1160" s="3">
        <f t="shared" si="230"/>
        <v>47736</v>
      </c>
      <c r="B1160" s="21">
        <f t="shared" si="221"/>
        <v>36779</v>
      </c>
      <c r="C1160" s="21">
        <f t="shared" si="222"/>
        <v>36789</v>
      </c>
      <c r="D1160" s="1">
        <f t="shared" si="231"/>
        <v>0</v>
      </c>
      <c r="E1160" s="3">
        <f t="array" ref="E1160">INDEX($A$9:A1159, MAX(IF($D$9:D1159=1, ROW(D$9:$D1159)-ROW($D$9)+1, 0)))</f>
        <v>47654</v>
      </c>
      <c r="F1160" s="23">
        <f t="shared" si="223"/>
        <v>4.4106776180698155</v>
      </c>
      <c r="G1160" s="5">
        <f>INDEX('Default Prob'!$P$5:$P$14,MIN(1+_xlfn.IFNA(MATCH(F1160,'Default Prob'!$F$5:$F$14,1),0),COUNT('Default Prob'!$P$5:$P$14)))</f>
        <v>2.046797531464158E-2</v>
      </c>
      <c r="H1160" s="5">
        <f t="shared" si="232"/>
        <v>0.90871172110184695</v>
      </c>
      <c r="I1160" s="24">
        <f t="shared" si="233"/>
        <v>5.0924052640399786E-5</v>
      </c>
      <c r="J1160" s="25">
        <f>INDEX('Default Prob'!$C$3:$C$13, _xlfn.IFNA(MATCH(F1160, 'Default Prob'!$B$3:$B$13, 1), 1))</f>
        <v>1.95E-2</v>
      </c>
      <c r="K1160" s="26">
        <f t="shared" si="224"/>
        <v>0.91834661991242794</v>
      </c>
      <c r="L1160" s="27">
        <f t="shared" ca="1" si="225"/>
        <v>0</v>
      </c>
      <c r="M1160" s="27">
        <f t="shared" ca="1" si="226"/>
        <v>2961.6462022633568</v>
      </c>
      <c r="N1160" s="28">
        <f t="shared" ca="1" si="227"/>
        <v>0.13850414376155082</v>
      </c>
      <c r="O1160" s="29">
        <f t="shared" ca="1" si="228"/>
        <v>600000</v>
      </c>
      <c r="P1160" s="30">
        <f t="shared" ca="1" si="229"/>
        <v>28.059558968732215</v>
      </c>
    </row>
    <row r="1161" spans="1:16" x14ac:dyDescent="0.25">
      <c r="A1161" s="3">
        <f t="shared" si="230"/>
        <v>47737</v>
      </c>
      <c r="B1161" s="21">
        <f t="shared" ref="B1161:B1224" si="234">DATE(2000, MONTH(A1161), DAY(A1161))</f>
        <v>36780</v>
      </c>
      <c r="C1161" s="21">
        <f t="shared" ref="C1161:C1224" si="235">VLOOKUP(B1161, $R$9:$S$13, 2)</f>
        <v>36789</v>
      </c>
      <c r="D1161" s="1">
        <f t="shared" si="231"/>
        <v>0</v>
      </c>
      <c r="E1161" s="3">
        <f t="array" ref="E1161">INDEX($A$9:A1160, MAX(IF($D$9:D1160=1, ROW(D$9:$D1160)-ROW($D$9)+1, 0)))</f>
        <v>47654</v>
      </c>
      <c r="F1161" s="23">
        <f t="shared" ref="F1161:F1224" si="236">(A1161-$A$2)/365.25</f>
        <v>4.4134154688569476</v>
      </c>
      <c r="G1161" s="5">
        <f>INDEX('Default Prob'!$P$5:$P$14,MIN(1+_xlfn.IFNA(MATCH(F1161,'Default Prob'!$F$5:$F$14,1),0),COUNT('Default Prob'!$P$5:$P$14)))</f>
        <v>2.046797531464158E-2</v>
      </c>
      <c r="H1161" s="5">
        <f t="shared" si="232"/>
        <v>0.908660799902822</v>
      </c>
      <c r="I1161" s="24">
        <f t="shared" si="233"/>
        <v>5.0921199024944741E-5</v>
      </c>
      <c r="J1161" s="25">
        <f>INDEX('Default Prob'!$C$3:$C$13, _xlfn.IFNA(MATCH(F1161, 'Default Prob'!$B$3:$B$13, 1), 1))</f>
        <v>1.95E-2</v>
      </c>
      <c r="K1161" s="26">
        <f t="shared" ref="K1161:K1224" si="237">1/((1+J1161)^F1161)</f>
        <v>0.91829806432941652</v>
      </c>
      <c r="L1161" s="27">
        <f t="shared" ref="L1161:L1224" ca="1" si="238">IF(AND(D1161, A1161 &lt;= $G$2), $D$5*$D$2*(A1161-E1161)/365.25, 0)</f>
        <v>0</v>
      </c>
      <c r="M1161" s="27">
        <f t="shared" ref="M1161:M1224" ca="1" si="239">IF(A1161&lt;=$G$2, $D$5*$D$2*(A1161-E1161)/365.25, 0)</f>
        <v>2997.7638388763244</v>
      </c>
      <c r="N1161" s="28">
        <f t="shared" ref="N1161:N1224" ca="1" si="240">(L1161*H1161 + M1161*I1161) * K1161</f>
        <v>0.14017795072465961</v>
      </c>
      <c r="O1161" s="29">
        <f t="shared" ref="O1161:O1224" ca="1" si="241">IF(A1161&lt;=$G$2, $D$2*(1-$D$3), 0)</f>
        <v>600000</v>
      </c>
      <c r="P1161" s="30">
        <f t="shared" ref="P1161:P1224" ca="1" si="242">O1161*I1161*K1161</f>
        <v>28.056503098763837</v>
      </c>
    </row>
    <row r="1162" spans="1:16" x14ac:dyDescent="0.25">
      <c r="A1162" s="3">
        <f t="shared" ref="A1162:A1225" si="243">WORKDAY(A1161, 1)</f>
        <v>47738</v>
      </c>
      <c r="B1162" s="21">
        <f t="shared" si="234"/>
        <v>36781</v>
      </c>
      <c r="C1162" s="21">
        <f t="shared" si="235"/>
        <v>36789</v>
      </c>
      <c r="D1162" s="1">
        <f t="shared" ref="D1162:D1225" si="244">IF(OR(C1162=B1162, AND(C1162&lt;&gt;C1161, C1161&gt;B1161)), 1, 0)</f>
        <v>0</v>
      </c>
      <c r="E1162" s="3">
        <f t="array" ref="E1162">INDEX($A$9:A1161, MAX(IF($D$9:D1161=1, ROW(D$9:$D1161)-ROW($D$9)+1, 0)))</f>
        <v>47654</v>
      </c>
      <c r="F1162" s="23">
        <f t="shared" si="236"/>
        <v>4.4161533196440796</v>
      </c>
      <c r="G1162" s="5">
        <f>INDEX('Default Prob'!$P$5:$P$14,MIN(1+_xlfn.IFNA(MATCH(F1162,'Default Prob'!$F$5:$F$14,1),0),COUNT('Default Prob'!$P$5:$P$14)))</f>
        <v>2.046797531464158E-2</v>
      </c>
      <c r="H1162" s="5">
        <f t="shared" ref="H1162:H1225" si="245">H1161*EXP(-G1161*(F1162-F1161))</f>
        <v>0.90860988155725264</v>
      </c>
      <c r="I1162" s="24">
        <f t="shared" ref="I1162:I1225" si="246">H1161-H1162</f>
        <v>5.0918345569361811E-5</v>
      </c>
      <c r="J1162" s="25">
        <f>INDEX('Default Prob'!$C$3:$C$13, _xlfn.IFNA(MATCH(F1162, 'Default Prob'!$B$3:$B$13, 1), 1))</f>
        <v>1.95E-2</v>
      </c>
      <c r="K1162" s="26">
        <f t="shared" si="237"/>
        <v>0.91824951131367616</v>
      </c>
      <c r="L1162" s="27">
        <f t="shared" ca="1" si="238"/>
        <v>0</v>
      </c>
      <c r="M1162" s="27">
        <f t="shared" ca="1" si="239"/>
        <v>3033.8814754892928</v>
      </c>
      <c r="N1162" s="28">
        <f t="shared" ca="1" si="240"/>
        <v>0.1418513914678152</v>
      </c>
      <c r="O1162" s="29">
        <f t="shared" ca="1" si="241"/>
        <v>600000</v>
      </c>
      <c r="P1162" s="30">
        <f t="shared" ca="1" si="242"/>
        <v>28.053447561580423</v>
      </c>
    </row>
    <row r="1163" spans="1:16" x14ac:dyDescent="0.25">
      <c r="A1163" s="3">
        <f t="shared" si="243"/>
        <v>47739</v>
      </c>
      <c r="B1163" s="21">
        <f t="shared" si="234"/>
        <v>36782</v>
      </c>
      <c r="C1163" s="21">
        <f t="shared" si="235"/>
        <v>36789</v>
      </c>
      <c r="D1163" s="1">
        <f t="shared" si="244"/>
        <v>0</v>
      </c>
      <c r="E1163" s="3">
        <f t="array" ref="E1163">INDEX($A$9:A1162, MAX(IF($D$9:D1162=1, ROW(D$9:$D1162)-ROW($D$9)+1, 0)))</f>
        <v>47654</v>
      </c>
      <c r="F1163" s="23">
        <f t="shared" si="236"/>
        <v>4.4188911704312117</v>
      </c>
      <c r="G1163" s="5">
        <f>INDEX('Default Prob'!$P$5:$P$14,MIN(1+_xlfn.IFNA(MATCH(F1163,'Default Prob'!$F$5:$F$14,1),0),COUNT('Default Prob'!$P$5:$P$14)))</f>
        <v>2.046797531464158E-2</v>
      </c>
      <c r="H1163" s="5">
        <f t="shared" si="245"/>
        <v>0.90855896606497899</v>
      </c>
      <c r="I1163" s="24">
        <f t="shared" si="246"/>
        <v>5.0915492273650997E-5</v>
      </c>
      <c r="J1163" s="25">
        <f>INDEX('Default Prob'!$C$3:$C$13, _xlfn.IFNA(MATCH(F1163, 'Default Prob'!$B$3:$B$13, 1), 1))</f>
        <v>1.95E-2</v>
      </c>
      <c r="K1163" s="26">
        <f t="shared" si="237"/>
        <v>0.91820096086507119</v>
      </c>
      <c r="L1163" s="27">
        <f t="shared" ca="1" si="238"/>
        <v>0</v>
      </c>
      <c r="M1163" s="27">
        <f t="shared" ca="1" si="239"/>
        <v>3069.9991121022604</v>
      </c>
      <c r="N1163" s="28">
        <f t="shared" ca="1" si="240"/>
        <v>0.14352446605095431</v>
      </c>
      <c r="O1163" s="29">
        <f t="shared" ca="1" si="241"/>
        <v>600000</v>
      </c>
      <c r="P1163" s="30">
        <f t="shared" ca="1" si="242"/>
        <v>28.050392357150674</v>
      </c>
    </row>
    <row r="1164" spans="1:16" x14ac:dyDescent="0.25">
      <c r="A1164" s="3">
        <f t="shared" si="243"/>
        <v>47742</v>
      </c>
      <c r="B1164" s="21">
        <f t="shared" si="234"/>
        <v>36785</v>
      </c>
      <c r="C1164" s="21">
        <f t="shared" si="235"/>
        <v>36789</v>
      </c>
      <c r="D1164" s="1">
        <f t="shared" si="244"/>
        <v>0</v>
      </c>
      <c r="E1164" s="3">
        <f t="array" ref="E1164">INDEX($A$9:A1163, MAX(IF($D$9:D1163=1, ROW(D$9:$D1163)-ROW($D$9)+1, 0)))</f>
        <v>47654</v>
      </c>
      <c r="F1164" s="23">
        <f t="shared" si="236"/>
        <v>4.4271047227926079</v>
      </c>
      <c r="G1164" s="5">
        <f>INDEX('Default Prob'!$P$5:$P$14,MIN(1+_xlfn.IFNA(MATCH(F1164,'Default Prob'!$F$5:$F$14,1),0),COUNT('Default Prob'!$P$5:$P$14)))</f>
        <v>2.046797531464158E-2</v>
      </c>
      <c r="H1164" s="5">
        <f t="shared" si="245"/>
        <v>0.90840623670633303</v>
      </c>
      <c r="I1164" s="24">
        <f t="shared" si="246"/>
        <v>1.5272935864596437E-4</v>
      </c>
      <c r="J1164" s="25">
        <f>INDEX('Default Prob'!$C$3:$C$13, _xlfn.IFNA(MATCH(F1164, 'Default Prob'!$B$3:$B$13, 1), 1))</f>
        <v>1.95E-2</v>
      </c>
      <c r="K1164" s="26">
        <f t="shared" si="237"/>
        <v>0.91805532492071029</v>
      </c>
      <c r="L1164" s="27">
        <f t="shared" ca="1" si="238"/>
        <v>0</v>
      </c>
      <c r="M1164" s="27">
        <f t="shared" ca="1" si="239"/>
        <v>3178.3520219411635</v>
      </c>
      <c r="N1164" s="28">
        <f t="shared" ca="1" si="240"/>
        <v>0.4456494535086038</v>
      </c>
      <c r="O1164" s="29">
        <f t="shared" ca="1" si="241"/>
        <v>600000</v>
      </c>
      <c r="P1164" s="30">
        <f t="shared" ca="1" si="242"/>
        <v>84.128400585991514</v>
      </c>
    </row>
    <row r="1165" spans="1:16" x14ac:dyDescent="0.25">
      <c r="A1165" s="3">
        <f t="shared" si="243"/>
        <v>47743</v>
      </c>
      <c r="B1165" s="21">
        <f t="shared" si="234"/>
        <v>36786</v>
      </c>
      <c r="C1165" s="21">
        <f t="shared" si="235"/>
        <v>36789</v>
      </c>
      <c r="D1165" s="1">
        <f t="shared" si="244"/>
        <v>0</v>
      </c>
      <c r="E1165" s="3">
        <f t="array" ref="E1165">INDEX($A$9:A1164, MAX(IF($D$9:D1164=1, ROW(D$9:$D1164)-ROW($D$9)+1, 0)))</f>
        <v>47654</v>
      </c>
      <c r="F1165" s="23">
        <f t="shared" si="236"/>
        <v>4.42984257357974</v>
      </c>
      <c r="G1165" s="5">
        <f>INDEX('Default Prob'!$P$5:$P$14,MIN(1+_xlfn.IFNA(MATCH(F1165,'Default Prob'!$F$5:$F$14,1),0),COUNT('Default Prob'!$P$5:$P$14)))</f>
        <v>2.046797531464158E-2</v>
      </c>
      <c r="H1165" s="5">
        <f t="shared" si="245"/>
        <v>0.90835533262564316</v>
      </c>
      <c r="I1165" s="24">
        <f t="shared" si="246"/>
        <v>5.0904080689861964E-5</v>
      </c>
      <c r="J1165" s="25">
        <f>INDEX('Default Prob'!$C$3:$C$13, _xlfn.IFNA(MATCH(F1165, 'Default Prob'!$B$3:$B$13, 1), 1))</f>
        <v>1.95E-2</v>
      </c>
      <c r="K1165" s="26">
        <f t="shared" si="237"/>
        <v>0.91800678473928898</v>
      </c>
      <c r="L1165" s="27">
        <f t="shared" ca="1" si="238"/>
        <v>0</v>
      </c>
      <c r="M1165" s="27">
        <f t="shared" ca="1" si="239"/>
        <v>3214.4696585541315</v>
      </c>
      <c r="N1165" s="28">
        <f t="shared" ca="1" si="240"/>
        <v>0.15021310398280319</v>
      </c>
      <c r="O1165" s="29">
        <f t="shared" ca="1" si="241"/>
        <v>600000</v>
      </c>
      <c r="P1165" s="30">
        <f t="shared" ca="1" si="242"/>
        <v>28.038174866525704</v>
      </c>
    </row>
    <row r="1166" spans="1:16" x14ac:dyDescent="0.25">
      <c r="A1166" s="3">
        <f t="shared" si="243"/>
        <v>47744</v>
      </c>
      <c r="B1166" s="21">
        <f t="shared" si="234"/>
        <v>36787</v>
      </c>
      <c r="C1166" s="21">
        <f t="shared" si="235"/>
        <v>36789</v>
      </c>
      <c r="D1166" s="1">
        <f t="shared" si="244"/>
        <v>0</v>
      </c>
      <c r="E1166" s="3">
        <f t="array" ref="E1166">INDEX($A$9:A1165, MAX(IF($D$9:D1165=1, ROW(D$9:$D1165)-ROW($D$9)+1, 0)))</f>
        <v>47654</v>
      </c>
      <c r="F1166" s="23">
        <f t="shared" si="236"/>
        <v>4.4325804243668721</v>
      </c>
      <c r="G1166" s="5">
        <f>INDEX('Default Prob'!$P$5:$P$14,MIN(1+_xlfn.IFNA(MATCH(F1166,'Default Prob'!$F$5:$F$14,1),0),COUNT('Default Prob'!$P$5:$P$14)))</f>
        <v>2.046797531464158E-2</v>
      </c>
      <c r="H1166" s="5">
        <f t="shared" si="245"/>
        <v>0.90830443139744965</v>
      </c>
      <c r="I1166" s="24">
        <f t="shared" si="246"/>
        <v>5.0901228193511727E-5</v>
      </c>
      <c r="J1166" s="25">
        <f>INDEX('Default Prob'!$C$3:$C$13, _xlfn.IFNA(MATCH(F1166, 'Default Prob'!$B$3:$B$13, 1), 1))</f>
        <v>1.95E-2</v>
      </c>
      <c r="K1166" s="26">
        <f t="shared" si="237"/>
        <v>0.91795824712432439</v>
      </c>
      <c r="L1166" s="27">
        <f t="shared" ca="1" si="238"/>
        <v>0</v>
      </c>
      <c r="M1166" s="27">
        <f t="shared" ca="1" si="239"/>
        <v>3250.587295167099</v>
      </c>
      <c r="N1166" s="28">
        <f t="shared" ca="1" si="240"/>
        <v>0.15188434866466066</v>
      </c>
      <c r="O1166" s="29">
        <f t="shared" ca="1" si="241"/>
        <v>600000</v>
      </c>
      <c r="P1166" s="30">
        <f t="shared" ca="1" si="242"/>
        <v>28.035121325394758</v>
      </c>
    </row>
    <row r="1167" spans="1:16" x14ac:dyDescent="0.25">
      <c r="A1167" s="3">
        <f t="shared" si="243"/>
        <v>47745</v>
      </c>
      <c r="B1167" s="21">
        <f t="shared" si="234"/>
        <v>36788</v>
      </c>
      <c r="C1167" s="21">
        <f t="shared" si="235"/>
        <v>36789</v>
      </c>
      <c r="D1167" s="1">
        <f t="shared" si="244"/>
        <v>0</v>
      </c>
      <c r="E1167" s="3">
        <f t="array" ref="E1167">INDEX($A$9:A1166, MAX(IF($D$9:D1166=1, ROW(D$9:$D1166)-ROW($D$9)+1, 0)))</f>
        <v>47654</v>
      </c>
      <c r="F1167" s="23">
        <f t="shared" si="236"/>
        <v>4.4353182751540041</v>
      </c>
      <c r="G1167" s="5">
        <f>INDEX('Default Prob'!$P$5:$P$14,MIN(1+_xlfn.IFNA(MATCH(F1167,'Default Prob'!$F$5:$F$14,1),0),COUNT('Default Prob'!$P$5:$P$14)))</f>
        <v>2.046797531464158E-2</v>
      </c>
      <c r="H1167" s="5">
        <f t="shared" si="245"/>
        <v>0.90825353302159251</v>
      </c>
      <c r="I1167" s="24">
        <f t="shared" si="246"/>
        <v>5.0898375857144629E-5</v>
      </c>
      <c r="J1167" s="25">
        <f>INDEX('Default Prob'!$C$3:$C$13, _xlfn.IFNA(MATCH(F1167, 'Default Prob'!$B$3:$B$13, 1), 1))</f>
        <v>1.95E-2</v>
      </c>
      <c r="K1167" s="26">
        <f t="shared" si="237"/>
        <v>0.91790971207568073</v>
      </c>
      <c r="L1167" s="27">
        <f t="shared" ca="1" si="238"/>
        <v>0</v>
      </c>
      <c r="M1167" s="27">
        <f t="shared" ca="1" si="239"/>
        <v>3286.7049317800665</v>
      </c>
      <c r="N1167" s="28">
        <f t="shared" ca="1" si="240"/>
        <v>0.15355522754629983</v>
      </c>
      <c r="O1167" s="29">
        <f t="shared" ca="1" si="241"/>
        <v>600000</v>
      </c>
      <c r="P1167" s="30">
        <f t="shared" ca="1" si="242"/>
        <v>28.032068116890844</v>
      </c>
    </row>
    <row r="1168" spans="1:16" x14ac:dyDescent="0.25">
      <c r="A1168" s="3">
        <f t="shared" si="243"/>
        <v>47746</v>
      </c>
      <c r="B1168" s="21">
        <f t="shared" si="234"/>
        <v>36789</v>
      </c>
      <c r="C1168" s="21">
        <f t="shared" si="235"/>
        <v>36789</v>
      </c>
      <c r="D1168" s="1">
        <f t="shared" si="244"/>
        <v>1</v>
      </c>
      <c r="E1168" s="3">
        <f t="array" ref="E1168">INDEX($A$9:A1167, MAX(IF($D$9:D1167=1, ROW(D$9:$D1167)-ROW($D$9)+1, 0)))</f>
        <v>47654</v>
      </c>
      <c r="F1168" s="23">
        <f t="shared" si="236"/>
        <v>4.4380561259411362</v>
      </c>
      <c r="G1168" s="5">
        <f>INDEX('Default Prob'!$P$5:$P$14,MIN(1+_xlfn.IFNA(MATCH(F1168,'Default Prob'!$F$5:$F$14,1),0),COUNT('Default Prob'!$P$5:$P$14)))</f>
        <v>2.046797531464158E-2</v>
      </c>
      <c r="H1168" s="5">
        <f t="shared" si="245"/>
        <v>0.90820263749791197</v>
      </c>
      <c r="I1168" s="24">
        <f t="shared" si="246"/>
        <v>5.0895523680538624E-5</v>
      </c>
      <c r="J1168" s="25">
        <f>INDEX('Default Prob'!$C$3:$C$13, _xlfn.IFNA(MATCH(F1168, 'Default Prob'!$B$3:$B$13, 1), 1))</f>
        <v>1.95E-2</v>
      </c>
      <c r="K1168" s="26">
        <f t="shared" si="237"/>
        <v>0.91786117959322233</v>
      </c>
      <c r="L1168" s="27">
        <f t="shared" ca="1" si="238"/>
        <v>3322.8225683930345</v>
      </c>
      <c r="M1168" s="27">
        <f t="shared" ca="1" si="239"/>
        <v>3322.8225683930345</v>
      </c>
      <c r="N1168" s="28">
        <f t="shared" ca="1" si="240"/>
        <v>2770.0732245086424</v>
      </c>
      <c r="O1168" s="29">
        <f t="shared" ca="1" si="241"/>
        <v>600000</v>
      </c>
      <c r="P1168" s="30">
        <f t="shared" ca="1" si="242"/>
        <v>28.029015240860378</v>
      </c>
    </row>
    <row r="1169" spans="1:16" x14ac:dyDescent="0.25">
      <c r="A1169" s="3">
        <f t="shared" si="243"/>
        <v>47749</v>
      </c>
      <c r="B1169" s="21">
        <f t="shared" si="234"/>
        <v>36792</v>
      </c>
      <c r="C1169" s="21">
        <f t="shared" si="235"/>
        <v>36880</v>
      </c>
      <c r="D1169" s="1">
        <f t="shared" si="244"/>
        <v>0</v>
      </c>
      <c r="E1169" s="3">
        <f t="array" ref="E1169">INDEX($A$9:A1168, MAX(IF($D$9:D1168=1, ROW(D$9:$D1168)-ROW($D$9)+1, 0)))</f>
        <v>47746</v>
      </c>
      <c r="F1169" s="23">
        <f t="shared" si="236"/>
        <v>4.4462696783025324</v>
      </c>
      <c r="G1169" s="5">
        <f>INDEX('Default Prob'!$P$5:$P$14,MIN(1+_xlfn.IFNA(MATCH(F1169,'Default Prob'!$F$5:$F$14,1),0),COUNT('Default Prob'!$P$5:$P$14)))</f>
        <v>2.046797531464158E-2</v>
      </c>
      <c r="H1169" s="5">
        <f t="shared" si="245"/>
        <v>0.90804996803833204</v>
      </c>
      <c r="I1169" s="24">
        <f t="shared" si="246"/>
        <v>1.5266945957992384E-4</v>
      </c>
      <c r="J1169" s="25">
        <f>INDEX('Default Prob'!$C$3:$C$13, _xlfn.IFNA(MATCH(F1169, 'Default Prob'!$B$3:$B$13, 1), 1))</f>
        <v>1.95E-2</v>
      </c>
      <c r="K1169" s="26">
        <f t="shared" si="237"/>
        <v>0.91771559754160226</v>
      </c>
      <c r="L1169" s="27">
        <f t="shared" ca="1" si="238"/>
        <v>0</v>
      </c>
      <c r="M1169" s="27">
        <f t="shared" ca="1" si="239"/>
        <v>108.35290983890332</v>
      </c>
      <c r="N1169" s="28">
        <f t="shared" ca="1" si="240"/>
        <v>1.5181016776805126E-2</v>
      </c>
      <c r="O1169" s="29">
        <f t="shared" ca="1" si="241"/>
        <v>600000</v>
      </c>
      <c r="P1169" s="30">
        <f t="shared" ca="1" si="242"/>
        <v>84.064286594845981</v>
      </c>
    </row>
    <row r="1170" spans="1:16" x14ac:dyDescent="0.25">
      <c r="A1170" s="3">
        <f t="shared" si="243"/>
        <v>47750</v>
      </c>
      <c r="B1170" s="21">
        <f t="shared" si="234"/>
        <v>36793</v>
      </c>
      <c r="C1170" s="21">
        <f t="shared" si="235"/>
        <v>36880</v>
      </c>
      <c r="D1170" s="1">
        <f t="shared" si="244"/>
        <v>0</v>
      </c>
      <c r="E1170" s="3">
        <f t="array" ref="E1170">INDEX($A$9:A1169, MAX(IF($D$9:D1169=1, ROW(D$9:$D1169)-ROW($D$9)+1, 0)))</f>
        <v>47746</v>
      </c>
      <c r="F1170" s="23">
        <f t="shared" si="236"/>
        <v>4.4490075290896645</v>
      </c>
      <c r="G1170" s="5">
        <f>INDEX('Default Prob'!$P$5:$P$14,MIN(1+_xlfn.IFNA(MATCH(F1170,'Default Prob'!$F$5:$F$14,1),0),COUNT('Default Prob'!$P$5:$P$14)))</f>
        <v>2.046797531464158E-2</v>
      </c>
      <c r="H1170" s="5">
        <f t="shared" si="245"/>
        <v>0.90799908392175988</v>
      </c>
      <c r="I1170" s="24">
        <f t="shared" si="246"/>
        <v>5.0884116572169624E-5</v>
      </c>
      <c r="J1170" s="25">
        <f>INDEX('Default Prob'!$C$3:$C$13, _xlfn.IFNA(MATCH(F1170, 'Default Prob'!$B$3:$B$13, 1), 1))</f>
        <v>1.95E-2</v>
      </c>
      <c r="K1170" s="26">
        <f t="shared" si="237"/>
        <v>0.91766707532252823</v>
      </c>
      <c r="L1170" s="27">
        <f t="shared" ca="1" si="238"/>
        <v>0</v>
      </c>
      <c r="M1170" s="27">
        <f t="shared" ca="1" si="239"/>
        <v>144.47054645187106</v>
      </c>
      <c r="N1170" s="28">
        <f t="shared" ca="1" si="240"/>
        <v>6.7460057099210241E-3</v>
      </c>
      <c r="O1170" s="29">
        <f t="shared" ca="1" si="241"/>
        <v>600000</v>
      </c>
      <c r="P1170" s="30">
        <f t="shared" ca="1" si="242"/>
        <v>28.016807061092095</v>
      </c>
    </row>
    <row r="1171" spans="1:16" x14ac:dyDescent="0.25">
      <c r="A1171" s="3">
        <f t="shared" si="243"/>
        <v>47751</v>
      </c>
      <c r="B1171" s="21">
        <f t="shared" si="234"/>
        <v>36794</v>
      </c>
      <c r="C1171" s="21">
        <f t="shared" si="235"/>
        <v>36880</v>
      </c>
      <c r="D1171" s="1">
        <f t="shared" si="244"/>
        <v>0</v>
      </c>
      <c r="E1171" s="3">
        <f t="array" ref="E1171">INDEX($A$9:A1170, MAX(IF($D$9:D1170=1, ROW(D$9:$D1170)-ROW($D$9)+1, 0)))</f>
        <v>47746</v>
      </c>
      <c r="F1171" s="23">
        <f t="shared" si="236"/>
        <v>4.4517453798767965</v>
      </c>
      <c r="G1171" s="5">
        <f>INDEX('Default Prob'!$P$5:$P$14,MIN(1+_xlfn.IFNA(MATCH(F1171,'Default Prob'!$F$5:$F$14,1),0),COUNT('Default Prob'!$P$5:$P$14)))</f>
        <v>2.046797531464158E-2</v>
      </c>
      <c r="H1171" s="5">
        <f t="shared" si="245"/>
        <v>0.90794820265656528</v>
      </c>
      <c r="I1171" s="24">
        <f t="shared" si="246"/>
        <v>5.088126519459113E-5</v>
      </c>
      <c r="J1171" s="25">
        <f>INDEX('Default Prob'!$C$3:$C$13, _xlfn.IFNA(MATCH(F1171, 'Default Prob'!$B$3:$B$13, 1), 1))</f>
        <v>1.95E-2</v>
      </c>
      <c r="K1171" s="26">
        <f t="shared" si="237"/>
        <v>0.91761855566896122</v>
      </c>
      <c r="L1171" s="27">
        <f t="shared" ca="1" si="238"/>
        <v>0</v>
      </c>
      <c r="M1171" s="27">
        <f t="shared" ca="1" si="239"/>
        <v>180.58818306483883</v>
      </c>
      <c r="N1171" s="28">
        <f t="shared" ca="1" si="240"/>
        <v>8.4315887820775905E-3</v>
      </c>
      <c r="O1171" s="29">
        <f t="shared" ca="1" si="241"/>
        <v>600000</v>
      </c>
      <c r="P1171" s="30">
        <f t="shared" ca="1" si="242"/>
        <v>28.013755847082059</v>
      </c>
    </row>
    <row r="1172" spans="1:16" x14ac:dyDescent="0.25">
      <c r="A1172" s="3">
        <f t="shared" si="243"/>
        <v>47752</v>
      </c>
      <c r="B1172" s="21">
        <f t="shared" si="234"/>
        <v>36795</v>
      </c>
      <c r="C1172" s="21">
        <f t="shared" si="235"/>
        <v>36880</v>
      </c>
      <c r="D1172" s="1">
        <f t="shared" si="244"/>
        <v>0</v>
      </c>
      <c r="E1172" s="3">
        <f t="array" ref="E1172">INDEX($A$9:A1171, MAX(IF($D$9:D1171=1, ROW(D$9:$D1171)-ROW($D$9)+1, 0)))</f>
        <v>47746</v>
      </c>
      <c r="F1172" s="23">
        <f t="shared" si="236"/>
        <v>4.4544832306639286</v>
      </c>
      <c r="G1172" s="5">
        <f>INDEX('Default Prob'!$P$5:$P$14,MIN(1+_xlfn.IFNA(MATCH(F1172,'Default Prob'!$F$5:$F$14,1),0),COUNT('Default Prob'!$P$5:$P$14)))</f>
        <v>2.046797531464158E-2</v>
      </c>
      <c r="H1172" s="5">
        <f t="shared" si="245"/>
        <v>0.90789732424258851</v>
      </c>
      <c r="I1172" s="24">
        <f t="shared" si="246"/>
        <v>5.0878413976773729E-5</v>
      </c>
      <c r="J1172" s="25">
        <f>INDEX('Default Prob'!$C$3:$C$13, _xlfn.IFNA(MATCH(F1172, 'Default Prob'!$B$3:$B$13, 1), 1))</f>
        <v>1.95E-2</v>
      </c>
      <c r="K1172" s="26">
        <f t="shared" si="237"/>
        <v>0.91757003858076558</v>
      </c>
      <c r="L1172" s="27">
        <f t="shared" ca="1" si="238"/>
        <v>0</v>
      </c>
      <c r="M1172" s="27">
        <f t="shared" ca="1" si="239"/>
        <v>216.70581967780663</v>
      </c>
      <c r="N1172" s="28">
        <f t="shared" ca="1" si="240"/>
        <v>1.0116804632118472E-2</v>
      </c>
      <c r="O1172" s="29">
        <f t="shared" ca="1" si="241"/>
        <v>600000</v>
      </c>
      <c r="P1172" s="30">
        <f t="shared" ca="1" si="242"/>
        <v>28.01070496535786</v>
      </c>
    </row>
    <row r="1173" spans="1:16" x14ac:dyDescent="0.25">
      <c r="A1173" s="3">
        <f t="shared" si="243"/>
        <v>47753</v>
      </c>
      <c r="B1173" s="21">
        <f t="shared" si="234"/>
        <v>36796</v>
      </c>
      <c r="C1173" s="21">
        <f t="shared" si="235"/>
        <v>36880</v>
      </c>
      <c r="D1173" s="1">
        <f t="shared" si="244"/>
        <v>0</v>
      </c>
      <c r="E1173" s="3">
        <f t="array" ref="E1173">INDEX($A$9:A1172, MAX(IF($D$9:D1172=1, ROW(D$9:$D1172)-ROW($D$9)+1, 0)))</f>
        <v>47746</v>
      </c>
      <c r="F1173" s="23">
        <f t="shared" si="236"/>
        <v>4.4572210814510607</v>
      </c>
      <c r="G1173" s="5">
        <f>INDEX('Default Prob'!$P$5:$P$14,MIN(1+_xlfn.IFNA(MATCH(F1173,'Default Prob'!$F$5:$F$14,1),0),COUNT('Default Prob'!$P$5:$P$14)))</f>
        <v>2.046797531464158E-2</v>
      </c>
      <c r="H1173" s="5">
        <f t="shared" si="245"/>
        <v>0.90784644867966968</v>
      </c>
      <c r="I1173" s="24">
        <f t="shared" si="246"/>
        <v>5.0875562918828443E-5</v>
      </c>
      <c r="J1173" s="25">
        <f>INDEX('Default Prob'!$C$3:$C$13, _xlfn.IFNA(MATCH(F1173, 'Default Prob'!$B$3:$B$13, 1), 1))</f>
        <v>1.95E-2</v>
      </c>
      <c r="K1173" s="26">
        <f t="shared" si="237"/>
        <v>0.91752152405780552</v>
      </c>
      <c r="L1173" s="27">
        <f t="shared" ca="1" si="238"/>
        <v>0</v>
      </c>
      <c r="M1173" s="27">
        <f t="shared" ca="1" si="239"/>
        <v>252.82345629077437</v>
      </c>
      <c r="N1173" s="28">
        <f t="shared" ca="1" si="240"/>
        <v>1.180165332006314E-2</v>
      </c>
      <c r="O1173" s="29">
        <f t="shared" ca="1" si="241"/>
        <v>600000</v>
      </c>
      <c r="P1173" s="30">
        <f t="shared" ca="1" si="242"/>
        <v>28.00765441594935</v>
      </c>
    </row>
    <row r="1174" spans="1:16" x14ac:dyDescent="0.25">
      <c r="A1174" s="3">
        <f t="shared" si="243"/>
        <v>47756</v>
      </c>
      <c r="B1174" s="21">
        <f t="shared" si="234"/>
        <v>36799</v>
      </c>
      <c r="C1174" s="21">
        <f t="shared" si="235"/>
        <v>36880</v>
      </c>
      <c r="D1174" s="1">
        <f t="shared" si="244"/>
        <v>0</v>
      </c>
      <c r="E1174" s="3">
        <f t="array" ref="E1174">INDEX($A$9:A1173, MAX(IF($D$9:D1173=1, ROW(D$9:$D1173)-ROW($D$9)+1, 0)))</f>
        <v>47746</v>
      </c>
      <c r="F1174" s="23">
        <f t="shared" si="236"/>
        <v>4.4654346338124569</v>
      </c>
      <c r="G1174" s="5">
        <f>INDEX('Default Prob'!$P$5:$P$14,MIN(1+_xlfn.IFNA(MATCH(F1174,'Default Prob'!$F$5:$F$14,1),0),COUNT('Default Prob'!$P$5:$P$14)))</f>
        <v>2.046797531464158E-2</v>
      </c>
      <c r="H1174" s="5">
        <f t="shared" si="245"/>
        <v>0.90769383909566392</v>
      </c>
      <c r="I1174" s="24">
        <f t="shared" si="246"/>
        <v>1.5260958400575841E-4</v>
      </c>
      <c r="J1174" s="25">
        <f>INDEX('Default Prob'!$C$3:$C$13, _xlfn.IFNA(MATCH(F1174, 'Default Prob'!$B$3:$B$13, 1), 1))</f>
        <v>1.95E-2</v>
      </c>
      <c r="K1174" s="26">
        <f t="shared" si="237"/>
        <v>0.91737599587898311</v>
      </c>
      <c r="L1174" s="27">
        <f t="shared" ca="1" si="238"/>
        <v>0</v>
      </c>
      <c r="M1174" s="27">
        <f t="shared" ca="1" si="239"/>
        <v>361.17636612967766</v>
      </c>
      <c r="N1174" s="28">
        <f t="shared" ca="1" si="240"/>
        <v>5.056482457122656E-2</v>
      </c>
      <c r="O1174" s="29">
        <f t="shared" ca="1" si="241"/>
        <v>600000</v>
      </c>
      <c r="P1174" s="30">
        <f t="shared" ca="1" si="242"/>
        <v>84.000221464775962</v>
      </c>
    </row>
    <row r="1175" spans="1:16" x14ac:dyDescent="0.25">
      <c r="A1175" s="3">
        <f t="shared" si="243"/>
        <v>47757</v>
      </c>
      <c r="B1175" s="21">
        <f t="shared" si="234"/>
        <v>36800</v>
      </c>
      <c r="C1175" s="21">
        <f t="shared" si="235"/>
        <v>36880</v>
      </c>
      <c r="D1175" s="1">
        <f t="shared" si="244"/>
        <v>0</v>
      </c>
      <c r="E1175" s="3">
        <f t="array" ref="E1175">INDEX($A$9:A1174, MAX(IF($D$9:D1174=1, ROW(D$9:$D1174)-ROW($D$9)+1, 0)))</f>
        <v>47746</v>
      </c>
      <c r="F1175" s="23">
        <f t="shared" si="236"/>
        <v>4.4681724845995889</v>
      </c>
      <c r="G1175" s="5">
        <f>INDEX('Default Prob'!$P$5:$P$14,MIN(1+_xlfn.IFNA(MATCH(F1175,'Default Prob'!$F$5:$F$14,1),0),COUNT('Default Prob'!$P$5:$P$14)))</f>
        <v>2.046797531464158E-2</v>
      </c>
      <c r="H1175" s="5">
        <f t="shared" si="245"/>
        <v>0.90764297493537971</v>
      </c>
      <c r="I1175" s="24">
        <f t="shared" si="246"/>
        <v>5.0864160284214144E-5</v>
      </c>
      <c r="J1175" s="25">
        <f>INDEX('Default Prob'!$C$3:$C$13, _xlfn.IFNA(MATCH(F1175, 'Default Prob'!$B$3:$B$13, 1), 1))</f>
        <v>1.95E-2</v>
      </c>
      <c r="K1175" s="26">
        <f t="shared" si="237"/>
        <v>0.91732749161560967</v>
      </c>
      <c r="L1175" s="27">
        <f t="shared" ca="1" si="238"/>
        <v>0</v>
      </c>
      <c r="M1175" s="27">
        <f t="shared" ca="1" si="239"/>
        <v>397.29400274264543</v>
      </c>
      <c r="N1175" s="28">
        <f t="shared" ca="1" si="240"/>
        <v>1.8537377650144977E-2</v>
      </c>
      <c r="O1175" s="29">
        <f t="shared" ca="1" si="241"/>
        <v>600000</v>
      </c>
      <c r="P1175" s="30">
        <f t="shared" ca="1" si="242"/>
        <v>27.995455539991486</v>
      </c>
    </row>
    <row r="1176" spans="1:16" x14ac:dyDescent="0.25">
      <c r="A1176" s="3">
        <f t="shared" si="243"/>
        <v>47758</v>
      </c>
      <c r="B1176" s="21">
        <f t="shared" si="234"/>
        <v>36801</v>
      </c>
      <c r="C1176" s="21">
        <f t="shared" si="235"/>
        <v>36880</v>
      </c>
      <c r="D1176" s="1">
        <f t="shared" si="244"/>
        <v>0</v>
      </c>
      <c r="E1176" s="3">
        <f t="array" ref="E1176">INDEX($A$9:A1175, MAX(IF($D$9:D1175=1, ROW(D$9:$D1175)-ROW($D$9)+1, 0)))</f>
        <v>47746</v>
      </c>
      <c r="F1176" s="23">
        <f t="shared" si="236"/>
        <v>4.470910335386721</v>
      </c>
      <c r="G1176" s="5">
        <f>INDEX('Default Prob'!$P$5:$P$14,MIN(1+_xlfn.IFNA(MATCH(F1176,'Default Prob'!$F$5:$F$14,1),0),COUNT('Default Prob'!$P$5:$P$14)))</f>
        <v>2.046797531464158E-2</v>
      </c>
      <c r="H1176" s="5">
        <f t="shared" si="245"/>
        <v>0.90759211362535475</v>
      </c>
      <c r="I1176" s="24">
        <f t="shared" si="246"/>
        <v>5.0861310024963302E-5</v>
      </c>
      <c r="J1176" s="25">
        <f>INDEX('Default Prob'!$C$3:$C$13, _xlfn.IFNA(MATCH(F1176, 'Default Prob'!$B$3:$B$13, 1), 1))</f>
        <v>1.95E-2</v>
      </c>
      <c r="K1176" s="26">
        <f t="shared" si="237"/>
        <v>0.91727898991679357</v>
      </c>
      <c r="L1176" s="27">
        <f t="shared" ca="1" si="238"/>
        <v>0</v>
      </c>
      <c r="M1176" s="27">
        <f t="shared" ca="1" si="239"/>
        <v>433.41163935561326</v>
      </c>
      <c r="N1176" s="28">
        <f t="shared" ca="1" si="240"/>
        <v>2.0220391427100245E-2</v>
      </c>
      <c r="O1176" s="29">
        <f t="shared" ca="1" si="241"/>
        <v>600000</v>
      </c>
      <c r="P1176" s="30">
        <f t="shared" ca="1" si="242"/>
        <v>27.992406651325936</v>
      </c>
    </row>
    <row r="1177" spans="1:16" x14ac:dyDescent="0.25">
      <c r="A1177" s="3">
        <f t="shared" si="243"/>
        <v>47759</v>
      </c>
      <c r="B1177" s="21">
        <f t="shared" si="234"/>
        <v>36802</v>
      </c>
      <c r="C1177" s="21">
        <f t="shared" si="235"/>
        <v>36880</v>
      </c>
      <c r="D1177" s="1">
        <f t="shared" si="244"/>
        <v>0</v>
      </c>
      <c r="E1177" s="3">
        <f t="array" ref="E1177">INDEX($A$9:A1176, MAX(IF($D$9:D1176=1, ROW(D$9:$D1176)-ROW($D$9)+1, 0)))</f>
        <v>47746</v>
      </c>
      <c r="F1177" s="23">
        <f t="shared" si="236"/>
        <v>4.473648186173854</v>
      </c>
      <c r="G1177" s="5">
        <f>INDEX('Default Prob'!$P$5:$P$14,MIN(1+_xlfn.IFNA(MATCH(F1177,'Default Prob'!$F$5:$F$14,1),0),COUNT('Default Prob'!$P$5:$P$14)))</f>
        <v>2.046797531464158E-2</v>
      </c>
      <c r="H1177" s="5">
        <f t="shared" si="245"/>
        <v>0.90754125516542938</v>
      </c>
      <c r="I1177" s="24">
        <f t="shared" si="246"/>
        <v>5.0858459925362531E-5</v>
      </c>
      <c r="J1177" s="25">
        <f>INDEX('Default Prob'!$C$3:$C$13, _xlfn.IFNA(MATCH(F1177, 'Default Prob'!$B$3:$B$13, 1), 1))</f>
        <v>1.95E-2</v>
      </c>
      <c r="K1177" s="26">
        <f t="shared" si="237"/>
        <v>0.9172304907823996</v>
      </c>
      <c r="L1177" s="27">
        <f t="shared" ca="1" si="238"/>
        <v>0</v>
      </c>
      <c r="M1177" s="27">
        <f t="shared" ca="1" si="239"/>
        <v>469.52927596858098</v>
      </c>
      <c r="N1177" s="28">
        <f t="shared" ca="1" si="240"/>
        <v>2.1903038401690066E-2</v>
      </c>
      <c r="O1177" s="29">
        <f t="shared" ca="1" si="241"/>
        <v>600000</v>
      </c>
      <c r="P1177" s="30">
        <f t="shared" ca="1" si="242"/>
        <v>27.989358094666365</v>
      </c>
    </row>
    <row r="1178" spans="1:16" x14ac:dyDescent="0.25">
      <c r="A1178" s="3">
        <f t="shared" si="243"/>
        <v>47760</v>
      </c>
      <c r="B1178" s="21">
        <f t="shared" si="234"/>
        <v>36803</v>
      </c>
      <c r="C1178" s="21">
        <f t="shared" si="235"/>
        <v>36880</v>
      </c>
      <c r="D1178" s="1">
        <f t="shared" si="244"/>
        <v>0</v>
      </c>
      <c r="E1178" s="3">
        <f t="array" ref="E1178">INDEX($A$9:A1177, MAX(IF($D$9:D1177=1, ROW(D$9:$D1177)-ROW($D$9)+1, 0)))</f>
        <v>47746</v>
      </c>
      <c r="F1178" s="23">
        <f t="shared" si="236"/>
        <v>4.476386036960986</v>
      </c>
      <c r="G1178" s="5">
        <f>INDEX('Default Prob'!$P$5:$P$14,MIN(1+_xlfn.IFNA(MATCH(F1178,'Default Prob'!$F$5:$F$14,1),0),COUNT('Default Prob'!$P$5:$P$14)))</f>
        <v>2.046797531464158E-2</v>
      </c>
      <c r="H1178" s="5">
        <f t="shared" si="245"/>
        <v>0.90749039955544386</v>
      </c>
      <c r="I1178" s="24">
        <f t="shared" si="246"/>
        <v>5.0855609985522854E-5</v>
      </c>
      <c r="J1178" s="25">
        <f>INDEX('Default Prob'!$C$3:$C$13, _xlfn.IFNA(MATCH(F1178, 'Default Prob'!$B$3:$B$13, 1), 1))</f>
        <v>1.95E-2</v>
      </c>
      <c r="K1178" s="26">
        <f t="shared" si="237"/>
        <v>0.91718199421229185</v>
      </c>
      <c r="L1178" s="27">
        <f t="shared" ca="1" si="238"/>
        <v>0</v>
      </c>
      <c r="M1178" s="27">
        <f t="shared" ca="1" si="239"/>
        <v>505.64691258154875</v>
      </c>
      <c r="N1178" s="28">
        <f t="shared" ca="1" si="240"/>
        <v>2.3585318633895975E-2</v>
      </c>
      <c r="O1178" s="29">
        <f t="shared" ca="1" si="241"/>
        <v>600000</v>
      </c>
      <c r="P1178" s="30">
        <f t="shared" ca="1" si="242"/>
        <v>27.986309870042636</v>
      </c>
    </row>
    <row r="1179" spans="1:16" x14ac:dyDescent="0.25">
      <c r="A1179" s="3">
        <f t="shared" si="243"/>
        <v>47763</v>
      </c>
      <c r="B1179" s="21">
        <f t="shared" si="234"/>
        <v>36806</v>
      </c>
      <c r="C1179" s="21">
        <f t="shared" si="235"/>
        <v>36880</v>
      </c>
      <c r="D1179" s="1">
        <f t="shared" si="244"/>
        <v>0</v>
      </c>
      <c r="E1179" s="3">
        <f t="array" ref="E1179">INDEX($A$9:A1178, MAX(IF($D$9:D1178=1, ROW(D$9:$D1178)-ROW($D$9)+1, 0)))</f>
        <v>47746</v>
      </c>
      <c r="F1179" s="23">
        <f t="shared" si="236"/>
        <v>4.4845995893223822</v>
      </c>
      <c r="G1179" s="5">
        <f>INDEX('Default Prob'!$P$5:$P$14,MIN(1+_xlfn.IFNA(MATCH(F1179,'Default Prob'!$F$5:$F$14,1),0),COUNT('Default Prob'!$P$5:$P$14)))</f>
        <v>2.046797531464158E-2</v>
      </c>
      <c r="H1179" s="5">
        <f t="shared" si="245"/>
        <v>0.90733784982352961</v>
      </c>
      <c r="I1179" s="24">
        <f t="shared" si="246"/>
        <v>1.5254973191425325E-4</v>
      </c>
      <c r="J1179" s="25">
        <f>INDEX('Default Prob'!$C$3:$C$13, _xlfn.IFNA(MATCH(F1179, 'Default Prob'!$B$3:$B$13, 1), 1))</f>
        <v>1.95E-2</v>
      </c>
      <c r="K1179" s="26">
        <f t="shared" si="237"/>
        <v>0.91703651988633161</v>
      </c>
      <c r="L1179" s="27">
        <f t="shared" ca="1" si="238"/>
        <v>0</v>
      </c>
      <c r="M1179" s="27">
        <f t="shared" ca="1" si="239"/>
        <v>613.99982242045212</v>
      </c>
      <c r="N1179" s="28">
        <f t="shared" ca="1" si="240"/>
        <v>8.5894691769987555E-2</v>
      </c>
      <c r="O1179" s="29">
        <f t="shared" ca="1" si="241"/>
        <v>600000</v>
      </c>
      <c r="P1179" s="30">
        <f t="shared" ca="1" si="242"/>
        <v>83.9362051585438</v>
      </c>
    </row>
    <row r="1180" spans="1:16" x14ac:dyDescent="0.25">
      <c r="A1180" s="3">
        <f t="shared" si="243"/>
        <v>47764</v>
      </c>
      <c r="B1180" s="21">
        <f t="shared" si="234"/>
        <v>36807</v>
      </c>
      <c r="C1180" s="21">
        <f t="shared" si="235"/>
        <v>36880</v>
      </c>
      <c r="D1180" s="1">
        <f t="shared" si="244"/>
        <v>0</v>
      </c>
      <c r="E1180" s="3">
        <f t="array" ref="E1180">INDEX($A$9:A1179, MAX(IF($D$9:D1179=1, ROW(D$9:$D1179)-ROW($D$9)+1, 0)))</f>
        <v>47746</v>
      </c>
      <c r="F1180" s="23">
        <f t="shared" si="236"/>
        <v>4.4873374401095143</v>
      </c>
      <c r="G1180" s="5">
        <f>INDEX('Default Prob'!$P$5:$P$14,MIN(1+_xlfn.IFNA(MATCH(F1180,'Default Prob'!$F$5:$F$14,1),0),COUNT('Default Prob'!$P$5:$P$14)))</f>
        <v>2.046797531464158E-2</v>
      </c>
      <c r="H1180" s="5">
        <f t="shared" si="245"/>
        <v>0.90728700561170661</v>
      </c>
      <c r="I1180" s="24">
        <f t="shared" si="246"/>
        <v>5.084421182299792E-5</v>
      </c>
      <c r="J1180" s="25">
        <f>INDEX('Default Prob'!$C$3:$C$13, _xlfn.IFNA(MATCH(F1180, 'Default Prob'!$B$3:$B$13, 1), 1))</f>
        <v>1.95E-2</v>
      </c>
      <c r="K1180" s="26">
        <f t="shared" si="237"/>
        <v>0.91698803357201375</v>
      </c>
      <c r="L1180" s="27">
        <f t="shared" ca="1" si="238"/>
        <v>0</v>
      </c>
      <c r="M1180" s="27">
        <f t="shared" ca="1" si="239"/>
        <v>650.11745903341978</v>
      </c>
      <c r="N1180" s="28">
        <f t="shared" ca="1" si="240"/>
        <v>3.0310773336975256E-2</v>
      </c>
      <c r="O1180" s="29">
        <f t="shared" ca="1" si="241"/>
        <v>600000</v>
      </c>
      <c r="P1180" s="30">
        <f t="shared" ca="1" si="242"/>
        <v>27.974120290853879</v>
      </c>
    </row>
    <row r="1181" spans="1:16" x14ac:dyDescent="0.25">
      <c r="A1181" s="3">
        <f t="shared" si="243"/>
        <v>47765</v>
      </c>
      <c r="B1181" s="21">
        <f t="shared" si="234"/>
        <v>36808</v>
      </c>
      <c r="C1181" s="21">
        <f t="shared" si="235"/>
        <v>36880</v>
      </c>
      <c r="D1181" s="1">
        <f t="shared" si="244"/>
        <v>0</v>
      </c>
      <c r="E1181" s="3">
        <f t="array" ref="E1181">INDEX($A$9:A1180, MAX(IF($D$9:D1180=1, ROW(D$9:$D1180)-ROW($D$9)+1, 0)))</f>
        <v>47746</v>
      </c>
      <c r="F1181" s="23">
        <f t="shared" si="236"/>
        <v>4.4900752908966464</v>
      </c>
      <c r="G1181" s="5">
        <f>INDEX('Default Prob'!$P$5:$P$14,MIN(1+_xlfn.IFNA(MATCH(F1181,'Default Prob'!$F$5:$F$14,1),0),COUNT('Default Prob'!$P$5:$P$14)))</f>
        <v>2.046797531464158E-2</v>
      </c>
      <c r="H1181" s="5">
        <f t="shared" si="245"/>
        <v>0.90723616424902509</v>
      </c>
      <c r="I1181" s="24">
        <f t="shared" si="246"/>
        <v>5.084136268151962E-5</v>
      </c>
      <c r="J1181" s="25">
        <f>INDEX('Default Prob'!$C$3:$C$13, _xlfn.IFNA(MATCH(F1181, 'Default Prob'!$B$3:$B$13, 1), 1))</f>
        <v>1.95E-2</v>
      </c>
      <c r="K1181" s="26">
        <f t="shared" si="237"/>
        <v>0.91693954982130454</v>
      </c>
      <c r="L1181" s="27">
        <f t="shared" ca="1" si="238"/>
        <v>0</v>
      </c>
      <c r="M1181" s="27">
        <f t="shared" ca="1" si="239"/>
        <v>686.23509564638755</v>
      </c>
      <c r="N1181" s="28">
        <f t="shared" ca="1" si="240"/>
        <v>3.1991220755809228E-2</v>
      </c>
      <c r="O1181" s="29">
        <f t="shared" ca="1" si="241"/>
        <v>600000</v>
      </c>
      <c r="P1181" s="30">
        <f t="shared" ca="1" si="242"/>
        <v>27.971073725696563</v>
      </c>
    </row>
    <row r="1182" spans="1:16" x14ac:dyDescent="0.25">
      <c r="A1182" s="3">
        <f t="shared" si="243"/>
        <v>47766</v>
      </c>
      <c r="B1182" s="21">
        <f t="shared" si="234"/>
        <v>36809</v>
      </c>
      <c r="C1182" s="21">
        <f t="shared" si="235"/>
        <v>36880</v>
      </c>
      <c r="D1182" s="1">
        <f t="shared" si="244"/>
        <v>0</v>
      </c>
      <c r="E1182" s="3">
        <f t="array" ref="E1182">INDEX($A$9:A1181, MAX(IF($D$9:D1181=1, ROW(D$9:$D1181)-ROW($D$9)+1, 0)))</f>
        <v>47746</v>
      </c>
      <c r="F1182" s="23">
        <f t="shared" si="236"/>
        <v>4.4928131416837784</v>
      </c>
      <c r="G1182" s="5">
        <f>INDEX('Default Prob'!$P$5:$P$14,MIN(1+_xlfn.IFNA(MATCH(F1182,'Default Prob'!$F$5:$F$14,1),0),COUNT('Default Prob'!$P$5:$P$14)))</f>
        <v>2.046797531464158E-2</v>
      </c>
      <c r="H1182" s="5">
        <f t="shared" si="245"/>
        <v>0.9071853257353254</v>
      </c>
      <c r="I1182" s="24">
        <f t="shared" si="246"/>
        <v>5.083851369969139E-5</v>
      </c>
      <c r="J1182" s="25">
        <f>INDEX('Default Prob'!$C$3:$C$13, _xlfn.IFNA(MATCH(F1182, 'Default Prob'!$B$3:$B$13, 1), 1))</f>
        <v>1.95E-2</v>
      </c>
      <c r="K1182" s="26">
        <f t="shared" si="237"/>
        <v>0.91689106863406844</v>
      </c>
      <c r="L1182" s="27">
        <f t="shared" ca="1" si="238"/>
        <v>0</v>
      </c>
      <c r="M1182" s="27">
        <f t="shared" ca="1" si="239"/>
        <v>722.35273225935532</v>
      </c>
      <c r="N1182" s="28">
        <f t="shared" ca="1" si="240"/>
        <v>3.3671301791644882E-2</v>
      </c>
      <c r="O1182" s="29">
        <f t="shared" ca="1" si="241"/>
        <v>600000</v>
      </c>
      <c r="P1182" s="30">
        <f t="shared" ca="1" si="242"/>
        <v>27.968027492326659</v>
      </c>
    </row>
    <row r="1183" spans="1:16" x14ac:dyDescent="0.25">
      <c r="A1183" s="3">
        <f t="shared" si="243"/>
        <v>47767</v>
      </c>
      <c r="B1183" s="21">
        <f t="shared" si="234"/>
        <v>36810</v>
      </c>
      <c r="C1183" s="21">
        <f t="shared" si="235"/>
        <v>36880</v>
      </c>
      <c r="D1183" s="1">
        <f t="shared" si="244"/>
        <v>0</v>
      </c>
      <c r="E1183" s="3">
        <f t="array" ref="E1183">INDEX($A$9:A1182, MAX(IF($D$9:D1182=1, ROW(D$9:$D1182)-ROW($D$9)+1, 0)))</f>
        <v>47746</v>
      </c>
      <c r="F1183" s="23">
        <f t="shared" si="236"/>
        <v>4.4955509924709105</v>
      </c>
      <c r="G1183" s="5">
        <f>INDEX('Default Prob'!$P$5:$P$14,MIN(1+_xlfn.IFNA(MATCH(F1183,'Default Prob'!$F$5:$F$14,1),0),COUNT('Default Prob'!$P$5:$P$14)))</f>
        <v>2.046797531464158E-2</v>
      </c>
      <c r="H1183" s="5">
        <f t="shared" si="245"/>
        <v>0.90713449007044789</v>
      </c>
      <c r="I1183" s="24">
        <f t="shared" si="246"/>
        <v>5.0835664877513231E-5</v>
      </c>
      <c r="J1183" s="25">
        <f>INDEX('Default Prob'!$C$3:$C$13, _xlfn.IFNA(MATCH(F1183, 'Default Prob'!$B$3:$B$13, 1), 1))</f>
        <v>1.95E-2</v>
      </c>
      <c r="K1183" s="26">
        <f t="shared" si="237"/>
        <v>0.91684259001016966</v>
      </c>
      <c r="L1183" s="27">
        <f t="shared" ca="1" si="238"/>
        <v>0</v>
      </c>
      <c r="M1183" s="27">
        <f t="shared" ca="1" si="239"/>
        <v>758.47036887232321</v>
      </c>
      <c r="N1183" s="28">
        <f t="shared" ca="1" si="240"/>
        <v>3.5351016504359629E-2</v>
      </c>
      <c r="O1183" s="29">
        <f t="shared" ca="1" si="241"/>
        <v>600000</v>
      </c>
      <c r="P1183" s="30">
        <f t="shared" ca="1" si="242"/>
        <v>27.964981590712949</v>
      </c>
    </row>
    <row r="1184" spans="1:16" x14ac:dyDescent="0.25">
      <c r="A1184" s="3">
        <f t="shared" si="243"/>
        <v>47770</v>
      </c>
      <c r="B1184" s="21">
        <f t="shared" si="234"/>
        <v>36813</v>
      </c>
      <c r="C1184" s="21">
        <f t="shared" si="235"/>
        <v>36880</v>
      </c>
      <c r="D1184" s="1">
        <f t="shared" si="244"/>
        <v>0</v>
      </c>
      <c r="E1184" s="3">
        <f t="array" ref="E1184">INDEX($A$9:A1183, MAX(IF($D$9:D1183=1, ROW(D$9:$D1183)-ROW($D$9)+1, 0)))</f>
        <v>47746</v>
      </c>
      <c r="F1184" s="23">
        <f t="shared" si="236"/>
        <v>4.5037645448323067</v>
      </c>
      <c r="G1184" s="5">
        <f>INDEX('Default Prob'!$P$5:$P$14,MIN(1+_xlfn.IFNA(MATCH(F1184,'Default Prob'!$F$5:$F$14,1),0),COUNT('Default Prob'!$P$5:$P$14)))</f>
        <v>2.046797531464158E-2</v>
      </c>
      <c r="H1184" s="5">
        <f t="shared" si="245"/>
        <v>0.90698200016715169</v>
      </c>
      <c r="I1184" s="24">
        <f t="shared" si="246"/>
        <v>1.524899032961935E-4</v>
      </c>
      <c r="J1184" s="25">
        <f>INDEX('Default Prob'!$C$3:$C$13, _xlfn.IFNA(MATCH(F1184, 'Default Prob'!$B$3:$B$13, 1), 1))</f>
        <v>1.95E-2</v>
      </c>
      <c r="K1184" s="26">
        <f t="shared" si="237"/>
        <v>0.91669716951714308</v>
      </c>
      <c r="L1184" s="27">
        <f t="shared" ca="1" si="238"/>
        <v>0</v>
      </c>
      <c r="M1184" s="27">
        <f t="shared" ca="1" si="239"/>
        <v>866.82327871122652</v>
      </c>
      <c r="N1184" s="28">
        <f t="shared" ca="1" si="240"/>
        <v>0.12117068003838573</v>
      </c>
      <c r="O1184" s="29">
        <f t="shared" ca="1" si="241"/>
        <v>600000</v>
      </c>
      <c r="P1184" s="30">
        <f t="shared" ca="1" si="242"/>
        <v>83.872237638938074</v>
      </c>
    </row>
    <row r="1185" spans="1:16" x14ac:dyDescent="0.25">
      <c r="A1185" s="3">
        <f t="shared" si="243"/>
        <v>47771</v>
      </c>
      <c r="B1185" s="21">
        <f t="shared" si="234"/>
        <v>36814</v>
      </c>
      <c r="C1185" s="21">
        <f t="shared" si="235"/>
        <v>36880</v>
      </c>
      <c r="D1185" s="1">
        <f t="shared" si="244"/>
        <v>0</v>
      </c>
      <c r="E1185" s="3">
        <f t="array" ref="E1185">INDEX($A$9:A1184, MAX(IF($D$9:D1184=1, ROW(D$9:$D1184)-ROW($D$9)+1, 0)))</f>
        <v>47746</v>
      </c>
      <c r="F1185" s="23">
        <f t="shared" si="236"/>
        <v>4.5065023956194388</v>
      </c>
      <c r="G1185" s="5">
        <f>INDEX('Default Prob'!$P$5:$P$14,MIN(1+_xlfn.IFNA(MATCH(F1185,'Default Prob'!$F$5:$F$14,1),0),COUNT('Default Prob'!$P$5:$P$14)))</f>
        <v>2.046797531464158E-2</v>
      </c>
      <c r="H1185" s="5">
        <f t="shared" si="245"/>
        <v>0.90693117589596639</v>
      </c>
      <c r="I1185" s="24">
        <f t="shared" si="246"/>
        <v>5.0824271185301306E-5</v>
      </c>
      <c r="J1185" s="25">
        <f>INDEX('Default Prob'!$C$3:$C$13, _xlfn.IFNA(MATCH(F1185, 'Default Prob'!$B$3:$B$13, 1), 1))</f>
        <v>1.95E-2</v>
      </c>
      <c r="K1185" s="26">
        <f t="shared" si="237"/>
        <v>0.916648701145239</v>
      </c>
      <c r="L1185" s="27">
        <f t="shared" ca="1" si="238"/>
        <v>0</v>
      </c>
      <c r="M1185" s="27">
        <f t="shared" ca="1" si="239"/>
        <v>902.94091532419418</v>
      </c>
      <c r="N1185" s="28">
        <f t="shared" ca="1" si="240"/>
        <v>4.2066213321295259E-2</v>
      </c>
      <c r="O1185" s="29">
        <f t="shared" ca="1" si="241"/>
        <v>600000</v>
      </c>
      <c r="P1185" s="30">
        <f t="shared" ca="1" si="242"/>
        <v>27.952801301195905</v>
      </c>
    </row>
    <row r="1186" spans="1:16" x14ac:dyDescent="0.25">
      <c r="A1186" s="3">
        <f t="shared" si="243"/>
        <v>47772</v>
      </c>
      <c r="B1186" s="21">
        <f t="shared" si="234"/>
        <v>36815</v>
      </c>
      <c r="C1186" s="21">
        <f t="shared" si="235"/>
        <v>36880</v>
      </c>
      <c r="D1186" s="1">
        <f t="shared" si="244"/>
        <v>0</v>
      </c>
      <c r="E1186" s="3">
        <f t="array" ref="E1186">INDEX($A$9:A1185, MAX(IF($D$9:D1185=1, ROW(D$9:$D1185)-ROW($D$9)+1, 0)))</f>
        <v>47746</v>
      </c>
      <c r="F1186" s="23">
        <f t="shared" si="236"/>
        <v>4.5092402464065708</v>
      </c>
      <c r="G1186" s="5">
        <f>INDEX('Default Prob'!$P$5:$P$14,MIN(1+_xlfn.IFNA(MATCH(F1186,'Default Prob'!$F$5:$F$14,1),0),COUNT('Default Prob'!$P$5:$P$14)))</f>
        <v>2.046797531464158E-2</v>
      </c>
      <c r="H1186" s="5">
        <f t="shared" si="245"/>
        <v>0.90688035447280513</v>
      </c>
      <c r="I1186" s="24">
        <f t="shared" si="246"/>
        <v>5.082142316126248E-5</v>
      </c>
      <c r="J1186" s="25">
        <f>INDEX('Default Prob'!$C$3:$C$13, _xlfn.IFNA(MATCH(F1186, 'Default Prob'!$B$3:$B$13, 1), 1))</f>
        <v>1.95E-2</v>
      </c>
      <c r="K1186" s="26">
        <f t="shared" si="237"/>
        <v>0.91660023533599488</v>
      </c>
      <c r="L1186" s="27">
        <f t="shared" ca="1" si="238"/>
        <v>0</v>
      </c>
      <c r="M1186" s="27">
        <f t="shared" ca="1" si="239"/>
        <v>939.05855193716195</v>
      </c>
      <c r="N1186" s="28">
        <f t="shared" ca="1" si="240"/>
        <v>4.3744097316208479E-2</v>
      </c>
      <c r="O1186" s="29">
        <f t="shared" ca="1" si="241"/>
        <v>600000</v>
      </c>
      <c r="P1186" s="30">
        <f t="shared" ca="1" si="242"/>
        <v>27.949757057834024</v>
      </c>
    </row>
    <row r="1187" spans="1:16" x14ac:dyDescent="0.25">
      <c r="A1187" s="3">
        <f t="shared" si="243"/>
        <v>47773</v>
      </c>
      <c r="B1187" s="21">
        <f t="shared" si="234"/>
        <v>36816</v>
      </c>
      <c r="C1187" s="21">
        <f t="shared" si="235"/>
        <v>36880</v>
      </c>
      <c r="D1187" s="1">
        <f t="shared" si="244"/>
        <v>0</v>
      </c>
      <c r="E1187" s="3">
        <f t="array" ref="E1187">INDEX($A$9:A1186, MAX(IF($D$9:D1186=1, ROW(D$9:$D1186)-ROW($D$9)+1, 0)))</f>
        <v>47746</v>
      </c>
      <c r="F1187" s="23">
        <f t="shared" si="236"/>
        <v>4.5119780971937029</v>
      </c>
      <c r="G1187" s="5">
        <f>INDEX('Default Prob'!$P$5:$P$14,MIN(1+_xlfn.IFNA(MATCH(F1187,'Default Prob'!$F$5:$F$14,1),0),COUNT('Default Prob'!$P$5:$P$14)))</f>
        <v>2.046797531464158E-2</v>
      </c>
      <c r="H1187" s="5">
        <f t="shared" si="245"/>
        <v>0.90682953589750837</v>
      </c>
      <c r="I1187" s="24">
        <f t="shared" si="246"/>
        <v>5.0818575296762702E-5</v>
      </c>
      <c r="J1187" s="25">
        <f>INDEX('Default Prob'!$C$3:$C$13, _xlfn.IFNA(MATCH(F1187, 'Default Prob'!$B$3:$B$13, 1), 1))</f>
        <v>1.95E-2</v>
      </c>
      <c r="K1187" s="26">
        <f t="shared" si="237"/>
        <v>0.91655177208927519</v>
      </c>
      <c r="L1187" s="27">
        <f t="shared" ca="1" si="238"/>
        <v>0</v>
      </c>
      <c r="M1187" s="27">
        <f t="shared" ca="1" si="239"/>
        <v>975.17618855012961</v>
      </c>
      <c r="N1187" s="28">
        <f t="shared" ca="1" si="240"/>
        <v>4.5421615347001079E-2</v>
      </c>
      <c r="O1187" s="29">
        <f t="shared" ca="1" si="241"/>
        <v>600000</v>
      </c>
      <c r="P1187" s="30">
        <f t="shared" ca="1" si="242"/>
        <v>27.94671314598007</v>
      </c>
    </row>
    <row r="1188" spans="1:16" x14ac:dyDescent="0.25">
      <c r="A1188" s="3">
        <f t="shared" si="243"/>
        <v>47774</v>
      </c>
      <c r="B1188" s="21">
        <f t="shared" si="234"/>
        <v>36817</v>
      </c>
      <c r="C1188" s="21">
        <f t="shared" si="235"/>
        <v>36880</v>
      </c>
      <c r="D1188" s="1">
        <f t="shared" si="244"/>
        <v>0</v>
      </c>
      <c r="E1188" s="3">
        <f t="array" ref="E1188">INDEX($A$9:A1187, MAX(IF($D$9:D1187=1, ROW(D$9:$D1187)-ROW($D$9)+1, 0)))</f>
        <v>47746</v>
      </c>
      <c r="F1188" s="23">
        <f t="shared" si="236"/>
        <v>4.514715947980835</v>
      </c>
      <c r="G1188" s="5">
        <f>INDEX('Default Prob'!$P$5:$P$14,MIN(1+_xlfn.IFNA(MATCH(F1188,'Default Prob'!$F$5:$F$14,1),0),COUNT('Default Prob'!$P$5:$P$14)))</f>
        <v>2.046797531464158E-2</v>
      </c>
      <c r="H1188" s="5">
        <f t="shared" si="245"/>
        <v>0.90677872016991645</v>
      </c>
      <c r="I1188" s="24">
        <f t="shared" si="246"/>
        <v>5.0815727591912996E-5</v>
      </c>
      <c r="J1188" s="25">
        <f>INDEX('Default Prob'!$C$3:$C$13, _xlfn.IFNA(MATCH(F1188, 'Default Prob'!$B$3:$B$13, 1), 1))</f>
        <v>1.95E-2</v>
      </c>
      <c r="K1188" s="26">
        <f t="shared" si="237"/>
        <v>0.91650331140494423</v>
      </c>
      <c r="L1188" s="27">
        <f t="shared" ca="1" si="238"/>
        <v>0</v>
      </c>
      <c r="M1188" s="27">
        <f t="shared" ca="1" si="239"/>
        <v>1011.2938251630975</v>
      </c>
      <c r="N1188" s="28">
        <f t="shared" ca="1" si="240"/>
        <v>4.7098767473589813E-2</v>
      </c>
      <c r="O1188" s="29">
        <f t="shared" ca="1" si="241"/>
        <v>600000</v>
      </c>
      <c r="P1188" s="30">
        <f t="shared" ca="1" si="242"/>
        <v>27.94366956566391</v>
      </c>
    </row>
    <row r="1189" spans="1:16" x14ac:dyDescent="0.25">
      <c r="A1189" s="3">
        <f t="shared" si="243"/>
        <v>47777</v>
      </c>
      <c r="B1189" s="21">
        <f t="shared" si="234"/>
        <v>36820</v>
      </c>
      <c r="C1189" s="21">
        <f t="shared" si="235"/>
        <v>36880</v>
      </c>
      <c r="D1189" s="1">
        <f t="shared" si="244"/>
        <v>0</v>
      </c>
      <c r="E1189" s="3">
        <f t="array" ref="E1189">INDEX($A$9:A1188, MAX(IF($D$9:D1188=1, ROW(D$9:$D1188)-ROW($D$9)+1, 0)))</f>
        <v>47746</v>
      </c>
      <c r="F1189" s="23">
        <f t="shared" si="236"/>
        <v>4.5229295003422312</v>
      </c>
      <c r="G1189" s="5">
        <f>INDEX('Default Prob'!$P$5:$P$14,MIN(1+_xlfn.IFNA(MATCH(F1189,'Default Prob'!$F$5:$F$14,1),0),COUNT('Default Prob'!$P$5:$P$14)))</f>
        <v>2.046797531464158E-2</v>
      </c>
      <c r="H1189" s="5">
        <f t="shared" si="245"/>
        <v>0.90662629007177409</v>
      </c>
      <c r="I1189" s="24">
        <f t="shared" si="246"/>
        <v>1.524300981423643E-4</v>
      </c>
      <c r="J1189" s="25">
        <f>INDEX('Default Prob'!$C$3:$C$13, _xlfn.IFNA(MATCH(F1189, 'Default Prob'!$B$3:$B$13, 1), 1))</f>
        <v>1.95E-2</v>
      </c>
      <c r="K1189" s="26">
        <f t="shared" si="237"/>
        <v>0.9163579447249306</v>
      </c>
      <c r="L1189" s="27">
        <f t="shared" ca="1" si="238"/>
        <v>0</v>
      </c>
      <c r="M1189" s="27">
        <f t="shared" ca="1" si="239"/>
        <v>1119.6467350020009</v>
      </c>
      <c r="N1189" s="28">
        <f t="shared" ca="1" si="240"/>
        <v>0.15639285097904873</v>
      </c>
      <c r="O1189" s="29">
        <f t="shared" ca="1" si="241"/>
        <v>600000</v>
      </c>
      <c r="P1189" s="30">
        <f t="shared" ca="1" si="242"/>
        <v>83.808318868773853</v>
      </c>
    </row>
    <row r="1190" spans="1:16" x14ac:dyDescent="0.25">
      <c r="A1190" s="3">
        <f t="shared" si="243"/>
        <v>47778</v>
      </c>
      <c r="B1190" s="21">
        <f t="shared" si="234"/>
        <v>36821</v>
      </c>
      <c r="C1190" s="21">
        <f t="shared" si="235"/>
        <v>36880</v>
      </c>
      <c r="D1190" s="1">
        <f t="shared" si="244"/>
        <v>0</v>
      </c>
      <c r="E1190" s="3">
        <f t="array" ref="E1190">INDEX($A$9:A1189, MAX(IF($D$9:D1189=1, ROW(D$9:$D1189)-ROW($D$9)+1, 0)))</f>
        <v>47746</v>
      </c>
      <c r="F1190" s="23">
        <f t="shared" si="236"/>
        <v>4.5256673511293632</v>
      </c>
      <c r="G1190" s="5">
        <f>INDEX('Default Prob'!$P$5:$P$14,MIN(1+_xlfn.IFNA(MATCH(F1190,'Default Prob'!$F$5:$F$14,1),0),COUNT('Default Prob'!$P$5:$P$14)))</f>
        <v>2.046797531464158E-2</v>
      </c>
      <c r="H1190" s="5">
        <f t="shared" si="245"/>
        <v>0.90657548573340596</v>
      </c>
      <c r="I1190" s="24">
        <f t="shared" si="246"/>
        <v>5.08043383681267E-5</v>
      </c>
      <c r="J1190" s="25">
        <f>INDEX('Default Prob'!$C$3:$C$13, _xlfn.IFNA(MATCH(F1190, 'Default Prob'!$B$3:$B$13, 1), 1))</f>
        <v>1.95E-2</v>
      </c>
      <c r="K1190" s="26">
        <f t="shared" si="237"/>
        <v>0.91630949428880071</v>
      </c>
      <c r="L1190" s="27">
        <f t="shared" ca="1" si="238"/>
        <v>0</v>
      </c>
      <c r="M1190" s="27">
        <f t="shared" ca="1" si="239"/>
        <v>1155.7643716149685</v>
      </c>
      <c r="N1190" s="28">
        <f t="shared" ca="1" si="240"/>
        <v>5.380371813320009E-2</v>
      </c>
      <c r="O1190" s="29">
        <f t="shared" ca="1" si="241"/>
        <v>600000</v>
      </c>
      <c r="P1190" s="30">
        <f t="shared" ca="1" si="242"/>
        <v>27.931498558665176</v>
      </c>
    </row>
    <row r="1191" spans="1:16" x14ac:dyDescent="0.25">
      <c r="A1191" s="3">
        <f t="shared" si="243"/>
        <v>47779</v>
      </c>
      <c r="B1191" s="21">
        <f t="shared" si="234"/>
        <v>36822</v>
      </c>
      <c r="C1191" s="21">
        <f t="shared" si="235"/>
        <v>36880</v>
      </c>
      <c r="D1191" s="1">
        <f t="shared" si="244"/>
        <v>0</v>
      </c>
      <c r="E1191" s="3">
        <f t="array" ref="E1191">INDEX($A$9:A1190, MAX(IF($D$9:D1190=1, ROW(D$9:$D1190)-ROW($D$9)+1, 0)))</f>
        <v>47746</v>
      </c>
      <c r="F1191" s="23">
        <f t="shared" si="236"/>
        <v>4.5284052019164953</v>
      </c>
      <c r="G1191" s="5">
        <f>INDEX('Default Prob'!$P$5:$P$14,MIN(1+_xlfn.IFNA(MATCH(F1191,'Default Prob'!$F$5:$F$14,1),0),COUNT('Default Prob'!$P$5:$P$14)))</f>
        <v>2.046797531464158E-2</v>
      </c>
      <c r="H1191" s="5">
        <f t="shared" si="245"/>
        <v>0.90652468424194488</v>
      </c>
      <c r="I1191" s="24">
        <f t="shared" si="246"/>
        <v>5.0801491461083259E-5</v>
      </c>
      <c r="J1191" s="25">
        <f>INDEX('Default Prob'!$C$3:$C$13, _xlfn.IFNA(MATCH(F1191, 'Default Prob'!$B$3:$B$13, 1), 1))</f>
        <v>1.95E-2</v>
      </c>
      <c r="K1191" s="26">
        <f t="shared" si="237"/>
        <v>0.91626104641438244</v>
      </c>
      <c r="L1191" s="27">
        <f t="shared" ca="1" si="238"/>
        <v>0</v>
      </c>
      <c r="M1191" s="27">
        <f t="shared" ca="1" si="239"/>
        <v>1191.8820082279362</v>
      </c>
      <c r="N1191" s="28">
        <f t="shared" ca="1" si="240"/>
        <v>5.5479041635365461E-2</v>
      </c>
      <c r="O1191" s="29">
        <f t="shared" ca="1" si="241"/>
        <v>600000</v>
      </c>
      <c r="P1191" s="30">
        <f t="shared" ca="1" si="242"/>
        <v>27.928456635326075</v>
      </c>
    </row>
    <row r="1192" spans="1:16" x14ac:dyDescent="0.25">
      <c r="A1192" s="3">
        <f t="shared" si="243"/>
        <v>47780</v>
      </c>
      <c r="B1192" s="21">
        <f t="shared" si="234"/>
        <v>36823</v>
      </c>
      <c r="C1192" s="21">
        <f t="shared" si="235"/>
        <v>36880</v>
      </c>
      <c r="D1192" s="1">
        <f t="shared" si="244"/>
        <v>0</v>
      </c>
      <c r="E1192" s="3">
        <f t="array" ref="E1192">INDEX($A$9:A1191, MAX(IF($D$9:D1191=1, ROW(D$9:$D1191)-ROW($D$9)+1, 0)))</f>
        <v>47746</v>
      </c>
      <c r="F1192" s="23">
        <f t="shared" si="236"/>
        <v>4.5311430527036274</v>
      </c>
      <c r="G1192" s="5">
        <f>INDEX('Default Prob'!$P$5:$P$14,MIN(1+_xlfn.IFNA(MATCH(F1192,'Default Prob'!$F$5:$F$14,1),0),COUNT('Default Prob'!$P$5:$P$14)))</f>
        <v>2.046797531464158E-2</v>
      </c>
      <c r="H1192" s="5">
        <f t="shared" si="245"/>
        <v>0.9064738855972313</v>
      </c>
      <c r="I1192" s="24">
        <f t="shared" si="246"/>
        <v>5.0798644713578867E-5</v>
      </c>
      <c r="J1192" s="25">
        <f>INDEX('Default Prob'!$C$3:$C$13, _xlfn.IFNA(MATCH(F1192, 'Default Prob'!$B$3:$B$13, 1), 1))</f>
        <v>1.95E-2</v>
      </c>
      <c r="K1192" s="26">
        <f t="shared" si="237"/>
        <v>0.91621260110154035</v>
      </c>
      <c r="L1192" s="27">
        <f t="shared" ca="1" si="238"/>
        <v>0</v>
      </c>
      <c r="M1192" s="27">
        <f t="shared" ca="1" si="239"/>
        <v>1227.9996448409042</v>
      </c>
      <c r="N1192" s="28">
        <f t="shared" ca="1" si="240"/>
        <v>5.7153999591964315E-2</v>
      </c>
      <c r="O1192" s="29">
        <f t="shared" ca="1" si="241"/>
        <v>600000</v>
      </c>
      <c r="P1192" s="30">
        <f t="shared" ca="1" si="242"/>
        <v>27.925415043276661</v>
      </c>
    </row>
    <row r="1193" spans="1:16" x14ac:dyDescent="0.25">
      <c r="A1193" s="3">
        <f t="shared" si="243"/>
        <v>47781</v>
      </c>
      <c r="B1193" s="21">
        <f t="shared" si="234"/>
        <v>36824</v>
      </c>
      <c r="C1193" s="21">
        <f t="shared" si="235"/>
        <v>36880</v>
      </c>
      <c r="D1193" s="1">
        <f t="shared" si="244"/>
        <v>0</v>
      </c>
      <c r="E1193" s="3">
        <f t="array" ref="E1193">INDEX($A$9:A1192, MAX(IF($D$9:D1192=1, ROW(D$9:$D1192)-ROW($D$9)+1, 0)))</f>
        <v>47746</v>
      </c>
      <c r="F1193" s="23">
        <f t="shared" si="236"/>
        <v>4.5338809034907595</v>
      </c>
      <c r="G1193" s="5">
        <f>INDEX('Default Prob'!$P$5:$P$14,MIN(1+_xlfn.IFNA(MATCH(F1193,'Default Prob'!$F$5:$F$14,1),0),COUNT('Default Prob'!$P$5:$P$14)))</f>
        <v>2.046797531464158E-2</v>
      </c>
      <c r="H1193" s="5">
        <f t="shared" si="245"/>
        <v>0.9064230897991058</v>
      </c>
      <c r="I1193" s="24">
        <f t="shared" si="246"/>
        <v>5.07957981255025E-5</v>
      </c>
      <c r="J1193" s="25">
        <f>INDEX('Default Prob'!$C$3:$C$13, _xlfn.IFNA(MATCH(F1193, 'Default Prob'!$B$3:$B$13, 1), 1))</f>
        <v>1.95E-2</v>
      </c>
      <c r="K1193" s="26">
        <f t="shared" si="237"/>
        <v>0.91616415835013876</v>
      </c>
      <c r="L1193" s="27">
        <f t="shared" ca="1" si="238"/>
        <v>0</v>
      </c>
      <c r="M1193" s="27">
        <f t="shared" ca="1" si="239"/>
        <v>1264.1172814538718</v>
      </c>
      <c r="N1193" s="28">
        <f t="shared" ca="1" si="240"/>
        <v>5.8828592062629366E-2</v>
      </c>
      <c r="O1193" s="29">
        <f t="shared" ca="1" si="241"/>
        <v>600000</v>
      </c>
      <c r="P1193" s="30">
        <f t="shared" ca="1" si="242"/>
        <v>27.922373782424732</v>
      </c>
    </row>
    <row r="1194" spans="1:16" x14ac:dyDescent="0.25">
      <c r="A1194" s="3">
        <f t="shared" si="243"/>
        <v>47784</v>
      </c>
      <c r="B1194" s="21">
        <f t="shared" si="234"/>
        <v>36827</v>
      </c>
      <c r="C1194" s="21">
        <f t="shared" si="235"/>
        <v>36880</v>
      </c>
      <c r="D1194" s="1">
        <f t="shared" si="244"/>
        <v>0</v>
      </c>
      <c r="E1194" s="3">
        <f t="array" ref="E1194">INDEX($A$9:A1193, MAX(IF($D$9:D1193=1, ROW(D$9:$D1193)-ROW($D$9)+1, 0)))</f>
        <v>47746</v>
      </c>
      <c r="F1194" s="23">
        <f t="shared" si="236"/>
        <v>4.5420944558521557</v>
      </c>
      <c r="G1194" s="5">
        <f>INDEX('Default Prob'!$P$5:$P$14,MIN(1+_xlfn.IFNA(MATCH(F1194,'Default Prob'!$F$5:$F$14,1),0),COUNT('Default Prob'!$P$5:$P$14)))</f>
        <v>2.046797531464158E-2</v>
      </c>
      <c r="H1194" s="5">
        <f t="shared" si="245"/>
        <v>0.90627071948266225</v>
      </c>
      <c r="I1194" s="24">
        <f t="shared" si="246"/>
        <v>1.5237031644355081E-4</v>
      </c>
      <c r="J1194" s="25">
        <f>INDEX('Default Prob'!$C$3:$C$13, _xlfn.IFNA(MATCH(F1194, 'Default Prob'!$B$3:$B$13, 1), 1))</f>
        <v>1.95E-2</v>
      </c>
      <c r="K1194" s="26">
        <f t="shared" si="237"/>
        <v>0.91601884546322421</v>
      </c>
      <c r="L1194" s="27">
        <f t="shared" ca="1" si="238"/>
        <v>0</v>
      </c>
      <c r="M1194" s="27">
        <f t="shared" ca="1" si="239"/>
        <v>1372.4701912927751</v>
      </c>
      <c r="N1194" s="28">
        <f t="shared" ca="1" si="240"/>
        <v>0.19156126613198945</v>
      </c>
      <c r="O1194" s="29">
        <f t="shared" ca="1" si="241"/>
        <v>600000</v>
      </c>
      <c r="P1194" s="30">
        <f t="shared" ca="1" si="242"/>
        <v>83.744448810892521</v>
      </c>
    </row>
    <row r="1195" spans="1:16" x14ac:dyDescent="0.25">
      <c r="A1195" s="3">
        <f t="shared" si="243"/>
        <v>47785</v>
      </c>
      <c r="B1195" s="21">
        <f t="shared" si="234"/>
        <v>36828</v>
      </c>
      <c r="C1195" s="21">
        <f t="shared" si="235"/>
        <v>36880</v>
      </c>
      <c r="D1195" s="1">
        <f t="shared" si="244"/>
        <v>0</v>
      </c>
      <c r="E1195" s="3">
        <f t="array" ref="E1195">INDEX($A$9:A1194, MAX(IF($D$9:D1194=1, ROW(D$9:$D1194)-ROW($D$9)+1, 0)))</f>
        <v>47746</v>
      </c>
      <c r="F1195" s="23">
        <f t="shared" si="236"/>
        <v>4.5448323066392877</v>
      </c>
      <c r="G1195" s="5">
        <f>INDEX('Default Prob'!$P$5:$P$14,MIN(1+_xlfn.IFNA(MATCH(F1195,'Default Prob'!$F$5:$F$14,1),0),COUNT('Default Prob'!$P$5:$P$14)))</f>
        <v>2.046797531464158E-2</v>
      </c>
      <c r="H1195" s="5">
        <f t="shared" si="245"/>
        <v>0.90621993506929377</v>
      </c>
      <c r="I1195" s="24">
        <f t="shared" si="246"/>
        <v>5.07844133684765E-5</v>
      </c>
      <c r="J1195" s="25">
        <f>INDEX('Default Prob'!$C$3:$C$13, _xlfn.IFNA(MATCH(F1195, 'Default Prob'!$B$3:$B$13, 1), 1))</f>
        <v>1.95E-2</v>
      </c>
      <c r="K1195" s="26">
        <f t="shared" si="237"/>
        <v>0.91597041295623138</v>
      </c>
      <c r="L1195" s="27">
        <f t="shared" ca="1" si="238"/>
        <v>0</v>
      </c>
      <c r="M1195" s="27">
        <f t="shared" ca="1" si="239"/>
        <v>1408.5878279057429</v>
      </c>
      <c r="N1195" s="28">
        <f t="shared" ca="1" si="240"/>
        <v>6.5523308281985521E-2</v>
      </c>
      <c r="O1195" s="29">
        <f t="shared" ca="1" si="241"/>
        <v>600000</v>
      </c>
      <c r="P1195" s="30">
        <f t="shared" ca="1" si="242"/>
        <v>27.910212050918027</v>
      </c>
    </row>
    <row r="1196" spans="1:16" x14ac:dyDescent="0.25">
      <c r="A1196" s="3">
        <f t="shared" si="243"/>
        <v>47786</v>
      </c>
      <c r="B1196" s="21">
        <f t="shared" si="234"/>
        <v>36829</v>
      </c>
      <c r="C1196" s="21">
        <f t="shared" si="235"/>
        <v>36880</v>
      </c>
      <c r="D1196" s="1">
        <f t="shared" si="244"/>
        <v>0</v>
      </c>
      <c r="E1196" s="3">
        <f t="array" ref="E1196">INDEX($A$9:A1195, MAX(IF($D$9:D1195=1, ROW(D$9:$D1195)-ROW($D$9)+1, 0)))</f>
        <v>47746</v>
      </c>
      <c r="F1196" s="23">
        <f t="shared" si="236"/>
        <v>4.5475701574264207</v>
      </c>
      <c r="G1196" s="5">
        <f>INDEX('Default Prob'!$P$5:$P$14,MIN(1+_xlfn.IFNA(MATCH(F1196,'Default Prob'!$F$5:$F$14,1),0),COUNT('Default Prob'!$P$5:$P$14)))</f>
        <v>2.046797531464158E-2</v>
      </c>
      <c r="H1196" s="5">
        <f t="shared" si="245"/>
        <v>0.90616915350171579</v>
      </c>
      <c r="I1196" s="24">
        <f t="shared" si="246"/>
        <v>5.0781567577984355E-5</v>
      </c>
      <c r="J1196" s="25">
        <f>INDEX('Default Prob'!$C$3:$C$13, _xlfn.IFNA(MATCH(F1196, 'Default Prob'!$B$3:$B$13, 1), 1))</f>
        <v>1.95E-2</v>
      </c>
      <c r="K1196" s="26">
        <f t="shared" si="237"/>
        <v>0.91592198301000194</v>
      </c>
      <c r="L1196" s="27">
        <f t="shared" ca="1" si="238"/>
        <v>0</v>
      </c>
      <c r="M1196" s="27">
        <f t="shared" ca="1" si="239"/>
        <v>1444.7054645187106</v>
      </c>
      <c r="N1196" s="28">
        <f t="shared" ca="1" si="240"/>
        <v>6.7196074219595073E-2</v>
      </c>
      <c r="O1196" s="29">
        <f t="shared" ca="1" si="241"/>
        <v>600000</v>
      </c>
      <c r="P1196" s="30">
        <f t="shared" ca="1" si="242"/>
        <v>27.907172445830312</v>
      </c>
    </row>
    <row r="1197" spans="1:16" x14ac:dyDescent="0.25">
      <c r="A1197" s="3">
        <f t="shared" si="243"/>
        <v>47787</v>
      </c>
      <c r="B1197" s="21">
        <f t="shared" si="234"/>
        <v>36830</v>
      </c>
      <c r="C1197" s="21">
        <f t="shared" si="235"/>
        <v>36880</v>
      </c>
      <c r="D1197" s="1">
        <f t="shared" si="244"/>
        <v>0</v>
      </c>
      <c r="E1197" s="3">
        <f t="array" ref="E1197">INDEX($A$9:A1196, MAX(IF($D$9:D1196=1, ROW(D$9:$D1196)-ROW($D$9)+1, 0)))</f>
        <v>47746</v>
      </c>
      <c r="F1197" s="23">
        <f t="shared" si="236"/>
        <v>4.5503080082135527</v>
      </c>
      <c r="G1197" s="5">
        <f>INDEX('Default Prob'!$P$5:$P$14,MIN(1+_xlfn.IFNA(MATCH(F1197,'Default Prob'!$F$5:$F$14,1),0),COUNT('Default Prob'!$P$5:$P$14)))</f>
        <v>2.046797531464158E-2</v>
      </c>
      <c r="H1197" s="5">
        <f t="shared" si="245"/>
        <v>0.90611837477976886</v>
      </c>
      <c r="I1197" s="24">
        <f t="shared" si="246"/>
        <v>5.0778721946920236E-5</v>
      </c>
      <c r="J1197" s="25">
        <f>INDEX('Default Prob'!$C$3:$C$13, _xlfn.IFNA(MATCH(F1197, 'Default Prob'!$B$3:$B$13, 1), 1))</f>
        <v>1.95E-2</v>
      </c>
      <c r="K1197" s="26">
        <f t="shared" si="237"/>
        <v>0.91587355562440098</v>
      </c>
      <c r="L1197" s="27">
        <f t="shared" ca="1" si="238"/>
        <v>0</v>
      </c>
      <c r="M1197" s="27">
        <f t="shared" ca="1" si="239"/>
        <v>1480.8231011316784</v>
      </c>
      <c r="N1197" s="28">
        <f t="shared" ca="1" si="240"/>
        <v>6.8868475029644813E-2</v>
      </c>
      <c r="O1197" s="29">
        <f t="shared" ca="1" si="241"/>
        <v>600000</v>
      </c>
      <c r="P1197" s="30">
        <f t="shared" ca="1" si="242"/>
        <v>27.904133171753184</v>
      </c>
    </row>
    <row r="1198" spans="1:16" x14ac:dyDescent="0.25">
      <c r="A1198" s="3">
        <f t="shared" si="243"/>
        <v>47788</v>
      </c>
      <c r="B1198" s="21">
        <f t="shared" si="234"/>
        <v>36831</v>
      </c>
      <c r="C1198" s="21">
        <f t="shared" si="235"/>
        <v>36880</v>
      </c>
      <c r="D1198" s="1">
        <f t="shared" si="244"/>
        <v>0</v>
      </c>
      <c r="E1198" s="3">
        <f t="array" ref="E1198">INDEX($A$9:A1197, MAX(IF($D$9:D1197=1, ROW(D$9:$D1197)-ROW($D$9)+1, 0)))</f>
        <v>47746</v>
      </c>
      <c r="F1198" s="23">
        <f t="shared" si="236"/>
        <v>4.5530458590006848</v>
      </c>
      <c r="G1198" s="5">
        <f>INDEX('Default Prob'!$P$5:$P$14,MIN(1+_xlfn.IFNA(MATCH(F1198,'Default Prob'!$F$5:$F$14,1),0),COUNT('Default Prob'!$P$5:$P$14)))</f>
        <v>2.046797531464158E-2</v>
      </c>
      <c r="H1198" s="5">
        <f t="shared" si="245"/>
        <v>0.90606759890329358</v>
      </c>
      <c r="I1198" s="24">
        <f t="shared" si="246"/>
        <v>5.0775876475284143E-5</v>
      </c>
      <c r="J1198" s="25">
        <f>INDEX('Default Prob'!$C$3:$C$13, _xlfn.IFNA(MATCH(F1198, 'Default Prob'!$B$3:$B$13, 1), 1))</f>
        <v>1.95E-2</v>
      </c>
      <c r="K1198" s="26">
        <f t="shared" si="237"/>
        <v>0.91582513079929273</v>
      </c>
      <c r="L1198" s="27">
        <f t="shared" ca="1" si="238"/>
        <v>0</v>
      </c>
      <c r="M1198" s="27">
        <f t="shared" ca="1" si="239"/>
        <v>1516.9407377446464</v>
      </c>
      <c r="N1198" s="28">
        <f t="shared" ca="1" si="240"/>
        <v>7.0540510771832612E-2</v>
      </c>
      <c r="O1198" s="29">
        <f t="shared" ca="1" si="241"/>
        <v>600000</v>
      </c>
      <c r="P1198" s="30">
        <f t="shared" ca="1" si="242"/>
        <v>27.901094228655499</v>
      </c>
    </row>
    <row r="1199" spans="1:16" x14ac:dyDescent="0.25">
      <c r="A1199" s="3">
        <f t="shared" si="243"/>
        <v>47791</v>
      </c>
      <c r="B1199" s="21">
        <f t="shared" si="234"/>
        <v>36834</v>
      </c>
      <c r="C1199" s="21">
        <f t="shared" si="235"/>
        <v>36880</v>
      </c>
      <c r="D1199" s="1">
        <f t="shared" si="244"/>
        <v>0</v>
      </c>
      <c r="E1199" s="3">
        <f t="array" ref="E1199">INDEX($A$9:A1198, MAX(IF($D$9:D1198=1, ROW(D$9:$D1198)-ROW($D$9)+1, 0)))</f>
        <v>47746</v>
      </c>
      <c r="F1199" s="23">
        <f t="shared" si="236"/>
        <v>4.561259411362081</v>
      </c>
      <c r="G1199" s="5">
        <f>INDEX('Default Prob'!$P$5:$P$14,MIN(1+_xlfn.IFNA(MATCH(F1199,'Default Prob'!$F$5:$F$14,1),0),COUNT('Default Prob'!$P$5:$P$14)))</f>
        <v>2.046797531464158E-2</v>
      </c>
      <c r="H1199" s="5">
        <f t="shared" si="245"/>
        <v>0.90591528834510304</v>
      </c>
      <c r="I1199" s="24">
        <f t="shared" si="246"/>
        <v>1.5231055819053818E-4</v>
      </c>
      <c r="J1199" s="25">
        <f>INDEX('Default Prob'!$C$3:$C$13, _xlfn.IFNA(MATCH(F1199, 'Default Prob'!$B$3:$B$13, 1), 1))</f>
        <v>1.95E-2</v>
      </c>
      <c r="K1199" s="26">
        <f t="shared" si="237"/>
        <v>0.9156798716855713</v>
      </c>
      <c r="L1199" s="27">
        <f t="shared" ca="1" si="238"/>
        <v>0</v>
      </c>
      <c r="M1199" s="27">
        <f t="shared" ca="1" si="239"/>
        <v>1625.2936475835495</v>
      </c>
      <c r="N1199" s="28">
        <f t="shared" ca="1" si="240"/>
        <v>0.22667598697466196</v>
      </c>
      <c r="O1199" s="29">
        <f t="shared" ca="1" si="241"/>
        <v>600000</v>
      </c>
      <c r="P1199" s="30">
        <f t="shared" ca="1" si="242"/>
        <v>83.680627428161841</v>
      </c>
    </row>
    <row r="1200" spans="1:16" x14ac:dyDescent="0.25">
      <c r="A1200" s="3">
        <f t="shared" si="243"/>
        <v>47792</v>
      </c>
      <c r="B1200" s="21">
        <f t="shared" si="234"/>
        <v>36835</v>
      </c>
      <c r="C1200" s="21">
        <f t="shared" si="235"/>
        <v>36880</v>
      </c>
      <c r="D1200" s="1">
        <f t="shared" si="244"/>
        <v>0</v>
      </c>
      <c r="E1200" s="3">
        <f t="array" ref="E1200">INDEX($A$9:A1199, MAX(IF($D$9:D1199=1, ROW(D$9:$D1199)-ROW($D$9)+1, 0)))</f>
        <v>47746</v>
      </c>
      <c r="F1200" s="23">
        <f t="shared" si="236"/>
        <v>4.5639972621492131</v>
      </c>
      <c r="G1200" s="5">
        <f>INDEX('Default Prob'!$P$5:$P$14,MIN(1+_xlfn.IFNA(MATCH(F1200,'Default Prob'!$F$5:$F$14,1),0),COUNT('Default Prob'!$P$5:$P$14)))</f>
        <v>2.046797531464158E-2</v>
      </c>
      <c r="H1200" s="5">
        <f t="shared" si="245"/>
        <v>0.9058645238489198</v>
      </c>
      <c r="I1200" s="24">
        <f t="shared" si="246"/>
        <v>5.076449618324208E-5</v>
      </c>
      <c r="J1200" s="25">
        <f>INDEX('Default Prob'!$C$3:$C$13, _xlfn.IFNA(MATCH(F1200, 'Default Prob'!$B$3:$B$13, 1), 1))</f>
        <v>1.95E-2</v>
      </c>
      <c r="K1200" s="26">
        <f t="shared" si="237"/>
        <v>0.91563145710108074</v>
      </c>
      <c r="L1200" s="27">
        <f t="shared" ca="1" si="238"/>
        <v>0</v>
      </c>
      <c r="M1200" s="27">
        <f t="shared" ca="1" si="239"/>
        <v>1661.4112841965173</v>
      </c>
      <c r="N1200" s="28">
        <f t="shared" ca="1" si="240"/>
        <v>7.7225004255997445E-2</v>
      </c>
      <c r="O1200" s="29">
        <f t="shared" ca="1" si="241"/>
        <v>600000</v>
      </c>
      <c r="P1200" s="30">
        <f t="shared" ca="1" si="242"/>
        <v>27.888941765558517</v>
      </c>
    </row>
    <row r="1201" spans="1:16" x14ac:dyDescent="0.25">
      <c r="A1201" s="3">
        <f t="shared" si="243"/>
        <v>47793</v>
      </c>
      <c r="B1201" s="21">
        <f t="shared" si="234"/>
        <v>36836</v>
      </c>
      <c r="C1201" s="21">
        <f t="shared" si="235"/>
        <v>36880</v>
      </c>
      <c r="D1201" s="1">
        <f t="shared" si="244"/>
        <v>0</v>
      </c>
      <c r="E1201" s="3">
        <f t="array" ref="E1201">INDEX($A$9:A1200, MAX(IF($D$9:D1200=1, ROW(D$9:$D1200)-ROW($D$9)+1, 0)))</f>
        <v>47746</v>
      </c>
      <c r="F1201" s="23">
        <f t="shared" si="236"/>
        <v>4.5667351129363452</v>
      </c>
      <c r="G1201" s="5">
        <f>INDEX('Default Prob'!$P$5:$P$14,MIN(1+_xlfn.IFNA(MATCH(F1201,'Default Prob'!$F$5:$F$14,1),0),COUNT('Default Prob'!$P$5:$P$14)))</f>
        <v>2.046797531464158E-2</v>
      </c>
      <c r="H1201" s="5">
        <f t="shared" si="245"/>
        <v>0.90581376219741105</v>
      </c>
      <c r="I1201" s="24">
        <f t="shared" si="246"/>
        <v>5.076165150874612E-5</v>
      </c>
      <c r="J1201" s="25">
        <f>INDEX('Default Prob'!$C$3:$C$13, _xlfn.IFNA(MATCH(F1201, 'Default Prob'!$B$3:$B$13, 1), 1))</f>
        <v>1.95E-2</v>
      </c>
      <c r="K1201" s="26">
        <f t="shared" si="237"/>
        <v>0.91558304507640609</v>
      </c>
      <c r="L1201" s="27">
        <f t="shared" ca="1" si="238"/>
        <v>0</v>
      </c>
      <c r="M1201" s="27">
        <f t="shared" ca="1" si="239"/>
        <v>1697.528920809485</v>
      </c>
      <c r="N1201" s="28">
        <f t="shared" ca="1" si="240"/>
        <v>7.8895215554088807E-2</v>
      </c>
      <c r="O1201" s="29">
        <f t="shared" ca="1" si="241"/>
        <v>600000</v>
      </c>
      <c r="P1201" s="30">
        <f t="shared" ca="1" si="242"/>
        <v>27.885904476891071</v>
      </c>
    </row>
    <row r="1202" spans="1:16" x14ac:dyDescent="0.25">
      <c r="A1202" s="3">
        <f t="shared" si="243"/>
        <v>47794</v>
      </c>
      <c r="B1202" s="21">
        <f t="shared" si="234"/>
        <v>36837</v>
      </c>
      <c r="C1202" s="21">
        <f t="shared" si="235"/>
        <v>36880</v>
      </c>
      <c r="D1202" s="1">
        <f t="shared" si="244"/>
        <v>0</v>
      </c>
      <c r="E1202" s="3">
        <f t="array" ref="E1202">INDEX($A$9:A1201, MAX(IF($D$9:D1201=1, ROW(D$9:$D1201)-ROW($D$9)+1, 0)))</f>
        <v>47746</v>
      </c>
      <c r="F1202" s="23">
        <f t="shared" si="236"/>
        <v>4.5694729637234772</v>
      </c>
      <c r="G1202" s="5">
        <f>INDEX('Default Prob'!$P$5:$P$14,MIN(1+_xlfn.IFNA(MATCH(F1202,'Default Prob'!$F$5:$F$14,1),0),COUNT('Default Prob'!$P$5:$P$14)))</f>
        <v>2.046797531464158E-2</v>
      </c>
      <c r="H1202" s="5">
        <f t="shared" si="245"/>
        <v>0.90576300339041727</v>
      </c>
      <c r="I1202" s="24">
        <f t="shared" si="246"/>
        <v>5.0758806993789207E-5</v>
      </c>
      <c r="J1202" s="25">
        <f>INDEX('Default Prob'!$C$3:$C$13, _xlfn.IFNA(MATCH(F1202, 'Default Prob'!$B$3:$B$13, 1), 1))</f>
        <v>1.95E-2</v>
      </c>
      <c r="K1202" s="26">
        <f t="shared" si="237"/>
        <v>0.91553463561141202</v>
      </c>
      <c r="L1202" s="27">
        <f t="shared" ca="1" si="238"/>
        <v>0</v>
      </c>
      <c r="M1202" s="27">
        <f t="shared" ca="1" si="239"/>
        <v>1733.646557422453</v>
      </c>
      <c r="N1202" s="28">
        <f t="shared" ca="1" si="240"/>
        <v>8.056506214252443E-2</v>
      </c>
      <c r="O1202" s="29">
        <f t="shared" ca="1" si="241"/>
        <v>600000</v>
      </c>
      <c r="P1202" s="30">
        <f t="shared" ca="1" si="242"/>
        <v>27.882867519077276</v>
      </c>
    </row>
    <row r="1203" spans="1:16" x14ac:dyDescent="0.25">
      <c r="A1203" s="3">
        <f t="shared" si="243"/>
        <v>47795</v>
      </c>
      <c r="B1203" s="21">
        <f t="shared" si="234"/>
        <v>36838</v>
      </c>
      <c r="C1203" s="21">
        <f t="shared" si="235"/>
        <v>36880</v>
      </c>
      <c r="D1203" s="1">
        <f t="shared" si="244"/>
        <v>0</v>
      </c>
      <c r="E1203" s="3">
        <f t="array" ref="E1203">INDEX($A$9:A1202, MAX(IF($D$9:D1202=1, ROW(D$9:$D1202)-ROW($D$9)+1, 0)))</f>
        <v>47746</v>
      </c>
      <c r="F1203" s="23">
        <f t="shared" si="236"/>
        <v>4.5722108145106093</v>
      </c>
      <c r="G1203" s="5">
        <f>INDEX('Default Prob'!$P$5:$P$14,MIN(1+_xlfn.IFNA(MATCH(F1203,'Default Prob'!$F$5:$F$14,1),0),COUNT('Default Prob'!$P$5:$P$14)))</f>
        <v>2.046797531464158E-2</v>
      </c>
      <c r="H1203" s="5">
        <f t="shared" si="245"/>
        <v>0.90571224742777912</v>
      </c>
      <c r="I1203" s="24">
        <f t="shared" si="246"/>
        <v>5.0755962638149299E-5</v>
      </c>
      <c r="J1203" s="25">
        <f>INDEX('Default Prob'!$C$3:$C$13, _xlfn.IFNA(MATCH(F1203, 'Default Prob'!$B$3:$B$13, 1), 1))</f>
        <v>1.95E-2</v>
      </c>
      <c r="K1203" s="26">
        <f t="shared" si="237"/>
        <v>0.91548622870596352</v>
      </c>
      <c r="L1203" s="27">
        <f t="shared" ca="1" si="238"/>
        <v>0</v>
      </c>
      <c r="M1203" s="27">
        <f t="shared" ca="1" si="239"/>
        <v>1769.7641940354208</v>
      </c>
      <c r="N1203" s="28">
        <f t="shared" ca="1" si="240"/>
        <v>8.2234544080600977E-2</v>
      </c>
      <c r="O1203" s="29">
        <f t="shared" ca="1" si="241"/>
        <v>600000</v>
      </c>
      <c r="P1203" s="30">
        <f t="shared" ca="1" si="242"/>
        <v>27.879830891964055</v>
      </c>
    </row>
    <row r="1204" spans="1:16" x14ac:dyDescent="0.25">
      <c r="A1204" s="3">
        <f t="shared" si="243"/>
        <v>47798</v>
      </c>
      <c r="B1204" s="21">
        <f t="shared" si="234"/>
        <v>36841</v>
      </c>
      <c r="C1204" s="21">
        <f t="shared" si="235"/>
        <v>36880</v>
      </c>
      <c r="D1204" s="1">
        <f t="shared" si="244"/>
        <v>0</v>
      </c>
      <c r="E1204" s="3">
        <f t="array" ref="E1204">INDEX($A$9:A1203, MAX(IF($D$9:D1203=1, ROW(D$9:$D1203)-ROW($D$9)+1, 0)))</f>
        <v>47746</v>
      </c>
      <c r="F1204" s="23">
        <f t="shared" si="236"/>
        <v>4.5804243668720055</v>
      </c>
      <c r="G1204" s="5">
        <f>INDEX('Default Prob'!$P$5:$P$14,MIN(1+_xlfn.IFNA(MATCH(F1204,'Default Prob'!$F$5:$F$14,1),0),COUNT('Default Prob'!$P$5:$P$14)))</f>
        <v>2.046797531464158E-2</v>
      </c>
      <c r="H1204" s="5">
        <f t="shared" si="245"/>
        <v>0.90555999660440489</v>
      </c>
      <c r="I1204" s="24">
        <f t="shared" si="246"/>
        <v>1.5225082337422258E-4</v>
      </c>
      <c r="J1204" s="25">
        <f>INDEX('Default Prob'!$C$3:$C$13, _xlfn.IFNA(MATCH(F1204, 'Default Prob'!$B$3:$B$13, 1), 1))</f>
        <v>1.95E-2</v>
      </c>
      <c r="K1204" s="26">
        <f t="shared" si="237"/>
        <v>0.91534102334553624</v>
      </c>
      <c r="L1204" s="27">
        <f t="shared" ca="1" si="238"/>
        <v>0</v>
      </c>
      <c r="M1204" s="27">
        <f t="shared" ca="1" si="239"/>
        <v>1878.1171038743239</v>
      </c>
      <c r="N1204" s="28">
        <f t="shared" ca="1" si="240"/>
        <v>0.26173707492220732</v>
      </c>
      <c r="O1204" s="29">
        <f t="shared" ca="1" si="241"/>
        <v>600000</v>
      </c>
      <c r="P1204" s="30">
        <f t="shared" ca="1" si="242"/>
        <v>83.616854683536829</v>
      </c>
    </row>
    <row r="1205" spans="1:16" x14ac:dyDescent="0.25">
      <c r="A1205" s="3">
        <f t="shared" si="243"/>
        <v>47799</v>
      </c>
      <c r="B1205" s="21">
        <f t="shared" si="234"/>
        <v>36842</v>
      </c>
      <c r="C1205" s="21">
        <f t="shared" si="235"/>
        <v>36880</v>
      </c>
      <c r="D1205" s="1">
        <f t="shared" si="244"/>
        <v>0</v>
      </c>
      <c r="E1205" s="3">
        <f t="array" ref="E1205">INDEX($A$9:A1204, MAX(IF($D$9:D1204=1, ROW(D$9:$D1204)-ROW($D$9)+1, 0)))</f>
        <v>47746</v>
      </c>
      <c r="F1205" s="23">
        <f t="shared" si="236"/>
        <v>4.5831622176591376</v>
      </c>
      <c r="G1205" s="5">
        <f>INDEX('Default Prob'!$P$5:$P$14,MIN(1+_xlfn.IFNA(MATCH(F1205,'Default Prob'!$F$5:$F$14,1),0),COUNT('Default Prob'!$P$5:$P$14)))</f>
        <v>2.046797531464158E-2</v>
      </c>
      <c r="H1205" s="5">
        <f t="shared" si="245"/>
        <v>0.90550925201759558</v>
      </c>
      <c r="I1205" s="24">
        <f t="shared" si="246"/>
        <v>5.0744586809314818E-5</v>
      </c>
      <c r="J1205" s="25">
        <f>INDEX('Default Prob'!$C$3:$C$13, _xlfn.IFNA(MATCH(F1205, 'Default Prob'!$B$3:$B$13, 1), 1))</f>
        <v>1.95E-2</v>
      </c>
      <c r="K1205" s="26">
        <f t="shared" si="237"/>
        <v>0.9152926266769158</v>
      </c>
      <c r="L1205" s="27">
        <f t="shared" ca="1" si="238"/>
        <v>0</v>
      </c>
      <c r="M1205" s="27">
        <f t="shared" ca="1" si="239"/>
        <v>1914.2347404872917</v>
      </c>
      <c r="N1205" s="28">
        <f t="shared" ca="1" si="240"/>
        <v>8.8908826522716616E-2</v>
      </c>
      <c r="O1205" s="29">
        <f t="shared" ca="1" si="241"/>
        <v>600000</v>
      </c>
      <c r="P1205" s="30">
        <f t="shared" ca="1" si="242"/>
        <v>27.867687690199521</v>
      </c>
    </row>
    <row r="1206" spans="1:16" x14ac:dyDescent="0.25">
      <c r="A1206" s="3">
        <f t="shared" si="243"/>
        <v>47800</v>
      </c>
      <c r="B1206" s="21">
        <f t="shared" si="234"/>
        <v>36843</v>
      </c>
      <c r="C1206" s="21">
        <f t="shared" si="235"/>
        <v>36880</v>
      </c>
      <c r="D1206" s="1">
        <f t="shared" si="244"/>
        <v>0</v>
      </c>
      <c r="E1206" s="3">
        <f t="array" ref="E1206">INDEX($A$9:A1205, MAX(IF($D$9:D1205=1, ROW(D$9:$D1205)-ROW($D$9)+1, 0)))</f>
        <v>47746</v>
      </c>
      <c r="F1206" s="23">
        <f t="shared" si="236"/>
        <v>4.5859000684462696</v>
      </c>
      <c r="G1206" s="5">
        <f>INDEX('Default Prob'!$P$5:$P$14,MIN(1+_xlfn.IFNA(MATCH(F1206,'Default Prob'!$F$5:$F$14,1),0),COUNT('Default Prob'!$P$5:$P$14)))</f>
        <v>2.046797531464158E-2</v>
      </c>
      <c r="H1206" s="5">
        <f t="shared" si="245"/>
        <v>0.9054585102743451</v>
      </c>
      <c r="I1206" s="24">
        <f t="shared" si="246"/>
        <v>5.0741743250481974E-5</v>
      </c>
      <c r="J1206" s="25">
        <f>INDEX('Default Prob'!$C$3:$C$13, _xlfn.IFNA(MATCH(F1206, 'Default Prob'!$B$3:$B$13, 1), 1))</f>
        <v>1.95E-2</v>
      </c>
      <c r="K1206" s="26">
        <f t="shared" si="237"/>
        <v>0.91524423256716392</v>
      </c>
      <c r="L1206" s="27">
        <f t="shared" ca="1" si="238"/>
        <v>0</v>
      </c>
      <c r="M1206" s="27">
        <f t="shared" ca="1" si="239"/>
        <v>1950.3523771002592</v>
      </c>
      <c r="N1206" s="28">
        <f t="shared" ca="1" si="240"/>
        <v>9.0576486103667642E-2</v>
      </c>
      <c r="O1206" s="29">
        <f t="shared" ca="1" si="241"/>
        <v>600000</v>
      </c>
      <c r="P1206" s="30">
        <f t="shared" ca="1" si="242"/>
        <v>27.864652716244468</v>
      </c>
    </row>
    <row r="1207" spans="1:16" x14ac:dyDescent="0.25">
      <c r="A1207" s="3">
        <f t="shared" si="243"/>
        <v>47801</v>
      </c>
      <c r="B1207" s="21">
        <f t="shared" si="234"/>
        <v>36844</v>
      </c>
      <c r="C1207" s="21">
        <f t="shared" si="235"/>
        <v>36880</v>
      </c>
      <c r="D1207" s="1">
        <f t="shared" si="244"/>
        <v>0</v>
      </c>
      <c r="E1207" s="3">
        <f t="array" ref="E1207">INDEX($A$9:A1206, MAX(IF($D$9:D1206=1, ROW(D$9:$D1206)-ROW($D$9)+1, 0)))</f>
        <v>47746</v>
      </c>
      <c r="F1207" s="23">
        <f t="shared" si="236"/>
        <v>4.5886379192334017</v>
      </c>
      <c r="G1207" s="5">
        <f>INDEX('Default Prob'!$P$5:$P$14,MIN(1+_xlfn.IFNA(MATCH(F1207,'Default Prob'!$F$5:$F$14,1),0),COUNT('Default Prob'!$P$5:$P$14)))</f>
        <v>2.046797531464158E-2</v>
      </c>
      <c r="H1207" s="5">
        <f t="shared" si="245"/>
        <v>0.90540777137449402</v>
      </c>
      <c r="I1207" s="24">
        <f t="shared" si="246"/>
        <v>5.0738899851077157E-5</v>
      </c>
      <c r="J1207" s="25">
        <f>INDEX('Default Prob'!$C$3:$C$13, _xlfn.IFNA(MATCH(F1207, 'Default Prob'!$B$3:$B$13, 1), 1))</f>
        <v>1.95E-2</v>
      </c>
      <c r="K1207" s="26">
        <f t="shared" si="237"/>
        <v>0.91519584101614559</v>
      </c>
      <c r="L1207" s="27">
        <f t="shared" ca="1" si="238"/>
        <v>0</v>
      </c>
      <c r="M1207" s="27">
        <f t="shared" ca="1" si="239"/>
        <v>1986.4700137132272</v>
      </c>
      <c r="N1207" s="28">
        <f t="shared" ca="1" si="240"/>
        <v>9.2243781392125829E-2</v>
      </c>
      <c r="O1207" s="29">
        <f t="shared" ca="1" si="241"/>
        <v>600000</v>
      </c>
      <c r="P1207" s="30">
        <f t="shared" ca="1" si="242"/>
        <v>27.861618072864324</v>
      </c>
    </row>
    <row r="1208" spans="1:16" x14ac:dyDescent="0.25">
      <c r="A1208" s="3">
        <f t="shared" si="243"/>
        <v>47802</v>
      </c>
      <c r="B1208" s="21">
        <f t="shared" si="234"/>
        <v>36845</v>
      </c>
      <c r="C1208" s="21">
        <f t="shared" si="235"/>
        <v>36880</v>
      </c>
      <c r="D1208" s="1">
        <f t="shared" si="244"/>
        <v>0</v>
      </c>
      <c r="E1208" s="3">
        <f t="array" ref="E1208">INDEX($A$9:A1207, MAX(IF($D$9:D1207=1, ROW(D$9:$D1207)-ROW($D$9)+1, 0)))</f>
        <v>47746</v>
      </c>
      <c r="F1208" s="23">
        <f t="shared" si="236"/>
        <v>4.5913757700205338</v>
      </c>
      <c r="G1208" s="5">
        <f>INDEX('Default Prob'!$P$5:$P$14,MIN(1+_xlfn.IFNA(MATCH(F1208,'Default Prob'!$F$5:$F$14,1),0),COUNT('Default Prob'!$P$5:$P$14)))</f>
        <v>2.046797531464158E-2</v>
      </c>
      <c r="H1208" s="5">
        <f t="shared" si="245"/>
        <v>0.90535703531788303</v>
      </c>
      <c r="I1208" s="24">
        <f t="shared" si="246"/>
        <v>5.0736056610989344E-5</v>
      </c>
      <c r="J1208" s="25">
        <f>INDEX('Default Prob'!$C$3:$C$13, _xlfn.IFNA(MATCH(F1208, 'Default Prob'!$B$3:$B$13, 1), 1))</f>
        <v>1.95E-2</v>
      </c>
      <c r="K1208" s="26">
        <f t="shared" si="237"/>
        <v>0.91514745202372516</v>
      </c>
      <c r="L1208" s="27">
        <f t="shared" ca="1" si="238"/>
        <v>0</v>
      </c>
      <c r="M1208" s="27">
        <f t="shared" ca="1" si="239"/>
        <v>2022.587650326195</v>
      </c>
      <c r="N1208" s="28">
        <f t="shared" ca="1" si="240"/>
        <v>9.3910712447478659E-2</v>
      </c>
      <c r="O1208" s="29">
        <f t="shared" ca="1" si="241"/>
        <v>600000</v>
      </c>
      <c r="P1208" s="30">
        <f t="shared" ca="1" si="242"/>
        <v>27.858583759967026</v>
      </c>
    </row>
    <row r="1209" spans="1:16" x14ac:dyDescent="0.25">
      <c r="A1209" s="3">
        <f t="shared" si="243"/>
        <v>47805</v>
      </c>
      <c r="B1209" s="21">
        <f t="shared" si="234"/>
        <v>36848</v>
      </c>
      <c r="C1209" s="21">
        <f t="shared" si="235"/>
        <v>36880</v>
      </c>
      <c r="D1209" s="1">
        <f t="shared" si="244"/>
        <v>0</v>
      </c>
      <c r="E1209" s="3">
        <f t="array" ref="E1209">INDEX($A$9:A1208, MAX(IF($D$9:D1208=1, ROW(D$9:$D1208)-ROW($D$9)+1, 0)))</f>
        <v>47746</v>
      </c>
      <c r="F1209" s="23">
        <f t="shared" si="236"/>
        <v>4.59958932238193</v>
      </c>
      <c r="G1209" s="5">
        <f>INDEX('Default Prob'!$P$5:$P$14,MIN(1+_xlfn.IFNA(MATCH(F1209,'Default Prob'!$F$5:$F$14,1),0),COUNT('Default Prob'!$P$5:$P$14)))</f>
        <v>2.046797531464158E-2</v>
      </c>
      <c r="H1209" s="5">
        <f t="shared" si="245"/>
        <v>0.90520484420589764</v>
      </c>
      <c r="I1209" s="24">
        <f t="shared" si="246"/>
        <v>1.5219111198538915E-4</v>
      </c>
      <c r="J1209" s="25">
        <f>INDEX('Default Prob'!$C$3:$C$13, _xlfn.IFNA(MATCH(F1209, 'Default Prob'!$B$3:$B$13, 1), 1))</f>
        <v>1.95E-2</v>
      </c>
      <c r="K1209" s="26">
        <f t="shared" si="237"/>
        <v>0.91500230039670072</v>
      </c>
      <c r="L1209" s="27">
        <f t="shared" ca="1" si="238"/>
        <v>0</v>
      </c>
      <c r="M1209" s="27">
        <f t="shared" ca="1" si="239"/>
        <v>2130.9405601650983</v>
      </c>
      <c r="N1209" s="28">
        <f t="shared" ca="1" si="240"/>
        <v>0.29674459132720432</v>
      </c>
      <c r="O1209" s="29">
        <f t="shared" ca="1" si="241"/>
        <v>600000</v>
      </c>
      <c r="P1209" s="30">
        <f t="shared" ca="1" si="242"/>
        <v>83.553130539937783</v>
      </c>
    </row>
    <row r="1210" spans="1:16" x14ac:dyDescent="0.25">
      <c r="A1210" s="3">
        <f t="shared" si="243"/>
        <v>47806</v>
      </c>
      <c r="B1210" s="21">
        <f t="shared" si="234"/>
        <v>36849</v>
      </c>
      <c r="C1210" s="21">
        <f t="shared" si="235"/>
        <v>36880</v>
      </c>
      <c r="D1210" s="1">
        <f t="shared" si="244"/>
        <v>0</v>
      </c>
      <c r="E1210" s="3">
        <f t="array" ref="E1210">INDEX($A$9:A1209, MAX(IF($D$9:D1209=1, ROW(D$9:$D1209)-ROW($D$9)+1, 0)))</f>
        <v>47746</v>
      </c>
      <c r="F1210" s="23">
        <f t="shared" si="236"/>
        <v>4.602327173169062</v>
      </c>
      <c r="G1210" s="5">
        <f>INDEX('Default Prob'!$P$5:$P$14,MIN(1+_xlfn.IFNA(MATCH(F1210,'Default Prob'!$F$5:$F$14,1),0),COUNT('Default Prob'!$P$5:$P$14)))</f>
        <v>2.046797531464158E-2</v>
      </c>
      <c r="H1210" s="5">
        <f t="shared" si="245"/>
        <v>0.90515411952065394</v>
      </c>
      <c r="I1210" s="24">
        <f t="shared" si="246"/>
        <v>5.072468524369711E-5</v>
      </c>
      <c r="J1210" s="25">
        <f>INDEX('Default Prob'!$C$3:$C$13, _xlfn.IFNA(MATCH(F1210, 'Default Prob'!$B$3:$B$13, 1), 1))</f>
        <v>1.95E-2</v>
      </c>
      <c r="K1210" s="26">
        <f t="shared" si="237"/>
        <v>0.91495392163732059</v>
      </c>
      <c r="L1210" s="27">
        <f t="shared" ca="1" si="238"/>
        <v>0</v>
      </c>
      <c r="M1210" s="27">
        <f t="shared" ca="1" si="239"/>
        <v>2167.0581967780658</v>
      </c>
      <c r="N1210" s="28">
        <f t="shared" ca="1" si="240"/>
        <v>0.1005747955289973</v>
      </c>
      <c r="O1210" s="29">
        <f t="shared" ca="1" si="241"/>
        <v>600000</v>
      </c>
      <c r="P1210" s="30">
        <f t="shared" ca="1" si="242"/>
        <v>27.846449812523637</v>
      </c>
    </row>
    <row r="1211" spans="1:16" x14ac:dyDescent="0.25">
      <c r="A1211" s="3">
        <f t="shared" si="243"/>
        <v>47807</v>
      </c>
      <c r="B1211" s="21">
        <f t="shared" si="234"/>
        <v>36850</v>
      </c>
      <c r="C1211" s="21">
        <f t="shared" si="235"/>
        <v>36880</v>
      </c>
      <c r="D1211" s="1">
        <f t="shared" si="244"/>
        <v>0</v>
      </c>
      <c r="E1211" s="3">
        <f t="array" ref="E1211">INDEX($A$9:A1210, MAX(IF($D$9:D1210=1, ROW(D$9:$D1210)-ROW($D$9)+1, 0)))</f>
        <v>47746</v>
      </c>
      <c r="F1211" s="23">
        <f t="shared" si="236"/>
        <v>4.6050650239561941</v>
      </c>
      <c r="G1211" s="5">
        <f>INDEX('Default Prob'!$P$5:$P$14,MIN(1+_xlfn.IFNA(MATCH(F1211,'Default Prob'!$F$5:$F$14,1),0),COUNT('Default Prob'!$P$5:$P$14)))</f>
        <v>2.046797531464158E-2</v>
      </c>
      <c r="H1211" s="5">
        <f t="shared" si="245"/>
        <v>0.90510339767785386</v>
      </c>
      <c r="I1211" s="24">
        <f t="shared" si="246"/>
        <v>5.0721842800083294E-5</v>
      </c>
      <c r="J1211" s="25">
        <f>INDEX('Default Prob'!$C$3:$C$13, _xlfn.IFNA(MATCH(F1211, 'Default Prob'!$B$3:$B$13, 1), 1))</f>
        <v>1.95E-2</v>
      </c>
      <c r="K1211" s="26">
        <f t="shared" si="237"/>
        <v>0.914905545435862</v>
      </c>
      <c r="L1211" s="27">
        <f t="shared" ca="1" si="238"/>
        <v>0</v>
      </c>
      <c r="M1211" s="27">
        <f t="shared" ca="1" si="239"/>
        <v>2203.1758333910338</v>
      </c>
      <c r="N1211" s="28">
        <f t="shared" ca="1" si="240"/>
        <v>0.10223990631206607</v>
      </c>
      <c r="O1211" s="29">
        <f t="shared" ca="1" si="241"/>
        <v>600000</v>
      </c>
      <c r="P1211" s="30">
        <f t="shared" ca="1" si="242"/>
        <v>27.843417151513354</v>
      </c>
    </row>
    <row r="1212" spans="1:16" x14ac:dyDescent="0.25">
      <c r="A1212" s="3">
        <f t="shared" si="243"/>
        <v>47808</v>
      </c>
      <c r="B1212" s="21">
        <f t="shared" si="234"/>
        <v>36851</v>
      </c>
      <c r="C1212" s="21">
        <f t="shared" si="235"/>
        <v>36880</v>
      </c>
      <c r="D1212" s="1">
        <f t="shared" si="244"/>
        <v>0</v>
      </c>
      <c r="E1212" s="3">
        <f t="array" ref="E1212">INDEX($A$9:A1211, MAX(IF($D$9:D1211=1, ROW(D$9:$D1211)-ROW($D$9)+1, 0)))</f>
        <v>47746</v>
      </c>
      <c r="F1212" s="23">
        <f t="shared" si="236"/>
        <v>4.6078028747433262</v>
      </c>
      <c r="G1212" s="5">
        <f>INDEX('Default Prob'!$P$5:$P$14,MIN(1+_xlfn.IFNA(MATCH(F1212,'Default Prob'!$F$5:$F$14,1),0),COUNT('Default Prob'!$P$5:$P$14)))</f>
        <v>2.046797531464158E-2</v>
      </c>
      <c r="H1212" s="5">
        <f t="shared" si="245"/>
        <v>0.90505267867733807</v>
      </c>
      <c r="I1212" s="24">
        <f t="shared" si="246"/>
        <v>5.0719000515786483E-5</v>
      </c>
      <c r="J1212" s="25">
        <f>INDEX('Default Prob'!$C$3:$C$13, _xlfn.IFNA(MATCH(F1212, 'Default Prob'!$B$3:$B$13, 1), 1))</f>
        <v>1.95E-2</v>
      </c>
      <c r="K1212" s="26">
        <f t="shared" si="237"/>
        <v>0.91485717179219017</v>
      </c>
      <c r="L1212" s="27">
        <f t="shared" ca="1" si="238"/>
        <v>0</v>
      </c>
      <c r="M1212" s="27">
        <f t="shared" ca="1" si="239"/>
        <v>2239.2934700040018</v>
      </c>
      <c r="N1212" s="28">
        <f t="shared" ca="1" si="240"/>
        <v>0.10390465321935784</v>
      </c>
      <c r="O1212" s="29">
        <f t="shared" ca="1" si="241"/>
        <v>600000</v>
      </c>
      <c r="P1212" s="30">
        <f t="shared" ca="1" si="242"/>
        <v>27.840384820799432</v>
      </c>
    </row>
    <row r="1213" spans="1:16" x14ac:dyDescent="0.25">
      <c r="A1213" s="3">
        <f t="shared" si="243"/>
        <v>47809</v>
      </c>
      <c r="B1213" s="21">
        <f t="shared" si="234"/>
        <v>36852</v>
      </c>
      <c r="C1213" s="21">
        <f t="shared" si="235"/>
        <v>36880</v>
      </c>
      <c r="D1213" s="1">
        <f t="shared" si="244"/>
        <v>0</v>
      </c>
      <c r="E1213" s="3">
        <f t="array" ref="E1213">INDEX($A$9:A1212, MAX(IF($D$9:D1212=1, ROW(D$9:$D1212)-ROW($D$9)+1, 0)))</f>
        <v>47746</v>
      </c>
      <c r="F1213" s="23">
        <f t="shared" si="236"/>
        <v>4.6105407255304582</v>
      </c>
      <c r="G1213" s="5">
        <f>INDEX('Default Prob'!$P$5:$P$14,MIN(1+_xlfn.IFNA(MATCH(F1213,'Default Prob'!$F$5:$F$14,1),0),COUNT('Default Prob'!$P$5:$P$14)))</f>
        <v>2.046797531464158E-2</v>
      </c>
      <c r="H1213" s="5">
        <f t="shared" si="245"/>
        <v>0.90500196251894727</v>
      </c>
      <c r="I1213" s="24">
        <f t="shared" si="246"/>
        <v>5.0716158390806676E-5</v>
      </c>
      <c r="J1213" s="25">
        <f>INDEX('Default Prob'!$C$3:$C$13, _xlfn.IFNA(MATCH(F1213, 'Default Prob'!$B$3:$B$13, 1), 1))</f>
        <v>1.95E-2</v>
      </c>
      <c r="K1213" s="26">
        <f t="shared" si="237"/>
        <v>0.91480880070616954</v>
      </c>
      <c r="L1213" s="27">
        <f t="shared" ca="1" si="238"/>
        <v>0</v>
      </c>
      <c r="M1213" s="27">
        <f t="shared" ca="1" si="239"/>
        <v>2275.4111066169694</v>
      </c>
      <c r="N1213" s="28">
        <f t="shared" ca="1" si="240"/>
        <v>0.10556903631040236</v>
      </c>
      <c r="O1213" s="29">
        <f t="shared" ca="1" si="241"/>
        <v>600000</v>
      </c>
      <c r="P1213" s="30">
        <f t="shared" ca="1" si="242"/>
        <v>27.837352820350795</v>
      </c>
    </row>
    <row r="1214" spans="1:16" x14ac:dyDescent="0.25">
      <c r="A1214" s="3">
        <f t="shared" si="243"/>
        <v>47812</v>
      </c>
      <c r="B1214" s="21">
        <f t="shared" si="234"/>
        <v>36855</v>
      </c>
      <c r="C1214" s="21">
        <f t="shared" si="235"/>
        <v>36880</v>
      </c>
      <c r="D1214" s="1">
        <f t="shared" si="244"/>
        <v>0</v>
      </c>
      <c r="E1214" s="3">
        <f t="array" ref="E1214">INDEX($A$9:A1213, MAX(IF($D$9:D1213=1, ROW(D$9:$D1213)-ROW($D$9)+1, 0)))</f>
        <v>47746</v>
      </c>
      <c r="F1214" s="23">
        <f t="shared" si="236"/>
        <v>4.6187542778918553</v>
      </c>
      <c r="G1214" s="5">
        <f>INDEX('Default Prob'!$P$5:$P$14,MIN(1+_xlfn.IFNA(MATCH(F1214,'Default Prob'!$F$5:$F$14,1),0),COUNT('Default Prob'!$P$5:$P$14)))</f>
        <v>2.046797531464158E-2</v>
      </c>
      <c r="H1214" s="5">
        <f t="shared" si="245"/>
        <v>0.90484983109493244</v>
      </c>
      <c r="I1214" s="24">
        <f t="shared" si="246"/>
        <v>1.5213142401482305E-4</v>
      </c>
      <c r="J1214" s="25">
        <f>INDEX('Default Prob'!$C$3:$C$13, _xlfn.IFNA(MATCH(F1214, 'Default Prob'!$B$3:$B$13, 1), 1))</f>
        <v>1.95E-2</v>
      </c>
      <c r="K1214" s="26">
        <f t="shared" si="237"/>
        <v>0.91466370279266374</v>
      </c>
      <c r="L1214" s="27">
        <f t="shared" ca="1" si="238"/>
        <v>0</v>
      </c>
      <c r="M1214" s="27">
        <f t="shared" ca="1" si="239"/>
        <v>2383.7640164558725</v>
      </c>
      <c r="N1214" s="28">
        <f t="shared" ca="1" si="240"/>
        <v>0.33169859747983882</v>
      </c>
      <c r="O1214" s="29">
        <f t="shared" ca="1" si="241"/>
        <v>600000</v>
      </c>
      <c r="P1214" s="30">
        <f t="shared" ca="1" si="242"/>
        <v>83.489454960311292</v>
      </c>
    </row>
    <row r="1215" spans="1:16" x14ac:dyDescent="0.25">
      <c r="A1215" s="3">
        <f t="shared" si="243"/>
        <v>47813</v>
      </c>
      <c r="B1215" s="21">
        <f t="shared" si="234"/>
        <v>36856</v>
      </c>
      <c r="C1215" s="21">
        <f t="shared" si="235"/>
        <v>36880</v>
      </c>
      <c r="D1215" s="1">
        <f t="shared" si="244"/>
        <v>0</v>
      </c>
      <c r="E1215" s="3">
        <f t="array" ref="E1215">INDEX($A$9:A1214, MAX(IF($D$9:D1214=1, ROW(D$9:$D1214)-ROW($D$9)+1, 0)))</f>
        <v>47746</v>
      </c>
      <c r="F1215" s="23">
        <f t="shared" si="236"/>
        <v>4.6214921286789874</v>
      </c>
      <c r="G1215" s="5">
        <f>INDEX('Default Prob'!$P$5:$P$14,MIN(1+_xlfn.IFNA(MATCH(F1215,'Default Prob'!$F$5:$F$14,1),0),COUNT('Default Prob'!$P$5:$P$14)))</f>
        <v>2.046797531464158E-2</v>
      </c>
      <c r="H1215" s="5">
        <f t="shared" si="245"/>
        <v>0.90479912630344916</v>
      </c>
      <c r="I1215" s="24">
        <f t="shared" si="246"/>
        <v>5.0704791483280331E-5</v>
      </c>
      <c r="J1215" s="25">
        <f>INDEX('Default Prob'!$C$3:$C$13, _xlfn.IFNA(MATCH(F1215, 'Default Prob'!$B$3:$B$13, 1), 1))</f>
        <v>1.95E-2</v>
      </c>
      <c r="K1215" s="26">
        <f t="shared" si="237"/>
        <v>0.91461534193589633</v>
      </c>
      <c r="L1215" s="27">
        <f t="shared" ca="1" si="238"/>
        <v>0</v>
      </c>
      <c r="M1215" s="27">
        <f t="shared" ca="1" si="239"/>
        <v>2419.8816530688405</v>
      </c>
      <c r="N1215" s="28">
        <f t="shared" ca="1" si="240"/>
        <v>0.11222293170072235</v>
      </c>
      <c r="O1215" s="29">
        <f t="shared" ca="1" si="241"/>
        <v>600000</v>
      </c>
      <c r="P1215" s="30">
        <f t="shared" ca="1" si="242"/>
        <v>27.82522812016126</v>
      </c>
    </row>
    <row r="1216" spans="1:16" x14ac:dyDescent="0.25">
      <c r="A1216" s="3">
        <f t="shared" si="243"/>
        <v>47814</v>
      </c>
      <c r="B1216" s="21">
        <f t="shared" si="234"/>
        <v>36857</v>
      </c>
      <c r="C1216" s="21">
        <f t="shared" si="235"/>
        <v>36880</v>
      </c>
      <c r="D1216" s="1">
        <f t="shared" si="244"/>
        <v>0</v>
      </c>
      <c r="E1216" s="3">
        <f t="array" ref="E1216">INDEX($A$9:A1215, MAX(IF($D$9:D1215=1, ROW(D$9:$D1215)-ROW($D$9)+1, 0)))</f>
        <v>47746</v>
      </c>
      <c r="F1216" s="23">
        <f t="shared" si="236"/>
        <v>4.6242299794661195</v>
      </c>
      <c r="G1216" s="5">
        <f>INDEX('Default Prob'!$P$5:$P$14,MIN(1+_xlfn.IFNA(MATCH(F1216,'Default Prob'!$F$5:$F$14,1),0),COUNT('Default Prob'!$P$5:$P$14)))</f>
        <v>2.046797531464158E-2</v>
      </c>
      <c r="H1216" s="5">
        <f t="shared" si="245"/>
        <v>0.90474842435329472</v>
      </c>
      <c r="I1216" s="24">
        <f t="shared" si="246"/>
        <v>5.0701950154441455E-5</v>
      </c>
      <c r="J1216" s="25">
        <f>INDEX('Default Prob'!$C$3:$C$13, _xlfn.IFNA(MATCH(F1216, 'Default Prob'!$B$3:$B$13, 1), 1))</f>
        <v>1.95E-2</v>
      </c>
      <c r="K1216" s="26">
        <f t="shared" si="237"/>
        <v>0.91456698363610434</v>
      </c>
      <c r="L1216" s="27">
        <f t="shared" ca="1" si="238"/>
        <v>0</v>
      </c>
      <c r="M1216" s="27">
        <f t="shared" ca="1" si="239"/>
        <v>2455.9992896818085</v>
      </c>
      <c r="N1216" s="28">
        <f t="shared" ca="1" si="240"/>
        <v>0.11388549660219294</v>
      </c>
      <c r="O1216" s="29">
        <f t="shared" ca="1" si="241"/>
        <v>600000</v>
      </c>
      <c r="P1216" s="30">
        <f t="shared" ca="1" si="242"/>
        <v>27.822197770329382</v>
      </c>
    </row>
    <row r="1217" spans="1:16" x14ac:dyDescent="0.25">
      <c r="A1217" s="3">
        <f t="shared" si="243"/>
        <v>47815</v>
      </c>
      <c r="B1217" s="21">
        <f t="shared" si="234"/>
        <v>36858</v>
      </c>
      <c r="C1217" s="21">
        <f t="shared" si="235"/>
        <v>36880</v>
      </c>
      <c r="D1217" s="1">
        <f t="shared" si="244"/>
        <v>0</v>
      </c>
      <c r="E1217" s="3">
        <f t="array" ref="E1217">INDEX($A$9:A1216, MAX(IF($D$9:D1216=1, ROW(D$9:$D1216)-ROW($D$9)+1, 0)))</f>
        <v>47746</v>
      </c>
      <c r="F1217" s="23">
        <f t="shared" si="236"/>
        <v>4.6269678302532515</v>
      </c>
      <c r="G1217" s="5">
        <f>INDEX('Default Prob'!$P$5:$P$14,MIN(1+_xlfn.IFNA(MATCH(F1217,'Default Prob'!$F$5:$F$14,1),0),COUNT('Default Prob'!$P$5:$P$14)))</f>
        <v>2.046797531464158E-2</v>
      </c>
      <c r="H1217" s="5">
        <f t="shared" si="245"/>
        <v>0.9046977252443098</v>
      </c>
      <c r="I1217" s="24">
        <f t="shared" si="246"/>
        <v>5.0699108984919583E-5</v>
      </c>
      <c r="J1217" s="25">
        <f>INDEX('Default Prob'!$C$3:$C$13, _xlfn.IFNA(MATCH(F1217, 'Default Prob'!$B$3:$B$13, 1), 1))</f>
        <v>1.95E-2</v>
      </c>
      <c r="K1217" s="26">
        <f t="shared" si="237"/>
        <v>0.9145186278931523</v>
      </c>
      <c r="L1217" s="27">
        <f t="shared" ca="1" si="238"/>
        <v>0</v>
      </c>
      <c r="M1217" s="27">
        <f t="shared" ca="1" si="239"/>
        <v>2492.116926294776</v>
      </c>
      <c r="N1217" s="28">
        <f t="shared" ca="1" si="240"/>
        <v>0.1155476980444088</v>
      </c>
      <c r="O1217" s="29">
        <f t="shared" ca="1" si="241"/>
        <v>600000</v>
      </c>
      <c r="P1217" s="30">
        <f t="shared" ca="1" si="242"/>
        <v>27.81916775057643</v>
      </c>
    </row>
    <row r="1218" spans="1:16" x14ac:dyDescent="0.25">
      <c r="A1218" s="3">
        <f t="shared" si="243"/>
        <v>47816</v>
      </c>
      <c r="B1218" s="21">
        <f t="shared" si="234"/>
        <v>36859</v>
      </c>
      <c r="C1218" s="21">
        <f t="shared" si="235"/>
        <v>36880</v>
      </c>
      <c r="D1218" s="1">
        <f t="shared" si="244"/>
        <v>0</v>
      </c>
      <c r="E1218" s="3">
        <f t="array" ref="E1218">INDEX($A$9:A1217, MAX(IF($D$9:D1217=1, ROW(D$9:$D1217)-ROW($D$9)+1, 0)))</f>
        <v>47746</v>
      </c>
      <c r="F1218" s="23">
        <f t="shared" si="236"/>
        <v>4.6297056810403836</v>
      </c>
      <c r="G1218" s="5">
        <f>INDEX('Default Prob'!$P$5:$P$14,MIN(1+_xlfn.IFNA(MATCH(F1218,'Default Prob'!$F$5:$F$14,1),0),COUNT('Default Prob'!$P$5:$P$14)))</f>
        <v>2.046797531464158E-2</v>
      </c>
      <c r="H1218" s="5">
        <f t="shared" si="245"/>
        <v>0.90464702897633531</v>
      </c>
      <c r="I1218" s="24">
        <f t="shared" si="246"/>
        <v>5.069626797449267E-5</v>
      </c>
      <c r="J1218" s="25">
        <f>INDEX('Default Prob'!$C$3:$C$13, _xlfn.IFNA(MATCH(F1218, 'Default Prob'!$B$3:$B$13, 1), 1))</f>
        <v>1.95E-2</v>
      </c>
      <c r="K1218" s="26">
        <f t="shared" si="237"/>
        <v>0.91447027470690512</v>
      </c>
      <c r="L1218" s="27">
        <f t="shared" ca="1" si="238"/>
        <v>0</v>
      </c>
      <c r="M1218" s="27">
        <f t="shared" ca="1" si="239"/>
        <v>2528.2345629077436</v>
      </c>
      <c r="N1218" s="28">
        <f t="shared" ca="1" si="240"/>
        <v>0.11720953608633417</v>
      </c>
      <c r="O1218" s="29">
        <f t="shared" ca="1" si="241"/>
        <v>600000</v>
      </c>
      <c r="P1218" s="30">
        <f t="shared" ca="1" si="242"/>
        <v>27.816138060749513</v>
      </c>
    </row>
    <row r="1219" spans="1:16" x14ac:dyDescent="0.25">
      <c r="A1219" s="3">
        <f t="shared" si="243"/>
        <v>47819</v>
      </c>
      <c r="B1219" s="21">
        <f t="shared" si="234"/>
        <v>36862</v>
      </c>
      <c r="C1219" s="21">
        <f t="shared" si="235"/>
        <v>36880</v>
      </c>
      <c r="D1219" s="1">
        <f t="shared" si="244"/>
        <v>0</v>
      </c>
      <c r="E1219" s="3">
        <f t="array" ref="E1219">INDEX($A$9:A1218, MAX(IF($D$9:D1218=1, ROW(D$9:$D1218)-ROW($D$9)+1, 0)))</f>
        <v>47746</v>
      </c>
      <c r="F1219" s="23">
        <f t="shared" si="236"/>
        <v>4.6379192334017798</v>
      </c>
      <c r="G1219" s="5">
        <f>INDEX('Default Prob'!$P$5:$P$14,MIN(1+_xlfn.IFNA(MATCH(F1219,'Default Prob'!$F$5:$F$14,1),0),COUNT('Default Prob'!$P$5:$P$14)))</f>
        <v>2.046797531464158E-2</v>
      </c>
      <c r="H1219" s="5">
        <f t="shared" si="245"/>
        <v>0.904494957216882</v>
      </c>
      <c r="I1219" s="24">
        <f t="shared" si="246"/>
        <v>1.5207175945330942E-4</v>
      </c>
      <c r="J1219" s="25">
        <f>INDEX('Default Prob'!$C$3:$C$13, _xlfn.IFNA(MATCH(F1219, 'Default Prob'!$B$3:$B$13, 1), 1))</f>
        <v>1.95E-2</v>
      </c>
      <c r="K1219" s="26">
        <f t="shared" si="237"/>
        <v>0.91432523048704128</v>
      </c>
      <c r="L1219" s="27">
        <f t="shared" ca="1" si="238"/>
        <v>0</v>
      </c>
      <c r="M1219" s="27">
        <f t="shared" ca="1" si="239"/>
        <v>2636.5874727466467</v>
      </c>
      <c r="N1219" s="28">
        <f t="shared" ca="1" si="240"/>
        <v>0.366599154607959</v>
      </c>
      <c r="O1219" s="29">
        <f t="shared" ca="1" si="241"/>
        <v>600000</v>
      </c>
      <c r="P1219" s="30">
        <f t="shared" ca="1" si="242"/>
        <v>83.425827907630207</v>
      </c>
    </row>
    <row r="1220" spans="1:16" x14ac:dyDescent="0.25">
      <c r="A1220" s="3">
        <f t="shared" si="243"/>
        <v>47820</v>
      </c>
      <c r="B1220" s="21">
        <f t="shared" si="234"/>
        <v>36863</v>
      </c>
      <c r="C1220" s="21">
        <f t="shared" si="235"/>
        <v>36880</v>
      </c>
      <c r="D1220" s="1">
        <f t="shared" si="244"/>
        <v>0</v>
      </c>
      <c r="E1220" s="3">
        <f t="array" ref="E1220">INDEX($A$9:A1219, MAX(IF($D$9:D1219=1, ROW(D$9:$D1219)-ROW($D$9)+1, 0)))</f>
        <v>47746</v>
      </c>
      <c r="F1220" s="23">
        <f t="shared" si="236"/>
        <v>4.6406570841889119</v>
      </c>
      <c r="G1220" s="5">
        <f>INDEX('Default Prob'!$P$5:$P$14,MIN(1+_xlfn.IFNA(MATCH(F1220,'Default Prob'!$F$5:$F$14,1),0),COUNT('Default Prob'!$P$5:$P$14)))</f>
        <v>2.046797531464158E-2</v>
      </c>
      <c r="H1220" s="5">
        <f t="shared" si="245"/>
        <v>0.90444427231135704</v>
      </c>
      <c r="I1220" s="24">
        <f t="shared" si="246"/>
        <v>5.0684905524955859E-5</v>
      </c>
      <c r="J1220" s="25">
        <f>INDEX('Default Prob'!$C$3:$C$13, _xlfn.IFNA(MATCH(F1220, 'Default Prob'!$B$3:$B$13, 1), 1))</f>
        <v>1.95E-2</v>
      </c>
      <c r="K1220" s="26">
        <f t="shared" si="237"/>
        <v>0.91427688752626191</v>
      </c>
      <c r="L1220" s="27">
        <f t="shared" ca="1" si="238"/>
        <v>0</v>
      </c>
      <c r="M1220" s="27">
        <f t="shared" ca="1" si="239"/>
        <v>2672.7051093596151</v>
      </c>
      <c r="N1220" s="28">
        <f t="shared" ca="1" si="240"/>
        <v>0.12385325544296488</v>
      </c>
      <c r="O1220" s="29">
        <f t="shared" ca="1" si="241"/>
        <v>600000</v>
      </c>
      <c r="P1220" s="30">
        <f t="shared" ca="1" si="242"/>
        <v>27.804022600751566</v>
      </c>
    </row>
    <row r="1221" spans="1:16" x14ac:dyDescent="0.25">
      <c r="A1221" s="3">
        <f t="shared" si="243"/>
        <v>47821</v>
      </c>
      <c r="B1221" s="21">
        <f t="shared" si="234"/>
        <v>36864</v>
      </c>
      <c r="C1221" s="21">
        <f t="shared" si="235"/>
        <v>36880</v>
      </c>
      <c r="D1221" s="1">
        <f t="shared" si="244"/>
        <v>0</v>
      </c>
      <c r="E1221" s="3">
        <f t="array" ref="E1221">INDEX($A$9:A1220, MAX(IF($D$9:D1220=1, ROW(D$9:$D1220)-ROW($D$9)+1, 0)))</f>
        <v>47746</v>
      </c>
      <c r="F1221" s="23">
        <f t="shared" si="236"/>
        <v>4.6433949349760439</v>
      </c>
      <c r="G1221" s="5">
        <f>INDEX('Default Prob'!$P$5:$P$14,MIN(1+_xlfn.IFNA(MATCH(F1221,'Default Prob'!$F$5:$F$14,1),0),COUNT('Default Prob'!$P$5:$P$14)))</f>
        <v>2.046797531464158E-2</v>
      </c>
      <c r="H1221" s="5">
        <f t="shared" si="245"/>
        <v>0.90439359024604649</v>
      </c>
      <c r="I1221" s="24">
        <f t="shared" si="246"/>
        <v>5.0682065310558855E-5</v>
      </c>
      <c r="J1221" s="25">
        <f>INDEX('Default Prob'!$C$3:$C$13, _xlfn.IFNA(MATCH(F1221, 'Default Prob'!$B$3:$B$13, 1), 1))</f>
        <v>1.95E-2</v>
      </c>
      <c r="K1221" s="26">
        <f t="shared" si="237"/>
        <v>0.91422854712151158</v>
      </c>
      <c r="L1221" s="27">
        <f t="shared" ca="1" si="238"/>
        <v>0</v>
      </c>
      <c r="M1221" s="27">
        <f t="shared" ca="1" si="239"/>
        <v>2708.8227459725827</v>
      </c>
      <c r="N1221" s="28">
        <f t="shared" ca="1" si="240"/>
        <v>0.12551327737642493</v>
      </c>
      <c r="O1221" s="29">
        <f t="shared" ca="1" si="241"/>
        <v>600000</v>
      </c>
      <c r="P1221" s="30">
        <f t="shared" ca="1" si="242"/>
        <v>27.800994560393871</v>
      </c>
    </row>
    <row r="1222" spans="1:16" x14ac:dyDescent="0.25">
      <c r="A1222" s="3">
        <f t="shared" si="243"/>
        <v>47822</v>
      </c>
      <c r="B1222" s="21">
        <f t="shared" si="234"/>
        <v>36865</v>
      </c>
      <c r="C1222" s="21">
        <f t="shared" si="235"/>
        <v>36880</v>
      </c>
      <c r="D1222" s="1">
        <f t="shared" si="244"/>
        <v>0</v>
      </c>
      <c r="E1222" s="3">
        <f t="array" ref="E1222">INDEX($A$9:A1221, MAX(IF($D$9:D1221=1, ROW(D$9:$D1221)-ROW($D$9)+1, 0)))</f>
        <v>47746</v>
      </c>
      <c r="F1222" s="23">
        <f t="shared" si="236"/>
        <v>4.646132785763176</v>
      </c>
      <c r="G1222" s="5">
        <f>INDEX('Default Prob'!$P$5:$P$14,MIN(1+_xlfn.IFNA(MATCH(F1222,'Default Prob'!$F$5:$F$14,1),0),COUNT('Default Prob'!$P$5:$P$14)))</f>
        <v>2.046797531464158E-2</v>
      </c>
      <c r="H1222" s="5">
        <f t="shared" si="245"/>
        <v>0.90434291102079123</v>
      </c>
      <c r="I1222" s="24">
        <f t="shared" si="246"/>
        <v>5.067922525525681E-5</v>
      </c>
      <c r="J1222" s="25">
        <f>INDEX('Default Prob'!$C$3:$C$13, _xlfn.IFNA(MATCH(F1222, 'Default Prob'!$B$3:$B$13, 1), 1))</f>
        <v>1.95E-2</v>
      </c>
      <c r="K1222" s="26">
        <f t="shared" si="237"/>
        <v>0.9141802092726552</v>
      </c>
      <c r="L1222" s="27">
        <f t="shared" ca="1" si="238"/>
        <v>0</v>
      </c>
      <c r="M1222" s="27">
        <f t="shared" ca="1" si="239"/>
        <v>2744.9403825855502</v>
      </c>
      <c r="N1222" s="28">
        <f t="shared" ca="1" si="240"/>
        <v>0.12717293626620771</v>
      </c>
      <c r="O1222" s="29">
        <f t="shared" ca="1" si="241"/>
        <v>600000</v>
      </c>
      <c r="P1222" s="30">
        <f t="shared" ca="1" si="242"/>
        <v>27.797966849776021</v>
      </c>
    </row>
    <row r="1223" spans="1:16" x14ac:dyDescent="0.25">
      <c r="A1223" s="3">
        <f t="shared" si="243"/>
        <v>47823</v>
      </c>
      <c r="B1223" s="21">
        <f t="shared" si="234"/>
        <v>36866</v>
      </c>
      <c r="C1223" s="21">
        <f t="shared" si="235"/>
        <v>36880</v>
      </c>
      <c r="D1223" s="1">
        <f t="shared" si="244"/>
        <v>0</v>
      </c>
      <c r="E1223" s="3">
        <f t="array" ref="E1223">INDEX($A$9:A1222, MAX(IF($D$9:D1222=1, ROW(D$9:$D1222)-ROW($D$9)+1, 0)))</f>
        <v>47746</v>
      </c>
      <c r="F1223" s="23">
        <f t="shared" si="236"/>
        <v>4.6488706365503081</v>
      </c>
      <c r="G1223" s="5">
        <f>INDEX('Default Prob'!$P$5:$P$14,MIN(1+_xlfn.IFNA(MATCH(F1223,'Default Prob'!$F$5:$F$14,1),0),COUNT('Default Prob'!$P$5:$P$14)))</f>
        <v>2.046797531464158E-2</v>
      </c>
      <c r="H1223" s="5">
        <f t="shared" si="245"/>
        <v>0.90429223463543218</v>
      </c>
      <c r="I1223" s="24">
        <f t="shared" si="246"/>
        <v>5.0676385359049725E-5</v>
      </c>
      <c r="J1223" s="25">
        <f>INDEX('Default Prob'!$C$3:$C$13, _xlfn.IFNA(MATCH(F1223, 'Default Prob'!$B$3:$B$13, 1), 1))</f>
        <v>1.95E-2</v>
      </c>
      <c r="K1223" s="26">
        <f t="shared" si="237"/>
        <v>0.91413187397955764</v>
      </c>
      <c r="L1223" s="27">
        <f t="shared" ca="1" si="238"/>
        <v>0</v>
      </c>
      <c r="M1223" s="27">
        <f t="shared" ca="1" si="239"/>
        <v>2781.0580191985182</v>
      </c>
      <c r="N1223" s="28">
        <f t="shared" ca="1" si="240"/>
        <v>0.12883223217171666</v>
      </c>
      <c r="O1223" s="29">
        <f t="shared" ca="1" si="241"/>
        <v>600000</v>
      </c>
      <c r="P1223" s="30">
        <f t="shared" ca="1" si="242"/>
        <v>27.794939468867007</v>
      </c>
    </row>
    <row r="1224" spans="1:16" x14ac:dyDescent="0.25">
      <c r="A1224" s="3">
        <f t="shared" si="243"/>
        <v>47826</v>
      </c>
      <c r="B1224" s="21">
        <f t="shared" si="234"/>
        <v>36869</v>
      </c>
      <c r="C1224" s="21">
        <f t="shared" si="235"/>
        <v>36880</v>
      </c>
      <c r="D1224" s="1">
        <f t="shared" si="244"/>
        <v>0</v>
      </c>
      <c r="E1224" s="3">
        <f t="array" ref="E1224">INDEX($A$9:A1223, MAX(IF($D$9:D1223=1, ROW(D$9:$D1223)-ROW($D$9)+1, 0)))</f>
        <v>47746</v>
      </c>
      <c r="F1224" s="23">
        <f t="shared" si="236"/>
        <v>4.6570841889117043</v>
      </c>
      <c r="G1224" s="5">
        <f>INDEX('Default Prob'!$P$5:$P$14,MIN(1+_xlfn.IFNA(MATCH(F1224,'Default Prob'!$F$5:$F$14,1),0),COUNT('Default Prob'!$P$5:$P$14)))</f>
        <v>2.046797531464158E-2</v>
      </c>
      <c r="H1224" s="5">
        <f t="shared" si="245"/>
        <v>0.90414022251714055</v>
      </c>
      <c r="I1224" s="24">
        <f t="shared" si="246"/>
        <v>1.5201211829163341E-4</v>
      </c>
      <c r="J1224" s="25">
        <f>INDEX('Default Prob'!$C$3:$C$13, _xlfn.IFNA(MATCH(F1224, 'Default Prob'!$B$3:$B$13, 1), 1))</f>
        <v>1.95E-2</v>
      </c>
      <c r="K1224" s="26">
        <f t="shared" si="237"/>
        <v>0.91398688343346624</v>
      </c>
      <c r="L1224" s="27">
        <f t="shared" ca="1" si="238"/>
        <v>0</v>
      </c>
      <c r="M1224" s="27">
        <f t="shared" ca="1" si="239"/>
        <v>2889.4109290374213</v>
      </c>
      <c r="N1224" s="28">
        <f t="shared" ca="1" si="240"/>
        <v>0.40144632387713058</v>
      </c>
      <c r="O1224" s="29">
        <f t="shared" ca="1" si="241"/>
        <v>600000</v>
      </c>
      <c r="P1224" s="30">
        <f t="shared" ca="1" si="242"/>
        <v>83.362249344893655</v>
      </c>
    </row>
    <row r="1225" spans="1:16" x14ac:dyDescent="0.25">
      <c r="A1225" s="3">
        <f t="shared" si="243"/>
        <v>47827</v>
      </c>
      <c r="B1225" s="21">
        <f t="shared" ref="B1225:B1288" si="247">DATE(2000, MONTH(A1225), DAY(A1225))</f>
        <v>36870</v>
      </c>
      <c r="C1225" s="21">
        <f t="shared" ref="C1225:C1288" si="248">VLOOKUP(B1225, $R$9:$S$13, 2)</f>
        <v>36880</v>
      </c>
      <c r="D1225" s="1">
        <f t="shared" si="244"/>
        <v>0</v>
      </c>
      <c r="E1225" s="3">
        <f t="array" ref="E1225">INDEX($A$9:A1224, MAX(IF($D$9:D1224=1, ROW(D$9:$D1224)-ROW($D$9)+1, 0)))</f>
        <v>47746</v>
      </c>
      <c r="F1225" s="23">
        <f t="shared" ref="F1225:F1288" si="249">(A1225-$A$2)/365.25</f>
        <v>4.6598220396988363</v>
      </c>
      <c r="G1225" s="5">
        <f>INDEX('Default Prob'!$P$5:$P$14,MIN(1+_xlfn.IFNA(MATCH(F1225,'Default Prob'!$F$5:$F$14,1),0),COUNT('Default Prob'!$P$5:$P$14)))</f>
        <v>2.046797531464158E-2</v>
      </c>
      <c r="H1225" s="5">
        <f t="shared" si="245"/>
        <v>0.90408955748977482</v>
      </c>
      <c r="I1225" s="24">
        <f t="shared" si="246"/>
        <v>5.066502736572609E-5</v>
      </c>
      <c r="J1225" s="25">
        <f>INDEX('Default Prob'!$C$3:$C$13, _xlfn.IFNA(MATCH(F1225, 'Default Prob'!$B$3:$B$13, 1), 1))</f>
        <v>1.95E-2</v>
      </c>
      <c r="K1225" s="26">
        <f t="shared" ref="K1225:K1288" si="250">1/((1+J1225)^F1225)</f>
        <v>0.91393855836205273</v>
      </c>
      <c r="L1225" s="27">
        <f t="shared" ref="L1225:L1288" ca="1" si="251">IF(AND(D1225, A1225 &lt;= $G$2), $D$5*$D$2*(A1225-E1225)/365.25, 0)</f>
        <v>0</v>
      </c>
      <c r="M1225" s="27">
        <f t="shared" ref="M1225:M1288" ca="1" si="252">IF(A1225&lt;=$G$2, $D$5*$D$2*(A1225-E1225)/365.25, 0)</f>
        <v>2925.5285656503888</v>
      </c>
      <c r="N1225" s="28">
        <f t="shared" ref="N1225:N1288" ca="1" si="253">(L1225*H1225 + M1225*I1225) * K1225</f>
        <v>0.13546578714030355</v>
      </c>
      <c r="O1225" s="29">
        <f t="shared" ref="O1225:O1288" ca="1" si="254">IF(A1225&lt;=$G$2, $D$2*(1-$D$3), 0)</f>
        <v>600000</v>
      </c>
      <c r="P1225" s="30">
        <f t="shared" ref="P1225:P1288" ca="1" si="255">O1225*I1225*K1225</f>
        <v>27.782833242003392</v>
      </c>
    </row>
    <row r="1226" spans="1:16" x14ac:dyDescent="0.25">
      <c r="A1226" s="3">
        <f t="shared" ref="A1226:A1289" si="256">WORKDAY(A1225, 1)</f>
        <v>47828</v>
      </c>
      <c r="B1226" s="21">
        <f t="shared" si="247"/>
        <v>36871</v>
      </c>
      <c r="C1226" s="21">
        <f t="shared" si="248"/>
        <v>36880</v>
      </c>
      <c r="D1226" s="1">
        <f t="shared" ref="D1226:D1289" si="257">IF(OR(C1226=B1226, AND(C1226&lt;&gt;C1225, C1225&gt;B1225)), 1, 0)</f>
        <v>0</v>
      </c>
      <c r="E1226" s="3">
        <f t="array" ref="E1226">INDEX($A$9:A1225, MAX(IF($D$9:D1225=1, ROW(D$9:$D1225)-ROW($D$9)+1, 0)))</f>
        <v>47746</v>
      </c>
      <c r="F1226" s="23">
        <f t="shared" si="249"/>
        <v>4.6625598904859684</v>
      </c>
      <c r="G1226" s="5">
        <f>INDEX('Default Prob'!$P$5:$P$14,MIN(1+_xlfn.IFNA(MATCH(F1226,'Default Prob'!$F$5:$F$14,1),0),COUNT('Default Prob'!$P$5:$P$14)))</f>
        <v>2.046797531464158E-2</v>
      </c>
      <c r="H1226" s="5">
        <f t="shared" ref="H1226:H1289" si="258">H1225*EXP(-G1225*(F1226-F1225))</f>
        <v>0.9040388953015096</v>
      </c>
      <c r="I1226" s="24">
        <f t="shared" ref="I1226:I1289" si="259">H1225-H1226</f>
        <v>5.0662188265215846E-5</v>
      </c>
      <c r="J1226" s="25">
        <f>INDEX('Default Prob'!$C$3:$C$13, _xlfn.IFNA(MATCH(F1226, 'Default Prob'!$B$3:$B$13, 1), 1))</f>
        <v>1.95E-2</v>
      </c>
      <c r="K1226" s="26">
        <f t="shared" si="250"/>
        <v>0.91389023584572204</v>
      </c>
      <c r="L1226" s="27">
        <f t="shared" ca="1" si="251"/>
        <v>0</v>
      </c>
      <c r="M1226" s="27">
        <f t="shared" ca="1" si="252"/>
        <v>2961.6462022633568</v>
      </c>
      <c r="N1226" s="28">
        <f t="shared" ca="1" si="253"/>
        <v>0.13712326901585148</v>
      </c>
      <c r="O1226" s="29">
        <f t="shared" ca="1" si="254"/>
        <v>600000</v>
      </c>
      <c r="P1226" s="30">
        <f t="shared" ca="1" si="255"/>
        <v>27.77980750929509</v>
      </c>
    </row>
    <row r="1227" spans="1:16" x14ac:dyDescent="0.25">
      <c r="A1227" s="3">
        <f t="shared" si="256"/>
        <v>47829</v>
      </c>
      <c r="B1227" s="21">
        <f t="shared" si="247"/>
        <v>36872</v>
      </c>
      <c r="C1227" s="21">
        <f t="shared" si="248"/>
        <v>36880</v>
      </c>
      <c r="D1227" s="1">
        <f t="shared" si="257"/>
        <v>0</v>
      </c>
      <c r="E1227" s="3">
        <f t="array" ref="E1227">INDEX($A$9:A1226, MAX(IF($D$9:D1226=1, ROW(D$9:$D1226)-ROW($D$9)+1, 0)))</f>
        <v>47746</v>
      </c>
      <c r="F1227" s="23">
        <f t="shared" si="249"/>
        <v>4.6652977412731005</v>
      </c>
      <c r="G1227" s="5">
        <f>INDEX('Default Prob'!$P$5:$P$14,MIN(1+_xlfn.IFNA(MATCH(F1227,'Default Prob'!$F$5:$F$14,1),0),COUNT('Default Prob'!$P$5:$P$14)))</f>
        <v>2.046797531464158E-2</v>
      </c>
      <c r="H1227" s="5">
        <f t="shared" si="258"/>
        <v>0.9039882359521858</v>
      </c>
      <c r="I1227" s="24">
        <f t="shared" si="259"/>
        <v>5.0659349323800562E-5</v>
      </c>
      <c r="J1227" s="25">
        <f>INDEX('Default Prob'!$C$3:$C$13, _xlfn.IFNA(MATCH(F1227, 'Default Prob'!$B$3:$B$13, 1), 1))</f>
        <v>1.95E-2</v>
      </c>
      <c r="K1227" s="26">
        <f t="shared" si="250"/>
        <v>0.91384191588433961</v>
      </c>
      <c r="L1227" s="27">
        <f t="shared" ca="1" si="251"/>
        <v>0</v>
      </c>
      <c r="M1227" s="27">
        <f t="shared" ca="1" si="252"/>
        <v>2997.7638388763244</v>
      </c>
      <c r="N1227" s="28">
        <f t="shared" ca="1" si="253"/>
        <v>0.13878038826340364</v>
      </c>
      <c r="O1227" s="29">
        <f t="shared" ca="1" si="254"/>
        <v>600000</v>
      </c>
      <c r="P1227" s="30">
        <f t="shared" ca="1" si="255"/>
        <v>27.776782106109557</v>
      </c>
    </row>
    <row r="1228" spans="1:16" x14ac:dyDescent="0.25">
      <c r="A1228" s="3">
        <f t="shared" si="256"/>
        <v>47830</v>
      </c>
      <c r="B1228" s="21">
        <f t="shared" si="247"/>
        <v>36873</v>
      </c>
      <c r="C1228" s="21">
        <f t="shared" si="248"/>
        <v>36880</v>
      </c>
      <c r="D1228" s="1">
        <f t="shared" si="257"/>
        <v>0</v>
      </c>
      <c r="E1228" s="3">
        <f t="array" ref="E1228">INDEX($A$9:A1227, MAX(IF($D$9:D1227=1, ROW(D$9:$D1227)-ROW($D$9)+1, 0)))</f>
        <v>47746</v>
      </c>
      <c r="F1228" s="23">
        <f t="shared" si="249"/>
        <v>4.6680355920602326</v>
      </c>
      <c r="G1228" s="5">
        <f>INDEX('Default Prob'!$P$5:$P$14,MIN(1+_xlfn.IFNA(MATCH(F1228,'Default Prob'!$F$5:$F$14,1),0),COUNT('Default Prob'!$P$5:$P$14)))</f>
        <v>2.046797531464158E-2</v>
      </c>
      <c r="H1228" s="5">
        <f t="shared" si="258"/>
        <v>0.90393757944164443</v>
      </c>
      <c r="I1228" s="24">
        <f t="shared" si="259"/>
        <v>5.0656510541369215E-5</v>
      </c>
      <c r="J1228" s="25">
        <f>INDEX('Default Prob'!$C$3:$C$13, _xlfn.IFNA(MATCH(F1228, 'Default Prob'!$B$3:$B$13, 1), 1))</f>
        <v>1.95E-2</v>
      </c>
      <c r="K1228" s="26">
        <f t="shared" si="250"/>
        <v>0.91379359847777031</v>
      </c>
      <c r="L1228" s="27">
        <f t="shared" ca="1" si="251"/>
        <v>0</v>
      </c>
      <c r="M1228" s="27">
        <f t="shared" ca="1" si="252"/>
        <v>3033.8814754892928</v>
      </c>
      <c r="N1228" s="28">
        <f t="shared" ca="1" si="253"/>
        <v>0.14043714494200346</v>
      </c>
      <c r="O1228" s="29">
        <f t="shared" ca="1" si="254"/>
        <v>600000</v>
      </c>
      <c r="P1228" s="30">
        <f t="shared" ca="1" si="255"/>
        <v>27.773757032354929</v>
      </c>
    </row>
    <row r="1229" spans="1:16" x14ac:dyDescent="0.25">
      <c r="A1229" s="3">
        <f t="shared" si="256"/>
        <v>47833</v>
      </c>
      <c r="B1229" s="21">
        <f t="shared" si="247"/>
        <v>36876</v>
      </c>
      <c r="C1229" s="21">
        <f t="shared" si="248"/>
        <v>36880</v>
      </c>
      <c r="D1229" s="1">
        <f t="shared" si="257"/>
        <v>0</v>
      </c>
      <c r="E1229" s="3">
        <f t="array" ref="E1229">INDEX($A$9:A1228, MAX(IF($D$9:D1228=1, ROW(D$9:$D1228)-ROW($D$9)+1, 0)))</f>
        <v>47746</v>
      </c>
      <c r="F1229" s="23">
        <f t="shared" si="249"/>
        <v>4.6762491444216288</v>
      </c>
      <c r="G1229" s="5">
        <f>INDEX('Default Prob'!$P$5:$P$14,MIN(1+_xlfn.IFNA(MATCH(F1229,'Default Prob'!$F$5:$F$14,1),0),COUNT('Default Prob'!$P$5:$P$14)))</f>
        <v>2.046797531464158E-2</v>
      </c>
      <c r="H1229" s="5">
        <f t="shared" si="258"/>
        <v>0.90378562694112363</v>
      </c>
      <c r="I1229" s="24">
        <f t="shared" si="259"/>
        <v>1.5195250052080223E-4</v>
      </c>
      <c r="J1229" s="25">
        <f>INDEX('Default Prob'!$C$3:$C$13, _xlfn.IFNA(MATCH(F1229, 'Default Prob'!$B$3:$B$13, 1), 1))</f>
        <v>1.95E-2</v>
      </c>
      <c r="K1229" s="26">
        <f t="shared" si="250"/>
        <v>0.91364866158558944</v>
      </c>
      <c r="L1229" s="27">
        <f t="shared" ca="1" si="251"/>
        <v>0</v>
      </c>
      <c r="M1229" s="27">
        <f t="shared" ca="1" si="252"/>
        <v>3142.2343853281959</v>
      </c>
      <c r="N1229" s="28">
        <f t="shared" ca="1" si="253"/>
        <v>0.43624016639132956</v>
      </c>
      <c r="O1229" s="29">
        <f t="shared" ca="1" si="254"/>
        <v>600000</v>
      </c>
      <c r="P1229" s="30">
        <f t="shared" ca="1" si="255"/>
        <v>83.298719235248711</v>
      </c>
    </row>
    <row r="1230" spans="1:16" x14ac:dyDescent="0.25">
      <c r="A1230" s="3">
        <f t="shared" si="256"/>
        <v>47834</v>
      </c>
      <c r="B1230" s="21">
        <f t="shared" si="247"/>
        <v>36877</v>
      </c>
      <c r="C1230" s="21">
        <f t="shared" si="248"/>
        <v>36880</v>
      </c>
      <c r="D1230" s="1">
        <f t="shared" si="257"/>
        <v>0</v>
      </c>
      <c r="E1230" s="3">
        <f t="array" ref="E1230">INDEX($A$9:A1229, MAX(IF($D$9:D1229=1, ROW(D$9:$D1229)-ROW($D$9)+1, 0)))</f>
        <v>47746</v>
      </c>
      <c r="F1230" s="23">
        <f t="shared" si="249"/>
        <v>4.6789869952087608</v>
      </c>
      <c r="G1230" s="5">
        <f>INDEX('Default Prob'!$P$5:$P$14,MIN(1+_xlfn.IFNA(MATCH(F1230,'Default Prob'!$F$5:$F$14,1),0),COUNT('Default Prob'!$P$5:$P$14)))</f>
        <v>2.046797531464158E-2</v>
      </c>
      <c r="H1230" s="5">
        <f t="shared" si="258"/>
        <v>0.90373498178412104</v>
      </c>
      <c r="I1230" s="24">
        <f t="shared" si="259"/>
        <v>5.0645157002593422E-5</v>
      </c>
      <c r="J1230" s="25">
        <f>INDEX('Default Prob'!$C$3:$C$13, _xlfn.IFNA(MATCH(F1230, 'Default Prob'!$B$3:$B$13, 1), 1))</f>
        <v>1.95E-2</v>
      </c>
      <c r="K1230" s="26">
        <f t="shared" si="250"/>
        <v>0.91360035439692133</v>
      </c>
      <c r="L1230" s="27">
        <f t="shared" ca="1" si="251"/>
        <v>0</v>
      </c>
      <c r="M1230" s="27">
        <f t="shared" ca="1" si="252"/>
        <v>3178.3520219411635</v>
      </c>
      <c r="N1230" s="28">
        <f t="shared" ca="1" si="253"/>
        <v>0.14706054715664646</v>
      </c>
      <c r="O1230" s="29">
        <f t="shared" ca="1" si="254"/>
        <v>600000</v>
      </c>
      <c r="P1230" s="30">
        <f t="shared" ca="1" si="255"/>
        <v>27.761660031634243</v>
      </c>
    </row>
    <row r="1231" spans="1:16" x14ac:dyDescent="0.25">
      <c r="A1231" s="3">
        <f t="shared" si="256"/>
        <v>47835</v>
      </c>
      <c r="B1231" s="21">
        <f t="shared" si="247"/>
        <v>36878</v>
      </c>
      <c r="C1231" s="21">
        <f t="shared" si="248"/>
        <v>36880</v>
      </c>
      <c r="D1231" s="1">
        <f t="shared" si="257"/>
        <v>0</v>
      </c>
      <c r="E1231" s="3">
        <f t="array" ref="E1231">INDEX($A$9:A1230, MAX(IF($D$9:D1230=1, ROW(D$9:$D1230)-ROW($D$9)+1, 0)))</f>
        <v>47746</v>
      </c>
      <c r="F1231" s="23">
        <f t="shared" si="249"/>
        <v>4.6817248459958929</v>
      </c>
      <c r="G1231" s="5">
        <f>INDEX('Default Prob'!$P$5:$P$14,MIN(1+_xlfn.IFNA(MATCH(F1231,'Default Prob'!$F$5:$F$14,1),0),COUNT('Default Prob'!$P$5:$P$14)))</f>
        <v>2.046797531464158E-2</v>
      </c>
      <c r="H1231" s="5">
        <f t="shared" si="258"/>
        <v>0.90368433946510551</v>
      </c>
      <c r="I1231" s="24">
        <f t="shared" si="259"/>
        <v>5.064231901552585E-5</v>
      </c>
      <c r="J1231" s="25">
        <f>INDEX('Default Prob'!$C$3:$C$13, _xlfn.IFNA(MATCH(F1231, 'Default Prob'!$B$3:$B$13, 1), 1))</f>
        <v>1.95E-2</v>
      </c>
      <c r="K1231" s="26">
        <f t="shared" si="250"/>
        <v>0.91355204976239091</v>
      </c>
      <c r="L1231" s="27">
        <f t="shared" ca="1" si="251"/>
        <v>0</v>
      </c>
      <c r="M1231" s="27">
        <f t="shared" ca="1" si="252"/>
        <v>3214.4696585541315</v>
      </c>
      <c r="N1231" s="28">
        <f t="shared" ca="1" si="253"/>
        <v>0.14871549188166763</v>
      </c>
      <c r="O1231" s="29">
        <f t="shared" ca="1" si="254"/>
        <v>600000</v>
      </c>
      <c r="P1231" s="30">
        <f t="shared" ca="1" si="255"/>
        <v>27.758636604812729</v>
      </c>
    </row>
    <row r="1232" spans="1:16" x14ac:dyDescent="0.25">
      <c r="A1232" s="3">
        <f t="shared" si="256"/>
        <v>47836</v>
      </c>
      <c r="B1232" s="21">
        <f t="shared" si="247"/>
        <v>36879</v>
      </c>
      <c r="C1232" s="21">
        <f t="shared" si="248"/>
        <v>36880</v>
      </c>
      <c r="D1232" s="1">
        <f t="shared" si="257"/>
        <v>0</v>
      </c>
      <c r="E1232" s="3">
        <f t="array" ref="E1232">INDEX($A$9:A1231, MAX(IF($D$9:D1231=1, ROW(D$9:$D1231)-ROW($D$9)+1, 0)))</f>
        <v>47746</v>
      </c>
      <c r="F1232" s="23">
        <f t="shared" si="249"/>
        <v>4.684462696783025</v>
      </c>
      <c r="G1232" s="5">
        <f>INDEX('Default Prob'!$P$5:$P$14,MIN(1+_xlfn.IFNA(MATCH(F1232,'Default Prob'!$F$5:$F$14,1),0),COUNT('Default Prob'!$P$5:$P$14)))</f>
        <v>2.046797531464158E-2</v>
      </c>
      <c r="H1232" s="5">
        <f t="shared" si="258"/>
        <v>0.90363369998391796</v>
      </c>
      <c r="I1232" s="24">
        <f t="shared" si="259"/>
        <v>5.0639481187553237E-5</v>
      </c>
      <c r="J1232" s="25">
        <f>INDEX('Default Prob'!$C$3:$C$13, _xlfn.IFNA(MATCH(F1232, 'Default Prob'!$B$3:$B$13, 1), 1))</f>
        <v>1.95E-2</v>
      </c>
      <c r="K1232" s="26">
        <f t="shared" si="250"/>
        <v>0.91350374768186315</v>
      </c>
      <c r="L1232" s="27">
        <f t="shared" ca="1" si="251"/>
        <v>0</v>
      </c>
      <c r="M1232" s="27">
        <f t="shared" ca="1" si="252"/>
        <v>3250.587295167099</v>
      </c>
      <c r="N1232" s="28">
        <f t="shared" ca="1" si="253"/>
        <v>0.15037007439398023</v>
      </c>
      <c r="O1232" s="29">
        <f t="shared" ca="1" si="254"/>
        <v>600000</v>
      </c>
      <c r="P1232" s="30">
        <f t="shared" ca="1" si="255"/>
        <v>27.755613507297053</v>
      </c>
    </row>
    <row r="1233" spans="1:16" x14ac:dyDescent="0.25">
      <c r="A1233" s="3">
        <f t="shared" si="256"/>
        <v>47837</v>
      </c>
      <c r="B1233" s="21">
        <f t="shared" si="247"/>
        <v>36880</v>
      </c>
      <c r="C1233" s="21">
        <f t="shared" si="248"/>
        <v>36880</v>
      </c>
      <c r="D1233" s="1">
        <f t="shared" si="257"/>
        <v>1</v>
      </c>
      <c r="E1233" s="3">
        <f t="array" ref="E1233">INDEX($A$9:A1232, MAX(IF($D$9:D1232=1, ROW(D$9:$D1232)-ROW($D$9)+1, 0)))</f>
        <v>47746</v>
      </c>
      <c r="F1233" s="23">
        <f t="shared" si="249"/>
        <v>4.687200547570157</v>
      </c>
      <c r="G1233" s="5">
        <f>INDEX('Default Prob'!$P$5:$P$14,MIN(1+_xlfn.IFNA(MATCH(F1233,'Default Prob'!$F$5:$F$14,1),0),COUNT('Default Prob'!$P$5:$P$14)))</f>
        <v>2.046797531464158E-2</v>
      </c>
      <c r="H1233" s="5">
        <f t="shared" si="258"/>
        <v>0.90358306334039951</v>
      </c>
      <c r="I1233" s="24">
        <f t="shared" si="259"/>
        <v>5.0636643518453539E-5</v>
      </c>
      <c r="J1233" s="25">
        <f>INDEX('Default Prob'!$C$3:$C$13, _xlfn.IFNA(MATCH(F1233, 'Default Prob'!$B$3:$B$13, 1), 1))</f>
        <v>1.95E-2</v>
      </c>
      <c r="K1233" s="26">
        <f t="shared" si="250"/>
        <v>0.91345544815520308</v>
      </c>
      <c r="L1233" s="27">
        <f t="shared" ca="1" si="251"/>
        <v>3286.7049317800665</v>
      </c>
      <c r="M1233" s="27">
        <f t="shared" ca="1" si="252"/>
        <v>3286.7049317800665</v>
      </c>
      <c r="N1233" s="28">
        <f t="shared" ca="1" si="253"/>
        <v>2712.941980530914</v>
      </c>
      <c r="O1233" s="29">
        <f t="shared" ca="1" si="254"/>
        <v>600000</v>
      </c>
      <c r="P1233" s="30">
        <f t="shared" ca="1" si="255"/>
        <v>27.752590738934543</v>
      </c>
    </row>
    <row r="1234" spans="1:16" x14ac:dyDescent="0.25">
      <c r="A1234" s="3">
        <f t="shared" si="256"/>
        <v>47840</v>
      </c>
      <c r="B1234" s="21">
        <f t="shared" si="247"/>
        <v>36883</v>
      </c>
      <c r="C1234" s="21">
        <f t="shared" si="248"/>
        <v>36605</v>
      </c>
      <c r="D1234" s="1">
        <f t="shared" si="257"/>
        <v>0</v>
      </c>
      <c r="E1234" s="3">
        <f t="array" ref="E1234">INDEX($A$9:A1233, MAX(IF($D$9:D1233=1, ROW(D$9:$D1233)-ROW($D$9)+1, 0)))</f>
        <v>47837</v>
      </c>
      <c r="F1234" s="23">
        <f t="shared" si="249"/>
        <v>4.6954140999315541</v>
      </c>
      <c r="G1234" s="5">
        <f>INDEX('Default Prob'!$P$5:$P$14,MIN(1+_xlfn.IFNA(MATCH(F1234,'Default Prob'!$F$5:$F$14,1),0),COUNT('Default Prob'!$P$5:$P$14)))</f>
        <v>2.046797531464158E-2</v>
      </c>
      <c r="H1234" s="5">
        <f t="shared" si="258"/>
        <v>0.90343117043426813</v>
      </c>
      <c r="I1234" s="24">
        <f t="shared" si="259"/>
        <v>1.5189290613137896E-4</v>
      </c>
      <c r="J1234" s="25">
        <f>INDEX('Default Prob'!$C$3:$C$13, _xlfn.IFNA(MATCH(F1234, 'Default Prob'!$B$3:$B$13, 1), 1))</f>
        <v>1.95E-2</v>
      </c>
      <c r="K1234" s="26">
        <f t="shared" si="250"/>
        <v>0.91331056489707785</v>
      </c>
      <c r="L1234" s="27">
        <f t="shared" ca="1" si="251"/>
        <v>0</v>
      </c>
      <c r="M1234" s="27">
        <f t="shared" ca="1" si="252"/>
        <v>108.35290983890332</v>
      </c>
      <c r="N1234" s="28">
        <f t="shared" ca="1" si="253"/>
        <v>1.5031300314612344E-2</v>
      </c>
      <c r="O1234" s="29">
        <f t="shared" ca="1" si="254"/>
        <v>600000</v>
      </c>
      <c r="P1234" s="30">
        <f t="shared" ca="1" si="255"/>
        <v>83.235237541625111</v>
      </c>
    </row>
    <row r="1235" spans="1:16" x14ac:dyDescent="0.25">
      <c r="A1235" s="3">
        <f t="shared" si="256"/>
        <v>47841</v>
      </c>
      <c r="B1235" s="21">
        <f t="shared" si="247"/>
        <v>36884</v>
      </c>
      <c r="C1235" s="21">
        <f t="shared" si="248"/>
        <v>36605</v>
      </c>
      <c r="D1235" s="1">
        <f t="shared" si="257"/>
        <v>0</v>
      </c>
      <c r="E1235" s="3">
        <f t="array" ref="E1235">INDEX($A$9:A1234, MAX(IF($D$9:D1234=1, ROW(D$9:$D1234)-ROW($D$9)+1, 0)))</f>
        <v>47837</v>
      </c>
      <c r="F1235" s="23">
        <f t="shared" si="249"/>
        <v>4.6981519507186862</v>
      </c>
      <c r="G1235" s="5">
        <f>INDEX('Default Prob'!$P$5:$P$14,MIN(1+_xlfn.IFNA(MATCH(F1235,'Default Prob'!$F$5:$F$14,1),0),COUNT('Default Prob'!$P$5:$P$14)))</f>
        <v>2.046797531464158E-2</v>
      </c>
      <c r="H1235" s="5">
        <f t="shared" si="258"/>
        <v>0.90338054513983568</v>
      </c>
      <c r="I1235" s="24">
        <f t="shared" si="259"/>
        <v>5.062529443244923E-5</v>
      </c>
      <c r="J1235" s="25">
        <f>INDEX('Default Prob'!$C$3:$C$13, _xlfn.IFNA(MATCH(F1235, 'Default Prob'!$B$3:$B$13, 1), 1))</f>
        <v>1.95E-2</v>
      </c>
      <c r="K1235" s="26">
        <f t="shared" si="250"/>
        <v>0.91326227558453799</v>
      </c>
      <c r="L1235" s="27">
        <f t="shared" ca="1" si="251"/>
        <v>0</v>
      </c>
      <c r="M1235" s="27">
        <f t="shared" ca="1" si="252"/>
        <v>144.47054645187106</v>
      </c>
      <c r="N1235" s="28">
        <f t="shared" ca="1" si="253"/>
        <v>6.6794760351537464E-3</v>
      </c>
      <c r="O1235" s="29">
        <f t="shared" ca="1" si="254"/>
        <v>600000</v>
      </c>
      <c r="P1235" s="30">
        <f t="shared" ca="1" si="255"/>
        <v>27.740502957309495</v>
      </c>
    </row>
    <row r="1236" spans="1:16" x14ac:dyDescent="0.25">
      <c r="A1236" s="3">
        <f t="shared" si="256"/>
        <v>47842</v>
      </c>
      <c r="B1236" s="21">
        <f t="shared" si="247"/>
        <v>36885</v>
      </c>
      <c r="C1236" s="21">
        <f t="shared" si="248"/>
        <v>36605</v>
      </c>
      <c r="D1236" s="1">
        <f t="shared" si="257"/>
        <v>0</v>
      </c>
      <c r="E1236" s="3">
        <f t="array" ref="E1236">INDEX($A$9:A1235, MAX(IF($D$9:D1235=1, ROW(D$9:$D1235)-ROW($D$9)+1, 0)))</f>
        <v>47837</v>
      </c>
      <c r="F1236" s="23">
        <f t="shared" si="249"/>
        <v>4.7008898015058183</v>
      </c>
      <c r="G1236" s="5">
        <f>INDEX('Default Prob'!$P$5:$P$14,MIN(1+_xlfn.IFNA(MATCH(F1236,'Default Prob'!$F$5:$F$14,1),0),COUNT('Default Prob'!$P$5:$P$14)))</f>
        <v>2.046797531464158E-2</v>
      </c>
      <c r="H1236" s="5">
        <f t="shared" si="258"/>
        <v>0.9033299226822773</v>
      </c>
      <c r="I1236" s="24">
        <f t="shared" si="259"/>
        <v>5.0622457558380241E-5</v>
      </c>
      <c r="J1236" s="25">
        <f>INDEX('Default Prob'!$C$3:$C$13, _xlfn.IFNA(MATCH(F1236, 'Default Prob'!$B$3:$B$13, 1), 1))</f>
        <v>1.95E-2</v>
      </c>
      <c r="K1236" s="26">
        <f t="shared" si="250"/>
        <v>0.91321398882519056</v>
      </c>
      <c r="L1236" s="27">
        <f t="shared" ca="1" si="251"/>
        <v>0</v>
      </c>
      <c r="M1236" s="27">
        <f t="shared" ca="1" si="252"/>
        <v>180.58818306483883</v>
      </c>
      <c r="N1236" s="28">
        <f t="shared" ca="1" si="253"/>
        <v>8.3484357455113432E-3</v>
      </c>
      <c r="O1236" s="29">
        <f t="shared" ca="1" si="254"/>
        <v>600000</v>
      </c>
      <c r="P1236" s="30">
        <f t="shared" ca="1" si="255"/>
        <v>27.737481834613401</v>
      </c>
    </row>
    <row r="1237" spans="1:16" x14ac:dyDescent="0.25">
      <c r="A1237" s="3">
        <f t="shared" si="256"/>
        <v>47843</v>
      </c>
      <c r="B1237" s="21">
        <f t="shared" si="247"/>
        <v>36886</v>
      </c>
      <c r="C1237" s="21">
        <f t="shared" si="248"/>
        <v>36605</v>
      </c>
      <c r="D1237" s="1">
        <f t="shared" si="257"/>
        <v>0</v>
      </c>
      <c r="E1237" s="3">
        <f t="array" ref="E1237">INDEX($A$9:A1236, MAX(IF($D$9:D1236=1, ROW(D$9:$D1236)-ROW($D$9)+1, 0)))</f>
        <v>47837</v>
      </c>
      <c r="F1237" s="23">
        <f t="shared" si="249"/>
        <v>4.7036276522929503</v>
      </c>
      <c r="G1237" s="5">
        <f>INDEX('Default Prob'!$P$5:$P$14,MIN(1+_xlfn.IFNA(MATCH(F1237,'Default Prob'!$F$5:$F$14,1),0),COUNT('Default Prob'!$P$5:$P$14)))</f>
        <v>2.046797531464158E-2</v>
      </c>
      <c r="H1237" s="5">
        <f t="shared" si="258"/>
        <v>0.903279303061434</v>
      </c>
      <c r="I1237" s="24">
        <f t="shared" si="259"/>
        <v>5.0619620843295188E-5</v>
      </c>
      <c r="J1237" s="25">
        <f>INDEX('Default Prob'!$C$3:$C$13, _xlfn.IFNA(MATCH(F1237, 'Default Prob'!$B$3:$B$13, 1), 1))</f>
        <v>1.95E-2</v>
      </c>
      <c r="K1237" s="26">
        <f t="shared" si="250"/>
        <v>0.91316570461890056</v>
      </c>
      <c r="L1237" s="27">
        <f t="shared" ca="1" si="251"/>
        <v>0</v>
      </c>
      <c r="M1237" s="27">
        <f t="shared" ca="1" si="252"/>
        <v>216.70581967780663</v>
      </c>
      <c r="N1237" s="28">
        <f t="shared" ca="1" si="253"/>
        <v>1.0017031855333831E-2</v>
      </c>
      <c r="O1237" s="29">
        <f t="shared" ca="1" si="254"/>
        <v>600000</v>
      </c>
      <c r="P1237" s="30">
        <f t="shared" ca="1" si="255"/>
        <v>27.73446104094554</v>
      </c>
    </row>
    <row r="1238" spans="1:16" x14ac:dyDescent="0.25">
      <c r="A1238" s="3">
        <f t="shared" si="256"/>
        <v>47844</v>
      </c>
      <c r="B1238" s="21">
        <f t="shared" si="247"/>
        <v>36887</v>
      </c>
      <c r="C1238" s="21">
        <f t="shared" si="248"/>
        <v>36605</v>
      </c>
      <c r="D1238" s="1">
        <f t="shared" si="257"/>
        <v>0</v>
      </c>
      <c r="E1238" s="3">
        <f t="array" ref="E1238">INDEX($A$9:A1237, MAX(IF($D$9:D1237=1, ROW(D$9:$D1237)-ROW($D$9)+1, 0)))</f>
        <v>47837</v>
      </c>
      <c r="F1238" s="23">
        <f t="shared" si="249"/>
        <v>4.7063655030800824</v>
      </c>
      <c r="G1238" s="5">
        <f>INDEX('Default Prob'!$P$5:$P$14,MIN(1+_xlfn.IFNA(MATCH(F1238,'Default Prob'!$F$5:$F$14,1),0),COUNT('Default Prob'!$P$5:$P$14)))</f>
        <v>2.046797531464158E-2</v>
      </c>
      <c r="H1238" s="5">
        <f t="shared" si="258"/>
        <v>0.90322868627714681</v>
      </c>
      <c r="I1238" s="24">
        <f t="shared" si="259"/>
        <v>5.0616784287194072E-5</v>
      </c>
      <c r="J1238" s="25">
        <f>INDEX('Default Prob'!$C$3:$C$13, _xlfn.IFNA(MATCH(F1238, 'Default Prob'!$B$3:$B$13, 1), 1))</f>
        <v>1.95E-2</v>
      </c>
      <c r="K1238" s="26">
        <f t="shared" si="250"/>
        <v>0.91311742296553322</v>
      </c>
      <c r="L1238" s="27">
        <f t="shared" ca="1" si="251"/>
        <v>0</v>
      </c>
      <c r="M1238" s="27">
        <f t="shared" ca="1" si="252"/>
        <v>252.82345629077437</v>
      </c>
      <c r="N1238" s="28">
        <f t="shared" ca="1" si="253"/>
        <v>1.1685264424026768E-2</v>
      </c>
      <c r="O1238" s="29">
        <f t="shared" ca="1" si="254"/>
        <v>600000</v>
      </c>
      <c r="P1238" s="30">
        <f t="shared" ca="1" si="255"/>
        <v>27.731440576274967</v>
      </c>
    </row>
    <row r="1239" spans="1:16" x14ac:dyDescent="0.25">
      <c r="A1239" s="3">
        <f t="shared" si="256"/>
        <v>47847</v>
      </c>
      <c r="B1239" s="21">
        <f t="shared" si="247"/>
        <v>36890</v>
      </c>
      <c r="C1239" s="21">
        <f t="shared" si="248"/>
        <v>36605</v>
      </c>
      <c r="D1239" s="1">
        <f t="shared" si="257"/>
        <v>0</v>
      </c>
      <c r="E1239" s="3">
        <f t="array" ref="E1239">INDEX($A$9:A1238, MAX(IF($D$9:D1238=1, ROW(D$9:$D1238)-ROW($D$9)+1, 0)))</f>
        <v>47837</v>
      </c>
      <c r="F1239" s="23">
        <f t="shared" si="249"/>
        <v>4.7145790554414786</v>
      </c>
      <c r="G1239" s="5">
        <f>INDEX('Default Prob'!$P$5:$P$14,MIN(1+_xlfn.IFNA(MATCH(F1239,'Default Prob'!$F$5:$F$14,1),0),COUNT('Default Prob'!$P$5:$P$14)))</f>
        <v>2.046797531464158E-2</v>
      </c>
      <c r="H1239" s="5">
        <f t="shared" si="258"/>
        <v>0.90307685294203233</v>
      </c>
      <c r="I1239" s="24">
        <f t="shared" si="259"/>
        <v>1.5183333511448183E-4</v>
      </c>
      <c r="J1239" s="25">
        <f>INDEX('Default Prob'!$C$3:$C$13, _xlfn.IFNA(MATCH(F1239, 'Default Prob'!$B$3:$B$13, 1), 1))</f>
        <v>1.95E-2</v>
      </c>
      <c r="K1239" s="26">
        <f t="shared" si="250"/>
        <v>0.91297259332161651</v>
      </c>
      <c r="L1239" s="27">
        <f t="shared" ca="1" si="251"/>
        <v>0</v>
      </c>
      <c r="M1239" s="27">
        <f t="shared" ca="1" si="252"/>
        <v>361.17636612967766</v>
      </c>
      <c r="N1239" s="28">
        <f t="shared" ca="1" si="253"/>
        <v>5.0066150025431806E-2</v>
      </c>
      <c r="O1239" s="29">
        <f t="shared" ca="1" si="254"/>
        <v>600000</v>
      </c>
      <c r="P1239" s="30">
        <f t="shared" ca="1" si="255"/>
        <v>83.171804227283118</v>
      </c>
    </row>
    <row r="1240" spans="1:16" x14ac:dyDescent="0.25">
      <c r="A1240" s="3">
        <f t="shared" si="256"/>
        <v>47848</v>
      </c>
      <c r="B1240" s="21">
        <f t="shared" si="247"/>
        <v>36891</v>
      </c>
      <c r="C1240" s="21">
        <f t="shared" si="248"/>
        <v>36605</v>
      </c>
      <c r="D1240" s="1">
        <f t="shared" si="257"/>
        <v>0</v>
      </c>
      <c r="E1240" s="3">
        <f t="array" ref="E1240">INDEX($A$9:A1239, MAX(IF($D$9:D1239=1, ROW(D$9:$D1239)-ROW($D$9)+1, 0)))</f>
        <v>47837</v>
      </c>
      <c r="F1240" s="23">
        <f t="shared" si="249"/>
        <v>4.7173169062286107</v>
      </c>
      <c r="G1240" s="5">
        <f>INDEX('Default Prob'!$P$5:$P$14,MIN(1+_xlfn.IFNA(MATCH(F1240,'Default Prob'!$F$5:$F$14,1),0),COUNT('Default Prob'!$P$5:$P$14)))</f>
        <v>2.046797531464158E-2</v>
      </c>
      <c r="H1240" s="5">
        <f t="shared" si="258"/>
        <v>0.90302624750238014</v>
      </c>
      <c r="I1240" s="24">
        <f t="shared" si="259"/>
        <v>5.0605439652184891E-5</v>
      </c>
      <c r="J1240" s="25">
        <f>INDEX('Default Prob'!$C$3:$C$13, _xlfn.IFNA(MATCH(F1240, 'Default Prob'!$B$3:$B$13, 1), 1))</f>
        <v>1.95E-2</v>
      </c>
      <c r="K1240" s="26">
        <f t="shared" si="250"/>
        <v>0.91292432187858963</v>
      </c>
      <c r="L1240" s="27">
        <f t="shared" ca="1" si="251"/>
        <v>0</v>
      </c>
      <c r="M1240" s="27">
        <f t="shared" ca="1" si="252"/>
        <v>397.29400274264543</v>
      </c>
      <c r="N1240" s="28">
        <f t="shared" ca="1" si="253"/>
        <v>1.8354560475192586E-2</v>
      </c>
      <c r="O1240" s="29">
        <f t="shared" ca="1" si="254"/>
        <v>600000</v>
      </c>
      <c r="P1240" s="30">
        <f t="shared" ca="1" si="255"/>
        <v>27.719362006703271</v>
      </c>
    </row>
    <row r="1241" spans="1:16" x14ac:dyDescent="0.25">
      <c r="A1241" s="3">
        <f t="shared" si="256"/>
        <v>47849</v>
      </c>
      <c r="B1241" s="21">
        <f t="shared" si="247"/>
        <v>36526</v>
      </c>
      <c r="C1241" s="21">
        <f t="shared" si="248"/>
        <v>36605</v>
      </c>
      <c r="D1241" s="1">
        <f t="shared" si="257"/>
        <v>0</v>
      </c>
      <c r="E1241" s="3">
        <f t="array" ref="E1241">INDEX($A$9:A1240, MAX(IF($D$9:D1240=1, ROW(D$9:$D1240)-ROW($D$9)+1, 0)))</f>
        <v>47837</v>
      </c>
      <c r="F1241" s="23">
        <f t="shared" si="249"/>
        <v>4.7200547570157427</v>
      </c>
      <c r="G1241" s="5">
        <f>INDEX('Default Prob'!$P$5:$P$14,MIN(1+_xlfn.IFNA(MATCH(F1241,'Default Prob'!$F$5:$F$14,1),0),COUNT('Default Prob'!$P$5:$P$14)))</f>
        <v>2.046797531464158E-2</v>
      </c>
      <c r="H1241" s="5">
        <f t="shared" si="258"/>
        <v>0.90297564489848936</v>
      </c>
      <c r="I1241" s="24">
        <f t="shared" si="259"/>
        <v>5.0602603890781417E-5</v>
      </c>
      <c r="J1241" s="25">
        <f>INDEX('Default Prob'!$C$3:$C$13, _xlfn.IFNA(MATCH(F1241, 'Default Prob'!$B$3:$B$13, 1), 1))</f>
        <v>1.95E-2</v>
      </c>
      <c r="K1241" s="26">
        <f t="shared" si="250"/>
        <v>0.91287605298781049</v>
      </c>
      <c r="L1241" s="27">
        <f t="shared" ca="1" si="251"/>
        <v>0</v>
      </c>
      <c r="M1241" s="27">
        <f t="shared" ca="1" si="252"/>
        <v>433.41163935561326</v>
      </c>
      <c r="N1241" s="28">
        <f t="shared" ca="1" si="253"/>
        <v>2.002097622895806E-2</v>
      </c>
      <c r="O1241" s="29">
        <f t="shared" ca="1" si="254"/>
        <v>600000</v>
      </c>
      <c r="P1241" s="30">
        <f t="shared" ca="1" si="255"/>
        <v>27.716343186433296</v>
      </c>
    </row>
    <row r="1242" spans="1:16" x14ac:dyDescent="0.25">
      <c r="A1242" s="3">
        <f t="shared" si="256"/>
        <v>47850</v>
      </c>
      <c r="B1242" s="21">
        <f t="shared" si="247"/>
        <v>36527</v>
      </c>
      <c r="C1242" s="21">
        <f t="shared" si="248"/>
        <v>36605</v>
      </c>
      <c r="D1242" s="1">
        <f t="shared" si="257"/>
        <v>0</v>
      </c>
      <c r="E1242" s="3">
        <f t="array" ref="E1242">INDEX($A$9:A1241, MAX(IF($D$9:D1241=1, ROW(D$9:$D1241)-ROW($D$9)+1, 0)))</f>
        <v>47837</v>
      </c>
      <c r="F1242" s="23">
        <f t="shared" si="249"/>
        <v>4.7227926078028748</v>
      </c>
      <c r="G1242" s="5">
        <f>INDEX('Default Prob'!$P$5:$P$14,MIN(1+_xlfn.IFNA(MATCH(F1242,'Default Prob'!$F$5:$F$14,1),0),COUNT('Default Prob'!$P$5:$P$14)))</f>
        <v>2.046797531464158E-2</v>
      </c>
      <c r="H1242" s="5">
        <f t="shared" si="258"/>
        <v>0.90292504513020111</v>
      </c>
      <c r="I1242" s="24">
        <f t="shared" si="259"/>
        <v>5.0599768288250857E-5</v>
      </c>
      <c r="J1242" s="25">
        <f>INDEX('Default Prob'!$C$3:$C$13, _xlfn.IFNA(MATCH(F1242, 'Default Prob'!$B$3:$B$13, 1), 1))</f>
        <v>1.95E-2</v>
      </c>
      <c r="K1242" s="26">
        <f t="shared" si="250"/>
        <v>0.91282778664914388</v>
      </c>
      <c r="L1242" s="27">
        <f t="shared" ca="1" si="251"/>
        <v>0</v>
      </c>
      <c r="M1242" s="27">
        <f t="shared" ca="1" si="252"/>
        <v>469.52927596858098</v>
      </c>
      <c r="N1242" s="28">
        <f t="shared" ca="1" si="253"/>
        <v>2.1687028797808719E-2</v>
      </c>
      <c r="O1242" s="29">
        <f t="shared" ca="1" si="254"/>
        <v>600000</v>
      </c>
      <c r="P1242" s="30">
        <f t="shared" ca="1" si="255"/>
        <v>27.713324694914142</v>
      </c>
    </row>
    <row r="1243" spans="1:16" x14ac:dyDescent="0.25">
      <c r="A1243" s="3">
        <f t="shared" si="256"/>
        <v>47851</v>
      </c>
      <c r="B1243" s="21">
        <f t="shared" si="247"/>
        <v>36528</v>
      </c>
      <c r="C1243" s="21">
        <f t="shared" si="248"/>
        <v>36605</v>
      </c>
      <c r="D1243" s="1">
        <f t="shared" si="257"/>
        <v>0</v>
      </c>
      <c r="E1243" s="3">
        <f t="array" ref="E1243">INDEX($A$9:A1242, MAX(IF($D$9:D1242=1, ROW(D$9:$D1242)-ROW($D$9)+1, 0)))</f>
        <v>47837</v>
      </c>
      <c r="F1243" s="23">
        <f t="shared" si="249"/>
        <v>4.7255304585900069</v>
      </c>
      <c r="G1243" s="5">
        <f>INDEX('Default Prob'!$P$5:$P$14,MIN(1+_xlfn.IFNA(MATCH(F1243,'Default Prob'!$F$5:$F$14,1),0),COUNT('Default Prob'!$P$5:$P$14)))</f>
        <v>2.046797531464158E-2</v>
      </c>
      <c r="H1243" s="5">
        <f t="shared" si="258"/>
        <v>0.90287444819735652</v>
      </c>
      <c r="I1243" s="24">
        <f t="shared" si="259"/>
        <v>5.0596932844593212E-5</v>
      </c>
      <c r="J1243" s="25">
        <f>INDEX('Default Prob'!$C$3:$C$13, _xlfn.IFNA(MATCH(F1243, 'Default Prob'!$B$3:$B$13, 1), 1))</f>
        <v>1.95E-2</v>
      </c>
      <c r="K1243" s="26">
        <f t="shared" si="250"/>
        <v>0.91277952286245534</v>
      </c>
      <c r="L1243" s="27">
        <f t="shared" ca="1" si="251"/>
        <v>0</v>
      </c>
      <c r="M1243" s="27">
        <f t="shared" ca="1" si="252"/>
        <v>505.64691258154875</v>
      </c>
      <c r="N1243" s="28">
        <f t="shared" ca="1" si="253"/>
        <v>2.335271824108703E-2</v>
      </c>
      <c r="O1243" s="29">
        <f t="shared" ca="1" si="254"/>
        <v>600000</v>
      </c>
      <c r="P1243" s="30">
        <f t="shared" ca="1" si="255"/>
        <v>27.710306532114892</v>
      </c>
    </row>
    <row r="1244" spans="1:16" x14ac:dyDescent="0.25">
      <c r="A1244" s="3">
        <f t="shared" si="256"/>
        <v>47854</v>
      </c>
      <c r="B1244" s="21">
        <f t="shared" si="247"/>
        <v>36531</v>
      </c>
      <c r="C1244" s="21">
        <f t="shared" si="248"/>
        <v>36605</v>
      </c>
      <c r="D1244" s="1">
        <f t="shared" si="257"/>
        <v>0</v>
      </c>
      <c r="E1244" s="3">
        <f t="array" ref="E1244">INDEX($A$9:A1243, MAX(IF($D$9:D1243=1, ROW(D$9:$D1243)-ROW($D$9)+1, 0)))</f>
        <v>47837</v>
      </c>
      <c r="F1244" s="23">
        <f t="shared" si="249"/>
        <v>4.7337440109514031</v>
      </c>
      <c r="G1244" s="5">
        <f>INDEX('Default Prob'!$P$5:$P$14,MIN(1+_xlfn.IFNA(MATCH(F1244,'Default Prob'!$F$5:$F$14,1),0),COUNT('Default Prob'!$P$5:$P$14)))</f>
        <v>2.046797531464158E-2</v>
      </c>
      <c r="H1244" s="5">
        <f t="shared" si="258"/>
        <v>0.90272267440989584</v>
      </c>
      <c r="I1244" s="24">
        <f t="shared" si="259"/>
        <v>1.5177378746067394E-4</v>
      </c>
      <c r="J1244" s="25">
        <f>INDEX('Default Prob'!$C$3:$C$13, _xlfn.IFNA(MATCH(F1244, 'Default Prob'!$B$3:$B$13, 1), 1))</f>
        <v>1.95E-2</v>
      </c>
      <c r="K1244" s="26">
        <f t="shared" si="250"/>
        <v>0.91263474681290713</v>
      </c>
      <c r="L1244" s="27">
        <f t="shared" ca="1" si="251"/>
        <v>0</v>
      </c>
      <c r="M1244" s="27">
        <f t="shared" ca="1" si="252"/>
        <v>613.99982242045212</v>
      </c>
      <c r="N1244" s="28">
        <f t="shared" ca="1" si="253"/>
        <v>8.5047591107233797E-2</v>
      </c>
      <c r="O1244" s="29">
        <f t="shared" ca="1" si="254"/>
        <v>600000</v>
      </c>
      <c r="P1244" s="30">
        <f t="shared" ca="1" si="255"/>
        <v>83.108419255204893</v>
      </c>
    </row>
    <row r="1245" spans="1:16" x14ac:dyDescent="0.25">
      <c r="A1245" s="3">
        <f t="shared" si="256"/>
        <v>47855</v>
      </c>
      <c r="B1245" s="21">
        <f t="shared" si="247"/>
        <v>36532</v>
      </c>
      <c r="C1245" s="21">
        <f t="shared" si="248"/>
        <v>36605</v>
      </c>
      <c r="D1245" s="1">
        <f t="shared" si="257"/>
        <v>0</v>
      </c>
      <c r="E1245" s="3">
        <f t="array" ref="E1245">INDEX($A$9:A1244, MAX(IF($D$9:D1244=1, ROW(D$9:$D1244)-ROW($D$9)+1, 0)))</f>
        <v>47837</v>
      </c>
      <c r="F1245" s="23">
        <f t="shared" si="249"/>
        <v>4.7364818617385351</v>
      </c>
      <c r="G1245" s="5">
        <f>INDEX('Default Prob'!$P$5:$P$14,MIN(1+_xlfn.IFNA(MATCH(F1245,'Default Prob'!$F$5:$F$14,1),0),COUNT('Default Prob'!$P$5:$P$14)))</f>
        <v>2.046797531464158E-2</v>
      </c>
      <c r="H1245" s="5">
        <f t="shared" si="258"/>
        <v>0.90267208881723704</v>
      </c>
      <c r="I1245" s="24">
        <f t="shared" si="259"/>
        <v>5.0585592658802803E-5</v>
      </c>
      <c r="J1245" s="25">
        <f>INDEX('Default Prob'!$C$3:$C$13, _xlfn.IFNA(MATCH(F1245, 'Default Prob'!$B$3:$B$13, 1), 1))</f>
        <v>1.95E-2</v>
      </c>
      <c r="K1245" s="26">
        <f t="shared" si="250"/>
        <v>0.91258649323278052</v>
      </c>
      <c r="L1245" s="27">
        <f t="shared" ca="1" si="251"/>
        <v>0</v>
      </c>
      <c r="M1245" s="27">
        <f t="shared" ca="1" si="252"/>
        <v>650.11745903341978</v>
      </c>
      <c r="N1245" s="28">
        <f t="shared" ca="1" si="253"/>
        <v>3.0011845945131062E-2</v>
      </c>
      <c r="O1245" s="29">
        <f t="shared" ca="1" si="254"/>
        <v>600000</v>
      </c>
      <c r="P1245" s="30">
        <f t="shared" ca="1" si="255"/>
        <v>27.698237167559242</v>
      </c>
    </row>
    <row r="1246" spans="1:16" x14ac:dyDescent="0.25">
      <c r="A1246" s="3">
        <f t="shared" si="256"/>
        <v>47856</v>
      </c>
      <c r="B1246" s="21">
        <f t="shared" si="247"/>
        <v>36533</v>
      </c>
      <c r="C1246" s="21">
        <f t="shared" si="248"/>
        <v>36605</v>
      </c>
      <c r="D1246" s="1">
        <f t="shared" si="257"/>
        <v>0</v>
      </c>
      <c r="E1246" s="3">
        <f t="array" ref="E1246">INDEX($A$9:A1245, MAX(IF($D$9:D1245=1, ROW(D$9:$D1245)-ROW($D$9)+1, 0)))</f>
        <v>47837</v>
      </c>
      <c r="F1246" s="23">
        <f t="shared" si="249"/>
        <v>4.7392197125256672</v>
      </c>
      <c r="G1246" s="5">
        <f>INDEX('Default Prob'!$P$5:$P$14,MIN(1+_xlfn.IFNA(MATCH(F1246,'Default Prob'!$F$5:$F$14,1),0),COUNT('Default Prob'!$P$5:$P$14)))</f>
        <v>2.046797531464158E-2</v>
      </c>
      <c r="H1246" s="5">
        <f t="shared" si="258"/>
        <v>0.90262150605922753</v>
      </c>
      <c r="I1246" s="24">
        <f t="shared" si="259"/>
        <v>5.0582758009509732E-5</v>
      </c>
      <c r="J1246" s="25">
        <f>INDEX('Default Prob'!$C$3:$C$13, _xlfn.IFNA(MATCH(F1246, 'Default Prob'!$B$3:$B$13, 1), 1))</f>
        <v>1.95E-2</v>
      </c>
      <c r="K1246" s="26">
        <f t="shared" si="250"/>
        <v>0.91253824220395718</v>
      </c>
      <c r="L1246" s="27">
        <f t="shared" ca="1" si="251"/>
        <v>0</v>
      </c>
      <c r="M1246" s="27">
        <f t="shared" ca="1" si="252"/>
        <v>686.23509564638755</v>
      </c>
      <c r="N1246" s="28">
        <f t="shared" ca="1" si="253"/>
        <v>3.1675720650427508E-2</v>
      </c>
      <c r="O1246" s="29">
        <f t="shared" ca="1" si="254"/>
        <v>600000</v>
      </c>
      <c r="P1246" s="30">
        <f t="shared" ca="1" si="255"/>
        <v>27.695220647895688</v>
      </c>
    </row>
    <row r="1247" spans="1:16" x14ac:dyDescent="0.25">
      <c r="A1247" s="3">
        <f t="shared" si="256"/>
        <v>47857</v>
      </c>
      <c r="B1247" s="21">
        <f t="shared" si="247"/>
        <v>36534</v>
      </c>
      <c r="C1247" s="21">
        <f t="shared" si="248"/>
        <v>36605</v>
      </c>
      <c r="D1247" s="1">
        <f t="shared" si="257"/>
        <v>0</v>
      </c>
      <c r="E1247" s="3">
        <f t="array" ref="E1247">INDEX($A$9:A1246, MAX(IF($D$9:D1246=1, ROW(D$9:$D1246)-ROW($D$9)+1, 0)))</f>
        <v>47837</v>
      </c>
      <c r="F1247" s="23">
        <f t="shared" si="249"/>
        <v>4.7419575633127993</v>
      </c>
      <c r="G1247" s="5">
        <f>INDEX('Default Prob'!$P$5:$P$14,MIN(1+_xlfn.IFNA(MATCH(F1247,'Default Prob'!$F$5:$F$14,1),0),COUNT('Default Prob'!$P$5:$P$14)))</f>
        <v>2.046797531464158E-2</v>
      </c>
      <c r="H1247" s="5">
        <f t="shared" si="258"/>
        <v>0.90257092613570844</v>
      </c>
      <c r="I1247" s="24">
        <f t="shared" si="259"/>
        <v>5.0579923519089576E-5</v>
      </c>
      <c r="J1247" s="25">
        <f>INDEX('Default Prob'!$C$3:$C$13, _xlfn.IFNA(MATCH(F1247, 'Default Prob'!$B$3:$B$13, 1), 1))</f>
        <v>1.95E-2</v>
      </c>
      <c r="K1247" s="26">
        <f t="shared" si="250"/>
        <v>0.91248999372630224</v>
      </c>
      <c r="L1247" s="27">
        <f t="shared" ca="1" si="251"/>
        <v>0</v>
      </c>
      <c r="M1247" s="27">
        <f t="shared" ca="1" si="252"/>
        <v>722.35273225935532</v>
      </c>
      <c r="N1247" s="28">
        <f t="shared" ca="1" si="253"/>
        <v>3.333923258605001E-2</v>
      </c>
      <c r="O1247" s="29">
        <f t="shared" ca="1" si="254"/>
        <v>600000</v>
      </c>
      <c r="P1247" s="30">
        <f t="shared" ca="1" si="255"/>
        <v>27.692204456766536</v>
      </c>
    </row>
    <row r="1248" spans="1:16" x14ac:dyDescent="0.25">
      <c r="A1248" s="3">
        <f t="shared" si="256"/>
        <v>47858</v>
      </c>
      <c r="B1248" s="21">
        <f t="shared" si="247"/>
        <v>36535</v>
      </c>
      <c r="C1248" s="21">
        <f t="shared" si="248"/>
        <v>36605</v>
      </c>
      <c r="D1248" s="1">
        <f t="shared" si="257"/>
        <v>0</v>
      </c>
      <c r="E1248" s="3">
        <f t="array" ref="E1248">INDEX($A$9:A1247, MAX(IF($D$9:D1247=1, ROW(D$9:$D1247)-ROW($D$9)+1, 0)))</f>
        <v>47837</v>
      </c>
      <c r="F1248" s="23">
        <f t="shared" si="249"/>
        <v>4.7446954140999313</v>
      </c>
      <c r="G1248" s="5">
        <f>INDEX('Default Prob'!$P$5:$P$14,MIN(1+_xlfn.IFNA(MATCH(F1248,'Default Prob'!$F$5:$F$14,1),0),COUNT('Default Prob'!$P$5:$P$14)))</f>
        <v>2.046797531464158E-2</v>
      </c>
      <c r="H1248" s="5">
        <f t="shared" si="258"/>
        <v>0.90252034904652101</v>
      </c>
      <c r="I1248" s="24">
        <f t="shared" si="259"/>
        <v>5.0577089187431312E-5</v>
      </c>
      <c r="J1248" s="25">
        <f>INDEX('Default Prob'!$C$3:$C$13, _xlfn.IFNA(MATCH(F1248, 'Default Prob'!$B$3:$B$13, 1), 1))</f>
        <v>1.95E-2</v>
      </c>
      <c r="K1248" s="26">
        <f t="shared" si="250"/>
        <v>0.91244174779968079</v>
      </c>
      <c r="L1248" s="27">
        <f t="shared" ca="1" si="251"/>
        <v>0</v>
      </c>
      <c r="M1248" s="27">
        <f t="shared" ca="1" si="252"/>
        <v>758.47036887232321</v>
      </c>
      <c r="N1248" s="28">
        <f t="shared" ca="1" si="253"/>
        <v>3.5002381811212097E-2</v>
      </c>
      <c r="O1248" s="29">
        <f t="shared" ca="1" si="254"/>
        <v>600000</v>
      </c>
      <c r="P1248" s="30">
        <f t="shared" ca="1" si="255"/>
        <v>27.689188594080097</v>
      </c>
    </row>
    <row r="1249" spans="1:16" x14ac:dyDescent="0.25">
      <c r="A1249" s="3">
        <f t="shared" si="256"/>
        <v>47861</v>
      </c>
      <c r="B1249" s="21">
        <f t="shared" si="247"/>
        <v>36538</v>
      </c>
      <c r="C1249" s="21">
        <f t="shared" si="248"/>
        <v>36605</v>
      </c>
      <c r="D1249" s="1">
        <f t="shared" si="257"/>
        <v>0</v>
      </c>
      <c r="E1249" s="3">
        <f t="array" ref="E1249">INDEX($A$9:A1248, MAX(IF($D$9:D1248=1, ROW(D$9:$D1248)-ROW($D$9)+1, 0)))</f>
        <v>47837</v>
      </c>
      <c r="F1249" s="23">
        <f t="shared" si="249"/>
        <v>4.7529089664613275</v>
      </c>
      <c r="G1249" s="5">
        <f>INDEX('Default Prob'!$P$5:$P$14,MIN(1+_xlfn.IFNA(MATCH(F1249,'Default Prob'!$F$5:$F$14,1),0),COUNT('Default Prob'!$P$5:$P$14)))</f>
        <v>2.046797531464158E-2</v>
      </c>
      <c r="H1249" s="5">
        <f t="shared" si="258"/>
        <v>0.90236863478336005</v>
      </c>
      <c r="I1249" s="24">
        <f t="shared" si="259"/>
        <v>1.5171426316096248E-4</v>
      </c>
      <c r="J1249" s="25">
        <f>INDEX('Default Prob'!$C$3:$C$13, _xlfn.IFNA(MATCH(F1249, 'Default Prob'!$B$3:$B$13, 1), 1))</f>
        <v>1.95E-2</v>
      </c>
      <c r="K1249" s="26">
        <f t="shared" si="250"/>
        <v>0.9122970253246685</v>
      </c>
      <c r="L1249" s="27">
        <f t="shared" ca="1" si="251"/>
        <v>0</v>
      </c>
      <c r="M1249" s="27">
        <f t="shared" ca="1" si="252"/>
        <v>866.82327871122652</v>
      </c>
      <c r="N1249" s="28">
        <f t="shared" ca="1" si="253"/>
        <v>0.11997568461721875</v>
      </c>
      <c r="O1249" s="29">
        <f t="shared" ca="1" si="254"/>
        <v>600000</v>
      </c>
      <c r="P1249" s="30">
        <f t="shared" ca="1" si="255"/>
        <v>83.045082588642018</v>
      </c>
    </row>
    <row r="1250" spans="1:16" x14ac:dyDescent="0.25">
      <c r="A1250" s="3">
        <f t="shared" si="256"/>
        <v>47862</v>
      </c>
      <c r="B1250" s="21">
        <f t="shared" si="247"/>
        <v>36539</v>
      </c>
      <c r="C1250" s="21">
        <f t="shared" si="248"/>
        <v>36605</v>
      </c>
      <c r="D1250" s="1">
        <f t="shared" si="257"/>
        <v>0</v>
      </c>
      <c r="E1250" s="3">
        <f t="array" ref="E1250">INDEX($A$9:A1249, MAX(IF($D$9:D1249=1, ROW(D$9:$D1249)-ROW($D$9)+1, 0)))</f>
        <v>47837</v>
      </c>
      <c r="F1250" s="23">
        <f t="shared" si="249"/>
        <v>4.7556468172484596</v>
      </c>
      <c r="G1250" s="5">
        <f>INDEX('Default Prob'!$P$5:$P$14,MIN(1+_xlfn.IFNA(MATCH(F1250,'Default Prob'!$F$5:$F$14,1),0),COUNT('Default Prob'!$P$5:$P$14)))</f>
        <v>2.046797531464158E-2</v>
      </c>
      <c r="H1250" s="5">
        <f t="shared" si="258"/>
        <v>0.90231806902991085</v>
      </c>
      <c r="I1250" s="24">
        <f t="shared" si="259"/>
        <v>5.0565753449194339E-5</v>
      </c>
      <c r="J1250" s="25">
        <f>INDEX('Default Prob'!$C$3:$C$13, _xlfn.IFNA(MATCH(F1250, 'Default Prob'!$B$3:$B$13, 1), 1))</f>
        <v>1.95E-2</v>
      </c>
      <c r="K1250" s="26">
        <f t="shared" si="250"/>
        <v>0.91224878960083211</v>
      </c>
      <c r="L1250" s="27">
        <f t="shared" ca="1" si="251"/>
        <v>0</v>
      </c>
      <c r="M1250" s="27">
        <f t="shared" ca="1" si="252"/>
        <v>902.94091532419418</v>
      </c>
      <c r="N1250" s="28">
        <f t="shared" ca="1" si="253"/>
        <v>4.1651352793224017E-2</v>
      </c>
      <c r="O1250" s="29">
        <f t="shared" ca="1" si="254"/>
        <v>600000</v>
      </c>
      <c r="P1250" s="30">
        <f t="shared" ca="1" si="255"/>
        <v>27.677128427568981</v>
      </c>
    </row>
    <row r="1251" spans="1:16" x14ac:dyDescent="0.25">
      <c r="A1251" s="3">
        <f t="shared" si="256"/>
        <v>47863</v>
      </c>
      <c r="B1251" s="21">
        <f t="shared" si="247"/>
        <v>36540</v>
      </c>
      <c r="C1251" s="21">
        <f t="shared" si="248"/>
        <v>36605</v>
      </c>
      <c r="D1251" s="1">
        <f t="shared" si="257"/>
        <v>0</v>
      </c>
      <c r="E1251" s="3">
        <f t="array" ref="E1251">INDEX($A$9:A1250, MAX(IF($D$9:D1250=1, ROW(D$9:$D1250)-ROW($D$9)+1, 0)))</f>
        <v>47837</v>
      </c>
      <c r="F1251" s="23">
        <f t="shared" si="249"/>
        <v>4.7583846680355917</v>
      </c>
      <c r="G1251" s="5">
        <f>INDEX('Default Prob'!$P$5:$P$14,MIN(1+_xlfn.IFNA(MATCH(F1251,'Default Prob'!$F$5:$F$14,1),0),COUNT('Default Prob'!$P$5:$P$14)))</f>
        <v>2.046797531464158E-2</v>
      </c>
      <c r="H1251" s="5">
        <f t="shared" si="258"/>
        <v>0.90226750610999917</v>
      </c>
      <c r="I1251" s="24">
        <f t="shared" si="259"/>
        <v>5.0562919911678605E-5</v>
      </c>
      <c r="J1251" s="25">
        <f>INDEX('Default Prob'!$C$3:$C$13, _xlfn.IFNA(MATCH(F1251, 'Default Prob'!$B$3:$B$13, 1), 1))</f>
        <v>1.95E-2</v>
      </c>
      <c r="K1251" s="26">
        <f t="shared" si="250"/>
        <v>0.91220055642735487</v>
      </c>
      <c r="L1251" s="27">
        <f t="shared" ca="1" si="251"/>
        <v>0</v>
      </c>
      <c r="M1251" s="27">
        <f t="shared" ca="1" si="252"/>
        <v>939.05855193716195</v>
      </c>
      <c r="N1251" s="28">
        <f t="shared" ca="1" si="253"/>
        <v>4.3312689355325569E-2</v>
      </c>
      <c r="O1251" s="29">
        <f t="shared" ca="1" si="254"/>
        <v>600000</v>
      </c>
      <c r="P1251" s="30">
        <f t="shared" ca="1" si="255"/>
        <v>27.674114206815002</v>
      </c>
    </row>
    <row r="1252" spans="1:16" x14ac:dyDescent="0.25">
      <c r="A1252" s="3">
        <f t="shared" si="256"/>
        <v>47864</v>
      </c>
      <c r="B1252" s="21">
        <f t="shared" si="247"/>
        <v>36541</v>
      </c>
      <c r="C1252" s="21">
        <f t="shared" si="248"/>
        <v>36605</v>
      </c>
      <c r="D1252" s="1">
        <f t="shared" si="257"/>
        <v>0</v>
      </c>
      <c r="E1252" s="3">
        <f t="array" ref="E1252">INDEX($A$9:A1251, MAX(IF($D$9:D1251=1, ROW(D$9:$D1251)-ROW($D$9)+1, 0)))</f>
        <v>47837</v>
      </c>
      <c r="F1252" s="23">
        <f t="shared" si="249"/>
        <v>4.7611225188227237</v>
      </c>
      <c r="G1252" s="5">
        <f>INDEX('Default Prob'!$P$5:$P$14,MIN(1+_xlfn.IFNA(MATCH(F1252,'Default Prob'!$F$5:$F$14,1),0),COUNT('Default Prob'!$P$5:$P$14)))</f>
        <v>2.046797531464158E-2</v>
      </c>
      <c r="H1252" s="5">
        <f t="shared" si="258"/>
        <v>0.90221694602346636</v>
      </c>
      <c r="I1252" s="24">
        <f t="shared" si="259"/>
        <v>5.0560086532813742E-5</v>
      </c>
      <c r="J1252" s="25">
        <f>INDEX('Default Prob'!$C$3:$C$13, _xlfn.IFNA(MATCH(F1252, 'Default Prob'!$B$3:$B$13, 1), 1))</f>
        <v>1.95E-2</v>
      </c>
      <c r="K1252" s="26">
        <f t="shared" si="250"/>
        <v>0.91215232580410199</v>
      </c>
      <c r="L1252" s="27">
        <f t="shared" ca="1" si="251"/>
        <v>0</v>
      </c>
      <c r="M1252" s="27">
        <f t="shared" ca="1" si="252"/>
        <v>975.17618855012961</v>
      </c>
      <c r="N1252" s="28">
        <f t="shared" ca="1" si="253"/>
        <v>4.4973663562410074E-2</v>
      </c>
      <c r="O1252" s="29">
        <f t="shared" ca="1" si="254"/>
        <v>600000</v>
      </c>
      <c r="P1252" s="30">
        <f t="shared" ca="1" si="255"/>
        <v>27.671100314257625</v>
      </c>
    </row>
    <row r="1253" spans="1:16" x14ac:dyDescent="0.25">
      <c r="A1253" s="3">
        <f t="shared" si="256"/>
        <v>47865</v>
      </c>
      <c r="B1253" s="21">
        <f t="shared" si="247"/>
        <v>36542</v>
      </c>
      <c r="C1253" s="21">
        <f t="shared" si="248"/>
        <v>36605</v>
      </c>
      <c r="D1253" s="1">
        <f t="shared" si="257"/>
        <v>0</v>
      </c>
      <c r="E1253" s="3">
        <f t="array" ref="E1253">INDEX($A$9:A1252, MAX(IF($D$9:D1252=1, ROW(D$9:$D1252)-ROW($D$9)+1, 0)))</f>
        <v>47837</v>
      </c>
      <c r="F1253" s="23">
        <f t="shared" si="249"/>
        <v>4.7638603696098567</v>
      </c>
      <c r="G1253" s="5">
        <f>INDEX('Default Prob'!$P$5:$P$14,MIN(1+_xlfn.IFNA(MATCH(F1253,'Default Prob'!$F$5:$F$14,1),0),COUNT('Default Prob'!$P$5:$P$14)))</f>
        <v>2.046797531464158E-2</v>
      </c>
      <c r="H1253" s="5">
        <f t="shared" si="258"/>
        <v>0.90216638877015354</v>
      </c>
      <c r="I1253" s="24">
        <f t="shared" si="259"/>
        <v>5.0557253312821793E-5</v>
      </c>
      <c r="J1253" s="25">
        <f>INDEX('Default Prob'!$C$3:$C$13, _xlfn.IFNA(MATCH(F1253, 'Default Prob'!$B$3:$B$13, 1), 1))</f>
        <v>1.95E-2</v>
      </c>
      <c r="K1253" s="26">
        <f t="shared" si="250"/>
        <v>0.91210409773093859</v>
      </c>
      <c r="L1253" s="27">
        <f t="shared" ca="1" si="251"/>
        <v>0</v>
      </c>
      <c r="M1253" s="27">
        <f t="shared" ca="1" si="252"/>
        <v>1011.2938251630975</v>
      </c>
      <c r="N1253" s="28">
        <f t="shared" ca="1" si="253"/>
        <v>4.6634275473898777E-2</v>
      </c>
      <c r="O1253" s="29">
        <f t="shared" ca="1" si="254"/>
        <v>600000</v>
      </c>
      <c r="P1253" s="30">
        <f t="shared" ca="1" si="255"/>
        <v>27.668086749987495</v>
      </c>
    </row>
    <row r="1254" spans="1:16" x14ac:dyDescent="0.25">
      <c r="A1254" s="3">
        <f t="shared" si="256"/>
        <v>47868</v>
      </c>
      <c r="B1254" s="21">
        <f t="shared" si="247"/>
        <v>36545</v>
      </c>
      <c r="C1254" s="21">
        <f t="shared" si="248"/>
        <v>36605</v>
      </c>
      <c r="D1254" s="1">
        <f t="shared" si="257"/>
        <v>0</v>
      </c>
      <c r="E1254" s="3">
        <f t="array" ref="E1254">INDEX($A$9:A1253, MAX(IF($D$9:D1253=1, ROW(D$9:$D1253)-ROW($D$9)+1, 0)))</f>
        <v>47837</v>
      </c>
      <c r="F1254" s="23">
        <f t="shared" si="249"/>
        <v>4.7720739219712529</v>
      </c>
      <c r="G1254" s="5">
        <f>INDEX('Default Prob'!$P$5:$P$14,MIN(1+_xlfn.IFNA(MATCH(F1254,'Default Prob'!$F$5:$F$14,1),0),COUNT('Default Prob'!$P$5:$P$14)))</f>
        <v>2.046797531464158E-2</v>
      </c>
      <c r="H1254" s="5">
        <f t="shared" si="258"/>
        <v>0.90201473400794741</v>
      </c>
      <c r="I1254" s="24">
        <f t="shared" si="259"/>
        <v>1.5165476220613261E-4</v>
      </c>
      <c r="J1254" s="25">
        <f>INDEX('Default Prob'!$C$3:$C$13, _xlfn.IFNA(MATCH(F1254, 'Default Prob'!$B$3:$B$13, 1), 1))</f>
        <v>1.95E-2</v>
      </c>
      <c r="K1254" s="26">
        <f t="shared" si="250"/>
        <v>0.91195942881063663</v>
      </c>
      <c r="L1254" s="27">
        <f t="shared" ca="1" si="251"/>
        <v>0</v>
      </c>
      <c r="M1254" s="27">
        <f t="shared" ca="1" si="252"/>
        <v>1119.6467350020009</v>
      </c>
      <c r="N1254" s="28">
        <f t="shared" ca="1" si="253"/>
        <v>0.15485049155046979</v>
      </c>
      <c r="O1254" s="29">
        <f t="shared" ca="1" si="254"/>
        <v>600000</v>
      </c>
      <c r="P1254" s="30">
        <f t="shared" ca="1" si="255"/>
        <v>82.981794190750577</v>
      </c>
    </row>
    <row r="1255" spans="1:16" x14ac:dyDescent="0.25">
      <c r="A1255" s="3">
        <f t="shared" si="256"/>
        <v>47869</v>
      </c>
      <c r="B1255" s="21">
        <f t="shared" si="247"/>
        <v>36546</v>
      </c>
      <c r="C1255" s="21">
        <f t="shared" si="248"/>
        <v>36605</v>
      </c>
      <c r="D1255" s="1">
        <f t="shared" si="257"/>
        <v>0</v>
      </c>
      <c r="E1255" s="3">
        <f t="array" ref="E1255">INDEX($A$9:A1254, MAX(IF($D$9:D1254=1, ROW(D$9:$D1254)-ROW($D$9)+1, 0)))</f>
        <v>47837</v>
      </c>
      <c r="F1255" s="23">
        <f t="shared" si="249"/>
        <v>4.774811772758385</v>
      </c>
      <c r="G1255" s="5">
        <f>INDEX('Default Prob'!$P$5:$P$14,MIN(1+_xlfn.IFNA(MATCH(F1255,'Default Prob'!$F$5:$F$14,1),0),COUNT('Default Prob'!$P$5:$P$14)))</f>
        <v>2.046797531464158E-2</v>
      </c>
      <c r="H1255" s="5">
        <f t="shared" si="258"/>
        <v>0.90196418808592704</v>
      </c>
      <c r="I1255" s="24">
        <f t="shared" si="259"/>
        <v>5.05459220203619E-5</v>
      </c>
      <c r="J1255" s="25">
        <f>INDEX('Default Prob'!$C$3:$C$13, _xlfn.IFNA(MATCH(F1255, 'Default Prob'!$B$3:$B$13, 1), 1))</f>
        <v>1.95E-2</v>
      </c>
      <c r="K1255" s="26">
        <f t="shared" si="250"/>
        <v>0.91191121093648264</v>
      </c>
      <c r="L1255" s="27">
        <f t="shared" ca="1" si="251"/>
        <v>0</v>
      </c>
      <c r="M1255" s="27">
        <f t="shared" ca="1" si="252"/>
        <v>1155.7643716149685</v>
      </c>
      <c r="N1255" s="28">
        <f t="shared" ca="1" si="253"/>
        <v>5.3273101347114368E-2</v>
      </c>
      <c r="O1255" s="29">
        <f t="shared" ca="1" si="254"/>
        <v>600000</v>
      </c>
      <c r="P1255" s="30">
        <f t="shared" ca="1" si="255"/>
        <v>27.656035774493546</v>
      </c>
    </row>
    <row r="1256" spans="1:16" x14ac:dyDescent="0.25">
      <c r="A1256" s="3">
        <f t="shared" si="256"/>
        <v>47870</v>
      </c>
      <c r="B1256" s="21">
        <f t="shared" si="247"/>
        <v>36547</v>
      </c>
      <c r="C1256" s="21">
        <f t="shared" si="248"/>
        <v>36605</v>
      </c>
      <c r="D1256" s="1">
        <f t="shared" si="257"/>
        <v>0</v>
      </c>
      <c r="E1256" s="3">
        <f t="array" ref="E1256">INDEX($A$9:A1255, MAX(IF($D$9:D1255=1, ROW(D$9:$D1255)-ROW($D$9)+1, 0)))</f>
        <v>47837</v>
      </c>
      <c r="F1256" s="23">
        <f t="shared" si="249"/>
        <v>4.777549623545517</v>
      </c>
      <c r="G1256" s="5">
        <f>INDEX('Default Prob'!$P$5:$P$14,MIN(1+_xlfn.IFNA(MATCH(F1256,'Default Prob'!$F$5:$F$14,1),0),COUNT('Default Prob'!$P$5:$P$14)))</f>
        <v>2.046797531464158E-2</v>
      </c>
      <c r="H1256" s="5">
        <f t="shared" si="258"/>
        <v>0.90191364499633297</v>
      </c>
      <c r="I1256" s="24">
        <f t="shared" si="259"/>
        <v>5.0543089594068391E-5</v>
      </c>
      <c r="J1256" s="25">
        <f>INDEX('Default Prob'!$C$3:$C$13, _xlfn.IFNA(MATCH(F1256, 'Default Prob'!$B$3:$B$13, 1), 1))</f>
        <v>1.95E-2</v>
      </c>
      <c r="K1256" s="26">
        <f t="shared" si="250"/>
        <v>0.91186299561174422</v>
      </c>
      <c r="L1256" s="27">
        <f t="shared" ca="1" si="251"/>
        <v>0</v>
      </c>
      <c r="M1256" s="27">
        <f t="shared" ca="1" si="252"/>
        <v>1191.8820082279362</v>
      </c>
      <c r="N1256" s="28">
        <f t="shared" ca="1" si="253"/>
        <v>5.4931902668174416E-2</v>
      </c>
      <c r="O1256" s="29">
        <f t="shared" ca="1" si="254"/>
        <v>600000</v>
      </c>
      <c r="P1256" s="30">
        <f t="shared" ca="1" si="255"/>
        <v>27.653023850831989</v>
      </c>
    </row>
    <row r="1257" spans="1:16" x14ac:dyDescent="0.25">
      <c r="A1257" s="3">
        <f t="shared" si="256"/>
        <v>47871</v>
      </c>
      <c r="B1257" s="21">
        <f t="shared" si="247"/>
        <v>36548</v>
      </c>
      <c r="C1257" s="21">
        <f t="shared" si="248"/>
        <v>36605</v>
      </c>
      <c r="D1257" s="1">
        <f t="shared" si="257"/>
        <v>0</v>
      </c>
      <c r="E1257" s="3">
        <f t="array" ref="E1257">INDEX($A$9:A1256, MAX(IF($D$9:D1256=1, ROW(D$9:$D1256)-ROW($D$9)+1, 0)))</f>
        <v>47837</v>
      </c>
      <c r="F1257" s="23">
        <f t="shared" si="249"/>
        <v>4.7802874743326491</v>
      </c>
      <c r="G1257" s="5">
        <f>INDEX('Default Prob'!$P$5:$P$14,MIN(1+_xlfn.IFNA(MATCH(F1257,'Default Prob'!$F$5:$F$14,1),0),COUNT('Default Prob'!$P$5:$P$14)))</f>
        <v>2.046797531464158E-2</v>
      </c>
      <c r="H1257" s="5">
        <f t="shared" si="258"/>
        <v>0.90186310473900644</v>
      </c>
      <c r="I1257" s="24">
        <f t="shared" si="259"/>
        <v>5.0540257326536775E-5</v>
      </c>
      <c r="J1257" s="25">
        <f>INDEX('Default Prob'!$C$3:$C$13, _xlfn.IFNA(MATCH(F1257, 'Default Prob'!$B$3:$B$13, 1), 1))</f>
        <v>1.95E-2</v>
      </c>
      <c r="K1257" s="26">
        <f t="shared" si="250"/>
        <v>0.91181478283628636</v>
      </c>
      <c r="L1257" s="27">
        <f t="shared" ca="1" si="251"/>
        <v>0</v>
      </c>
      <c r="M1257" s="27">
        <f t="shared" ca="1" si="252"/>
        <v>1227.9996448409042</v>
      </c>
      <c r="N1257" s="28">
        <f t="shared" ca="1" si="253"/>
        <v>5.6590342048744351E-2</v>
      </c>
      <c r="O1257" s="29">
        <f t="shared" ca="1" si="254"/>
        <v>600000</v>
      </c>
      <c r="P1257" s="30">
        <f t="shared" ca="1" si="255"/>
        <v>27.650012255211696</v>
      </c>
    </row>
    <row r="1258" spans="1:16" x14ac:dyDescent="0.25">
      <c r="A1258" s="3">
        <f t="shared" si="256"/>
        <v>47872</v>
      </c>
      <c r="B1258" s="21">
        <f t="shared" si="247"/>
        <v>36549</v>
      </c>
      <c r="C1258" s="21">
        <f t="shared" si="248"/>
        <v>36605</v>
      </c>
      <c r="D1258" s="1">
        <f t="shared" si="257"/>
        <v>0</v>
      </c>
      <c r="E1258" s="3">
        <f t="array" ref="E1258">INDEX($A$9:A1257, MAX(IF($D$9:D1257=1, ROW(D$9:$D1257)-ROW($D$9)+1, 0)))</f>
        <v>47837</v>
      </c>
      <c r="F1258" s="23">
        <f t="shared" si="249"/>
        <v>4.7830253251197812</v>
      </c>
      <c r="G1258" s="5">
        <f>INDEX('Default Prob'!$P$5:$P$14,MIN(1+_xlfn.IFNA(MATCH(F1258,'Default Prob'!$F$5:$F$14,1),0),COUNT('Default Prob'!$P$5:$P$14)))</f>
        <v>2.046797531464158E-2</v>
      </c>
      <c r="H1258" s="5">
        <f t="shared" si="258"/>
        <v>0.90181256731378878</v>
      </c>
      <c r="I1258" s="24">
        <f t="shared" si="259"/>
        <v>5.0537425217656029E-5</v>
      </c>
      <c r="J1258" s="25">
        <f>INDEX('Default Prob'!$C$3:$C$13, _xlfn.IFNA(MATCH(F1258, 'Default Prob'!$B$3:$B$13, 1), 1))</f>
        <v>1.95E-2</v>
      </c>
      <c r="K1258" s="26">
        <f t="shared" si="250"/>
        <v>0.91176657260997418</v>
      </c>
      <c r="L1258" s="27">
        <f t="shared" ca="1" si="251"/>
        <v>0</v>
      </c>
      <c r="M1258" s="27">
        <f t="shared" ca="1" si="252"/>
        <v>1264.1172814538718</v>
      </c>
      <c r="N1258" s="28">
        <f t="shared" ca="1" si="253"/>
        <v>5.8248419547871536E-2</v>
      </c>
      <c r="O1258" s="29">
        <f t="shared" ca="1" si="254"/>
        <v>600000</v>
      </c>
      <c r="P1258" s="30">
        <f t="shared" ca="1" si="255"/>
        <v>27.64700098754107</v>
      </c>
    </row>
    <row r="1259" spans="1:16" x14ac:dyDescent="0.25">
      <c r="A1259" s="3">
        <f t="shared" si="256"/>
        <v>47875</v>
      </c>
      <c r="B1259" s="21">
        <f t="shared" si="247"/>
        <v>36552</v>
      </c>
      <c r="C1259" s="21">
        <f t="shared" si="248"/>
        <v>36605</v>
      </c>
      <c r="D1259" s="1">
        <f t="shared" si="257"/>
        <v>0</v>
      </c>
      <c r="E1259" s="3">
        <f t="array" ref="E1259">INDEX($A$9:A1258, MAX(IF($D$9:D1258=1, ROW(D$9:$D1258)-ROW($D$9)+1, 0)))</f>
        <v>47837</v>
      </c>
      <c r="F1259" s="23">
        <f t="shared" si="249"/>
        <v>4.7912388774811774</v>
      </c>
      <c r="G1259" s="5">
        <f>INDEX('Default Prob'!$P$5:$P$14,MIN(1+_xlfn.IFNA(MATCH(F1259,'Default Prob'!$F$5:$F$14,1),0),COUNT('Default Prob'!$P$5:$P$14)))</f>
        <v>2.046797531464158E-2</v>
      </c>
      <c r="H1259" s="5">
        <f t="shared" si="258"/>
        <v>0.9016609720292017</v>
      </c>
      <c r="I1259" s="24">
        <f t="shared" si="259"/>
        <v>1.5159528458708049E-4</v>
      </c>
      <c r="J1259" s="25">
        <f>INDEX('Default Prob'!$C$3:$C$13, _xlfn.IFNA(MATCH(F1259, 'Default Prob'!$B$3:$B$13, 1), 1))</f>
        <v>1.95E-2</v>
      </c>
      <c r="K1259" s="26">
        <f t="shared" si="250"/>
        <v>0.91162195722456474</v>
      </c>
      <c r="L1259" s="27">
        <f t="shared" ca="1" si="251"/>
        <v>0</v>
      </c>
      <c r="M1259" s="27">
        <f t="shared" ca="1" si="252"/>
        <v>1372.4701912927751</v>
      </c>
      <c r="N1259" s="28">
        <f t="shared" ca="1" si="253"/>
        <v>0.18967207284016871</v>
      </c>
      <c r="O1259" s="29">
        <f t="shared" ca="1" si="254"/>
        <v>600000</v>
      </c>
      <c r="P1259" s="30">
        <f t="shared" ca="1" si="255"/>
        <v>82.918554024773513</v>
      </c>
    </row>
    <row r="1260" spans="1:16" x14ac:dyDescent="0.25">
      <c r="A1260" s="3">
        <f t="shared" si="256"/>
        <v>47876</v>
      </c>
      <c r="B1260" s="21">
        <f t="shared" si="247"/>
        <v>36553</v>
      </c>
      <c r="C1260" s="21">
        <f t="shared" si="248"/>
        <v>36605</v>
      </c>
      <c r="D1260" s="1">
        <f t="shared" si="257"/>
        <v>0</v>
      </c>
      <c r="E1260" s="3">
        <f t="array" ref="E1260">INDEX($A$9:A1259, MAX(IF($D$9:D1259=1, ROW(D$9:$D1259)-ROW($D$9)+1, 0)))</f>
        <v>47837</v>
      </c>
      <c r="F1260" s="23">
        <f t="shared" si="249"/>
        <v>4.7939767282683095</v>
      </c>
      <c r="G1260" s="5">
        <f>INDEX('Default Prob'!$P$5:$P$14,MIN(1+_xlfn.IFNA(MATCH(F1260,'Default Prob'!$F$5:$F$14,1),0),COUNT('Default Prob'!$P$5:$P$14)))</f>
        <v>2.046797531464158E-2</v>
      </c>
      <c r="H1260" s="5">
        <f t="shared" si="258"/>
        <v>0.90161044593083239</v>
      </c>
      <c r="I1260" s="24">
        <f t="shared" si="259"/>
        <v>5.0526098369307881E-5</v>
      </c>
      <c r="J1260" s="25">
        <f>INDEX('Default Prob'!$C$3:$C$13, _xlfn.IFNA(MATCH(F1260, 'Default Prob'!$B$3:$B$13, 1), 1))</f>
        <v>1.95E-2</v>
      </c>
      <c r="K1260" s="26">
        <f t="shared" si="250"/>
        <v>0.9115737571934881</v>
      </c>
      <c r="L1260" s="27">
        <f t="shared" ca="1" si="251"/>
        <v>0</v>
      </c>
      <c r="M1260" s="27">
        <f t="shared" ca="1" si="252"/>
        <v>1408.5878279057429</v>
      </c>
      <c r="N1260" s="28">
        <f t="shared" ca="1" si="253"/>
        <v>6.4877111913836785E-2</v>
      </c>
      <c r="O1260" s="29">
        <f t="shared" ca="1" si="254"/>
        <v>600000</v>
      </c>
      <c r="P1260" s="30">
        <f t="shared" ca="1" si="255"/>
        <v>27.634959196102656</v>
      </c>
    </row>
    <row r="1261" spans="1:16" x14ac:dyDescent="0.25">
      <c r="A1261" s="3">
        <f t="shared" si="256"/>
        <v>47877</v>
      </c>
      <c r="B1261" s="21">
        <f t="shared" si="247"/>
        <v>36554</v>
      </c>
      <c r="C1261" s="21">
        <f t="shared" si="248"/>
        <v>36605</v>
      </c>
      <c r="D1261" s="1">
        <f t="shared" si="257"/>
        <v>0</v>
      </c>
      <c r="E1261" s="3">
        <f t="array" ref="E1261">INDEX($A$9:A1260, MAX(IF($D$9:D1260=1, ROW(D$9:$D1260)-ROW($D$9)+1, 0)))</f>
        <v>47837</v>
      </c>
      <c r="F1261" s="23">
        <f t="shared" si="249"/>
        <v>4.7967145790554415</v>
      </c>
      <c r="G1261" s="5">
        <f>INDEX('Default Prob'!$P$5:$P$14,MIN(1+_xlfn.IFNA(MATCH(F1261,'Default Prob'!$F$5:$F$14,1),0),COUNT('Default Prob'!$P$5:$P$14)))</f>
        <v>2.046797531464158E-2</v>
      </c>
      <c r="H1261" s="5">
        <f t="shared" si="258"/>
        <v>0.9015599226637786</v>
      </c>
      <c r="I1261" s="24">
        <f t="shared" si="259"/>
        <v>5.0523267053792509E-5</v>
      </c>
      <c r="J1261" s="25">
        <f>INDEX('Default Prob'!$C$3:$C$13, _xlfn.IFNA(MATCH(F1261, 'Default Prob'!$B$3:$B$13, 1), 1))</f>
        <v>1.95E-2</v>
      </c>
      <c r="K1261" s="26">
        <f t="shared" si="250"/>
        <v>0.91152555971088334</v>
      </c>
      <c r="L1261" s="27">
        <f t="shared" ca="1" si="251"/>
        <v>0</v>
      </c>
      <c r="M1261" s="27">
        <f t="shared" ca="1" si="252"/>
        <v>1444.7054645187106</v>
      </c>
      <c r="N1261" s="28">
        <f t="shared" ca="1" si="253"/>
        <v>6.6533380893124772E-2</v>
      </c>
      <c r="O1261" s="29">
        <f t="shared" ca="1" si="254"/>
        <v>600000</v>
      </c>
      <c r="P1261" s="30">
        <f t="shared" ca="1" si="255"/>
        <v>27.631949567778388</v>
      </c>
    </row>
    <row r="1262" spans="1:16" x14ac:dyDescent="0.25">
      <c r="A1262" s="3">
        <f t="shared" si="256"/>
        <v>47878</v>
      </c>
      <c r="B1262" s="21">
        <f t="shared" si="247"/>
        <v>36555</v>
      </c>
      <c r="C1262" s="21">
        <f t="shared" si="248"/>
        <v>36605</v>
      </c>
      <c r="D1262" s="1">
        <f t="shared" si="257"/>
        <v>0</v>
      </c>
      <c r="E1262" s="3">
        <f t="array" ref="E1262">INDEX($A$9:A1261, MAX(IF($D$9:D1261=1, ROW(D$9:$D1261)-ROW($D$9)+1, 0)))</f>
        <v>47837</v>
      </c>
      <c r="F1262" s="23">
        <f t="shared" si="249"/>
        <v>4.7994524298425736</v>
      </c>
      <c r="G1262" s="5">
        <f>INDEX('Default Prob'!$P$5:$P$14,MIN(1+_xlfn.IFNA(MATCH(F1262,'Default Prob'!$F$5:$F$14,1),0),COUNT('Default Prob'!$P$5:$P$14)))</f>
        <v>2.046797531464158E-2</v>
      </c>
      <c r="H1262" s="5">
        <f t="shared" si="258"/>
        <v>0.90150940222788156</v>
      </c>
      <c r="I1262" s="24">
        <f t="shared" si="259"/>
        <v>5.0520435897039029E-5</v>
      </c>
      <c r="J1262" s="25">
        <f>INDEX('Default Prob'!$C$3:$C$13, _xlfn.IFNA(MATCH(F1262, 'Default Prob'!$B$3:$B$13, 1), 1))</f>
        <v>1.95E-2</v>
      </c>
      <c r="K1262" s="26">
        <f t="shared" si="250"/>
        <v>0.91147736477661578</v>
      </c>
      <c r="L1262" s="27">
        <f t="shared" ca="1" si="251"/>
        <v>0</v>
      </c>
      <c r="M1262" s="27">
        <f t="shared" ca="1" si="252"/>
        <v>1480.8231011316784</v>
      </c>
      <c r="N1262" s="28">
        <f t="shared" ca="1" si="253"/>
        <v>6.8189288345957749E-2</v>
      </c>
      <c r="O1262" s="29">
        <f t="shared" ca="1" si="254"/>
        <v>600000</v>
      </c>
      <c r="P1262" s="30">
        <f t="shared" ca="1" si="255"/>
        <v>27.628940267279447</v>
      </c>
    </row>
    <row r="1263" spans="1:16" x14ac:dyDescent="0.25">
      <c r="A1263" s="3">
        <f t="shared" si="256"/>
        <v>47879</v>
      </c>
      <c r="B1263" s="21">
        <f t="shared" si="247"/>
        <v>36556</v>
      </c>
      <c r="C1263" s="21">
        <f t="shared" si="248"/>
        <v>36605</v>
      </c>
      <c r="D1263" s="1">
        <f t="shared" si="257"/>
        <v>0</v>
      </c>
      <c r="E1263" s="3">
        <f t="array" ref="E1263">INDEX($A$9:A1262, MAX(IF($D$9:D1262=1, ROW(D$9:$D1262)-ROW($D$9)+1, 0)))</f>
        <v>47837</v>
      </c>
      <c r="F1263" s="23">
        <f t="shared" si="249"/>
        <v>4.8021902806297057</v>
      </c>
      <c r="G1263" s="5">
        <f>INDEX('Default Prob'!$P$5:$P$14,MIN(1+_xlfn.IFNA(MATCH(F1263,'Default Prob'!$F$5:$F$14,1),0),COUNT('Default Prob'!$P$5:$P$14)))</f>
        <v>2.046797531464158E-2</v>
      </c>
      <c r="H1263" s="5">
        <f t="shared" si="258"/>
        <v>0.90145888462298263</v>
      </c>
      <c r="I1263" s="24">
        <f t="shared" si="259"/>
        <v>5.0517604898936419E-5</v>
      </c>
      <c r="J1263" s="25">
        <f>INDEX('Default Prob'!$C$3:$C$13, _xlfn.IFNA(MATCH(F1263, 'Default Prob'!$B$3:$B$13, 1), 1))</f>
        <v>1.95E-2</v>
      </c>
      <c r="K1263" s="26">
        <f t="shared" si="250"/>
        <v>0.91142917239055077</v>
      </c>
      <c r="L1263" s="27">
        <f t="shared" ca="1" si="251"/>
        <v>0</v>
      </c>
      <c r="M1263" s="27">
        <f t="shared" ca="1" si="252"/>
        <v>1516.9407377446464</v>
      </c>
      <c r="N1263" s="28">
        <f t="shared" ca="1" si="253"/>
        <v>6.9844834331305658E-2</v>
      </c>
      <c r="O1263" s="29">
        <f t="shared" ca="1" si="254"/>
        <v>600000</v>
      </c>
      <c r="P1263" s="30">
        <f t="shared" ca="1" si="255"/>
        <v>27.62593129451427</v>
      </c>
    </row>
    <row r="1264" spans="1:16" x14ac:dyDescent="0.25">
      <c r="A1264" s="3">
        <f t="shared" si="256"/>
        <v>47882</v>
      </c>
      <c r="B1264" s="21">
        <f t="shared" si="247"/>
        <v>36559</v>
      </c>
      <c r="C1264" s="21">
        <f t="shared" si="248"/>
        <v>36605</v>
      </c>
      <c r="D1264" s="1">
        <f t="shared" si="257"/>
        <v>0</v>
      </c>
      <c r="E1264" s="3">
        <f t="array" ref="E1264">INDEX($A$9:A1263, MAX(IF($D$9:D1263=1, ROW(D$9:$D1263)-ROW($D$9)+1, 0)))</f>
        <v>47837</v>
      </c>
      <c r="F1264" s="23">
        <f t="shared" si="249"/>
        <v>4.8104038329911019</v>
      </c>
      <c r="G1264" s="5">
        <f>INDEX('Default Prob'!$P$5:$P$14,MIN(1+_xlfn.IFNA(MATCH(F1264,'Default Prob'!$F$5:$F$14,1),0),COUNT('Default Prob'!$P$5:$P$14)))</f>
        <v>2.046797531464158E-2</v>
      </c>
      <c r="H1264" s="5">
        <f t="shared" si="258"/>
        <v>0.90130734879268803</v>
      </c>
      <c r="I1264" s="24">
        <f t="shared" si="259"/>
        <v>1.5153583029459128E-4</v>
      </c>
      <c r="J1264" s="25">
        <f>INDEX('Default Prob'!$C$3:$C$13, _xlfn.IFNA(MATCH(F1264, 'Default Prob'!$B$3:$B$13, 1), 1))</f>
        <v>1.95E-2</v>
      </c>
      <c r="K1264" s="26">
        <f t="shared" si="250"/>
        <v>0.91128461052022325</v>
      </c>
      <c r="L1264" s="27">
        <f t="shared" ca="1" si="251"/>
        <v>0</v>
      </c>
      <c r="M1264" s="27">
        <f t="shared" ca="1" si="252"/>
        <v>1625.2936475835495</v>
      </c>
      <c r="N1264" s="28">
        <f t="shared" ca="1" si="253"/>
        <v>0.22444048935744981</v>
      </c>
      <c r="O1264" s="29">
        <f t="shared" ca="1" si="254"/>
        <v>600000</v>
      </c>
      <c r="P1264" s="30">
        <f t="shared" ca="1" si="255"/>
        <v>82.855362053919151</v>
      </c>
    </row>
    <row r="1265" spans="1:16" x14ac:dyDescent="0.25">
      <c r="A1265" s="3">
        <f t="shared" si="256"/>
        <v>47883</v>
      </c>
      <c r="B1265" s="21">
        <f t="shared" si="247"/>
        <v>36560</v>
      </c>
      <c r="C1265" s="21">
        <f t="shared" si="248"/>
        <v>36605</v>
      </c>
      <c r="D1265" s="1">
        <f t="shared" si="257"/>
        <v>0</v>
      </c>
      <c r="E1265" s="3">
        <f t="array" ref="E1265">INDEX($A$9:A1264, MAX(IF($D$9:D1264=1, ROW(D$9:$D1264)-ROW($D$9)+1, 0)))</f>
        <v>47837</v>
      </c>
      <c r="F1265" s="23">
        <f t="shared" si="249"/>
        <v>4.8131416837782339</v>
      </c>
      <c r="G1265" s="5">
        <f>INDEX('Default Prob'!$P$5:$P$14,MIN(1+_xlfn.IFNA(MATCH(F1265,'Default Prob'!$F$5:$F$14,1),0),COUNT('Default Prob'!$P$5:$P$14)))</f>
        <v>2.046797531464158E-2</v>
      </c>
      <c r="H1265" s="5">
        <f t="shared" si="258"/>
        <v>0.90125684251019522</v>
      </c>
      <c r="I1265" s="24">
        <f t="shared" si="259"/>
        <v>5.0506282492812637E-5</v>
      </c>
      <c r="J1265" s="25">
        <f>INDEX('Default Prob'!$C$3:$C$13, _xlfn.IFNA(MATCH(F1265, 'Default Prob'!$B$3:$B$13, 1), 1))</f>
        <v>1.95E-2</v>
      </c>
      <c r="K1265" s="26">
        <f t="shared" si="250"/>
        <v>0.91123642832562091</v>
      </c>
      <c r="L1265" s="27">
        <f t="shared" ca="1" si="251"/>
        <v>0</v>
      </c>
      <c r="M1265" s="27">
        <f t="shared" ca="1" si="252"/>
        <v>1661.4112841965173</v>
      </c>
      <c r="N1265" s="28">
        <f t="shared" ca="1" si="253"/>
        <v>7.6463404779499658E-2</v>
      </c>
      <c r="O1265" s="29">
        <f t="shared" ca="1" si="254"/>
        <v>600000</v>
      </c>
      <c r="P1265" s="30">
        <f t="shared" ca="1" si="255"/>
        <v>27.613898680053254</v>
      </c>
    </row>
    <row r="1266" spans="1:16" x14ac:dyDescent="0.25">
      <c r="A1266" s="3">
        <f t="shared" si="256"/>
        <v>47884</v>
      </c>
      <c r="B1266" s="21">
        <f t="shared" si="247"/>
        <v>36561</v>
      </c>
      <c r="C1266" s="21">
        <f t="shared" si="248"/>
        <v>36605</v>
      </c>
      <c r="D1266" s="1">
        <f t="shared" si="257"/>
        <v>0</v>
      </c>
      <c r="E1266" s="3">
        <f t="array" ref="E1266">INDEX($A$9:A1265, MAX(IF($D$9:D1265=1, ROW(D$9:$D1265)-ROW($D$9)+1, 0)))</f>
        <v>47837</v>
      </c>
      <c r="F1266" s="23">
        <f t="shared" si="249"/>
        <v>4.815879534565366</v>
      </c>
      <c r="G1266" s="5">
        <f>INDEX('Default Prob'!$P$5:$P$14,MIN(1+_xlfn.IFNA(MATCH(F1266,'Default Prob'!$F$5:$F$14,1),0),COUNT('Default Prob'!$P$5:$P$14)))</f>
        <v>2.046797531464158E-2</v>
      </c>
      <c r="H1266" s="5">
        <f t="shared" si="258"/>
        <v>0.90120633905790748</v>
      </c>
      <c r="I1266" s="24">
        <f t="shared" si="259"/>
        <v>5.0503452287742334E-5</v>
      </c>
      <c r="J1266" s="25">
        <f>INDEX('Default Prob'!$C$3:$C$13, _xlfn.IFNA(MATCH(F1266, 'Default Prob'!$B$3:$B$13, 1), 1))</f>
        <v>1.95E-2</v>
      </c>
      <c r="K1266" s="26">
        <f t="shared" si="250"/>
        <v>0.91118824867854742</v>
      </c>
      <c r="L1266" s="27">
        <f t="shared" ca="1" si="251"/>
        <v>0</v>
      </c>
      <c r="M1266" s="27">
        <f t="shared" ca="1" si="252"/>
        <v>1697.528920809485</v>
      </c>
      <c r="N1266" s="28">
        <f t="shared" ca="1" si="253"/>
        <v>7.8117144313498615E-2</v>
      </c>
      <c r="O1266" s="29">
        <f t="shared" ca="1" si="254"/>
        <v>600000</v>
      </c>
      <c r="P1266" s="30">
        <f t="shared" ca="1" si="255"/>
        <v>27.610891345373108</v>
      </c>
    </row>
    <row r="1267" spans="1:16" x14ac:dyDescent="0.25">
      <c r="A1267" s="3">
        <f t="shared" si="256"/>
        <v>47885</v>
      </c>
      <c r="B1267" s="21">
        <f t="shared" si="247"/>
        <v>36562</v>
      </c>
      <c r="C1267" s="21">
        <f t="shared" si="248"/>
        <v>36605</v>
      </c>
      <c r="D1267" s="1">
        <f t="shared" si="257"/>
        <v>0</v>
      </c>
      <c r="E1267" s="3">
        <f t="array" ref="E1267">INDEX($A$9:A1266, MAX(IF($D$9:D1266=1, ROW(D$9:$D1266)-ROW($D$9)+1, 0)))</f>
        <v>47837</v>
      </c>
      <c r="F1267" s="23">
        <f t="shared" si="249"/>
        <v>4.8186173853524981</v>
      </c>
      <c r="G1267" s="5">
        <f>INDEX('Default Prob'!$P$5:$P$14,MIN(1+_xlfn.IFNA(MATCH(F1267,'Default Prob'!$F$5:$F$14,1),0),COUNT('Default Prob'!$P$5:$P$14)))</f>
        <v>2.046797531464158E-2</v>
      </c>
      <c r="H1267" s="5">
        <f t="shared" si="258"/>
        <v>0.90115583843566605</v>
      </c>
      <c r="I1267" s="24">
        <f t="shared" si="259"/>
        <v>5.0500622241433923E-5</v>
      </c>
      <c r="J1267" s="25">
        <f>INDEX('Default Prob'!$C$3:$C$13, _xlfn.IFNA(MATCH(F1267, 'Default Prob'!$B$3:$B$13, 1), 1))</f>
        <v>1.95E-2</v>
      </c>
      <c r="K1267" s="26">
        <f t="shared" si="250"/>
        <v>0.911140071578868</v>
      </c>
      <c r="L1267" s="27">
        <f t="shared" ca="1" si="251"/>
        <v>0</v>
      </c>
      <c r="M1267" s="27">
        <f t="shared" ca="1" si="252"/>
        <v>1733.646557422453</v>
      </c>
      <c r="N1267" s="28">
        <f t="shared" ca="1" si="253"/>
        <v>7.9770522734692276E-2</v>
      </c>
      <c r="O1267" s="29">
        <f t="shared" ca="1" si="254"/>
        <v>600000</v>
      </c>
      <c r="P1267" s="30">
        <f t="shared" ca="1" si="255"/>
        <v>27.607884338302487</v>
      </c>
    </row>
    <row r="1268" spans="1:16" x14ac:dyDescent="0.25">
      <c r="A1268" s="3">
        <f t="shared" si="256"/>
        <v>47886</v>
      </c>
      <c r="B1268" s="21">
        <f t="shared" si="247"/>
        <v>36563</v>
      </c>
      <c r="C1268" s="21">
        <f t="shared" si="248"/>
        <v>36605</v>
      </c>
      <c r="D1268" s="1">
        <f t="shared" si="257"/>
        <v>0</v>
      </c>
      <c r="E1268" s="3">
        <f t="array" ref="E1268">INDEX($A$9:A1267, MAX(IF($D$9:D1267=1, ROW(D$9:$D1267)-ROW($D$9)+1, 0)))</f>
        <v>47837</v>
      </c>
      <c r="F1268" s="23">
        <f t="shared" si="249"/>
        <v>4.8213552361396301</v>
      </c>
      <c r="G1268" s="5">
        <f>INDEX('Default Prob'!$P$5:$P$14,MIN(1+_xlfn.IFNA(MATCH(F1268,'Default Prob'!$F$5:$F$14,1),0),COUNT('Default Prob'!$P$5:$P$14)))</f>
        <v>2.046797531464158E-2</v>
      </c>
      <c r="H1268" s="5">
        <f t="shared" si="258"/>
        <v>0.90110534064331249</v>
      </c>
      <c r="I1268" s="24">
        <f t="shared" si="259"/>
        <v>5.0497792353554338E-5</v>
      </c>
      <c r="J1268" s="25">
        <f>INDEX('Default Prob'!$C$3:$C$13, _xlfn.IFNA(MATCH(F1268, 'Default Prob'!$B$3:$B$13, 1), 1))</f>
        <v>1.95E-2</v>
      </c>
      <c r="K1268" s="26">
        <f t="shared" si="250"/>
        <v>0.91109189702644833</v>
      </c>
      <c r="L1268" s="27">
        <f t="shared" ca="1" si="251"/>
        <v>0</v>
      </c>
      <c r="M1268" s="27">
        <f t="shared" ca="1" si="252"/>
        <v>1769.7641940354208</v>
      </c>
      <c r="N1268" s="28">
        <f t="shared" ca="1" si="253"/>
        <v>8.1423540101615094E-2</v>
      </c>
      <c r="O1268" s="29">
        <f t="shared" ca="1" si="254"/>
        <v>600000</v>
      </c>
      <c r="P1268" s="30">
        <f t="shared" ca="1" si="255"/>
        <v>27.604877658628499</v>
      </c>
    </row>
    <row r="1269" spans="1:16" x14ac:dyDescent="0.25">
      <c r="A1269" s="3">
        <f t="shared" si="256"/>
        <v>47889</v>
      </c>
      <c r="B1269" s="21">
        <f t="shared" si="247"/>
        <v>36566</v>
      </c>
      <c r="C1269" s="21">
        <f t="shared" si="248"/>
        <v>36605</v>
      </c>
      <c r="D1269" s="1">
        <f t="shared" si="257"/>
        <v>0</v>
      </c>
      <c r="E1269" s="3">
        <f t="array" ref="E1269">INDEX($A$9:A1268, MAX(IF($D$9:D1268=1, ROW(D$9:$D1268)-ROW($D$9)+1, 0)))</f>
        <v>47837</v>
      </c>
      <c r="F1269" s="23">
        <f t="shared" si="249"/>
        <v>4.8295687885010263</v>
      </c>
      <c r="G1269" s="5">
        <f>INDEX('Default Prob'!$P$5:$P$14,MIN(1+_xlfn.IFNA(MATCH(F1269,'Default Prob'!$F$5:$F$14,1),0),COUNT('Default Prob'!$P$5:$P$14)))</f>
        <v>2.046797531464158E-2</v>
      </c>
      <c r="H1269" s="5">
        <f t="shared" si="258"/>
        <v>0.90095386424399304</v>
      </c>
      <c r="I1269" s="24">
        <f t="shared" si="259"/>
        <v>1.5147639931945012E-4</v>
      </c>
      <c r="J1269" s="25">
        <f>INDEX('Default Prob'!$C$3:$C$13, _xlfn.IFNA(MATCH(F1269, 'Default Prob'!$B$3:$B$13, 1), 1))</f>
        <v>1.95E-2</v>
      </c>
      <c r="K1269" s="26">
        <f t="shared" si="250"/>
        <v>0.91094738865139946</v>
      </c>
      <c r="L1269" s="27">
        <f t="shared" ca="1" si="251"/>
        <v>0</v>
      </c>
      <c r="M1269" s="27">
        <f t="shared" ca="1" si="252"/>
        <v>1878.1171038743239</v>
      </c>
      <c r="N1269" s="28">
        <f t="shared" ca="1" si="253"/>
        <v>0.25915580191151688</v>
      </c>
      <c r="O1269" s="29">
        <f t="shared" ca="1" si="254"/>
        <v>600000</v>
      </c>
      <c r="P1269" s="30">
        <f t="shared" ca="1" si="255"/>
        <v>82.792218241421836</v>
      </c>
    </row>
    <row r="1270" spans="1:16" x14ac:dyDescent="0.25">
      <c r="A1270" s="3">
        <f t="shared" si="256"/>
        <v>47890</v>
      </c>
      <c r="B1270" s="21">
        <f t="shared" si="247"/>
        <v>36567</v>
      </c>
      <c r="C1270" s="21">
        <f t="shared" si="248"/>
        <v>36605</v>
      </c>
      <c r="D1270" s="1">
        <f t="shared" si="257"/>
        <v>0</v>
      </c>
      <c r="E1270" s="3">
        <f t="array" ref="E1270">INDEX($A$9:A1269, MAX(IF($D$9:D1269=1, ROW(D$9:$D1269)-ROW($D$9)+1, 0)))</f>
        <v>47837</v>
      </c>
      <c r="F1270" s="23">
        <f t="shared" si="249"/>
        <v>4.8323066392881584</v>
      </c>
      <c r="G1270" s="5">
        <f>INDEX('Default Prob'!$P$5:$P$14,MIN(1+_xlfn.IFNA(MATCH(F1270,'Default Prob'!$F$5:$F$14,1),0),COUNT('Default Prob'!$P$5:$P$14)))</f>
        <v>2.046797531464158E-2</v>
      </c>
      <c r="H1270" s="5">
        <f t="shared" si="258"/>
        <v>0.90090337776960505</v>
      </c>
      <c r="I1270" s="24">
        <f t="shared" si="259"/>
        <v>5.0486474387989588E-5</v>
      </c>
      <c r="J1270" s="25">
        <f>INDEX('Default Prob'!$C$3:$C$13, _xlfn.IFNA(MATCH(F1270, 'Default Prob'!$B$3:$B$13, 1), 1))</f>
        <v>1.95E-2</v>
      </c>
      <c r="K1270" s="26">
        <f t="shared" si="250"/>
        <v>0.91089922428667081</v>
      </c>
      <c r="L1270" s="27">
        <f t="shared" ca="1" si="251"/>
        <v>0</v>
      </c>
      <c r="M1270" s="27">
        <f t="shared" ca="1" si="252"/>
        <v>1914.2347404872917</v>
      </c>
      <c r="N1270" s="28">
        <f t="shared" ca="1" si="253"/>
        <v>8.803200021001617E-2</v>
      </c>
      <c r="O1270" s="29">
        <f t="shared" ca="1" si="254"/>
        <v>600000</v>
      </c>
      <c r="P1270" s="30">
        <f t="shared" ca="1" si="255"/>
        <v>27.592854214193153</v>
      </c>
    </row>
    <row r="1271" spans="1:16" x14ac:dyDescent="0.25">
      <c r="A1271" s="3">
        <f t="shared" si="256"/>
        <v>47891</v>
      </c>
      <c r="B1271" s="21">
        <f t="shared" si="247"/>
        <v>36568</v>
      </c>
      <c r="C1271" s="21">
        <f t="shared" si="248"/>
        <v>36605</v>
      </c>
      <c r="D1271" s="1">
        <f t="shared" si="257"/>
        <v>0</v>
      </c>
      <c r="E1271" s="3">
        <f t="array" ref="E1271">INDEX($A$9:A1270, MAX(IF($D$9:D1270=1, ROW(D$9:$D1270)-ROW($D$9)+1, 0)))</f>
        <v>47837</v>
      </c>
      <c r="F1271" s="23">
        <f t="shared" si="249"/>
        <v>4.8350444900752905</v>
      </c>
      <c r="G1271" s="5">
        <f>INDEX('Default Prob'!$P$5:$P$14,MIN(1+_xlfn.IFNA(MATCH(F1271,'Default Prob'!$F$5:$F$14,1),0),COUNT('Default Prob'!$P$5:$P$14)))</f>
        <v>2.046797531464158E-2</v>
      </c>
      <c r="H1271" s="5">
        <f t="shared" si="258"/>
        <v>0.90085289412431213</v>
      </c>
      <c r="I1271" s="24">
        <f t="shared" si="259"/>
        <v>5.0483645292920265E-5</v>
      </c>
      <c r="J1271" s="25">
        <f>INDEX('Default Prob'!$C$3:$C$13, _xlfn.IFNA(MATCH(F1271, 'Default Prob'!$B$3:$B$13, 1), 1))</f>
        <v>1.95E-2</v>
      </c>
      <c r="K1271" s="26">
        <f t="shared" si="250"/>
        <v>0.91085106246852865</v>
      </c>
      <c r="L1271" s="27">
        <f t="shared" ca="1" si="251"/>
        <v>0</v>
      </c>
      <c r="M1271" s="27">
        <f t="shared" ca="1" si="252"/>
        <v>1950.3523771002592</v>
      </c>
      <c r="N1271" s="28">
        <f t="shared" ca="1" si="253"/>
        <v>8.9683213192143826E-2</v>
      </c>
      <c r="O1271" s="29">
        <f t="shared" ca="1" si="254"/>
        <v>600000</v>
      </c>
      <c r="P1271" s="30">
        <f t="shared" ca="1" si="255"/>
        <v>27.589849171404456</v>
      </c>
    </row>
    <row r="1272" spans="1:16" x14ac:dyDescent="0.25">
      <c r="A1272" s="3">
        <f t="shared" si="256"/>
        <v>47892</v>
      </c>
      <c r="B1272" s="21">
        <f t="shared" si="247"/>
        <v>36569</v>
      </c>
      <c r="C1272" s="21">
        <f t="shared" si="248"/>
        <v>36605</v>
      </c>
      <c r="D1272" s="1">
        <f t="shared" si="257"/>
        <v>0</v>
      </c>
      <c r="E1272" s="3">
        <f t="array" ref="E1272">INDEX($A$9:A1271, MAX(IF($D$9:D1271=1, ROW(D$9:$D1271)-ROW($D$9)+1, 0)))</f>
        <v>47837</v>
      </c>
      <c r="F1272" s="23">
        <f t="shared" si="249"/>
        <v>4.8377823408624234</v>
      </c>
      <c r="G1272" s="5">
        <f>INDEX('Default Prob'!$P$5:$P$14,MIN(1+_xlfn.IFNA(MATCH(F1272,'Default Prob'!$F$5:$F$14,1),0),COUNT('Default Prob'!$P$5:$P$14)))</f>
        <v>2.046797531464158E-2</v>
      </c>
      <c r="H1272" s="5">
        <f t="shared" si="258"/>
        <v>0.90080241330795574</v>
      </c>
      <c r="I1272" s="24">
        <f t="shared" si="259"/>
        <v>5.048081635639079E-5</v>
      </c>
      <c r="J1272" s="25">
        <f>INDEX('Default Prob'!$C$3:$C$13, _xlfn.IFNA(MATCH(F1272, 'Default Prob'!$B$3:$B$13, 1), 1))</f>
        <v>1.95E-2</v>
      </c>
      <c r="K1272" s="26">
        <f t="shared" si="250"/>
        <v>0.91080290319683788</v>
      </c>
      <c r="L1272" s="27">
        <f t="shared" ca="1" si="251"/>
        <v>0</v>
      </c>
      <c r="M1272" s="27">
        <f t="shared" ca="1" si="252"/>
        <v>1986.4700137132272</v>
      </c>
      <c r="N1272" s="28">
        <f t="shared" ca="1" si="253"/>
        <v>9.1334065474321796E-2</v>
      </c>
      <c r="O1272" s="29">
        <f t="shared" ca="1" si="254"/>
        <v>600000</v>
      </c>
      <c r="P1272" s="30">
        <f t="shared" ca="1" si="255"/>
        <v>27.58684445588829</v>
      </c>
    </row>
    <row r="1273" spans="1:16" x14ac:dyDescent="0.25">
      <c r="A1273" s="3">
        <f t="shared" si="256"/>
        <v>47893</v>
      </c>
      <c r="B1273" s="21">
        <f t="shared" si="247"/>
        <v>36570</v>
      </c>
      <c r="C1273" s="21">
        <f t="shared" si="248"/>
        <v>36605</v>
      </c>
      <c r="D1273" s="1">
        <f t="shared" si="257"/>
        <v>0</v>
      </c>
      <c r="E1273" s="3">
        <f t="array" ref="E1273">INDEX($A$9:A1272, MAX(IF($D$9:D1272=1, ROW(D$9:$D1272)-ROW($D$9)+1, 0)))</f>
        <v>47837</v>
      </c>
      <c r="F1273" s="23">
        <f t="shared" si="249"/>
        <v>4.8405201916495555</v>
      </c>
      <c r="G1273" s="5">
        <f>INDEX('Default Prob'!$P$5:$P$14,MIN(1+_xlfn.IFNA(MATCH(F1273,'Default Prob'!$F$5:$F$14,1),0),COUNT('Default Prob'!$P$5:$P$14)))</f>
        <v>2.046797531464158E-2</v>
      </c>
      <c r="H1273" s="5">
        <f t="shared" si="258"/>
        <v>0.90075193532037723</v>
      </c>
      <c r="I1273" s="24">
        <f t="shared" si="259"/>
        <v>5.0477987578512185E-5</v>
      </c>
      <c r="J1273" s="25">
        <f>INDEX('Default Prob'!$C$3:$C$13, _xlfn.IFNA(MATCH(F1273, 'Default Prob'!$B$3:$B$13, 1), 1))</f>
        <v>1.95E-2</v>
      </c>
      <c r="K1273" s="26">
        <f t="shared" si="250"/>
        <v>0.91075474647146404</v>
      </c>
      <c r="L1273" s="27">
        <f t="shared" ca="1" si="251"/>
        <v>0</v>
      </c>
      <c r="M1273" s="27">
        <f t="shared" ca="1" si="252"/>
        <v>2022.587650326195</v>
      </c>
      <c r="N1273" s="28">
        <f t="shared" ca="1" si="253"/>
        <v>9.2984557115752348E-2</v>
      </c>
      <c r="O1273" s="29">
        <f t="shared" ca="1" si="254"/>
        <v>600000</v>
      </c>
      <c r="P1273" s="30">
        <f t="shared" ca="1" si="255"/>
        <v>27.583840067674544</v>
      </c>
    </row>
    <row r="1274" spans="1:16" x14ac:dyDescent="0.25">
      <c r="A1274" s="3">
        <f t="shared" si="256"/>
        <v>47896</v>
      </c>
      <c r="B1274" s="21">
        <f t="shared" si="247"/>
        <v>36573</v>
      </c>
      <c r="C1274" s="21">
        <f t="shared" si="248"/>
        <v>36605</v>
      </c>
      <c r="D1274" s="1">
        <f t="shared" si="257"/>
        <v>0</v>
      </c>
      <c r="E1274" s="3">
        <f t="array" ref="E1274">INDEX($A$9:A1273, MAX(IF($D$9:D1273=1, ROW(D$9:$D1273)-ROW($D$9)+1, 0)))</f>
        <v>47837</v>
      </c>
      <c r="F1274" s="23">
        <f t="shared" si="249"/>
        <v>4.8487337440109517</v>
      </c>
      <c r="G1274" s="5">
        <f>INDEX('Default Prob'!$P$5:$P$14,MIN(1+_xlfn.IFNA(MATCH(F1274,'Default Prob'!$F$5:$F$14,1),0),COUNT('Default Prob'!$P$5:$P$14)))</f>
        <v>2.046797531464158E-2</v>
      </c>
      <c r="H1274" s="5">
        <f t="shared" si="258"/>
        <v>0.90060051832872456</v>
      </c>
      <c r="I1274" s="24">
        <f t="shared" si="259"/>
        <v>1.514169916526642E-4</v>
      </c>
      <c r="J1274" s="25">
        <f>INDEX('Default Prob'!$C$3:$C$13, _xlfn.IFNA(MATCH(F1274, 'Default Prob'!$B$3:$B$13, 1), 1))</f>
        <v>1.95E-2</v>
      </c>
      <c r="K1274" s="26">
        <f t="shared" si="250"/>
        <v>0.91061029157189766</v>
      </c>
      <c r="L1274" s="27">
        <f t="shared" ca="1" si="251"/>
        <v>0</v>
      </c>
      <c r="M1274" s="27">
        <f t="shared" ca="1" si="252"/>
        <v>2130.9405601650983</v>
      </c>
      <c r="N1274" s="28">
        <f t="shared" ca="1" si="253"/>
        <v>0.29381807125012915</v>
      </c>
      <c r="O1274" s="29">
        <f t="shared" ca="1" si="254"/>
        <v>600000</v>
      </c>
      <c r="P1274" s="30">
        <f t="shared" ca="1" si="255"/>
        <v>82.729122550663291</v>
      </c>
    </row>
    <row r="1275" spans="1:16" x14ac:dyDescent="0.25">
      <c r="A1275" s="3">
        <f t="shared" si="256"/>
        <v>47897</v>
      </c>
      <c r="B1275" s="21">
        <f t="shared" si="247"/>
        <v>36574</v>
      </c>
      <c r="C1275" s="21">
        <f t="shared" si="248"/>
        <v>36605</v>
      </c>
      <c r="D1275" s="1">
        <f t="shared" si="257"/>
        <v>0</v>
      </c>
      <c r="E1275" s="3">
        <f t="array" ref="E1275">INDEX($A$9:A1274, MAX(IF($D$9:D1274=1, ROW(D$9:$D1274)-ROW($D$9)+1, 0)))</f>
        <v>47837</v>
      </c>
      <c r="F1275" s="23">
        <f t="shared" si="249"/>
        <v>4.8514715947980838</v>
      </c>
      <c r="G1275" s="5">
        <f>INDEX('Default Prob'!$P$5:$P$14,MIN(1+_xlfn.IFNA(MATCH(F1275,'Default Prob'!$F$5:$F$14,1),0),COUNT('Default Prob'!$P$5:$P$14)))</f>
        <v>2.046797531464158E-2</v>
      </c>
      <c r="H1275" s="5">
        <f t="shared" si="258"/>
        <v>0.90055005165467295</v>
      </c>
      <c r="I1275" s="24">
        <f t="shared" si="259"/>
        <v>5.0466674051619087E-5</v>
      </c>
      <c r="J1275" s="25">
        <f>INDEX('Default Prob'!$C$3:$C$13, _xlfn.IFNA(MATCH(F1275, 'Default Prob'!$B$3:$B$13, 1), 1))</f>
        <v>1.95E-2</v>
      </c>
      <c r="K1275" s="26">
        <f t="shared" si="250"/>
        <v>0.91056214503044508</v>
      </c>
      <c r="L1275" s="27">
        <f t="shared" ca="1" si="251"/>
        <v>0</v>
      </c>
      <c r="M1275" s="27">
        <f t="shared" ca="1" si="252"/>
        <v>2167.0581967780658</v>
      </c>
      <c r="N1275" s="28">
        <f t="shared" ca="1" si="253"/>
        <v>9.9582918450190835E-2</v>
      </c>
      <c r="O1275" s="29">
        <f t="shared" ca="1" si="254"/>
        <v>600000</v>
      </c>
      <c r="P1275" s="30">
        <f t="shared" ca="1" si="255"/>
        <v>27.571825786196747</v>
      </c>
    </row>
    <row r="1276" spans="1:16" x14ac:dyDescent="0.25">
      <c r="A1276" s="3">
        <f t="shared" si="256"/>
        <v>47898</v>
      </c>
      <c r="B1276" s="21">
        <f t="shared" si="247"/>
        <v>36575</v>
      </c>
      <c r="C1276" s="21">
        <f t="shared" si="248"/>
        <v>36605</v>
      </c>
      <c r="D1276" s="1">
        <f t="shared" si="257"/>
        <v>0</v>
      </c>
      <c r="E1276" s="3">
        <f t="array" ref="E1276">INDEX($A$9:A1275, MAX(IF($D$9:D1275=1, ROW(D$9:$D1275)-ROW($D$9)+1, 0)))</f>
        <v>47837</v>
      </c>
      <c r="F1276" s="23">
        <f t="shared" si="249"/>
        <v>4.8542094455852158</v>
      </c>
      <c r="G1276" s="5">
        <f>INDEX('Default Prob'!$P$5:$P$14,MIN(1+_xlfn.IFNA(MATCH(F1276,'Default Prob'!$F$5:$F$14,1),0),COUNT('Default Prob'!$P$5:$P$14)))</f>
        <v>2.046797531464158E-2</v>
      </c>
      <c r="H1276" s="5">
        <f t="shared" si="258"/>
        <v>0.90049958780860673</v>
      </c>
      <c r="I1276" s="24">
        <f t="shared" si="259"/>
        <v>5.0463846066217677E-5</v>
      </c>
      <c r="J1276" s="25">
        <f>INDEX('Default Prob'!$C$3:$C$13, _xlfn.IFNA(MATCH(F1276, 'Default Prob'!$B$3:$B$13, 1), 1))</f>
        <v>1.95E-2</v>
      </c>
      <c r="K1276" s="26">
        <f t="shared" si="250"/>
        <v>0.91051400103463631</v>
      </c>
      <c r="L1276" s="27">
        <f t="shared" ca="1" si="251"/>
        <v>0</v>
      </c>
      <c r="M1276" s="27">
        <f t="shared" ca="1" si="252"/>
        <v>2203.1758333910338</v>
      </c>
      <c r="N1276" s="28">
        <f t="shared" ca="1" si="253"/>
        <v>0.10123160777113466</v>
      </c>
      <c r="O1276" s="29">
        <f t="shared" ca="1" si="254"/>
        <v>600000</v>
      </c>
      <c r="P1276" s="30">
        <f t="shared" ca="1" si="255"/>
        <v>27.568823033608709</v>
      </c>
    </row>
    <row r="1277" spans="1:16" x14ac:dyDescent="0.25">
      <c r="A1277" s="3">
        <f t="shared" si="256"/>
        <v>47899</v>
      </c>
      <c r="B1277" s="21">
        <f t="shared" si="247"/>
        <v>36576</v>
      </c>
      <c r="C1277" s="21">
        <f t="shared" si="248"/>
        <v>36605</v>
      </c>
      <c r="D1277" s="1">
        <f t="shared" si="257"/>
        <v>0</v>
      </c>
      <c r="E1277" s="3">
        <f t="array" ref="E1277">INDEX($A$9:A1276, MAX(IF($D$9:D1276=1, ROW(D$9:$D1276)-ROW($D$9)+1, 0)))</f>
        <v>47837</v>
      </c>
      <c r="F1277" s="23">
        <f t="shared" si="249"/>
        <v>4.8569472963723479</v>
      </c>
      <c r="G1277" s="5">
        <f>INDEX('Default Prob'!$P$5:$P$14,MIN(1+_xlfn.IFNA(MATCH(F1277,'Default Prob'!$F$5:$F$14,1),0),COUNT('Default Prob'!$P$5:$P$14)))</f>
        <v>2.046797531464158E-2</v>
      </c>
      <c r="H1277" s="5">
        <f t="shared" si="258"/>
        <v>0.90044912679036759</v>
      </c>
      <c r="I1277" s="24">
        <f t="shared" si="259"/>
        <v>5.046101823913407E-5</v>
      </c>
      <c r="J1277" s="25">
        <f>INDEX('Default Prob'!$C$3:$C$13, _xlfn.IFNA(MATCH(F1277, 'Default Prob'!$B$3:$B$13, 1), 1))</f>
        <v>1.95E-2</v>
      </c>
      <c r="K1277" s="26">
        <f t="shared" si="250"/>
        <v>0.91046585958433679</v>
      </c>
      <c r="L1277" s="27">
        <f t="shared" ca="1" si="251"/>
        <v>0</v>
      </c>
      <c r="M1277" s="27">
        <f t="shared" ca="1" si="252"/>
        <v>2239.2934700040018</v>
      </c>
      <c r="N1277" s="28">
        <f t="shared" ca="1" si="253"/>
        <v>0.10287993680449774</v>
      </c>
      <c r="O1277" s="29">
        <f t="shared" ca="1" si="254"/>
        <v>600000</v>
      </c>
      <c r="P1277" s="30">
        <f t="shared" ca="1" si="255"/>
        <v>27.565820607956457</v>
      </c>
    </row>
    <row r="1278" spans="1:16" x14ac:dyDescent="0.25">
      <c r="A1278" s="3">
        <f t="shared" si="256"/>
        <v>47900</v>
      </c>
      <c r="B1278" s="21">
        <f t="shared" si="247"/>
        <v>36577</v>
      </c>
      <c r="C1278" s="21">
        <f t="shared" si="248"/>
        <v>36605</v>
      </c>
      <c r="D1278" s="1">
        <f t="shared" si="257"/>
        <v>0</v>
      </c>
      <c r="E1278" s="3">
        <f t="array" ref="E1278">INDEX($A$9:A1277, MAX(IF($D$9:D1277=1, ROW(D$9:$D1277)-ROW($D$9)+1, 0)))</f>
        <v>47837</v>
      </c>
      <c r="F1278" s="23">
        <f t="shared" si="249"/>
        <v>4.85968514715948</v>
      </c>
      <c r="G1278" s="5">
        <f>INDEX('Default Prob'!$P$5:$P$14,MIN(1+_xlfn.IFNA(MATCH(F1278,'Default Prob'!$F$5:$F$14,1),0),COUNT('Default Prob'!$P$5:$P$14)))</f>
        <v>2.046797531464158E-2</v>
      </c>
      <c r="H1278" s="5">
        <f t="shared" si="258"/>
        <v>0.900398668599797</v>
      </c>
      <c r="I1278" s="24">
        <f t="shared" si="259"/>
        <v>5.0458190570590311E-5</v>
      </c>
      <c r="J1278" s="25">
        <f>INDEX('Default Prob'!$C$3:$C$13, _xlfn.IFNA(MATCH(F1278, 'Default Prob'!$B$3:$B$13, 1), 1))</f>
        <v>1.95E-2</v>
      </c>
      <c r="K1278" s="26">
        <f t="shared" si="250"/>
        <v>0.91041772067941207</v>
      </c>
      <c r="L1278" s="27">
        <f t="shared" ca="1" si="251"/>
        <v>0</v>
      </c>
      <c r="M1278" s="27">
        <f t="shared" ca="1" si="252"/>
        <v>2275.4111066169694</v>
      </c>
      <c r="N1278" s="28">
        <f t="shared" ca="1" si="253"/>
        <v>0.10452790560966414</v>
      </c>
      <c r="O1278" s="29">
        <f t="shared" ca="1" si="254"/>
        <v>600000</v>
      </c>
      <c r="P1278" s="30">
        <f t="shared" ca="1" si="255"/>
        <v>27.56281850933054</v>
      </c>
    </row>
    <row r="1279" spans="1:16" x14ac:dyDescent="0.25">
      <c r="A1279" s="3">
        <f t="shared" si="256"/>
        <v>47903</v>
      </c>
      <c r="B1279" s="21">
        <f t="shared" si="247"/>
        <v>36580</v>
      </c>
      <c r="C1279" s="21">
        <f t="shared" si="248"/>
        <v>36605</v>
      </c>
      <c r="D1279" s="1">
        <f t="shared" si="257"/>
        <v>0</v>
      </c>
      <c r="E1279" s="3">
        <f t="array" ref="E1279">INDEX($A$9:A1278, MAX(IF($D$9:D1278=1, ROW(D$9:$D1278)-ROW($D$9)+1, 0)))</f>
        <v>47837</v>
      </c>
      <c r="F1279" s="23">
        <f t="shared" si="249"/>
        <v>4.8678986995208762</v>
      </c>
      <c r="G1279" s="5">
        <f>INDEX('Default Prob'!$P$5:$P$14,MIN(1+_xlfn.IFNA(MATCH(F1279,'Default Prob'!$F$5:$F$14,1),0),COUNT('Default Prob'!$P$5:$P$14)))</f>
        <v>2.046797531464158E-2</v>
      </c>
      <c r="H1279" s="5">
        <f t="shared" si="258"/>
        <v>0.90024731099251198</v>
      </c>
      <c r="I1279" s="24">
        <f t="shared" si="259"/>
        <v>1.5135760728501868E-4</v>
      </c>
      <c r="J1279" s="25">
        <f>INDEX('Default Prob'!$C$3:$C$13, _xlfn.IFNA(MATCH(F1279, 'Default Prob'!$B$3:$B$13, 1), 1))</f>
        <v>1.95E-2</v>
      </c>
      <c r="K1279" s="26">
        <f t="shared" si="250"/>
        <v>0.91027331923553945</v>
      </c>
      <c r="L1279" s="27">
        <f t="shared" ca="1" si="251"/>
        <v>0</v>
      </c>
      <c r="M1279" s="27">
        <f t="shared" ca="1" si="252"/>
        <v>2383.7640164558725</v>
      </c>
      <c r="N1279" s="28">
        <f t="shared" ca="1" si="253"/>
        <v>0.32842735805894724</v>
      </c>
      <c r="O1279" s="29">
        <f t="shared" ca="1" si="254"/>
        <v>600000</v>
      </c>
      <c r="P1279" s="30">
        <f t="shared" ca="1" si="255"/>
        <v>82.666074944929932</v>
      </c>
    </row>
    <row r="1280" spans="1:16" x14ac:dyDescent="0.25">
      <c r="A1280" s="3">
        <f t="shared" si="256"/>
        <v>47904</v>
      </c>
      <c r="B1280" s="21">
        <f t="shared" si="247"/>
        <v>36581</v>
      </c>
      <c r="C1280" s="21">
        <f t="shared" si="248"/>
        <v>36605</v>
      </c>
      <c r="D1280" s="1">
        <f t="shared" si="257"/>
        <v>0</v>
      </c>
      <c r="E1280" s="3">
        <f t="array" ref="E1280">INDEX($A$9:A1279, MAX(IF($D$9:D1279=1, ROW(D$9:$D1279)-ROW($D$9)+1, 0)))</f>
        <v>47837</v>
      </c>
      <c r="F1280" s="23">
        <f t="shared" si="249"/>
        <v>4.8706365503080082</v>
      </c>
      <c r="G1280" s="5">
        <f>INDEX('Default Prob'!$P$5:$P$14,MIN(1+_xlfn.IFNA(MATCH(F1280,'Default Prob'!$F$5:$F$14,1),0),COUNT('Default Prob'!$P$5:$P$14)))</f>
        <v>2.046797531464158E-2</v>
      </c>
      <c r="H1280" s="5">
        <f t="shared" si="258"/>
        <v>0.90019686411103117</v>
      </c>
      <c r="I1280" s="24">
        <f t="shared" si="259"/>
        <v>5.0446881480814554E-5</v>
      </c>
      <c r="J1280" s="25">
        <f>INDEX('Default Prob'!$C$3:$C$13, _xlfn.IFNA(MATCH(F1280, 'Default Prob'!$B$3:$B$13, 1), 1))</f>
        <v>1.95E-2</v>
      </c>
      <c r="K1280" s="26">
        <f t="shared" si="250"/>
        <v>0.91022519051076733</v>
      </c>
      <c r="L1280" s="27">
        <f t="shared" ca="1" si="251"/>
        <v>0</v>
      </c>
      <c r="M1280" s="27">
        <f t="shared" ca="1" si="252"/>
        <v>2419.8816530688405</v>
      </c>
      <c r="N1280" s="28">
        <f t="shared" ca="1" si="253"/>
        <v>0.11111617972482254</v>
      </c>
      <c r="O1280" s="29">
        <f t="shared" ca="1" si="254"/>
        <v>600000</v>
      </c>
      <c r="P1280" s="30">
        <f t="shared" ca="1" si="255"/>
        <v>27.550813383929118</v>
      </c>
    </row>
    <row r="1281" spans="1:16" x14ac:dyDescent="0.25">
      <c r="A1281" s="3">
        <f t="shared" si="256"/>
        <v>47905</v>
      </c>
      <c r="B1281" s="21">
        <f t="shared" si="247"/>
        <v>36582</v>
      </c>
      <c r="C1281" s="21">
        <f t="shared" si="248"/>
        <v>36605</v>
      </c>
      <c r="D1281" s="1">
        <f t="shared" si="257"/>
        <v>0</v>
      </c>
      <c r="E1281" s="3">
        <f t="array" ref="E1281">INDEX($A$9:A1280, MAX(IF($D$9:D1280=1, ROW(D$9:$D1280)-ROW($D$9)+1, 0)))</f>
        <v>47837</v>
      </c>
      <c r="F1281" s="23">
        <f t="shared" si="249"/>
        <v>4.8733744010951403</v>
      </c>
      <c r="G1281" s="5">
        <f>INDEX('Default Prob'!$P$5:$P$14,MIN(1+_xlfn.IFNA(MATCH(F1281,'Default Prob'!$F$5:$F$14,1),0),COUNT('Default Prob'!$P$5:$P$14)))</f>
        <v>2.046797531464158E-2</v>
      </c>
      <c r="H1281" s="5">
        <f t="shared" si="258"/>
        <v>0.90014642005642664</v>
      </c>
      <c r="I1281" s="24">
        <f t="shared" si="259"/>
        <v>5.0444054604525945E-5</v>
      </c>
      <c r="J1281" s="25">
        <f>INDEX('Default Prob'!$C$3:$C$13, _xlfn.IFNA(MATCH(F1281, 'Default Prob'!$B$3:$B$13, 1), 1))</f>
        <v>1.95E-2</v>
      </c>
      <c r="K1281" s="26">
        <f t="shared" si="250"/>
        <v>0.91017706433069712</v>
      </c>
      <c r="L1281" s="27">
        <f t="shared" ca="1" si="251"/>
        <v>0</v>
      </c>
      <c r="M1281" s="27">
        <f t="shared" ca="1" si="252"/>
        <v>2455.9992896818085</v>
      </c>
      <c r="N1281" s="28">
        <f t="shared" ca="1" si="253"/>
        <v>0.11276234827191067</v>
      </c>
      <c r="O1281" s="29">
        <f t="shared" ca="1" si="254"/>
        <v>600000</v>
      </c>
      <c r="P1281" s="30">
        <f t="shared" ca="1" si="255"/>
        <v>27.547812919730884</v>
      </c>
    </row>
    <row r="1282" spans="1:16" x14ac:dyDescent="0.25">
      <c r="A1282" s="3">
        <f t="shared" si="256"/>
        <v>47906</v>
      </c>
      <c r="B1282" s="21">
        <f t="shared" si="247"/>
        <v>36583</v>
      </c>
      <c r="C1282" s="21">
        <f t="shared" si="248"/>
        <v>36605</v>
      </c>
      <c r="D1282" s="1">
        <f t="shared" si="257"/>
        <v>0</v>
      </c>
      <c r="E1282" s="3">
        <f t="array" ref="E1282">INDEX($A$9:A1281, MAX(IF($D$9:D1281=1, ROW(D$9:$D1281)-ROW($D$9)+1, 0)))</f>
        <v>47837</v>
      </c>
      <c r="F1282" s="23">
        <f t="shared" si="249"/>
        <v>4.8761122518822724</v>
      </c>
      <c r="G1282" s="5">
        <f>INDEX('Default Prob'!$P$5:$P$14,MIN(1+_xlfn.IFNA(MATCH(F1282,'Default Prob'!$F$5:$F$14,1),0),COUNT('Default Prob'!$P$5:$P$14)))</f>
        <v>2.046797531464158E-2</v>
      </c>
      <c r="H1282" s="5">
        <f t="shared" si="258"/>
        <v>0.90009597882854009</v>
      </c>
      <c r="I1282" s="24">
        <f t="shared" si="259"/>
        <v>5.044122788655514E-5</v>
      </c>
      <c r="J1282" s="25">
        <f>INDEX('Default Prob'!$C$3:$C$13, _xlfn.IFNA(MATCH(F1282, 'Default Prob'!$B$3:$B$13, 1), 1))</f>
        <v>1.95E-2</v>
      </c>
      <c r="K1282" s="26">
        <f t="shared" si="250"/>
        <v>0.91012894069519412</v>
      </c>
      <c r="L1282" s="27">
        <f t="shared" ca="1" si="251"/>
        <v>0</v>
      </c>
      <c r="M1282" s="27">
        <f t="shared" ca="1" si="252"/>
        <v>2492.116926294776</v>
      </c>
      <c r="N1282" s="28">
        <f t="shared" ca="1" si="253"/>
        <v>0.11440815694378979</v>
      </c>
      <c r="O1282" s="29">
        <f t="shared" ca="1" si="254"/>
        <v>600000</v>
      </c>
      <c r="P1282" s="30">
        <f t="shared" ca="1" si="255"/>
        <v>27.544812782253189</v>
      </c>
    </row>
    <row r="1283" spans="1:16" x14ac:dyDescent="0.25">
      <c r="A1283" s="3">
        <f t="shared" si="256"/>
        <v>47907</v>
      </c>
      <c r="B1283" s="21">
        <f t="shared" si="247"/>
        <v>36584</v>
      </c>
      <c r="C1283" s="21">
        <f t="shared" si="248"/>
        <v>36605</v>
      </c>
      <c r="D1283" s="1">
        <f t="shared" si="257"/>
        <v>0</v>
      </c>
      <c r="E1283" s="3">
        <f t="array" ref="E1283">INDEX($A$9:A1282, MAX(IF($D$9:D1282=1, ROW(D$9:$D1282)-ROW($D$9)+1, 0)))</f>
        <v>47837</v>
      </c>
      <c r="F1283" s="23">
        <f t="shared" si="249"/>
        <v>4.8788501026694044</v>
      </c>
      <c r="G1283" s="5">
        <f>INDEX('Default Prob'!$P$5:$P$14,MIN(1+_xlfn.IFNA(MATCH(F1283,'Default Prob'!$F$5:$F$14,1),0),COUNT('Default Prob'!$P$5:$P$14)))</f>
        <v>2.046797531464158E-2</v>
      </c>
      <c r="H1283" s="5">
        <f t="shared" si="258"/>
        <v>0.90004554042721308</v>
      </c>
      <c r="I1283" s="24">
        <f t="shared" si="259"/>
        <v>5.043840132701316E-5</v>
      </c>
      <c r="J1283" s="25">
        <f>INDEX('Default Prob'!$C$3:$C$13, _xlfn.IFNA(MATCH(F1283, 'Default Prob'!$B$3:$B$13, 1), 1))</f>
        <v>1.95E-2</v>
      </c>
      <c r="K1283" s="26">
        <f t="shared" si="250"/>
        <v>0.91008081960412379</v>
      </c>
      <c r="L1283" s="27">
        <f t="shared" ca="1" si="251"/>
        <v>0</v>
      </c>
      <c r="M1283" s="27">
        <f t="shared" ca="1" si="252"/>
        <v>2528.2345629077436</v>
      </c>
      <c r="N1283" s="28">
        <f t="shared" ca="1" si="253"/>
        <v>0.11605360579958775</v>
      </c>
      <c r="O1283" s="29">
        <f t="shared" ca="1" si="254"/>
        <v>600000</v>
      </c>
      <c r="P1283" s="30">
        <f t="shared" ca="1" si="255"/>
        <v>27.541812971525918</v>
      </c>
    </row>
    <row r="1284" spans="1:16" x14ac:dyDescent="0.25">
      <c r="A1284" s="3">
        <f t="shared" si="256"/>
        <v>47910</v>
      </c>
      <c r="B1284" s="21">
        <f t="shared" si="247"/>
        <v>36588</v>
      </c>
      <c r="C1284" s="21">
        <f t="shared" si="248"/>
        <v>36605</v>
      </c>
      <c r="D1284" s="1">
        <f t="shared" si="257"/>
        <v>0</v>
      </c>
      <c r="E1284" s="3">
        <f t="array" ref="E1284">INDEX($A$9:A1283, MAX(IF($D$9:D1283=1, ROW(D$9:$D1283)-ROW($D$9)+1, 0)))</f>
        <v>47837</v>
      </c>
      <c r="F1284" s="23">
        <f t="shared" si="249"/>
        <v>4.8870636550308006</v>
      </c>
      <c r="G1284" s="5">
        <f>INDEX('Default Prob'!$P$5:$P$14,MIN(1+_xlfn.IFNA(MATCH(F1284,'Default Prob'!$F$5:$F$14,1),0),COUNT('Default Prob'!$P$5:$P$14)))</f>
        <v>2.046797531464158E-2</v>
      </c>
      <c r="H1284" s="5">
        <f t="shared" si="258"/>
        <v>0.89989424218100567</v>
      </c>
      <c r="I1284" s="24">
        <f t="shared" si="259"/>
        <v>1.5129824620740973E-4</v>
      </c>
      <c r="J1284" s="25">
        <f>INDEX('Default Prob'!$C$3:$C$13, _xlfn.IFNA(MATCH(F1284, 'Default Prob'!$B$3:$B$13, 1), 1))</f>
        <v>1.95E-2</v>
      </c>
      <c r="K1284" s="26">
        <f t="shared" si="250"/>
        <v>0.90993647159616364</v>
      </c>
      <c r="L1284" s="27">
        <f t="shared" ca="1" si="251"/>
        <v>0</v>
      </c>
      <c r="M1284" s="27">
        <f t="shared" ca="1" si="252"/>
        <v>2636.5874727466467</v>
      </c>
      <c r="N1284" s="28">
        <f t="shared" ca="1" si="253"/>
        <v>0.36298372296213233</v>
      </c>
      <c r="O1284" s="29">
        <f t="shared" ca="1" si="254"/>
        <v>600000</v>
      </c>
      <c r="P1284" s="30">
        <f t="shared" ca="1" si="255"/>
        <v>82.603075387594828</v>
      </c>
    </row>
    <row r="1285" spans="1:16" x14ac:dyDescent="0.25">
      <c r="A1285" s="3">
        <f t="shared" si="256"/>
        <v>47911</v>
      </c>
      <c r="B1285" s="21">
        <f t="shared" si="247"/>
        <v>36589</v>
      </c>
      <c r="C1285" s="21">
        <f t="shared" si="248"/>
        <v>36605</v>
      </c>
      <c r="D1285" s="1">
        <f t="shared" si="257"/>
        <v>0</v>
      </c>
      <c r="E1285" s="3">
        <f t="array" ref="E1285">INDEX($A$9:A1284, MAX(IF($D$9:D1284=1, ROW(D$9:$D1284)-ROW($D$9)+1, 0)))</f>
        <v>47837</v>
      </c>
      <c r="F1285" s="23">
        <f t="shared" si="249"/>
        <v>4.8898015058179327</v>
      </c>
      <c r="G1285" s="5">
        <f>INDEX('Default Prob'!$P$5:$P$14,MIN(1+_xlfn.IFNA(MATCH(F1285,'Default Prob'!$F$5:$F$14,1),0),COUNT('Default Prob'!$P$5:$P$14)))</f>
        <v>2.046797531464158E-2</v>
      </c>
      <c r="H1285" s="5">
        <f t="shared" si="258"/>
        <v>0.89984381508433309</v>
      </c>
      <c r="I1285" s="24">
        <f t="shared" si="259"/>
        <v>5.0427096672578386E-5</v>
      </c>
      <c r="J1285" s="25">
        <f>INDEX('Default Prob'!$C$3:$C$13, _xlfn.IFNA(MATCH(F1285, 'Default Prob'!$B$3:$B$13, 1), 1))</f>
        <v>1.95E-2</v>
      </c>
      <c r="K1285" s="26">
        <f t="shared" si="250"/>
        <v>0.90988836068147905</v>
      </c>
      <c r="L1285" s="27">
        <f t="shared" ca="1" si="251"/>
        <v>0</v>
      </c>
      <c r="M1285" s="27">
        <f t="shared" ca="1" si="252"/>
        <v>2672.7051093596151</v>
      </c>
      <c r="N1285" s="28">
        <f t="shared" ca="1" si="253"/>
        <v>0.12263180423802499</v>
      </c>
      <c r="O1285" s="29">
        <f t="shared" ca="1" si="254"/>
        <v>600000</v>
      </c>
      <c r="P1285" s="30">
        <f t="shared" ca="1" si="255"/>
        <v>27.529816995203287</v>
      </c>
    </row>
    <row r="1286" spans="1:16" x14ac:dyDescent="0.25">
      <c r="A1286" s="3">
        <f t="shared" si="256"/>
        <v>47912</v>
      </c>
      <c r="B1286" s="21">
        <f t="shared" si="247"/>
        <v>36590</v>
      </c>
      <c r="C1286" s="21">
        <f t="shared" si="248"/>
        <v>36605</v>
      </c>
      <c r="D1286" s="1">
        <f t="shared" si="257"/>
        <v>0</v>
      </c>
      <c r="E1286" s="3">
        <f t="array" ref="E1286">INDEX($A$9:A1285, MAX(IF($D$9:D1285=1, ROW(D$9:$D1285)-ROW($D$9)+1, 0)))</f>
        <v>47837</v>
      </c>
      <c r="F1286" s="23">
        <f t="shared" si="249"/>
        <v>4.8925393566050648</v>
      </c>
      <c r="G1286" s="5">
        <f>INDEX('Default Prob'!$P$5:$P$14,MIN(1+_xlfn.IFNA(MATCH(F1286,'Default Prob'!$F$5:$F$14,1),0),COUNT('Default Prob'!$P$5:$P$14)))</f>
        <v>2.046797531464158E-2</v>
      </c>
      <c r="H1286" s="5">
        <f t="shared" si="258"/>
        <v>0.89979339081342824</v>
      </c>
      <c r="I1286" s="24">
        <f t="shared" si="259"/>
        <v>5.0424270904847468E-5</v>
      </c>
      <c r="J1286" s="25">
        <f>INDEX('Default Prob'!$C$3:$C$13, _xlfn.IFNA(MATCH(F1286, 'Default Prob'!$B$3:$B$13, 1), 1))</f>
        <v>1.95E-2</v>
      </c>
      <c r="K1286" s="26">
        <f t="shared" si="250"/>
        <v>0.90984025231055432</v>
      </c>
      <c r="L1286" s="27">
        <f t="shared" ca="1" si="251"/>
        <v>0</v>
      </c>
      <c r="M1286" s="27">
        <f t="shared" ca="1" si="252"/>
        <v>2708.8227459725827</v>
      </c>
      <c r="N1286" s="28">
        <f t="shared" ca="1" si="253"/>
        <v>0.12427545489556863</v>
      </c>
      <c r="O1286" s="29">
        <f t="shared" ca="1" si="254"/>
        <v>600000</v>
      </c>
      <c r="P1286" s="30">
        <f t="shared" ca="1" si="255"/>
        <v>27.526818817585298</v>
      </c>
    </row>
    <row r="1287" spans="1:16" x14ac:dyDescent="0.25">
      <c r="A1287" s="3">
        <f t="shared" si="256"/>
        <v>47913</v>
      </c>
      <c r="B1287" s="21">
        <f t="shared" si="247"/>
        <v>36591</v>
      </c>
      <c r="C1287" s="21">
        <f t="shared" si="248"/>
        <v>36605</v>
      </c>
      <c r="D1287" s="1">
        <f t="shared" si="257"/>
        <v>0</v>
      </c>
      <c r="E1287" s="3">
        <f t="array" ref="E1287">INDEX($A$9:A1286, MAX(IF($D$9:D1286=1, ROW(D$9:$D1286)-ROW($D$9)+1, 0)))</f>
        <v>47837</v>
      </c>
      <c r="F1287" s="23">
        <f t="shared" si="249"/>
        <v>4.8952772073921968</v>
      </c>
      <c r="G1287" s="5">
        <f>INDEX('Default Prob'!$P$5:$P$14,MIN(1+_xlfn.IFNA(MATCH(F1287,'Default Prob'!$F$5:$F$14,1),0),COUNT('Default Prob'!$P$5:$P$14)))</f>
        <v>2.046797531464158E-2</v>
      </c>
      <c r="H1287" s="5">
        <f t="shared" si="258"/>
        <v>0.89974296936813269</v>
      </c>
      <c r="I1287" s="24">
        <f t="shared" si="259"/>
        <v>5.0421445295545375E-5</v>
      </c>
      <c r="J1287" s="25">
        <f>INDEX('Default Prob'!$C$3:$C$13, _xlfn.IFNA(MATCH(F1287, 'Default Prob'!$B$3:$B$13, 1), 1))</f>
        <v>1.95E-2</v>
      </c>
      <c r="K1287" s="26">
        <f t="shared" si="250"/>
        <v>0.90979214648325546</v>
      </c>
      <c r="L1287" s="27">
        <f t="shared" ca="1" si="251"/>
        <v>0</v>
      </c>
      <c r="M1287" s="27">
        <f t="shared" ca="1" si="252"/>
        <v>2744.9403825855502</v>
      </c>
      <c r="N1287" s="28">
        <f t="shared" ca="1" si="253"/>
        <v>0.1259187460901538</v>
      </c>
      <c r="O1287" s="29">
        <f t="shared" ca="1" si="254"/>
        <v>600000</v>
      </c>
      <c r="P1287" s="30">
        <f t="shared" ca="1" si="255"/>
        <v>27.523820966533361</v>
      </c>
    </row>
    <row r="1288" spans="1:16" x14ac:dyDescent="0.25">
      <c r="A1288" s="3">
        <f t="shared" si="256"/>
        <v>47914</v>
      </c>
      <c r="B1288" s="21">
        <f t="shared" si="247"/>
        <v>36592</v>
      </c>
      <c r="C1288" s="21">
        <f t="shared" si="248"/>
        <v>36605</v>
      </c>
      <c r="D1288" s="1">
        <f t="shared" si="257"/>
        <v>0</v>
      </c>
      <c r="E1288" s="3">
        <f t="array" ref="E1288">INDEX($A$9:A1287, MAX(IF($D$9:D1287=1, ROW(D$9:$D1287)-ROW($D$9)+1, 0)))</f>
        <v>47837</v>
      </c>
      <c r="F1288" s="23">
        <f t="shared" si="249"/>
        <v>4.8980150581793289</v>
      </c>
      <c r="G1288" s="5">
        <f>INDEX('Default Prob'!$P$5:$P$14,MIN(1+_xlfn.IFNA(MATCH(F1288,'Default Prob'!$F$5:$F$14,1),0),COUNT('Default Prob'!$P$5:$P$14)))</f>
        <v>2.046797531464158E-2</v>
      </c>
      <c r="H1288" s="5">
        <f t="shared" si="258"/>
        <v>0.89969255074828824</v>
      </c>
      <c r="I1288" s="24">
        <f t="shared" si="259"/>
        <v>5.0418619844450063E-5</v>
      </c>
      <c r="J1288" s="25">
        <f>INDEX('Default Prob'!$C$3:$C$13, _xlfn.IFNA(MATCH(F1288, 'Default Prob'!$B$3:$B$13, 1), 1))</f>
        <v>1.95E-2</v>
      </c>
      <c r="K1288" s="26">
        <f t="shared" si="250"/>
        <v>0.90974404319944768</v>
      </c>
      <c r="L1288" s="27">
        <f t="shared" ca="1" si="251"/>
        <v>0</v>
      </c>
      <c r="M1288" s="27">
        <f t="shared" ca="1" si="252"/>
        <v>2781.0580191985182</v>
      </c>
      <c r="N1288" s="28">
        <f t="shared" ca="1" si="253"/>
        <v>0.12756167788005027</v>
      </c>
      <c r="O1288" s="29">
        <f t="shared" ca="1" si="254"/>
        <v>600000</v>
      </c>
      <c r="P1288" s="30">
        <f t="shared" ca="1" si="255"/>
        <v>27.520823441895544</v>
      </c>
    </row>
    <row r="1289" spans="1:16" x14ac:dyDescent="0.25">
      <c r="A1289" s="3">
        <f t="shared" si="256"/>
        <v>47917</v>
      </c>
      <c r="B1289" s="21">
        <f t="shared" ref="B1289:B1352" si="260">DATE(2000, MONTH(A1289), DAY(A1289))</f>
        <v>36595</v>
      </c>
      <c r="C1289" s="21">
        <f t="shared" ref="C1289:C1352" si="261">VLOOKUP(B1289, $R$9:$S$13, 2)</f>
        <v>36605</v>
      </c>
      <c r="D1289" s="1">
        <f t="shared" si="257"/>
        <v>0</v>
      </c>
      <c r="E1289" s="3">
        <f t="array" ref="E1289">INDEX($A$9:A1288, MAX(IF($D$9:D1288=1, ROW(D$9:$D1288)-ROW($D$9)+1, 0)))</f>
        <v>47837</v>
      </c>
      <c r="F1289" s="23">
        <f t="shared" ref="F1289:F1352" si="262">(A1289-$A$2)/365.25</f>
        <v>4.9062286105407251</v>
      </c>
      <c r="G1289" s="5">
        <f>INDEX('Default Prob'!$P$5:$P$14,MIN(1+_xlfn.IFNA(MATCH(F1289,'Default Prob'!$F$5:$F$14,1),0),COUNT('Default Prob'!$P$5:$P$14)))</f>
        <v>2.046797531464158E-2</v>
      </c>
      <c r="H1289" s="5">
        <f t="shared" si="258"/>
        <v>0.89954131183987762</v>
      </c>
      <c r="I1289" s="24">
        <f t="shared" si="259"/>
        <v>1.5123890841062249E-4</v>
      </c>
      <c r="J1289" s="25">
        <f>INDEX('Default Prob'!$C$3:$C$13, _xlfn.IFNA(MATCH(F1289, 'Default Prob'!$B$3:$B$13, 1), 1))</f>
        <v>1.95E-2</v>
      </c>
      <c r="K1289" s="26">
        <f t="shared" ref="K1289:K1352" si="263">1/((1+J1289)^F1289)</f>
        <v>0.90959974860762616</v>
      </c>
      <c r="L1289" s="27">
        <f t="shared" ref="L1289:L1352" ca="1" si="264">IF(AND(D1289, A1289 &lt;= $G$2), $D$5*$D$2*(A1289-E1289)/365.25, 0)</f>
        <v>0</v>
      </c>
      <c r="M1289" s="27">
        <f t="shared" ref="M1289:M1352" ca="1" si="265">IF(A1289&lt;=$G$2, $D$5*$D$2*(A1289-E1289)/365.25, 0)</f>
        <v>2889.4109290374213</v>
      </c>
      <c r="N1289" s="28">
        <f t="shared" ref="N1289:N1352" ca="1" si="266">(L1289*H1289 + M1289*I1289) * K1289</f>
        <v>0.3974872265219444</v>
      </c>
      <c r="O1289" s="29">
        <f t="shared" ref="O1289:O1352" ca="1" si="267">IF(A1289&lt;=$G$2, $D$2*(1-$D$3), 0)</f>
        <v>600000</v>
      </c>
      <c r="P1289" s="30">
        <f t="shared" ref="P1289:P1352" ca="1" si="268">O1289*I1289*K1289</f>
        <v>82.540123841996405</v>
      </c>
    </row>
    <row r="1290" spans="1:16" x14ac:dyDescent="0.25">
      <c r="A1290" s="3">
        <f t="shared" ref="A1290:A1353" si="269">WORKDAY(A1289, 1)</f>
        <v>47918</v>
      </c>
      <c r="B1290" s="21">
        <f t="shared" si="260"/>
        <v>36596</v>
      </c>
      <c r="C1290" s="21">
        <f t="shared" si="261"/>
        <v>36605</v>
      </c>
      <c r="D1290" s="1">
        <f t="shared" ref="D1290:D1353" si="270">IF(OR(C1290=B1290, AND(C1290&lt;&gt;C1289, C1289&gt;B1289)), 1, 0)</f>
        <v>0</v>
      </c>
      <c r="E1290" s="3">
        <f t="array" ref="E1290">INDEX($A$9:A1289, MAX(IF($D$9:D1289=1, ROW(D$9:$D1289)-ROW($D$9)+1, 0)))</f>
        <v>47837</v>
      </c>
      <c r="F1290" s="23">
        <f t="shared" si="262"/>
        <v>4.9089664613278572</v>
      </c>
      <c r="G1290" s="5">
        <f>INDEX('Default Prob'!$P$5:$P$14,MIN(1+_xlfn.IFNA(MATCH(F1290,'Default Prob'!$F$5:$F$14,1),0),COUNT('Default Prob'!$P$5:$P$14)))</f>
        <v>2.046797531464158E-2</v>
      </c>
      <c r="H1290" s="5">
        <f t="shared" ref="H1290:H1353" si="271">H1289*EXP(-G1289*(F1290-F1289))</f>
        <v>0.89949090452025393</v>
      </c>
      <c r="I1290" s="24">
        <f t="shared" ref="I1290:I1353" si="272">H1289-H1290</f>
        <v>5.0407319623690938E-5</v>
      </c>
      <c r="J1290" s="25">
        <f>INDEX('Default Prob'!$C$3:$C$13, _xlfn.IFNA(MATCH(F1290, 'Default Prob'!$B$3:$B$13, 1), 1))</f>
        <v>1.95E-2</v>
      </c>
      <c r="K1290" s="26">
        <f t="shared" si="263"/>
        <v>0.90955165549643813</v>
      </c>
      <c r="L1290" s="27">
        <f t="shared" ca="1" si="264"/>
        <v>0</v>
      </c>
      <c r="M1290" s="27">
        <f t="shared" ca="1" si="265"/>
        <v>2925.5285656503888</v>
      </c>
      <c r="N1290" s="28">
        <f t="shared" ca="1" si="266"/>
        <v>0.13412981217282194</v>
      </c>
      <c r="O1290" s="29">
        <f t="shared" ca="1" si="267"/>
        <v>600000</v>
      </c>
      <c r="P1290" s="30">
        <f t="shared" ca="1" si="268"/>
        <v>27.508836607719712</v>
      </c>
    </row>
    <row r="1291" spans="1:16" x14ac:dyDescent="0.25">
      <c r="A1291" s="3">
        <f t="shared" si="269"/>
        <v>47919</v>
      </c>
      <c r="B1291" s="21">
        <f t="shared" si="260"/>
        <v>36597</v>
      </c>
      <c r="C1291" s="21">
        <f t="shared" si="261"/>
        <v>36605</v>
      </c>
      <c r="D1291" s="1">
        <f t="shared" si="270"/>
        <v>0</v>
      </c>
      <c r="E1291" s="3">
        <f t="array" ref="E1291">INDEX($A$9:A1290, MAX(IF($D$9:D1290=1, ROW(D$9:$D1290)-ROW($D$9)+1, 0)))</f>
        <v>47837</v>
      </c>
      <c r="F1291" s="23">
        <f t="shared" si="262"/>
        <v>4.9117043121149901</v>
      </c>
      <c r="G1291" s="5">
        <f>INDEX('Default Prob'!$P$5:$P$14,MIN(1+_xlfn.IFNA(MATCH(F1291,'Default Prob'!$F$5:$F$14,1),0),COUNT('Default Prob'!$P$5:$P$14)))</f>
        <v>2.046797531464158E-2</v>
      </c>
      <c r="H1291" s="5">
        <f t="shared" si="271"/>
        <v>0.89944050002528975</v>
      </c>
      <c r="I1291" s="24">
        <f t="shared" si="272"/>
        <v>5.0404494964184643E-5</v>
      </c>
      <c r="J1291" s="25">
        <f>INDEX('Default Prob'!$C$3:$C$13, _xlfn.IFNA(MATCH(F1291, 'Default Prob'!$B$3:$B$13, 1), 1))</f>
        <v>1.95E-2</v>
      </c>
      <c r="K1291" s="26">
        <f t="shared" si="263"/>
        <v>0.90950356492806883</v>
      </c>
      <c r="L1291" s="27">
        <f t="shared" ca="1" si="264"/>
        <v>0</v>
      </c>
      <c r="M1291" s="27">
        <f t="shared" ca="1" si="265"/>
        <v>2961.6462022633568</v>
      </c>
      <c r="N1291" s="28">
        <f t="shared" ca="1" si="266"/>
        <v>0.13577094782270907</v>
      </c>
      <c r="O1291" s="29">
        <f t="shared" ca="1" si="267"/>
        <v>600000</v>
      </c>
      <c r="P1291" s="30">
        <f t="shared" ca="1" si="268"/>
        <v>27.505840714994896</v>
      </c>
    </row>
    <row r="1292" spans="1:16" x14ac:dyDescent="0.25">
      <c r="A1292" s="3">
        <f t="shared" si="269"/>
        <v>47920</v>
      </c>
      <c r="B1292" s="21">
        <f t="shared" si="260"/>
        <v>36598</v>
      </c>
      <c r="C1292" s="21">
        <f t="shared" si="261"/>
        <v>36605</v>
      </c>
      <c r="D1292" s="1">
        <f t="shared" si="270"/>
        <v>0</v>
      </c>
      <c r="E1292" s="3">
        <f t="array" ref="E1292">INDEX($A$9:A1291, MAX(IF($D$9:D1291=1, ROW(D$9:$D1291)-ROW($D$9)+1, 0)))</f>
        <v>47837</v>
      </c>
      <c r="F1292" s="23">
        <f t="shared" si="262"/>
        <v>4.9144421629021222</v>
      </c>
      <c r="G1292" s="5">
        <f>INDEX('Default Prob'!$P$5:$P$14,MIN(1+_xlfn.IFNA(MATCH(F1292,'Default Prob'!$F$5:$F$14,1),0),COUNT('Default Prob'!$P$5:$P$14)))</f>
        <v>2.046797531464158E-2</v>
      </c>
      <c r="H1292" s="5">
        <f t="shared" si="271"/>
        <v>0.89939009835482675</v>
      </c>
      <c r="I1292" s="24">
        <f t="shared" si="272"/>
        <v>5.0401670462996151E-5</v>
      </c>
      <c r="J1292" s="25">
        <f>INDEX('Default Prob'!$C$3:$C$13, _xlfn.IFNA(MATCH(F1292, 'Default Prob'!$B$3:$B$13, 1), 1))</f>
        <v>1.95E-2</v>
      </c>
      <c r="K1292" s="26">
        <f t="shared" si="263"/>
        <v>0.90945547690238404</v>
      </c>
      <c r="L1292" s="27">
        <f t="shared" ca="1" si="264"/>
        <v>0</v>
      </c>
      <c r="M1292" s="27">
        <f t="shared" ca="1" si="265"/>
        <v>2997.7638388763244</v>
      </c>
      <c r="N1292" s="28">
        <f t="shared" ca="1" si="266"/>
        <v>0.13741172442095009</v>
      </c>
      <c r="O1292" s="29">
        <f t="shared" ca="1" si="267"/>
        <v>600000</v>
      </c>
      <c r="P1292" s="30">
        <f t="shared" ca="1" si="268"/>
        <v>27.502845148560581</v>
      </c>
    </row>
    <row r="1293" spans="1:16" x14ac:dyDescent="0.25">
      <c r="A1293" s="3">
        <f t="shared" si="269"/>
        <v>47921</v>
      </c>
      <c r="B1293" s="21">
        <f t="shared" si="260"/>
        <v>36599</v>
      </c>
      <c r="C1293" s="21">
        <f t="shared" si="261"/>
        <v>36605</v>
      </c>
      <c r="D1293" s="1">
        <f t="shared" si="270"/>
        <v>0</v>
      </c>
      <c r="E1293" s="3">
        <f t="array" ref="E1293">INDEX($A$9:A1292, MAX(IF($D$9:D1292=1, ROW(D$9:$D1292)-ROW($D$9)+1, 0)))</f>
        <v>47837</v>
      </c>
      <c r="F1293" s="23">
        <f t="shared" si="262"/>
        <v>4.9171800136892543</v>
      </c>
      <c r="G1293" s="5">
        <f>INDEX('Default Prob'!$P$5:$P$14,MIN(1+_xlfn.IFNA(MATCH(F1293,'Default Prob'!$F$5:$F$14,1),0),COUNT('Default Prob'!$P$5:$P$14)))</f>
        <v>2.046797531464158E-2</v>
      </c>
      <c r="H1293" s="5">
        <f t="shared" si="271"/>
        <v>0.89933969950870662</v>
      </c>
      <c r="I1293" s="24">
        <f t="shared" si="272"/>
        <v>5.0398846120125462E-5</v>
      </c>
      <c r="J1293" s="25">
        <f>INDEX('Default Prob'!$C$3:$C$13, _xlfn.IFNA(MATCH(F1293, 'Default Prob'!$B$3:$B$13, 1), 1))</f>
        <v>1.95E-2</v>
      </c>
      <c r="K1293" s="26">
        <f t="shared" si="263"/>
        <v>0.90940739141924909</v>
      </c>
      <c r="L1293" s="27">
        <f t="shared" ca="1" si="264"/>
        <v>0</v>
      </c>
      <c r="M1293" s="27">
        <f t="shared" ca="1" si="265"/>
        <v>3033.8814754892928</v>
      </c>
      <c r="N1293" s="28">
        <f t="shared" ca="1" si="266"/>
        <v>0.13905214202631402</v>
      </c>
      <c r="O1293" s="29">
        <f t="shared" ca="1" si="267"/>
        <v>600000</v>
      </c>
      <c r="P1293" s="30">
        <f t="shared" ca="1" si="268"/>
        <v>27.499849908386064</v>
      </c>
    </row>
    <row r="1294" spans="1:16" x14ac:dyDescent="0.25">
      <c r="A1294" s="3">
        <f t="shared" si="269"/>
        <v>47924</v>
      </c>
      <c r="B1294" s="21">
        <f t="shared" si="260"/>
        <v>36602</v>
      </c>
      <c r="C1294" s="21">
        <f t="shared" si="261"/>
        <v>36605</v>
      </c>
      <c r="D1294" s="1">
        <f t="shared" si="270"/>
        <v>0</v>
      </c>
      <c r="E1294" s="3">
        <f t="array" ref="E1294">INDEX($A$9:A1293, MAX(IF($D$9:D1293=1, ROW(D$9:$D1293)-ROW($D$9)+1, 0)))</f>
        <v>47837</v>
      </c>
      <c r="F1294" s="23">
        <f t="shared" si="262"/>
        <v>4.9253935660506505</v>
      </c>
      <c r="G1294" s="5">
        <f>INDEX('Default Prob'!$P$5:$P$14,MIN(1+_xlfn.IFNA(MATCH(F1294,'Default Prob'!$F$5:$F$14,1),0),COUNT('Default Prob'!$P$5:$P$14)))</f>
        <v>2.046797531464158E-2</v>
      </c>
      <c r="H1294" s="5">
        <f t="shared" si="271"/>
        <v>0.89918851991482096</v>
      </c>
      <c r="I1294" s="24">
        <f t="shared" si="272"/>
        <v>1.5117959388566415E-4</v>
      </c>
      <c r="J1294" s="25">
        <f>INDEX('Default Prob'!$C$3:$C$13, _xlfn.IFNA(MATCH(F1294, 'Default Prob'!$B$3:$B$13, 1), 1))</f>
        <v>1.95E-2</v>
      </c>
      <c r="K1294" s="26">
        <f t="shared" si="263"/>
        <v>0.90926315022379955</v>
      </c>
      <c r="L1294" s="27">
        <f t="shared" ca="1" si="264"/>
        <v>0</v>
      </c>
      <c r="M1294" s="27">
        <f t="shared" ca="1" si="265"/>
        <v>3142.2343853281959</v>
      </c>
      <c r="N1294" s="28">
        <f t="shared" ca="1" si="266"/>
        <v>0.43193792923962115</v>
      </c>
      <c r="O1294" s="29">
        <f t="shared" ca="1" si="267"/>
        <v>600000</v>
      </c>
      <c r="P1294" s="30">
        <f t="shared" ca="1" si="268"/>
        <v>82.477220271620183</v>
      </c>
    </row>
    <row r="1295" spans="1:16" x14ac:dyDescent="0.25">
      <c r="A1295" s="3">
        <f t="shared" si="269"/>
        <v>47925</v>
      </c>
      <c r="B1295" s="21">
        <f t="shared" si="260"/>
        <v>36603</v>
      </c>
      <c r="C1295" s="21">
        <f t="shared" si="261"/>
        <v>36605</v>
      </c>
      <c r="D1295" s="1">
        <f t="shared" si="270"/>
        <v>0</v>
      </c>
      <c r="E1295" s="3">
        <f t="array" ref="E1295">INDEX($A$9:A1294, MAX(IF($D$9:D1294=1, ROW(D$9:$D1294)-ROW($D$9)+1, 0)))</f>
        <v>47837</v>
      </c>
      <c r="F1295" s="23">
        <f t="shared" si="262"/>
        <v>4.9281314168377826</v>
      </c>
      <c r="G1295" s="5">
        <f>INDEX('Default Prob'!$P$5:$P$14,MIN(1+_xlfn.IFNA(MATCH(F1295,'Default Prob'!$F$5:$F$14,1),0),COUNT('Default Prob'!$P$5:$P$14)))</f>
        <v>2.046797531464158E-2</v>
      </c>
      <c r="H1295" s="5">
        <f t="shared" si="271"/>
        <v>0.89913813236448981</v>
      </c>
      <c r="I1295" s="24">
        <f t="shared" si="272"/>
        <v>5.0387550331154607E-5</v>
      </c>
      <c r="J1295" s="25">
        <f>INDEX('Default Prob'!$C$3:$C$13, _xlfn.IFNA(MATCH(F1295, 'Default Prob'!$B$3:$B$13, 1), 1))</f>
        <v>1.95E-2</v>
      </c>
      <c r="K1295" s="26">
        <f t="shared" si="263"/>
        <v>0.90921507490952003</v>
      </c>
      <c r="L1295" s="27">
        <f t="shared" ca="1" si="264"/>
        <v>0</v>
      </c>
      <c r="M1295" s="27">
        <f t="shared" ca="1" si="265"/>
        <v>3178.3520219411635</v>
      </c>
      <c r="N1295" s="28">
        <f t="shared" ca="1" si="266"/>
        <v>0.14561022369219473</v>
      </c>
      <c r="O1295" s="29">
        <f t="shared" ca="1" si="267"/>
        <v>600000</v>
      </c>
      <c r="P1295" s="30">
        <f t="shared" ca="1" si="268"/>
        <v>27.487872209308769</v>
      </c>
    </row>
    <row r="1296" spans="1:16" x14ac:dyDescent="0.25">
      <c r="A1296" s="3">
        <f t="shared" si="269"/>
        <v>47926</v>
      </c>
      <c r="B1296" s="21">
        <f t="shared" si="260"/>
        <v>36604</v>
      </c>
      <c r="C1296" s="21">
        <f t="shared" si="261"/>
        <v>36605</v>
      </c>
      <c r="D1296" s="1">
        <f t="shared" si="270"/>
        <v>0</v>
      </c>
      <c r="E1296" s="3">
        <f t="array" ref="E1296">INDEX($A$9:A1295, MAX(IF($D$9:D1295=1, ROW(D$9:$D1295)-ROW($D$9)+1, 0)))</f>
        <v>47837</v>
      </c>
      <c r="F1296" s="23">
        <f t="shared" si="262"/>
        <v>4.9308692676249146</v>
      </c>
      <c r="G1296" s="5">
        <f>INDEX('Default Prob'!$P$5:$P$14,MIN(1+_xlfn.IFNA(MATCH(F1296,'Default Prob'!$F$5:$F$14,1),0),COUNT('Default Prob'!$P$5:$P$14)))</f>
        <v>2.046797531464158E-2</v>
      </c>
      <c r="H1296" s="5">
        <f t="shared" si="271"/>
        <v>0.89908774763771038</v>
      </c>
      <c r="I1296" s="24">
        <f t="shared" si="272"/>
        <v>5.0384726779428846E-5</v>
      </c>
      <c r="J1296" s="25">
        <f>INDEX('Default Prob'!$C$3:$C$13, _xlfn.IFNA(MATCH(F1296, 'Default Prob'!$B$3:$B$13, 1), 1))</f>
        <v>1.95E-2</v>
      </c>
      <c r="K1296" s="26">
        <f t="shared" si="263"/>
        <v>0.90916700213711832</v>
      </c>
      <c r="L1296" s="27">
        <f t="shared" ca="1" si="264"/>
        <v>0</v>
      </c>
      <c r="M1296" s="27">
        <f t="shared" ca="1" si="265"/>
        <v>3214.4696585541315</v>
      </c>
      <c r="N1296" s="28">
        <f t="shared" ca="1" si="266"/>
        <v>0.14724884721312997</v>
      </c>
      <c r="O1296" s="29">
        <f t="shared" ca="1" si="267"/>
        <v>600000</v>
      </c>
      <c r="P1296" s="30">
        <f t="shared" ca="1" si="268"/>
        <v>27.484878599730663</v>
      </c>
    </row>
    <row r="1297" spans="1:16" x14ac:dyDescent="0.25">
      <c r="A1297" s="3">
        <f t="shared" si="269"/>
        <v>47927</v>
      </c>
      <c r="B1297" s="21">
        <f t="shared" si="260"/>
        <v>36605</v>
      </c>
      <c r="C1297" s="21">
        <f t="shared" si="261"/>
        <v>36605</v>
      </c>
      <c r="D1297" s="1">
        <f t="shared" si="270"/>
        <v>1</v>
      </c>
      <c r="E1297" s="3">
        <f t="array" ref="E1297">INDEX($A$9:A1296, MAX(IF($D$9:D1296=1, ROW(D$9:$D1296)-ROW($D$9)+1, 0)))</f>
        <v>47837</v>
      </c>
      <c r="F1297" s="23">
        <f t="shared" si="262"/>
        <v>4.9336071184120467</v>
      </c>
      <c r="G1297" s="5">
        <f>INDEX('Default Prob'!$P$5:$P$14,MIN(1+_xlfn.IFNA(MATCH(F1297,'Default Prob'!$F$5:$F$14,1),0),COUNT('Default Prob'!$P$5:$P$14)))</f>
        <v>2.046797531464158E-2</v>
      </c>
      <c r="H1297" s="5">
        <f t="shared" si="271"/>
        <v>0.89903736573432436</v>
      </c>
      <c r="I1297" s="24">
        <f t="shared" si="272"/>
        <v>5.0381903386020888E-5</v>
      </c>
      <c r="J1297" s="25">
        <f>INDEX('Default Prob'!$C$3:$C$13, _xlfn.IFNA(MATCH(F1297, 'Default Prob'!$B$3:$B$13, 1), 1))</f>
        <v>1.95E-2</v>
      </c>
      <c r="K1297" s="26">
        <f t="shared" si="263"/>
        <v>0.90911893190646009</v>
      </c>
      <c r="L1297" s="27">
        <f t="shared" ca="1" si="264"/>
        <v>3250.587295167099</v>
      </c>
      <c r="M1297" s="27">
        <f t="shared" ca="1" si="265"/>
        <v>3250.587295167099</v>
      </c>
      <c r="N1297" s="28">
        <f t="shared" ca="1" si="266"/>
        <v>2656.9575436420746</v>
      </c>
      <c r="O1297" s="29">
        <f t="shared" ca="1" si="267"/>
        <v>600000</v>
      </c>
      <c r="P1297" s="30">
        <f t="shared" ca="1" si="268"/>
        <v>27.481885316228265</v>
      </c>
    </row>
    <row r="1298" spans="1:16" x14ac:dyDescent="0.25">
      <c r="A1298" s="3">
        <f t="shared" si="269"/>
        <v>47928</v>
      </c>
      <c r="B1298" s="21">
        <f t="shared" si="260"/>
        <v>36606</v>
      </c>
      <c r="C1298" s="21">
        <f t="shared" si="261"/>
        <v>36697</v>
      </c>
      <c r="D1298" s="1">
        <f t="shared" si="270"/>
        <v>0</v>
      </c>
      <c r="E1298" s="3">
        <f t="array" ref="E1298">INDEX($A$9:A1297, MAX(IF($D$9:D1297=1, ROW(D$9:$D1297)-ROW($D$9)+1, 0)))</f>
        <v>47927</v>
      </c>
      <c r="F1298" s="23">
        <f t="shared" si="262"/>
        <v>4.9363449691991788</v>
      </c>
      <c r="G1298" s="5">
        <f>INDEX('Default Prob'!$P$5:$P$14,MIN(1+_xlfn.IFNA(MATCH(F1298,'Default Prob'!$F$5:$F$14,1),0),COUNT('Default Prob'!$P$5:$P$14)))</f>
        <v>2.046797531464158E-2</v>
      </c>
      <c r="H1298" s="5">
        <f t="shared" si="271"/>
        <v>0.89898698665417354</v>
      </c>
      <c r="I1298" s="24">
        <f t="shared" si="272"/>
        <v>5.0379080150819711E-5</v>
      </c>
      <c r="J1298" s="25">
        <f>INDEX('Default Prob'!$C$3:$C$13, _xlfn.IFNA(MATCH(F1298, 'Default Prob'!$B$3:$B$13, 1), 1))</f>
        <v>1.95E-2</v>
      </c>
      <c r="K1298" s="26">
        <f t="shared" si="263"/>
        <v>0.90907086421741079</v>
      </c>
      <c r="L1298" s="27">
        <f t="shared" ca="1" si="264"/>
        <v>0</v>
      </c>
      <c r="M1298" s="27">
        <f t="shared" ca="1" si="265"/>
        <v>36.117636612967765</v>
      </c>
      <c r="N1298" s="28">
        <f t="shared" ca="1" si="266"/>
        <v>1.6541210812312604E-3</v>
      </c>
      <c r="O1298" s="29">
        <f t="shared" ca="1" si="267"/>
        <v>600000</v>
      </c>
      <c r="P1298" s="30">
        <f t="shared" ca="1" si="268"/>
        <v>27.478892358710329</v>
      </c>
    </row>
    <row r="1299" spans="1:16" x14ac:dyDescent="0.25">
      <c r="A1299" s="3">
        <f t="shared" si="269"/>
        <v>47931</v>
      </c>
      <c r="B1299" s="21">
        <f t="shared" si="260"/>
        <v>36609</v>
      </c>
      <c r="C1299" s="21">
        <f t="shared" si="261"/>
        <v>36697</v>
      </c>
      <c r="D1299" s="1">
        <f t="shared" si="270"/>
        <v>0</v>
      </c>
      <c r="E1299" s="3">
        <f t="array" ref="E1299">INDEX($A$9:A1298, MAX(IF($D$9:D1298=1, ROW(D$9:$D1298)-ROW($D$9)+1, 0)))</f>
        <v>47927</v>
      </c>
      <c r="F1299" s="23">
        <f t="shared" si="262"/>
        <v>4.944558521560575</v>
      </c>
      <c r="G1299" s="5">
        <f>INDEX('Default Prob'!$P$5:$P$14,MIN(1+_xlfn.IFNA(MATCH(F1299,'Default Prob'!$F$5:$F$14,1),0),COUNT('Default Prob'!$P$5:$P$14)))</f>
        <v>2.046797531464158E-2</v>
      </c>
      <c r="H1299" s="5">
        <f t="shared" si="271"/>
        <v>0.89883586635155033</v>
      </c>
      <c r="I1299" s="24">
        <f t="shared" si="272"/>
        <v>1.5112030262320886E-4</v>
      </c>
      <c r="J1299" s="25">
        <f>INDEX('Default Prob'!$C$3:$C$13, _xlfn.IFNA(MATCH(F1299, 'Default Prob'!$B$3:$B$13, 1), 1))</f>
        <v>1.95E-2</v>
      </c>
      <c r="K1299" s="26">
        <f t="shared" si="263"/>
        <v>0.90892667639857361</v>
      </c>
      <c r="L1299" s="27">
        <f t="shared" ca="1" si="264"/>
        <v>0</v>
      </c>
      <c r="M1299" s="27">
        <f t="shared" ca="1" si="265"/>
        <v>144.47054645187106</v>
      </c>
      <c r="N1299" s="28">
        <f t="shared" ca="1" si="266"/>
        <v>1.9844080491658461E-2</v>
      </c>
      <c r="O1299" s="29">
        <f t="shared" ca="1" si="267"/>
        <v>600000</v>
      </c>
      <c r="P1299" s="30">
        <f t="shared" ca="1" si="268"/>
        <v>82.41436463979592</v>
      </c>
    </row>
    <row r="1300" spans="1:16" x14ac:dyDescent="0.25">
      <c r="A1300" s="3">
        <f t="shared" si="269"/>
        <v>47932</v>
      </c>
      <c r="B1300" s="21">
        <f t="shared" si="260"/>
        <v>36610</v>
      </c>
      <c r="C1300" s="21">
        <f t="shared" si="261"/>
        <v>36697</v>
      </c>
      <c r="D1300" s="1">
        <f t="shared" si="270"/>
        <v>0</v>
      </c>
      <c r="E1300" s="3">
        <f t="array" ref="E1300">INDEX($A$9:A1299, MAX(IF($D$9:D1299=1, ROW(D$9:$D1299)-ROW($D$9)+1, 0)))</f>
        <v>47927</v>
      </c>
      <c r="F1300" s="23">
        <f t="shared" si="262"/>
        <v>4.947296372347707</v>
      </c>
      <c r="G1300" s="5">
        <f>INDEX('Default Prob'!$P$5:$P$14,MIN(1+_xlfn.IFNA(MATCH(F1300,'Default Prob'!$F$5:$F$14,1),0),COUNT('Default Prob'!$P$5:$P$14)))</f>
        <v>2.046797531464158E-2</v>
      </c>
      <c r="H1300" s="5">
        <f t="shared" si="271"/>
        <v>0.89878549856275836</v>
      </c>
      <c r="I1300" s="24">
        <f t="shared" si="272"/>
        <v>5.036778879197179E-5</v>
      </c>
      <c r="J1300" s="25">
        <f>INDEX('Default Prob'!$C$3:$C$13, _xlfn.IFNA(MATCH(F1300, 'Default Prob'!$B$3:$B$13, 1), 1))</f>
        <v>1.95E-2</v>
      </c>
      <c r="K1300" s="26">
        <f t="shared" si="263"/>
        <v>0.90887861887461685</v>
      </c>
      <c r="L1300" s="27">
        <f t="shared" ca="1" si="264"/>
        <v>0</v>
      </c>
      <c r="M1300" s="27">
        <f t="shared" ca="1" si="265"/>
        <v>180.58818306483883</v>
      </c>
      <c r="N1300" s="28">
        <f t="shared" ca="1" si="266"/>
        <v>8.2670031020348443E-3</v>
      </c>
      <c r="O1300" s="29">
        <f t="shared" ca="1" si="267"/>
        <v>600000</v>
      </c>
      <c r="P1300" s="30">
        <f t="shared" ca="1" si="268"/>
        <v>27.466923787809435</v>
      </c>
    </row>
    <row r="1301" spans="1:16" x14ac:dyDescent="0.25">
      <c r="A1301" s="3">
        <f t="shared" si="269"/>
        <v>47933</v>
      </c>
      <c r="B1301" s="21">
        <f t="shared" si="260"/>
        <v>36611</v>
      </c>
      <c r="C1301" s="21">
        <f t="shared" si="261"/>
        <v>36697</v>
      </c>
      <c r="D1301" s="1">
        <f t="shared" si="270"/>
        <v>0</v>
      </c>
      <c r="E1301" s="3">
        <f t="array" ref="E1301">INDEX($A$9:A1300, MAX(IF($D$9:D1300=1, ROW(D$9:$D1300)-ROW($D$9)+1, 0)))</f>
        <v>47927</v>
      </c>
      <c r="F1301" s="23">
        <f t="shared" si="262"/>
        <v>4.9500342231348391</v>
      </c>
      <c r="G1301" s="5">
        <f>INDEX('Default Prob'!$P$5:$P$14,MIN(1+_xlfn.IFNA(MATCH(F1301,'Default Prob'!$F$5:$F$14,1),0),COUNT('Default Prob'!$P$5:$P$14)))</f>
        <v>2.046797531464158E-2</v>
      </c>
      <c r="H1301" s="5">
        <f t="shared" si="271"/>
        <v>0.89873513359641066</v>
      </c>
      <c r="I1301" s="24">
        <f t="shared" si="272"/>
        <v>5.0364966347693496E-5</v>
      </c>
      <c r="J1301" s="25">
        <f>INDEX('Default Prob'!$C$3:$C$13, _xlfn.IFNA(MATCH(F1301, 'Default Prob'!$B$3:$B$13, 1), 1))</f>
        <v>1.95E-2</v>
      </c>
      <c r="K1301" s="26">
        <f t="shared" si="263"/>
        <v>0.90883056389159733</v>
      </c>
      <c r="L1301" s="27">
        <f t="shared" ca="1" si="264"/>
        <v>0</v>
      </c>
      <c r="M1301" s="27">
        <f t="shared" ca="1" si="265"/>
        <v>216.70581967780663</v>
      </c>
      <c r="N1301" s="28">
        <f t="shared" ca="1" si="266"/>
        <v>9.9193233254229497E-3</v>
      </c>
      <c r="O1301" s="29">
        <f t="shared" ca="1" si="267"/>
        <v>600000</v>
      </c>
      <c r="P1301" s="30">
        <f t="shared" ca="1" si="268"/>
        <v>27.46393245969336</v>
      </c>
    </row>
    <row r="1302" spans="1:16" x14ac:dyDescent="0.25">
      <c r="A1302" s="3">
        <f t="shared" si="269"/>
        <v>47934</v>
      </c>
      <c r="B1302" s="21">
        <f t="shared" si="260"/>
        <v>36612</v>
      </c>
      <c r="C1302" s="21">
        <f t="shared" si="261"/>
        <v>36697</v>
      </c>
      <c r="D1302" s="1">
        <f t="shared" si="270"/>
        <v>0</v>
      </c>
      <c r="E1302" s="3">
        <f t="array" ref="E1302">INDEX($A$9:A1301, MAX(IF($D$9:D1301=1, ROW(D$9:$D1301)-ROW($D$9)+1, 0)))</f>
        <v>47927</v>
      </c>
      <c r="F1302" s="23">
        <f t="shared" si="262"/>
        <v>4.9527720739219712</v>
      </c>
      <c r="G1302" s="5">
        <f>INDEX('Default Prob'!$P$5:$P$14,MIN(1+_xlfn.IFNA(MATCH(F1302,'Default Prob'!$F$5:$F$14,1),0),COUNT('Default Prob'!$P$5:$P$14)))</f>
        <v>2.046797531464158E-2</v>
      </c>
      <c r="H1302" s="5">
        <f t="shared" si="271"/>
        <v>0.89868477145234915</v>
      </c>
      <c r="I1302" s="24">
        <f t="shared" si="272"/>
        <v>5.0362144061510961E-5</v>
      </c>
      <c r="J1302" s="25">
        <f>INDEX('Default Prob'!$C$3:$C$13, _xlfn.IFNA(MATCH(F1302, 'Default Prob'!$B$3:$B$13, 1), 1))</f>
        <v>1.95E-2</v>
      </c>
      <c r="K1302" s="26">
        <f t="shared" si="263"/>
        <v>0.90878251144938049</v>
      </c>
      <c r="L1302" s="27">
        <f t="shared" ca="1" si="264"/>
        <v>0</v>
      </c>
      <c r="M1302" s="27">
        <f t="shared" ca="1" si="265"/>
        <v>252.82345629077437</v>
      </c>
      <c r="N1302" s="28">
        <f t="shared" ca="1" si="266"/>
        <v>1.1571283553729274E-2</v>
      </c>
      <c r="O1302" s="29">
        <f t="shared" ca="1" si="267"/>
        <v>600000</v>
      </c>
      <c r="P1302" s="30">
        <f t="shared" ca="1" si="268"/>
        <v>27.460941457317261</v>
      </c>
    </row>
    <row r="1303" spans="1:16" x14ac:dyDescent="0.25">
      <c r="A1303" s="3">
        <f t="shared" si="269"/>
        <v>47935</v>
      </c>
      <c r="B1303" s="21">
        <f t="shared" si="260"/>
        <v>36613</v>
      </c>
      <c r="C1303" s="21">
        <f t="shared" si="261"/>
        <v>36697</v>
      </c>
      <c r="D1303" s="1">
        <f t="shared" si="270"/>
        <v>0</v>
      </c>
      <c r="E1303" s="3">
        <f t="array" ref="E1303">INDEX($A$9:A1302, MAX(IF($D$9:D1302=1, ROW(D$9:$D1302)-ROW($D$9)+1, 0)))</f>
        <v>47927</v>
      </c>
      <c r="F1303" s="23">
        <f t="shared" si="262"/>
        <v>4.9555099247091032</v>
      </c>
      <c r="G1303" s="5">
        <f>INDEX('Default Prob'!$P$5:$P$14,MIN(1+_xlfn.IFNA(MATCH(F1303,'Default Prob'!$F$5:$F$14,1),0),COUNT('Default Prob'!$P$5:$P$14)))</f>
        <v>2.046797531464158E-2</v>
      </c>
      <c r="H1303" s="5">
        <f t="shared" si="271"/>
        <v>0.89863441213041562</v>
      </c>
      <c r="I1303" s="24">
        <f t="shared" si="272"/>
        <v>5.0359321933535206E-5</v>
      </c>
      <c r="J1303" s="25">
        <f>INDEX('Default Prob'!$C$3:$C$13, _xlfn.IFNA(MATCH(F1303, 'Default Prob'!$B$3:$B$13, 1), 1))</f>
        <v>1.95E-2</v>
      </c>
      <c r="K1303" s="26">
        <f t="shared" si="263"/>
        <v>0.90873446154783244</v>
      </c>
      <c r="L1303" s="27">
        <f t="shared" ca="1" si="264"/>
        <v>0</v>
      </c>
      <c r="M1303" s="27">
        <f t="shared" ca="1" si="265"/>
        <v>288.94109290374212</v>
      </c>
      <c r="N1303" s="28">
        <f t="shared" ca="1" si="266"/>
        <v>1.322288384579301E-2</v>
      </c>
      <c r="O1303" s="29">
        <f t="shared" ca="1" si="267"/>
        <v>600000</v>
      </c>
      <c r="P1303" s="30">
        <f t="shared" ca="1" si="268"/>
        <v>27.457950780711037</v>
      </c>
    </row>
    <row r="1304" spans="1:16" x14ac:dyDescent="0.25">
      <c r="A1304" s="3">
        <f t="shared" si="269"/>
        <v>47938</v>
      </c>
      <c r="B1304" s="21">
        <f t="shared" si="260"/>
        <v>36616</v>
      </c>
      <c r="C1304" s="21">
        <f t="shared" si="261"/>
        <v>36697</v>
      </c>
      <c r="D1304" s="1">
        <f t="shared" si="270"/>
        <v>0</v>
      </c>
      <c r="E1304" s="3">
        <f t="array" ref="E1304">INDEX($A$9:A1303, MAX(IF($D$9:D1303=1, ROW(D$9:$D1303)-ROW($D$9)+1, 0)))</f>
        <v>47927</v>
      </c>
      <c r="F1304" s="23">
        <f t="shared" si="262"/>
        <v>4.9637234770704994</v>
      </c>
      <c r="G1304" s="5">
        <f>INDEX('Default Prob'!$P$5:$P$14,MIN(1+_xlfn.IFNA(MATCH(F1304,'Default Prob'!$F$5:$F$14,1),0),COUNT('Default Prob'!$P$5:$P$14)))</f>
        <v>2.046797531464158E-2</v>
      </c>
      <c r="H1304" s="5">
        <f t="shared" si="271"/>
        <v>0.89848335109580124</v>
      </c>
      <c r="I1304" s="24">
        <f t="shared" si="272"/>
        <v>1.5106103461437481E-4</v>
      </c>
      <c r="J1304" s="25">
        <f>INDEX('Default Prob'!$C$3:$C$13, _xlfn.IFNA(MATCH(F1304, 'Default Prob'!$B$3:$B$13, 1), 1))</f>
        <v>1.95E-2</v>
      </c>
      <c r="K1304" s="26">
        <f t="shared" si="263"/>
        <v>0.90859032708585563</v>
      </c>
      <c r="L1304" s="27">
        <f t="shared" ca="1" si="264"/>
        <v>0</v>
      </c>
      <c r="M1304" s="27">
        <f t="shared" ca="1" si="265"/>
        <v>397.29400274264543</v>
      </c>
      <c r="N1304" s="28">
        <f t="shared" ca="1" si="266"/>
        <v>5.4529632794851582E-2</v>
      </c>
      <c r="O1304" s="29">
        <f t="shared" ca="1" si="267"/>
        <v>600000</v>
      </c>
      <c r="P1304" s="30">
        <f t="shared" ca="1" si="268"/>
        <v>82.351556910121531</v>
      </c>
    </row>
    <row r="1305" spans="1:16" x14ac:dyDescent="0.25">
      <c r="A1305" s="3">
        <f t="shared" si="269"/>
        <v>47939</v>
      </c>
      <c r="B1305" s="21">
        <f t="shared" si="260"/>
        <v>36617</v>
      </c>
      <c r="C1305" s="21">
        <f t="shared" si="261"/>
        <v>36697</v>
      </c>
      <c r="D1305" s="1">
        <f t="shared" si="270"/>
        <v>0</v>
      </c>
      <c r="E1305" s="3">
        <f t="array" ref="E1305">INDEX($A$9:A1304, MAX(IF($D$9:D1304=1, ROW(D$9:$D1304)-ROW($D$9)+1, 0)))</f>
        <v>47927</v>
      </c>
      <c r="F1305" s="23">
        <f t="shared" si="262"/>
        <v>4.9664613278576315</v>
      </c>
      <c r="G1305" s="5">
        <f>INDEX('Default Prob'!$P$5:$P$14,MIN(1+_xlfn.IFNA(MATCH(F1305,'Default Prob'!$F$5:$F$14,1),0),COUNT('Default Prob'!$P$5:$P$14)))</f>
        <v>2.046797531464158E-2</v>
      </c>
      <c r="H1305" s="5">
        <f t="shared" si="271"/>
        <v>0.89843300306079821</v>
      </c>
      <c r="I1305" s="24">
        <f t="shared" si="272"/>
        <v>5.0348035003033864E-5</v>
      </c>
      <c r="J1305" s="25">
        <f>INDEX('Default Prob'!$C$3:$C$13, _xlfn.IFNA(MATCH(F1305, 'Default Prob'!$B$3:$B$13, 1), 1))</f>
        <v>1.95E-2</v>
      </c>
      <c r="K1305" s="26">
        <f t="shared" si="263"/>
        <v>0.90854228734563824</v>
      </c>
      <c r="L1305" s="27">
        <f t="shared" ca="1" si="264"/>
        <v>0</v>
      </c>
      <c r="M1305" s="27">
        <f t="shared" ca="1" si="265"/>
        <v>433.41163935561326</v>
      </c>
      <c r="N1305" s="28">
        <f t="shared" ca="1" si="266"/>
        <v>1.9825686827520783E-2</v>
      </c>
      <c r="O1305" s="29">
        <f t="shared" ca="1" si="267"/>
        <v>600000</v>
      </c>
      <c r="P1305" s="30">
        <f t="shared" ca="1" si="268"/>
        <v>27.445991331008788</v>
      </c>
    </row>
    <row r="1306" spans="1:16" x14ac:dyDescent="0.25">
      <c r="A1306" s="3">
        <f t="shared" si="269"/>
        <v>47940</v>
      </c>
      <c r="B1306" s="21">
        <f t="shared" si="260"/>
        <v>36618</v>
      </c>
      <c r="C1306" s="21">
        <f t="shared" si="261"/>
        <v>36697</v>
      </c>
      <c r="D1306" s="1">
        <f t="shared" si="270"/>
        <v>0</v>
      </c>
      <c r="E1306" s="3">
        <f t="array" ref="E1306">INDEX($A$9:A1305, MAX(IF($D$9:D1305=1, ROW(D$9:$D1305)-ROW($D$9)+1, 0)))</f>
        <v>47927</v>
      </c>
      <c r="F1306" s="23">
        <f t="shared" si="262"/>
        <v>4.9691991786447636</v>
      </c>
      <c r="G1306" s="5">
        <f>INDEX('Default Prob'!$P$5:$P$14,MIN(1+_xlfn.IFNA(MATCH(F1306,'Default Prob'!$F$5:$F$14,1),0),COUNT('Default Prob'!$P$5:$P$14)))</f>
        <v>2.046797531464158E-2</v>
      </c>
      <c r="H1306" s="5">
        <f t="shared" si="271"/>
        <v>0.89838265784713245</v>
      </c>
      <c r="I1306" s="24">
        <f t="shared" si="272"/>
        <v>5.0345213665758948E-5</v>
      </c>
      <c r="J1306" s="25">
        <f>INDEX('Default Prob'!$C$3:$C$13, _xlfn.IFNA(MATCH(F1306, 'Default Prob'!$B$3:$B$13, 1), 1))</f>
        <v>1.95E-2</v>
      </c>
      <c r="K1306" s="26">
        <f t="shared" si="263"/>
        <v>0.90849425014541774</v>
      </c>
      <c r="L1306" s="27">
        <f t="shared" ca="1" si="264"/>
        <v>0</v>
      </c>
      <c r="M1306" s="27">
        <f t="shared" ca="1" si="265"/>
        <v>469.52927596858098</v>
      </c>
      <c r="N1306" s="28">
        <f t="shared" ca="1" si="266"/>
        <v>2.1475488320263868E-2</v>
      </c>
      <c r="O1306" s="29">
        <f t="shared" ca="1" si="267"/>
        <v>600000</v>
      </c>
      <c r="P1306" s="30">
        <f t="shared" ca="1" si="268"/>
        <v>27.443002282610706</v>
      </c>
    </row>
    <row r="1307" spans="1:16" x14ac:dyDescent="0.25">
      <c r="A1307" s="3">
        <f t="shared" si="269"/>
        <v>47941</v>
      </c>
      <c r="B1307" s="21">
        <f t="shared" si="260"/>
        <v>36619</v>
      </c>
      <c r="C1307" s="21">
        <f t="shared" si="261"/>
        <v>36697</v>
      </c>
      <c r="D1307" s="1">
        <f t="shared" si="270"/>
        <v>0</v>
      </c>
      <c r="E1307" s="3">
        <f t="array" ref="E1307">INDEX($A$9:A1306, MAX(IF($D$9:D1306=1, ROW(D$9:$D1306)-ROW($D$9)+1, 0)))</f>
        <v>47927</v>
      </c>
      <c r="F1307" s="23">
        <f t="shared" si="262"/>
        <v>4.9719370294318956</v>
      </c>
      <c r="G1307" s="5">
        <f>INDEX('Default Prob'!$P$5:$P$14,MIN(1+_xlfn.IFNA(MATCH(F1307,'Default Prob'!$F$5:$F$14,1),0),COUNT('Default Prob'!$P$5:$P$14)))</f>
        <v>2.046797531464158E-2</v>
      </c>
      <c r="H1307" s="5">
        <f t="shared" si="271"/>
        <v>0.89833231545464598</v>
      </c>
      <c r="I1307" s="24">
        <f t="shared" si="272"/>
        <v>5.0342392486468768E-5</v>
      </c>
      <c r="J1307" s="25">
        <f>INDEX('Default Prob'!$C$3:$C$13, _xlfn.IFNA(MATCH(F1307, 'Default Prob'!$B$3:$B$13, 1), 1))</f>
        <v>1.95E-2</v>
      </c>
      <c r="K1307" s="26">
        <f t="shared" si="263"/>
        <v>0.90844621548505988</v>
      </c>
      <c r="L1307" s="27">
        <f t="shared" ca="1" si="264"/>
        <v>0</v>
      </c>
      <c r="M1307" s="27">
        <f t="shared" ca="1" si="265"/>
        <v>505.64691258154875</v>
      </c>
      <c r="N1307" s="28">
        <f t="shared" ca="1" si="266"/>
        <v>2.3124930229411384E-2</v>
      </c>
      <c r="O1307" s="29">
        <f t="shared" ca="1" si="267"/>
        <v>600000</v>
      </c>
      <c r="P1307" s="30">
        <f t="shared" ca="1" si="268"/>
        <v>27.440013559677638</v>
      </c>
    </row>
    <row r="1308" spans="1:16" x14ac:dyDescent="0.25">
      <c r="A1308" s="3">
        <f t="shared" si="269"/>
        <v>47942</v>
      </c>
      <c r="B1308" s="21">
        <f t="shared" si="260"/>
        <v>36620</v>
      </c>
      <c r="C1308" s="21">
        <f t="shared" si="261"/>
        <v>36697</v>
      </c>
      <c r="D1308" s="1">
        <f t="shared" si="270"/>
        <v>0</v>
      </c>
      <c r="E1308" s="3">
        <f t="array" ref="E1308">INDEX($A$9:A1307, MAX(IF($D$9:D1307=1, ROW(D$9:$D1307)-ROW($D$9)+1, 0)))</f>
        <v>47927</v>
      </c>
      <c r="F1308" s="23">
        <f t="shared" si="262"/>
        <v>4.9746748802190277</v>
      </c>
      <c r="G1308" s="5">
        <f>INDEX('Default Prob'!$P$5:$P$14,MIN(1+_xlfn.IFNA(MATCH(F1308,'Default Prob'!$F$5:$F$14,1),0),COUNT('Default Prob'!$P$5:$P$14)))</f>
        <v>2.046797531464158E-2</v>
      </c>
      <c r="H1308" s="5">
        <f t="shared" si="271"/>
        <v>0.89828197588318071</v>
      </c>
      <c r="I1308" s="24">
        <f t="shared" si="272"/>
        <v>5.0339571465274346E-5</v>
      </c>
      <c r="J1308" s="25">
        <f>INDEX('Default Prob'!$C$3:$C$13, _xlfn.IFNA(MATCH(F1308, 'Default Prob'!$B$3:$B$13, 1), 1))</f>
        <v>1.95E-2</v>
      </c>
      <c r="K1308" s="26">
        <f t="shared" si="263"/>
        <v>0.90839818336443046</v>
      </c>
      <c r="L1308" s="27">
        <f t="shared" ca="1" si="264"/>
        <v>0</v>
      </c>
      <c r="M1308" s="27">
        <f t="shared" ca="1" si="265"/>
        <v>541.76454919451646</v>
      </c>
      <c r="N1308" s="28">
        <f t="shared" ca="1" si="266"/>
        <v>2.4774012613765464E-2</v>
      </c>
      <c r="O1308" s="29">
        <f t="shared" ca="1" si="267"/>
        <v>600000</v>
      </c>
      <c r="P1308" s="30">
        <f t="shared" ca="1" si="268"/>
        <v>27.437025162239483</v>
      </c>
    </row>
    <row r="1309" spans="1:16" x14ac:dyDescent="0.25">
      <c r="A1309" s="3">
        <f t="shared" si="269"/>
        <v>47945</v>
      </c>
      <c r="B1309" s="21">
        <f t="shared" si="260"/>
        <v>36623</v>
      </c>
      <c r="C1309" s="21">
        <f t="shared" si="261"/>
        <v>36697</v>
      </c>
      <c r="D1309" s="1">
        <f t="shared" si="270"/>
        <v>0</v>
      </c>
      <c r="E1309" s="3">
        <f t="array" ref="E1309">INDEX($A$9:A1308, MAX(IF($D$9:D1308=1, ROW(D$9:$D1308)-ROW($D$9)+1, 0)))</f>
        <v>47927</v>
      </c>
      <c r="F1309" s="23">
        <f t="shared" si="262"/>
        <v>4.9828884325804248</v>
      </c>
      <c r="G1309" s="5">
        <f>INDEX('Default Prob'!$P$5:$P$14,MIN(1+_xlfn.IFNA(MATCH(F1309,'Default Prob'!$F$5:$F$14,1),0),COUNT('Default Prob'!$P$5:$P$14)))</f>
        <v>2.046797531464158E-2</v>
      </c>
      <c r="H1309" s="5">
        <f t="shared" si="271"/>
        <v>0.89813097409333087</v>
      </c>
      <c r="I1309" s="24">
        <f t="shared" si="272"/>
        <v>1.5100178984983614E-4</v>
      </c>
      <c r="J1309" s="25">
        <f>INDEX('Default Prob'!$C$3:$C$13, _xlfn.IFNA(MATCH(F1309, 'Default Prob'!$B$3:$B$13, 1), 1))</f>
        <v>1.95E-2</v>
      </c>
      <c r="K1309" s="26">
        <f t="shared" si="263"/>
        <v>0.90825410223956926</v>
      </c>
      <c r="L1309" s="27">
        <f t="shared" ca="1" si="264"/>
        <v>0</v>
      </c>
      <c r="M1309" s="27">
        <f t="shared" ca="1" si="265"/>
        <v>650.11745903341978</v>
      </c>
      <c r="N1309" s="28">
        <f t="shared" ca="1" si="266"/>
        <v>8.9162306070747321E-2</v>
      </c>
      <c r="O1309" s="29">
        <f t="shared" ca="1" si="267"/>
        <v>600000</v>
      </c>
      <c r="P1309" s="30">
        <f t="shared" ca="1" si="268"/>
        <v>82.288797045978612</v>
      </c>
    </row>
    <row r="1310" spans="1:16" x14ac:dyDescent="0.25">
      <c r="A1310" s="3">
        <f t="shared" si="269"/>
        <v>47946</v>
      </c>
      <c r="B1310" s="21">
        <f t="shared" si="260"/>
        <v>36624</v>
      </c>
      <c r="C1310" s="21">
        <f t="shared" si="261"/>
        <v>36697</v>
      </c>
      <c r="D1310" s="1">
        <f t="shared" si="270"/>
        <v>0</v>
      </c>
      <c r="E1310" s="3">
        <f t="array" ref="E1310">INDEX($A$9:A1309, MAX(IF($D$9:D1309=1, ROW(D$9:$D1309)-ROW($D$9)+1, 0)))</f>
        <v>47927</v>
      </c>
      <c r="F1310" s="23">
        <f t="shared" si="262"/>
        <v>4.9856262833675569</v>
      </c>
      <c r="G1310" s="5">
        <f>INDEX('Default Prob'!$P$5:$P$14,MIN(1+_xlfn.IFNA(MATCH(F1310,'Default Prob'!$F$5:$F$14,1),0),COUNT('Default Prob'!$P$5:$P$14)))</f>
        <v>2.046797531464158E-2</v>
      </c>
      <c r="H1310" s="5">
        <f t="shared" si="271"/>
        <v>0.89808064580436942</v>
      </c>
      <c r="I1310" s="24">
        <f t="shared" si="272"/>
        <v>5.0328288961454248E-5</v>
      </c>
      <c r="J1310" s="25">
        <f>INDEX('Default Prob'!$C$3:$C$13, _xlfn.IFNA(MATCH(F1310, 'Default Prob'!$B$3:$B$13, 1), 1))</f>
        <v>1.95E-2</v>
      </c>
      <c r="K1310" s="26">
        <f t="shared" si="263"/>
        <v>0.9082060802765104</v>
      </c>
      <c r="L1310" s="27">
        <f t="shared" ca="1" si="264"/>
        <v>0</v>
      </c>
      <c r="M1310" s="27">
        <f t="shared" ca="1" si="265"/>
        <v>686.23509564638755</v>
      </c>
      <c r="N1310" s="28">
        <f t="shared" ca="1" si="266"/>
        <v>3.1366748078157668E-2</v>
      </c>
      <c r="O1310" s="29">
        <f t="shared" ca="1" si="267"/>
        <v>600000</v>
      </c>
      <c r="P1310" s="30">
        <f t="shared" ca="1" si="268"/>
        <v>27.425074826823558</v>
      </c>
    </row>
    <row r="1311" spans="1:16" x14ac:dyDescent="0.25">
      <c r="A1311" s="3">
        <f t="shared" si="269"/>
        <v>47947</v>
      </c>
      <c r="B1311" s="21">
        <f t="shared" si="260"/>
        <v>36625</v>
      </c>
      <c r="C1311" s="21">
        <f t="shared" si="261"/>
        <v>36697</v>
      </c>
      <c r="D1311" s="1">
        <f t="shared" si="270"/>
        <v>0</v>
      </c>
      <c r="E1311" s="3">
        <f t="array" ref="E1311">INDEX($A$9:A1310, MAX(IF($D$9:D1310=1, ROW(D$9:$D1310)-ROW($D$9)+1, 0)))</f>
        <v>47927</v>
      </c>
      <c r="F1311" s="23">
        <f t="shared" si="262"/>
        <v>4.9883641341546889</v>
      </c>
      <c r="G1311" s="5">
        <f>INDEX('Default Prob'!$P$5:$P$14,MIN(1+_xlfn.IFNA(MATCH(F1311,'Default Prob'!$F$5:$F$14,1),0),COUNT('Default Prob'!$P$5:$P$14)))</f>
        <v>2.046797531464158E-2</v>
      </c>
      <c r="H1311" s="5">
        <f t="shared" si="271"/>
        <v>0.89803032033563879</v>
      </c>
      <c r="I1311" s="24">
        <f t="shared" si="272"/>
        <v>5.0325468730627598E-5</v>
      </c>
      <c r="J1311" s="25">
        <f>INDEX('Default Prob'!$C$3:$C$13, _xlfn.IFNA(MATCH(F1311, 'Default Prob'!$B$3:$B$13, 1), 1))</f>
        <v>1.95E-2</v>
      </c>
      <c r="K1311" s="26">
        <f t="shared" si="263"/>
        <v>0.9081580608525085</v>
      </c>
      <c r="L1311" s="27">
        <f t="shared" ca="1" si="264"/>
        <v>0</v>
      </c>
      <c r="M1311" s="27">
        <f t="shared" ca="1" si="265"/>
        <v>722.35273225935532</v>
      </c>
      <c r="N1311" s="28">
        <f t="shared" ca="1" si="266"/>
        <v>3.3014033719589948E-2</v>
      </c>
      <c r="O1311" s="29">
        <f t="shared" ca="1" si="267"/>
        <v>600000</v>
      </c>
      <c r="P1311" s="30">
        <f t="shared" ca="1" si="268"/>
        <v>27.422088056340186</v>
      </c>
    </row>
    <row r="1312" spans="1:16" x14ac:dyDescent="0.25">
      <c r="A1312" s="3">
        <f t="shared" si="269"/>
        <v>47948</v>
      </c>
      <c r="B1312" s="21">
        <f t="shared" si="260"/>
        <v>36626</v>
      </c>
      <c r="C1312" s="21">
        <f t="shared" si="261"/>
        <v>36697</v>
      </c>
      <c r="D1312" s="1">
        <f t="shared" si="270"/>
        <v>0</v>
      </c>
      <c r="E1312" s="3">
        <f t="array" ref="E1312">INDEX($A$9:A1311, MAX(IF($D$9:D1311=1, ROW(D$9:$D1311)-ROW($D$9)+1, 0)))</f>
        <v>47927</v>
      </c>
      <c r="F1312" s="23">
        <f t="shared" si="262"/>
        <v>4.991101984941821</v>
      </c>
      <c r="G1312" s="5">
        <f>INDEX('Default Prob'!$P$5:$P$14,MIN(1+_xlfn.IFNA(MATCH(F1312,'Default Prob'!$F$5:$F$14,1),0),COUNT('Default Prob'!$P$5:$P$14)))</f>
        <v>2.046797531464158E-2</v>
      </c>
      <c r="H1312" s="5">
        <f t="shared" si="271"/>
        <v>0.897979997686981</v>
      </c>
      <c r="I1312" s="24">
        <f t="shared" si="272"/>
        <v>5.0322648657785685E-5</v>
      </c>
      <c r="J1312" s="25">
        <f>INDEX('Default Prob'!$C$3:$C$13, _xlfn.IFNA(MATCH(F1312, 'Default Prob'!$B$3:$B$13, 1), 1))</f>
        <v>1.95E-2</v>
      </c>
      <c r="K1312" s="26">
        <f t="shared" si="263"/>
        <v>0.90811004396742945</v>
      </c>
      <c r="L1312" s="27">
        <f t="shared" ca="1" si="264"/>
        <v>0</v>
      </c>
      <c r="M1312" s="27">
        <f t="shared" ca="1" si="265"/>
        <v>758.47036887232321</v>
      </c>
      <c r="N1312" s="28">
        <f t="shared" ca="1" si="266"/>
        <v>3.4660960188540764E-2</v>
      </c>
      <c r="O1312" s="29">
        <f t="shared" ca="1" si="267"/>
        <v>600000</v>
      </c>
      <c r="P1312" s="30">
        <f t="shared" ca="1" si="268"/>
        <v>27.419101611107557</v>
      </c>
    </row>
    <row r="1313" spans="1:16" x14ac:dyDescent="0.25">
      <c r="A1313" s="3">
        <f t="shared" si="269"/>
        <v>47949</v>
      </c>
      <c r="B1313" s="21">
        <f t="shared" si="260"/>
        <v>36627</v>
      </c>
      <c r="C1313" s="21">
        <f t="shared" si="261"/>
        <v>36697</v>
      </c>
      <c r="D1313" s="1">
        <f t="shared" si="270"/>
        <v>0</v>
      </c>
      <c r="E1313" s="3">
        <f t="array" ref="E1313">INDEX($A$9:A1312, MAX(IF($D$9:D1312=1, ROW(D$9:$D1312)-ROW($D$9)+1, 0)))</f>
        <v>47927</v>
      </c>
      <c r="F1313" s="23">
        <f t="shared" si="262"/>
        <v>4.9938398357289531</v>
      </c>
      <c r="G1313" s="5">
        <f>INDEX('Default Prob'!$P$5:$P$14,MIN(1+_xlfn.IFNA(MATCH(F1313,'Default Prob'!$F$5:$F$14,1),0),COUNT('Default Prob'!$P$5:$P$14)))</f>
        <v>2.046797531464158E-2</v>
      </c>
      <c r="H1313" s="5">
        <f t="shared" si="271"/>
        <v>0.89792967785823796</v>
      </c>
      <c r="I1313" s="24">
        <f t="shared" si="272"/>
        <v>5.031982874303953E-5</v>
      </c>
      <c r="J1313" s="25">
        <f>INDEX('Default Prob'!$C$3:$C$13, _xlfn.IFNA(MATCH(F1313, 'Default Prob'!$B$3:$B$13, 1), 1))</f>
        <v>1.95E-2</v>
      </c>
      <c r="K1313" s="26">
        <f t="shared" si="263"/>
        <v>0.90806202962113891</v>
      </c>
      <c r="L1313" s="27">
        <f t="shared" ca="1" si="264"/>
        <v>0</v>
      </c>
      <c r="M1313" s="27">
        <f t="shared" ca="1" si="265"/>
        <v>794.58800548529086</v>
      </c>
      <c r="N1313" s="28">
        <f t="shared" ca="1" si="266"/>
        <v>3.6307527543786133E-2</v>
      </c>
      <c r="O1313" s="29">
        <f t="shared" ca="1" si="267"/>
        <v>600000</v>
      </c>
      <c r="P1313" s="30">
        <f t="shared" ca="1" si="268"/>
        <v>27.416115491155558</v>
      </c>
    </row>
    <row r="1314" spans="1:16" x14ac:dyDescent="0.25">
      <c r="A1314" s="3">
        <f t="shared" si="269"/>
        <v>47952</v>
      </c>
      <c r="B1314" s="21">
        <f t="shared" si="260"/>
        <v>36630</v>
      </c>
      <c r="C1314" s="21">
        <f t="shared" si="261"/>
        <v>36697</v>
      </c>
      <c r="D1314" s="1">
        <f t="shared" si="270"/>
        <v>0</v>
      </c>
      <c r="E1314" s="3">
        <f t="array" ref="E1314">INDEX($A$9:A1313, MAX(IF($D$9:D1313=1, ROW(D$9:$D1313)-ROW($D$9)+1, 0)))</f>
        <v>47927</v>
      </c>
      <c r="F1314" s="23">
        <f t="shared" si="262"/>
        <v>5.0020533880903493</v>
      </c>
      <c r="G1314" s="5">
        <f>INDEX('Default Prob'!$P$5:$P$14,MIN(1+_xlfn.IFNA(MATCH(F1314,'Default Prob'!$F$5:$F$14,1),0),COUNT('Default Prob'!$P$5:$P$14)))</f>
        <v>3.22895928960443E-2</v>
      </c>
      <c r="H1314" s="5">
        <f t="shared" si="271"/>
        <v>0.89777873528991747</v>
      </c>
      <c r="I1314" s="24">
        <f t="shared" si="272"/>
        <v>1.5094256832048902E-4</v>
      </c>
      <c r="J1314" s="25">
        <f>INDEX('Default Prob'!$C$3:$C$13, _xlfn.IFNA(MATCH(F1314, 'Default Prob'!$B$3:$B$13, 1), 1))</f>
        <v>2.1100000000000001E-2</v>
      </c>
      <c r="K1314" s="26">
        <f t="shared" si="263"/>
        <v>0.90082410390722312</v>
      </c>
      <c r="L1314" s="27">
        <f t="shared" ca="1" si="264"/>
        <v>0</v>
      </c>
      <c r="M1314" s="27">
        <f t="shared" ca="1" si="265"/>
        <v>902.94091532419418</v>
      </c>
      <c r="N1314" s="28">
        <f t="shared" ca="1" si="266"/>
        <v>0.12277531767230432</v>
      </c>
      <c r="O1314" s="29">
        <f t="shared" ca="1" si="267"/>
        <v>600000</v>
      </c>
      <c r="P1314" s="30">
        <f t="shared" ca="1" si="268"/>
        <v>81.583622309255603</v>
      </c>
    </row>
    <row r="1315" spans="1:16" x14ac:dyDescent="0.25">
      <c r="A1315" s="3">
        <f t="shared" si="269"/>
        <v>47953</v>
      </c>
      <c r="B1315" s="21">
        <f t="shared" si="260"/>
        <v>36631</v>
      </c>
      <c r="C1315" s="21">
        <f t="shared" si="261"/>
        <v>36697</v>
      </c>
      <c r="D1315" s="1">
        <f t="shared" si="270"/>
        <v>0</v>
      </c>
      <c r="E1315" s="3">
        <f t="array" ref="E1315">INDEX($A$9:A1314, MAX(IF($D$9:D1314=1, ROW(D$9:$D1314)-ROW($D$9)+1, 0)))</f>
        <v>47927</v>
      </c>
      <c r="F1315" s="23">
        <f t="shared" si="262"/>
        <v>5.0047912388774813</v>
      </c>
      <c r="G1315" s="5">
        <f>INDEX('Default Prob'!$P$5:$P$14,MIN(1+_xlfn.IFNA(MATCH(F1315,'Default Prob'!$F$5:$F$14,1),0),COUNT('Default Prob'!$P$5:$P$14)))</f>
        <v>3.22895928960443E-2</v>
      </c>
      <c r="H1315" s="5">
        <f t="shared" si="271"/>
        <v>0.89769937148829693</v>
      </c>
      <c r="I1315" s="24">
        <f t="shared" si="272"/>
        <v>7.9363801620546681E-5</v>
      </c>
      <c r="J1315" s="25">
        <f>INDEX('Default Prob'!$C$3:$C$13, _xlfn.IFNA(MATCH(F1315, 'Default Prob'!$B$3:$B$13, 1), 1))</f>
        <v>2.1100000000000001E-2</v>
      </c>
      <c r="K1315" s="26">
        <f t="shared" si="263"/>
        <v>0.9007726073983563</v>
      </c>
      <c r="L1315" s="27">
        <f t="shared" ca="1" si="264"/>
        <v>0</v>
      </c>
      <c r="M1315" s="27">
        <f t="shared" ca="1" si="265"/>
        <v>939.05855193716195</v>
      </c>
      <c r="N1315" s="28">
        <f t="shared" ca="1" si="266"/>
        <v>6.7132111273265335E-2</v>
      </c>
      <c r="O1315" s="29">
        <f t="shared" ca="1" si="267"/>
        <v>600000</v>
      </c>
      <c r="P1315" s="30">
        <f t="shared" ca="1" si="268"/>
        <v>42.893243111271438</v>
      </c>
    </row>
    <row r="1316" spans="1:16" x14ac:dyDescent="0.25">
      <c r="A1316" s="3">
        <f t="shared" si="269"/>
        <v>47954</v>
      </c>
      <c r="B1316" s="21">
        <f t="shared" si="260"/>
        <v>36632</v>
      </c>
      <c r="C1316" s="21">
        <f t="shared" si="261"/>
        <v>36697</v>
      </c>
      <c r="D1316" s="1">
        <f t="shared" si="270"/>
        <v>0</v>
      </c>
      <c r="E1316" s="3">
        <f t="array" ref="E1316">INDEX($A$9:A1315, MAX(IF($D$9:D1315=1, ROW(D$9:$D1315)-ROW($D$9)+1, 0)))</f>
        <v>47927</v>
      </c>
      <c r="F1316" s="23">
        <f t="shared" si="262"/>
        <v>5.0075290896646134</v>
      </c>
      <c r="G1316" s="5">
        <f>INDEX('Default Prob'!$P$5:$P$14,MIN(1+_xlfn.IFNA(MATCH(F1316,'Default Prob'!$F$5:$F$14,1),0),COUNT('Default Prob'!$P$5:$P$14)))</f>
        <v>3.22895928960443E-2</v>
      </c>
      <c r="H1316" s="5">
        <f t="shared" si="271"/>
        <v>0.89762001470245067</v>
      </c>
      <c r="I1316" s="24">
        <f t="shared" si="272"/>
        <v>7.9356785846251832E-5</v>
      </c>
      <c r="J1316" s="25">
        <f>INDEX('Default Prob'!$C$3:$C$13, _xlfn.IFNA(MATCH(F1316, 'Default Prob'!$B$3:$B$13, 1), 1))</f>
        <v>2.1100000000000001E-2</v>
      </c>
      <c r="K1316" s="26">
        <f t="shared" si="263"/>
        <v>0.90072111383333875</v>
      </c>
      <c r="L1316" s="27">
        <f t="shared" ca="1" si="264"/>
        <v>0</v>
      </c>
      <c r="M1316" s="27">
        <f t="shared" ca="1" si="265"/>
        <v>975.17618855012961</v>
      </c>
      <c r="N1316" s="28">
        <f t="shared" ca="1" si="266"/>
        <v>6.970396788800344E-2</v>
      </c>
      <c r="O1316" s="29">
        <f t="shared" ca="1" si="267"/>
        <v>600000</v>
      </c>
      <c r="P1316" s="30">
        <f t="shared" ca="1" si="268"/>
        <v>42.886999522601812</v>
      </c>
    </row>
    <row r="1317" spans="1:16" x14ac:dyDescent="0.25">
      <c r="A1317" s="3">
        <f t="shared" si="269"/>
        <v>47955</v>
      </c>
      <c r="B1317" s="21">
        <f t="shared" si="260"/>
        <v>36633</v>
      </c>
      <c r="C1317" s="21">
        <f t="shared" si="261"/>
        <v>36697</v>
      </c>
      <c r="D1317" s="1">
        <f t="shared" si="270"/>
        <v>0</v>
      </c>
      <c r="E1317" s="3">
        <f t="array" ref="E1317">INDEX($A$9:A1316, MAX(IF($D$9:D1316=1, ROW(D$9:$D1316)-ROW($D$9)+1, 0)))</f>
        <v>47927</v>
      </c>
      <c r="F1317" s="23">
        <f t="shared" si="262"/>
        <v>5.0102669404517455</v>
      </c>
      <c r="G1317" s="5">
        <f>INDEX('Default Prob'!$P$5:$P$14,MIN(1+_xlfn.IFNA(MATCH(F1317,'Default Prob'!$F$5:$F$14,1),0),COUNT('Default Prob'!$P$5:$P$14)))</f>
        <v>3.22895928960443E-2</v>
      </c>
      <c r="H1317" s="5">
        <f t="shared" si="271"/>
        <v>0.89754066493175855</v>
      </c>
      <c r="I1317" s="24">
        <f t="shared" si="272"/>
        <v>7.9349770692127564E-5</v>
      </c>
      <c r="J1317" s="25">
        <f>INDEX('Default Prob'!$C$3:$C$13, _xlfn.IFNA(MATCH(F1317, 'Default Prob'!$B$3:$B$13, 1), 1))</f>
        <v>2.1100000000000001E-2</v>
      </c>
      <c r="K1317" s="26">
        <f t="shared" si="263"/>
        <v>0.90066962321200239</v>
      </c>
      <c r="L1317" s="27">
        <f t="shared" ca="1" si="264"/>
        <v>0</v>
      </c>
      <c r="M1317" s="27">
        <f t="shared" ca="1" si="265"/>
        <v>1011.2938251630975</v>
      </c>
      <c r="N1317" s="28">
        <f t="shared" ca="1" si="266"/>
        <v>7.2275074355642704E-2</v>
      </c>
      <c r="O1317" s="29">
        <f t="shared" ca="1" si="267"/>
        <v>600000</v>
      </c>
      <c r="P1317" s="30">
        <f t="shared" ca="1" si="268"/>
        <v>42.880756842742393</v>
      </c>
    </row>
    <row r="1318" spans="1:16" x14ac:dyDescent="0.25">
      <c r="A1318" s="3">
        <f t="shared" si="269"/>
        <v>47956</v>
      </c>
      <c r="B1318" s="21">
        <f t="shared" si="260"/>
        <v>36634</v>
      </c>
      <c r="C1318" s="21">
        <f t="shared" si="261"/>
        <v>36697</v>
      </c>
      <c r="D1318" s="1">
        <f t="shared" si="270"/>
        <v>0</v>
      </c>
      <c r="E1318" s="3">
        <f t="array" ref="E1318">INDEX($A$9:A1317, MAX(IF($D$9:D1317=1, ROW(D$9:$D1317)-ROW($D$9)+1, 0)))</f>
        <v>47927</v>
      </c>
      <c r="F1318" s="23">
        <f t="shared" si="262"/>
        <v>5.0130047912388775</v>
      </c>
      <c r="G1318" s="5">
        <f>INDEX('Default Prob'!$P$5:$P$14,MIN(1+_xlfn.IFNA(MATCH(F1318,'Default Prob'!$F$5:$F$14,1),0),COUNT('Default Prob'!$P$5:$P$14)))</f>
        <v>3.22895928960443E-2</v>
      </c>
      <c r="H1318" s="5">
        <f t="shared" si="271"/>
        <v>0.89746132217560037</v>
      </c>
      <c r="I1318" s="24">
        <f t="shared" si="272"/>
        <v>7.9342756158173877E-5</v>
      </c>
      <c r="J1318" s="25">
        <f>INDEX('Default Prob'!$C$3:$C$13, _xlfn.IFNA(MATCH(F1318, 'Default Prob'!$B$3:$B$13, 1), 1))</f>
        <v>2.1100000000000001E-2</v>
      </c>
      <c r="K1318" s="26">
        <f t="shared" si="263"/>
        <v>0.90061813553417869</v>
      </c>
      <c r="L1318" s="27">
        <f t="shared" ca="1" si="264"/>
        <v>0</v>
      </c>
      <c r="M1318" s="27">
        <f t="shared" ca="1" si="265"/>
        <v>1047.4114617760652</v>
      </c>
      <c r="N1318" s="28">
        <f t="shared" ca="1" si="266"/>
        <v>7.484543084012428E-2</v>
      </c>
      <c r="O1318" s="29">
        <f t="shared" ca="1" si="267"/>
        <v>600000</v>
      </c>
      <c r="P1318" s="30">
        <f t="shared" ca="1" si="268"/>
        <v>42.874515071590515</v>
      </c>
    </row>
    <row r="1319" spans="1:16" x14ac:dyDescent="0.25">
      <c r="A1319" s="3">
        <f t="shared" si="269"/>
        <v>47959</v>
      </c>
      <c r="B1319" s="21">
        <f t="shared" si="260"/>
        <v>36637</v>
      </c>
      <c r="C1319" s="21">
        <f t="shared" si="261"/>
        <v>36697</v>
      </c>
      <c r="D1319" s="1">
        <f t="shared" si="270"/>
        <v>0</v>
      </c>
      <c r="E1319" s="3">
        <f t="array" ref="E1319">INDEX($A$9:A1318, MAX(IF($D$9:D1318=1, ROW(D$9:$D1318)-ROW($D$9)+1, 0)))</f>
        <v>47927</v>
      </c>
      <c r="F1319" s="23">
        <f t="shared" si="262"/>
        <v>5.0212183436002737</v>
      </c>
      <c r="G1319" s="5">
        <f>INDEX('Default Prob'!$P$5:$P$14,MIN(1+_xlfn.IFNA(MATCH(F1319,'Default Prob'!$F$5:$F$14,1),0),COUNT('Default Prob'!$P$5:$P$14)))</f>
        <v>3.22895928960443E-2</v>
      </c>
      <c r="H1319" s="5">
        <f t="shared" si="271"/>
        <v>0.89722333598812931</v>
      </c>
      <c r="I1319" s="24">
        <f t="shared" si="272"/>
        <v>2.3798618747106204E-4</v>
      </c>
      <c r="J1319" s="25">
        <f>INDEX('Default Prob'!$C$3:$C$13, _xlfn.IFNA(MATCH(F1319, 'Default Prob'!$B$3:$B$13, 1), 1))</f>
        <v>2.1100000000000001E-2</v>
      </c>
      <c r="K1319" s="26">
        <f t="shared" si="263"/>
        <v>0.90046369016010142</v>
      </c>
      <c r="L1319" s="27">
        <f t="shared" ca="1" si="264"/>
        <v>0</v>
      </c>
      <c r="M1319" s="27">
        <f t="shared" ca="1" si="265"/>
        <v>1155.7643716149685</v>
      </c>
      <c r="N1319" s="28">
        <f t="shared" ca="1" si="266"/>
        <v>0.24767790151444785</v>
      </c>
      <c r="O1319" s="29">
        <f t="shared" ca="1" si="267"/>
        <v>600000</v>
      </c>
      <c r="P1319" s="30">
        <f t="shared" ca="1" si="268"/>
        <v>128.57875234639573</v>
      </c>
    </row>
    <row r="1320" spans="1:16" x14ac:dyDescent="0.25">
      <c r="A1320" s="3">
        <f t="shared" si="269"/>
        <v>47960</v>
      </c>
      <c r="B1320" s="21">
        <f t="shared" si="260"/>
        <v>36638</v>
      </c>
      <c r="C1320" s="21">
        <f t="shared" si="261"/>
        <v>36697</v>
      </c>
      <c r="D1320" s="1">
        <f t="shared" si="270"/>
        <v>0</v>
      </c>
      <c r="E1320" s="3">
        <f t="array" ref="E1320">INDEX($A$9:A1319, MAX(IF($D$9:D1319=1, ROW(D$9:$D1319)-ROW($D$9)+1, 0)))</f>
        <v>47927</v>
      </c>
      <c r="F1320" s="23">
        <f t="shared" si="262"/>
        <v>5.0239561943874058</v>
      </c>
      <c r="G1320" s="5">
        <f>INDEX('Default Prob'!$P$5:$P$14,MIN(1+_xlfn.IFNA(MATCH(F1320,'Default Prob'!$F$5:$F$14,1),0),COUNT('Default Prob'!$P$5:$P$14)))</f>
        <v>3.22895928960443E-2</v>
      </c>
      <c r="H1320" s="5">
        <f t="shared" si="271"/>
        <v>0.89714402128390691</v>
      </c>
      <c r="I1320" s="24">
        <f t="shared" si="272"/>
        <v>7.9314704222399612E-5</v>
      </c>
      <c r="J1320" s="25">
        <f>INDEX('Default Prob'!$C$3:$C$13, _xlfn.IFNA(MATCH(F1320, 'Default Prob'!$B$3:$B$13, 1), 1))</f>
        <v>2.1100000000000001E-2</v>
      </c>
      <c r="K1320" s="26">
        <f t="shared" si="263"/>
        <v>0.9004122142546459</v>
      </c>
      <c r="L1320" s="27">
        <f t="shared" ca="1" si="264"/>
        <v>0</v>
      </c>
      <c r="M1320" s="27">
        <f t="shared" ca="1" si="265"/>
        <v>1191.8820082279362</v>
      </c>
      <c r="N1320" s="28">
        <f t="shared" ca="1" si="266"/>
        <v>8.5119360222645421E-2</v>
      </c>
      <c r="O1320" s="29">
        <f t="shared" ca="1" si="267"/>
        <v>600000</v>
      </c>
      <c r="P1320" s="30">
        <f t="shared" ca="1" si="268"/>
        <v>42.849557071105892</v>
      </c>
    </row>
    <row r="1321" spans="1:16" x14ac:dyDescent="0.25">
      <c r="A1321" s="3">
        <f t="shared" si="269"/>
        <v>47961</v>
      </c>
      <c r="B1321" s="21">
        <f t="shared" si="260"/>
        <v>36639</v>
      </c>
      <c r="C1321" s="21">
        <f t="shared" si="261"/>
        <v>36697</v>
      </c>
      <c r="D1321" s="1">
        <f t="shared" si="270"/>
        <v>0</v>
      </c>
      <c r="E1321" s="3">
        <f t="array" ref="E1321">INDEX($A$9:A1320, MAX(IF($D$9:D1320=1, ROW(D$9:$D1320)-ROW($D$9)+1, 0)))</f>
        <v>47927</v>
      </c>
      <c r="F1321" s="23">
        <f t="shared" si="262"/>
        <v>5.0266940451745379</v>
      </c>
      <c r="G1321" s="5">
        <f>INDEX('Default Prob'!$P$5:$P$14,MIN(1+_xlfn.IFNA(MATCH(F1321,'Default Prob'!$F$5:$F$14,1),0),COUNT('Default Prob'!$P$5:$P$14)))</f>
        <v>3.22895928960443E-2</v>
      </c>
      <c r="H1321" s="5">
        <f t="shared" si="271"/>
        <v>0.89706471359111861</v>
      </c>
      <c r="I1321" s="24">
        <f t="shared" si="272"/>
        <v>7.9307692788299633E-5</v>
      </c>
      <c r="J1321" s="25">
        <f>INDEX('Default Prob'!$C$3:$C$13, _xlfn.IFNA(MATCH(F1321, 'Default Prob'!$B$3:$B$13, 1), 1))</f>
        <v>2.1100000000000001E-2</v>
      </c>
      <c r="K1321" s="26">
        <f t="shared" si="263"/>
        <v>0.90036074129186228</v>
      </c>
      <c r="L1321" s="27">
        <f t="shared" ca="1" si="264"/>
        <v>0</v>
      </c>
      <c r="M1321" s="27">
        <f t="shared" ca="1" si="265"/>
        <v>1227.9996448409042</v>
      </c>
      <c r="N1321" s="28">
        <f t="shared" ca="1" si="266"/>
        <v>8.7685969248432916E-2</v>
      </c>
      <c r="O1321" s="29">
        <f t="shared" ca="1" si="267"/>
        <v>600000</v>
      </c>
      <c r="P1321" s="30">
        <f t="shared" ca="1" si="268"/>
        <v>42.843319841412445</v>
      </c>
    </row>
    <row r="1322" spans="1:16" x14ac:dyDescent="0.25">
      <c r="A1322" s="3">
        <f t="shared" si="269"/>
        <v>47962</v>
      </c>
      <c r="B1322" s="21">
        <f t="shared" si="260"/>
        <v>36640</v>
      </c>
      <c r="C1322" s="21">
        <f t="shared" si="261"/>
        <v>36697</v>
      </c>
      <c r="D1322" s="1">
        <f t="shared" si="270"/>
        <v>0</v>
      </c>
      <c r="E1322" s="3">
        <f t="array" ref="E1322">INDEX($A$9:A1321, MAX(IF($D$9:D1321=1, ROW(D$9:$D1321)-ROW($D$9)+1, 0)))</f>
        <v>47927</v>
      </c>
      <c r="F1322" s="23">
        <f t="shared" si="262"/>
        <v>5.02943189596167</v>
      </c>
      <c r="G1322" s="5">
        <f>INDEX('Default Prob'!$P$5:$P$14,MIN(1+_xlfn.IFNA(MATCH(F1322,'Default Prob'!$F$5:$F$14,1),0),COUNT('Default Prob'!$P$5:$P$14)))</f>
        <v>3.22895928960443E-2</v>
      </c>
      <c r="H1322" s="5">
        <f t="shared" si="271"/>
        <v>0.89698541290914457</v>
      </c>
      <c r="I1322" s="24">
        <f t="shared" si="272"/>
        <v>7.9300681974037168E-5</v>
      </c>
      <c r="J1322" s="25">
        <f>INDEX('Default Prob'!$C$3:$C$13, _xlfn.IFNA(MATCH(F1322, 'Default Prob'!$B$3:$B$13, 1), 1))</f>
        <v>2.1100000000000001E-2</v>
      </c>
      <c r="K1322" s="26">
        <f t="shared" si="263"/>
        <v>0.90030927127158178</v>
      </c>
      <c r="L1322" s="27">
        <f t="shared" ca="1" si="264"/>
        <v>0</v>
      </c>
      <c r="M1322" s="27">
        <f t="shared" ca="1" si="265"/>
        <v>1264.1172814538718</v>
      </c>
      <c r="N1322" s="28">
        <f t="shared" ca="1" si="266"/>
        <v>9.0251829273747156E-2</v>
      </c>
      <c r="O1322" s="29">
        <f t="shared" ca="1" si="267"/>
        <v>600000</v>
      </c>
      <c r="P1322" s="30">
        <f t="shared" ca="1" si="268"/>
        <v>42.837083519630916</v>
      </c>
    </row>
    <row r="1323" spans="1:16" x14ac:dyDescent="0.25">
      <c r="A1323" s="3">
        <f t="shared" si="269"/>
        <v>47963</v>
      </c>
      <c r="B1323" s="21">
        <f t="shared" si="260"/>
        <v>36641</v>
      </c>
      <c r="C1323" s="21">
        <f t="shared" si="261"/>
        <v>36697</v>
      </c>
      <c r="D1323" s="1">
        <f t="shared" si="270"/>
        <v>0</v>
      </c>
      <c r="E1323" s="3">
        <f t="array" ref="E1323">INDEX($A$9:A1322, MAX(IF($D$9:D1322=1, ROW(D$9:$D1322)-ROW($D$9)+1, 0)))</f>
        <v>47927</v>
      </c>
      <c r="F1323" s="23">
        <f t="shared" si="262"/>
        <v>5.032169746748802</v>
      </c>
      <c r="G1323" s="5">
        <f>INDEX('Default Prob'!$P$5:$P$14,MIN(1+_xlfn.IFNA(MATCH(F1323,'Default Prob'!$F$5:$F$14,1),0),COUNT('Default Prob'!$P$5:$P$14)))</f>
        <v>3.22895928960443E-2</v>
      </c>
      <c r="H1323" s="5">
        <f t="shared" si="271"/>
        <v>0.89690611923736507</v>
      </c>
      <c r="I1323" s="24">
        <f t="shared" si="272"/>
        <v>7.9293671779501196E-5</v>
      </c>
      <c r="J1323" s="25">
        <f>INDEX('Default Prob'!$C$3:$C$13, _xlfn.IFNA(MATCH(F1323, 'Default Prob'!$B$3:$B$13, 1), 1))</f>
        <v>2.1100000000000001E-2</v>
      </c>
      <c r="K1323" s="26">
        <f t="shared" si="263"/>
        <v>0.90025780419363632</v>
      </c>
      <c r="L1323" s="27">
        <f t="shared" ca="1" si="264"/>
        <v>0</v>
      </c>
      <c r="M1323" s="27">
        <f t="shared" ca="1" si="265"/>
        <v>1300.2349180668396</v>
      </c>
      <c r="N1323" s="28">
        <f t="shared" ca="1" si="266"/>
        <v>9.2816940462194159E-2</v>
      </c>
      <c r="O1323" s="29">
        <f t="shared" ca="1" si="267"/>
        <v>600000</v>
      </c>
      <c r="P1323" s="30">
        <f t="shared" ca="1" si="268"/>
        <v>42.83084810559879</v>
      </c>
    </row>
    <row r="1324" spans="1:16" x14ac:dyDescent="0.25">
      <c r="A1324" s="3">
        <f t="shared" si="269"/>
        <v>47966</v>
      </c>
      <c r="B1324" s="21">
        <f t="shared" si="260"/>
        <v>36644</v>
      </c>
      <c r="C1324" s="21">
        <f t="shared" si="261"/>
        <v>36697</v>
      </c>
      <c r="D1324" s="1">
        <f t="shared" si="270"/>
        <v>0</v>
      </c>
      <c r="E1324" s="3">
        <f t="array" ref="E1324">INDEX($A$9:A1323, MAX(IF($D$9:D1323=1, ROW(D$9:$D1323)-ROW($D$9)+1, 0)))</f>
        <v>47927</v>
      </c>
      <c r="F1324" s="23">
        <f t="shared" si="262"/>
        <v>5.0403832991101982</v>
      </c>
      <c r="G1324" s="5">
        <f>INDEX('Default Prob'!$P$5:$P$14,MIN(1+_xlfn.IFNA(MATCH(F1324,'Default Prob'!$F$5:$F$14,1),0),COUNT('Default Prob'!$P$5:$P$14)))</f>
        <v>3.22895928960443E-2</v>
      </c>
      <c r="H1324" s="5">
        <f t="shared" si="271"/>
        <v>0.89666828027699708</v>
      </c>
      <c r="I1324" s="24">
        <f t="shared" si="272"/>
        <v>2.3783896036799757E-4</v>
      </c>
      <c r="J1324" s="25">
        <f>INDEX('Default Prob'!$C$3:$C$13, _xlfn.IFNA(MATCH(F1324, 'Default Prob'!$B$3:$B$13, 1), 1))</f>
        <v>2.1100000000000001E-2</v>
      </c>
      <c r="K1324" s="26">
        <f t="shared" si="263"/>
        <v>0.90010342061212845</v>
      </c>
      <c r="L1324" s="27">
        <f t="shared" ca="1" si="264"/>
        <v>0</v>
      </c>
      <c r="M1324" s="27">
        <f t="shared" ca="1" si="265"/>
        <v>1408.5878279057429</v>
      </c>
      <c r="N1324" s="28">
        <f t="shared" ca="1" si="266"/>
        <v>0.30155000578839791</v>
      </c>
      <c r="O1324" s="29">
        <f t="shared" ca="1" si="267"/>
        <v>600000</v>
      </c>
      <c r="P1324" s="30">
        <f t="shared" ca="1" si="268"/>
        <v>128.44779706924024</v>
      </c>
    </row>
    <row r="1325" spans="1:16" x14ac:dyDescent="0.25">
      <c r="A1325" s="3">
        <f t="shared" si="269"/>
        <v>47967</v>
      </c>
      <c r="B1325" s="21">
        <f t="shared" si="260"/>
        <v>36645</v>
      </c>
      <c r="C1325" s="21">
        <f t="shared" si="261"/>
        <v>36697</v>
      </c>
      <c r="D1325" s="1">
        <f t="shared" si="270"/>
        <v>0</v>
      </c>
      <c r="E1325" s="3">
        <f t="array" ref="E1325">INDEX($A$9:A1324, MAX(IF($D$9:D1324=1, ROW(D$9:$D1324)-ROW($D$9)+1, 0)))</f>
        <v>47927</v>
      </c>
      <c r="F1325" s="23">
        <f t="shared" si="262"/>
        <v>5.0431211498973303</v>
      </c>
      <c r="G1325" s="5">
        <f>INDEX('Default Prob'!$P$5:$P$14,MIN(1+_xlfn.IFNA(MATCH(F1325,'Default Prob'!$F$5:$F$14,1),0),COUNT('Default Prob'!$P$5:$P$14)))</f>
        <v>3.22895928960443E-2</v>
      </c>
      <c r="H1325" s="5">
        <f t="shared" si="271"/>
        <v>0.89658901463979934</v>
      </c>
      <c r="I1325" s="24">
        <f t="shared" si="272"/>
        <v>7.9265637197734051E-5</v>
      </c>
      <c r="J1325" s="25">
        <f>INDEX('Default Prob'!$C$3:$C$13, _xlfn.IFNA(MATCH(F1325, 'Default Prob'!$B$3:$B$13, 1), 1))</f>
        <v>2.1100000000000001E-2</v>
      </c>
      <c r="K1325" s="26">
        <f t="shared" si="263"/>
        <v>0.90005196530184151</v>
      </c>
      <c r="L1325" s="27">
        <f t="shared" ca="1" si="264"/>
        <v>0</v>
      </c>
      <c r="M1325" s="27">
        <f t="shared" ca="1" si="265"/>
        <v>1444.7054645187106</v>
      </c>
      <c r="N1325" s="28">
        <f t="shared" ca="1" si="266"/>
        <v>0.10306990011979345</v>
      </c>
      <c r="O1325" s="29">
        <f t="shared" ca="1" si="267"/>
        <v>600000</v>
      </c>
      <c r="P1325" s="30">
        <f t="shared" ca="1" si="268"/>
        <v>42.805915524433971</v>
      </c>
    </row>
    <row r="1326" spans="1:16" x14ac:dyDescent="0.25">
      <c r="A1326" s="3">
        <f t="shared" si="269"/>
        <v>47968</v>
      </c>
      <c r="B1326" s="21">
        <f t="shared" si="260"/>
        <v>36646</v>
      </c>
      <c r="C1326" s="21">
        <f t="shared" si="261"/>
        <v>36697</v>
      </c>
      <c r="D1326" s="1">
        <f t="shared" si="270"/>
        <v>0</v>
      </c>
      <c r="E1326" s="3">
        <f t="array" ref="E1326">INDEX($A$9:A1325, MAX(IF($D$9:D1325=1, ROW(D$9:$D1325)-ROW($D$9)+1, 0)))</f>
        <v>47927</v>
      </c>
      <c r="F1326" s="23">
        <f t="shared" si="262"/>
        <v>5.0458590006844624</v>
      </c>
      <c r="G1326" s="5">
        <f>INDEX('Default Prob'!$P$5:$P$14,MIN(1+_xlfn.IFNA(MATCH(F1326,'Default Prob'!$F$5:$F$14,1),0),COUNT('Default Prob'!$P$5:$P$14)))</f>
        <v>3.22895928960443E-2</v>
      </c>
      <c r="H1326" s="5">
        <f t="shared" si="271"/>
        <v>0.89650975600969818</v>
      </c>
      <c r="I1326" s="24">
        <f t="shared" si="272"/>
        <v>7.9258630101164407E-5</v>
      </c>
      <c r="J1326" s="25">
        <f>INDEX('Default Prob'!$C$3:$C$13, _xlfn.IFNA(MATCH(F1326, 'Default Prob'!$B$3:$B$13, 1), 1))</f>
        <v>2.1100000000000001E-2</v>
      </c>
      <c r="K1326" s="26">
        <f t="shared" si="263"/>
        <v>0.90000051293304861</v>
      </c>
      <c r="L1326" s="27">
        <f t="shared" ca="1" si="264"/>
        <v>0</v>
      </c>
      <c r="M1326" s="27">
        <f t="shared" ca="1" si="265"/>
        <v>1480.8231011316784</v>
      </c>
      <c r="N1326" s="28">
        <f t="shared" ca="1" si="266"/>
        <v>0.10563126957800077</v>
      </c>
      <c r="O1326" s="29">
        <f t="shared" ca="1" si="267"/>
        <v>600000</v>
      </c>
      <c r="P1326" s="30">
        <f t="shared" ca="1" si="268"/>
        <v>42.79968464725124</v>
      </c>
    </row>
    <row r="1327" spans="1:16" x14ac:dyDescent="0.25">
      <c r="A1327" s="3">
        <f t="shared" si="269"/>
        <v>47969</v>
      </c>
      <c r="B1327" s="21">
        <f t="shared" si="260"/>
        <v>36647</v>
      </c>
      <c r="C1327" s="21">
        <f t="shared" si="261"/>
        <v>36697</v>
      </c>
      <c r="D1327" s="1">
        <f t="shared" si="270"/>
        <v>0</v>
      </c>
      <c r="E1327" s="3">
        <f t="array" ref="E1327">INDEX($A$9:A1326, MAX(IF($D$9:D1326=1, ROW(D$9:$D1326)-ROW($D$9)+1, 0)))</f>
        <v>47927</v>
      </c>
      <c r="F1327" s="23">
        <f t="shared" si="262"/>
        <v>5.0485968514715944</v>
      </c>
      <c r="G1327" s="5">
        <f>INDEX('Default Prob'!$P$5:$P$14,MIN(1+_xlfn.IFNA(MATCH(F1327,'Default Prob'!$F$5:$F$14,1),0),COUNT('Default Prob'!$P$5:$P$14)))</f>
        <v>3.22895928960443E-2</v>
      </c>
      <c r="H1327" s="5">
        <f t="shared" si="271"/>
        <v>0.89643050438607408</v>
      </c>
      <c r="I1327" s="24">
        <f t="shared" si="272"/>
        <v>7.925162362409921E-5</v>
      </c>
      <c r="J1327" s="25">
        <f>INDEX('Default Prob'!$C$3:$C$13, _xlfn.IFNA(MATCH(F1327, 'Default Prob'!$B$3:$B$13, 1), 1))</f>
        <v>2.1100000000000001E-2</v>
      </c>
      <c r="K1327" s="26">
        <f t="shared" si="263"/>
        <v>0.89994906350558168</v>
      </c>
      <c r="L1327" s="27">
        <f t="shared" ca="1" si="264"/>
        <v>0</v>
      </c>
      <c r="M1327" s="27">
        <f t="shared" ca="1" si="265"/>
        <v>1516.9407377446464</v>
      </c>
      <c r="N1327" s="28">
        <f t="shared" ca="1" si="266"/>
        <v>0.10819189118082717</v>
      </c>
      <c r="O1327" s="29">
        <f t="shared" ca="1" si="267"/>
        <v>600000</v>
      </c>
      <c r="P1327" s="30">
        <f t="shared" ca="1" si="268"/>
        <v>42.793454677082948</v>
      </c>
    </row>
    <row r="1328" spans="1:16" x14ac:dyDescent="0.25">
      <c r="A1328" s="3">
        <f t="shared" si="269"/>
        <v>47970</v>
      </c>
      <c r="B1328" s="21">
        <f t="shared" si="260"/>
        <v>36648</v>
      </c>
      <c r="C1328" s="21">
        <f t="shared" si="261"/>
        <v>36697</v>
      </c>
      <c r="D1328" s="1">
        <f t="shared" si="270"/>
        <v>0</v>
      </c>
      <c r="E1328" s="3">
        <f t="array" ref="E1328">INDEX($A$9:A1327, MAX(IF($D$9:D1327=1, ROW(D$9:$D1327)-ROW($D$9)+1, 0)))</f>
        <v>47927</v>
      </c>
      <c r="F1328" s="23">
        <f t="shared" si="262"/>
        <v>5.0513347022587265</v>
      </c>
      <c r="G1328" s="5">
        <f>INDEX('Default Prob'!$P$5:$P$14,MIN(1+_xlfn.IFNA(MATCH(F1328,'Default Prob'!$F$5:$F$14,1),0),COUNT('Default Prob'!$P$5:$P$14)))</f>
        <v>3.22895928960443E-2</v>
      </c>
      <c r="H1328" s="5">
        <f t="shared" si="271"/>
        <v>0.89635125976830776</v>
      </c>
      <c r="I1328" s="24">
        <f t="shared" si="272"/>
        <v>7.9244617766316416E-5</v>
      </c>
      <c r="J1328" s="25">
        <f>INDEX('Default Prob'!$C$3:$C$13, _xlfn.IFNA(MATCH(F1328, 'Default Prob'!$B$3:$B$13, 1), 1))</f>
        <v>2.1100000000000001E-2</v>
      </c>
      <c r="K1328" s="26">
        <f t="shared" si="263"/>
        <v>0.89989761701927262</v>
      </c>
      <c r="L1328" s="27">
        <f t="shared" ca="1" si="264"/>
        <v>0</v>
      </c>
      <c r="M1328" s="27">
        <f t="shared" ca="1" si="265"/>
        <v>1553.0583743576142</v>
      </c>
      <c r="N1328" s="28">
        <f t="shared" ca="1" si="266"/>
        <v>0.11075176509149313</v>
      </c>
      <c r="O1328" s="29">
        <f t="shared" ca="1" si="267"/>
        <v>600000</v>
      </c>
      <c r="P1328" s="30">
        <f t="shared" ca="1" si="268"/>
        <v>42.787225613706752</v>
      </c>
    </row>
    <row r="1329" spans="1:16" x14ac:dyDescent="0.25">
      <c r="A1329" s="3">
        <f t="shared" si="269"/>
        <v>47973</v>
      </c>
      <c r="B1329" s="21">
        <f t="shared" si="260"/>
        <v>36651</v>
      </c>
      <c r="C1329" s="21">
        <f t="shared" si="261"/>
        <v>36697</v>
      </c>
      <c r="D1329" s="1">
        <f t="shared" si="270"/>
        <v>0</v>
      </c>
      <c r="E1329" s="3">
        <f t="array" ref="E1329">INDEX($A$9:A1328, MAX(IF($D$9:D1328=1, ROW(D$9:$D1328)-ROW($D$9)+1, 0)))</f>
        <v>47927</v>
      </c>
      <c r="F1329" s="23">
        <f t="shared" si="262"/>
        <v>5.0595482546201236</v>
      </c>
      <c r="G1329" s="5">
        <f>INDEX('Default Prob'!$P$5:$P$14,MIN(1+_xlfn.IFNA(MATCH(F1329,'Default Prob'!$F$5:$F$14,1),0),COUNT('Default Prob'!$P$5:$P$14)))</f>
        <v>3.22895928960443E-2</v>
      </c>
      <c r="H1329" s="5">
        <f t="shared" si="271"/>
        <v>0.89611356794396246</v>
      </c>
      <c r="I1329" s="24">
        <f t="shared" si="272"/>
        <v>2.3769182434529856E-4</v>
      </c>
      <c r="J1329" s="25">
        <f>INDEX('Default Prob'!$C$3:$C$13, _xlfn.IFNA(MATCH(F1329, 'Default Prob'!$B$3:$B$13, 1), 1))</f>
        <v>2.1100000000000001E-2</v>
      </c>
      <c r="K1329" s="26">
        <f t="shared" si="263"/>
        <v>0.89974329520561147</v>
      </c>
      <c r="L1329" s="27">
        <f t="shared" ca="1" si="264"/>
        <v>0</v>
      </c>
      <c r="M1329" s="27">
        <f t="shared" ca="1" si="265"/>
        <v>1661.4112841965173</v>
      </c>
      <c r="N1329" s="28">
        <f t="shared" ca="1" si="266"/>
        <v>0.35531211749658698</v>
      </c>
      <c r="O1329" s="29">
        <f t="shared" ca="1" si="267"/>
        <v>600000</v>
      </c>
      <c r="P1329" s="30">
        <f t="shared" ca="1" si="268"/>
        <v>128.3169751679234</v>
      </c>
    </row>
    <row r="1330" spans="1:16" x14ac:dyDescent="0.25">
      <c r="A1330" s="3">
        <f t="shared" si="269"/>
        <v>47974</v>
      </c>
      <c r="B1330" s="21">
        <f t="shared" si="260"/>
        <v>36652</v>
      </c>
      <c r="C1330" s="21">
        <f t="shared" si="261"/>
        <v>36697</v>
      </c>
      <c r="D1330" s="1">
        <f t="shared" si="270"/>
        <v>0</v>
      </c>
      <c r="E1330" s="3">
        <f t="array" ref="E1330">INDEX($A$9:A1329, MAX(IF($D$9:D1329=1, ROW(D$9:$D1329)-ROW($D$9)+1, 0)))</f>
        <v>47927</v>
      </c>
      <c r="F1330" s="23">
        <f t="shared" si="262"/>
        <v>5.0622861054072557</v>
      </c>
      <c r="G1330" s="5">
        <f>INDEX('Default Prob'!$P$5:$P$14,MIN(1+_xlfn.IFNA(MATCH(F1330,'Default Prob'!$F$5:$F$14,1),0),COUNT('Default Prob'!$P$5:$P$14)))</f>
        <v>3.22895928960443E-2</v>
      </c>
      <c r="H1330" s="5">
        <f t="shared" si="271"/>
        <v>0.89603435134343468</v>
      </c>
      <c r="I1330" s="24">
        <f t="shared" si="272"/>
        <v>7.9216600527787229E-5</v>
      </c>
      <c r="J1330" s="25">
        <f>INDEX('Default Prob'!$C$3:$C$13, _xlfn.IFNA(MATCH(F1330, 'Default Prob'!$B$3:$B$13, 1), 1))</f>
        <v>2.1100000000000001E-2</v>
      </c>
      <c r="K1330" s="26">
        <f t="shared" si="263"/>
        <v>0.89969186048225269</v>
      </c>
      <c r="L1330" s="27">
        <f t="shared" ca="1" si="264"/>
        <v>0</v>
      </c>
      <c r="M1330" s="27">
        <f t="shared" ca="1" si="265"/>
        <v>1697.528920809485</v>
      </c>
      <c r="N1330" s="28">
        <f t="shared" ca="1" si="266"/>
        <v>0.12098378708153705</v>
      </c>
      <c r="O1330" s="29">
        <f t="shared" ca="1" si="267"/>
        <v>600000</v>
      </c>
      <c r="P1330" s="30">
        <f t="shared" ca="1" si="268"/>
        <v>42.762318425954575</v>
      </c>
    </row>
    <row r="1331" spans="1:16" x14ac:dyDescent="0.25">
      <c r="A1331" s="3">
        <f t="shared" si="269"/>
        <v>47975</v>
      </c>
      <c r="B1331" s="21">
        <f t="shared" si="260"/>
        <v>36653</v>
      </c>
      <c r="C1331" s="21">
        <f t="shared" si="261"/>
        <v>36697</v>
      </c>
      <c r="D1331" s="1">
        <f t="shared" si="270"/>
        <v>0</v>
      </c>
      <c r="E1331" s="3">
        <f t="array" ref="E1331">INDEX($A$9:A1330, MAX(IF($D$9:D1330=1, ROW(D$9:$D1330)-ROW($D$9)+1, 0)))</f>
        <v>47927</v>
      </c>
      <c r="F1331" s="23">
        <f t="shared" si="262"/>
        <v>5.0650239561943877</v>
      </c>
      <c r="G1331" s="5">
        <f>INDEX('Default Prob'!$P$5:$P$14,MIN(1+_xlfn.IFNA(MATCH(F1331,'Default Prob'!$F$5:$F$14,1),0),COUNT('Default Prob'!$P$5:$P$14)))</f>
        <v>3.22895928960443E-2</v>
      </c>
      <c r="H1331" s="5">
        <f t="shared" si="271"/>
        <v>0.89595514174566859</v>
      </c>
      <c r="I1331" s="24">
        <f t="shared" si="272"/>
        <v>7.9209597766083384E-5</v>
      </c>
      <c r="J1331" s="25">
        <f>INDEX('Default Prob'!$C$3:$C$13, _xlfn.IFNA(MATCH(F1331, 'Default Prob'!$B$3:$B$13, 1), 1))</f>
        <v>2.1100000000000001E-2</v>
      </c>
      <c r="K1331" s="26">
        <f t="shared" si="263"/>
        <v>0.89964042869921113</v>
      </c>
      <c r="L1331" s="27">
        <f t="shared" ca="1" si="264"/>
        <v>0</v>
      </c>
      <c r="M1331" s="27">
        <f t="shared" ca="1" si="265"/>
        <v>1733.646557422453</v>
      </c>
      <c r="N1331" s="28">
        <f t="shared" ca="1" si="266"/>
        <v>0.12353992498265118</v>
      </c>
      <c r="O1331" s="29">
        <f t="shared" ca="1" si="267"/>
        <v>600000</v>
      </c>
      <c r="P1331" s="30">
        <f t="shared" ca="1" si="268"/>
        <v>42.756093894822797</v>
      </c>
    </row>
    <row r="1332" spans="1:16" x14ac:dyDescent="0.25">
      <c r="A1332" s="3">
        <f t="shared" si="269"/>
        <v>47976</v>
      </c>
      <c r="B1332" s="21">
        <f t="shared" si="260"/>
        <v>36654</v>
      </c>
      <c r="C1332" s="21">
        <f t="shared" si="261"/>
        <v>36697</v>
      </c>
      <c r="D1332" s="1">
        <f t="shared" si="270"/>
        <v>0</v>
      </c>
      <c r="E1332" s="3">
        <f t="array" ref="E1332">INDEX($A$9:A1331, MAX(IF($D$9:D1331=1, ROW(D$9:$D1331)-ROW($D$9)+1, 0)))</f>
        <v>47927</v>
      </c>
      <c r="F1332" s="23">
        <f t="shared" si="262"/>
        <v>5.0677618069815198</v>
      </c>
      <c r="G1332" s="5">
        <f>INDEX('Default Prob'!$P$5:$P$14,MIN(1+_xlfn.IFNA(MATCH(F1332,'Default Prob'!$F$5:$F$14,1),0),COUNT('Default Prob'!$P$5:$P$14)))</f>
        <v>3.22895928960443E-2</v>
      </c>
      <c r="H1332" s="5">
        <f t="shared" si="271"/>
        <v>0.89587593915004515</v>
      </c>
      <c r="I1332" s="24">
        <f t="shared" si="272"/>
        <v>7.9202595623439898E-5</v>
      </c>
      <c r="J1332" s="25">
        <f>INDEX('Default Prob'!$C$3:$C$13, _xlfn.IFNA(MATCH(F1332, 'Default Prob'!$B$3:$B$13, 1), 1))</f>
        <v>2.1100000000000001E-2</v>
      </c>
      <c r="K1332" s="26">
        <f t="shared" si="263"/>
        <v>0.89958899985631879</v>
      </c>
      <c r="L1332" s="27">
        <f t="shared" ca="1" si="264"/>
        <v>0</v>
      </c>
      <c r="M1332" s="27">
        <f t="shared" ca="1" si="265"/>
        <v>1769.7641940354208</v>
      </c>
      <c r="N1332" s="28">
        <f t="shared" ca="1" si="266"/>
        <v>0.12609531617176811</v>
      </c>
      <c r="O1332" s="29">
        <f t="shared" ca="1" si="267"/>
        <v>600000</v>
      </c>
      <c r="P1332" s="30">
        <f t="shared" ca="1" si="268"/>
        <v>42.749870269748847</v>
      </c>
    </row>
    <row r="1333" spans="1:16" x14ac:dyDescent="0.25">
      <c r="A1333" s="3">
        <f t="shared" si="269"/>
        <v>47977</v>
      </c>
      <c r="B1333" s="21">
        <f t="shared" si="260"/>
        <v>36655</v>
      </c>
      <c r="C1333" s="21">
        <f t="shared" si="261"/>
        <v>36697</v>
      </c>
      <c r="D1333" s="1">
        <f t="shared" si="270"/>
        <v>0</v>
      </c>
      <c r="E1333" s="3">
        <f t="array" ref="E1333">INDEX($A$9:A1332, MAX(IF($D$9:D1332=1, ROW(D$9:$D1332)-ROW($D$9)+1, 0)))</f>
        <v>47927</v>
      </c>
      <c r="F1333" s="23">
        <f t="shared" si="262"/>
        <v>5.0704996577686519</v>
      </c>
      <c r="G1333" s="5">
        <f>INDEX('Default Prob'!$P$5:$P$14,MIN(1+_xlfn.IFNA(MATCH(F1333,'Default Prob'!$F$5:$F$14,1),0),COUNT('Default Prob'!$P$5:$P$14)))</f>
        <v>3.22895928960443E-2</v>
      </c>
      <c r="H1333" s="5">
        <f t="shared" si="271"/>
        <v>0.89579674355594541</v>
      </c>
      <c r="I1333" s="24">
        <f t="shared" si="272"/>
        <v>7.9195594099745747E-5</v>
      </c>
      <c r="J1333" s="25">
        <f>INDEX('Default Prob'!$C$3:$C$13, _xlfn.IFNA(MATCH(F1333, 'Default Prob'!$B$3:$B$13, 1), 1))</f>
        <v>2.1100000000000001E-2</v>
      </c>
      <c r="K1333" s="26">
        <f t="shared" si="263"/>
        <v>0.89953757395340761</v>
      </c>
      <c r="L1333" s="27">
        <f t="shared" ca="1" si="264"/>
        <v>0</v>
      </c>
      <c r="M1333" s="27">
        <f t="shared" ca="1" si="265"/>
        <v>1805.8818306483884</v>
      </c>
      <c r="N1333" s="28">
        <f t="shared" ca="1" si="266"/>
        <v>0.12864996081202279</v>
      </c>
      <c r="O1333" s="29">
        <f t="shared" ca="1" si="267"/>
        <v>600000</v>
      </c>
      <c r="P1333" s="30">
        <f t="shared" ca="1" si="268"/>
        <v>42.743647550570458</v>
      </c>
    </row>
    <row r="1334" spans="1:16" x14ac:dyDescent="0.25">
      <c r="A1334" s="3">
        <f t="shared" si="269"/>
        <v>47980</v>
      </c>
      <c r="B1334" s="21">
        <f t="shared" si="260"/>
        <v>36658</v>
      </c>
      <c r="C1334" s="21">
        <f t="shared" si="261"/>
        <v>36697</v>
      </c>
      <c r="D1334" s="1">
        <f t="shared" si="270"/>
        <v>0</v>
      </c>
      <c r="E1334" s="3">
        <f t="array" ref="E1334">INDEX($A$9:A1333, MAX(IF($D$9:D1333=1, ROW(D$9:$D1333)-ROW($D$9)+1, 0)))</f>
        <v>47927</v>
      </c>
      <c r="F1334" s="23">
        <f t="shared" si="262"/>
        <v>5.0787132101300481</v>
      </c>
      <c r="G1334" s="5">
        <f>INDEX('Default Prob'!$P$5:$P$14,MIN(1+_xlfn.IFNA(MATCH(F1334,'Default Prob'!$F$5:$F$14,1),0),COUNT('Default Prob'!$P$5:$P$14)))</f>
        <v>3.22895928960443E-2</v>
      </c>
      <c r="H1334" s="5">
        <f t="shared" si="271"/>
        <v>0.89555919877659929</v>
      </c>
      <c r="I1334" s="24">
        <f t="shared" si="272"/>
        <v>2.3754477934612162E-4</v>
      </c>
      <c r="J1334" s="25">
        <f>INDEX('Default Prob'!$C$3:$C$13, _xlfn.IFNA(MATCH(F1334, 'Default Prob'!$B$3:$B$13, 1), 1))</f>
        <v>2.1100000000000001E-2</v>
      </c>
      <c r="K1334" s="26">
        <f t="shared" si="263"/>
        <v>0.89938331388288018</v>
      </c>
      <c r="L1334" s="27">
        <f t="shared" ca="1" si="264"/>
        <v>0</v>
      </c>
      <c r="M1334" s="27">
        <f t="shared" ca="1" si="265"/>
        <v>1914.2347404872917</v>
      </c>
      <c r="N1334" s="28">
        <f t="shared" ca="1" si="266"/>
        <v>0.40896440480747442</v>
      </c>
      <c r="O1334" s="29">
        <f t="shared" ca="1" si="267"/>
        <v>600000</v>
      </c>
      <c r="P1334" s="30">
        <f t="shared" ca="1" si="268"/>
        <v>128.18628650633542</v>
      </c>
    </row>
    <row r="1335" spans="1:16" x14ac:dyDescent="0.25">
      <c r="A1335" s="3">
        <f t="shared" si="269"/>
        <v>47981</v>
      </c>
      <c r="B1335" s="21">
        <f t="shared" si="260"/>
        <v>36659</v>
      </c>
      <c r="C1335" s="21">
        <f t="shared" si="261"/>
        <v>36697</v>
      </c>
      <c r="D1335" s="1">
        <f t="shared" si="270"/>
        <v>0</v>
      </c>
      <c r="E1335" s="3">
        <f t="array" ref="E1335">INDEX($A$9:A1334, MAX(IF($D$9:D1334=1, ROW(D$9:$D1334)-ROW($D$9)+1, 0)))</f>
        <v>47927</v>
      </c>
      <c r="F1335" s="23">
        <f t="shared" si="262"/>
        <v>5.0814510609171801</v>
      </c>
      <c r="G1335" s="5">
        <f>INDEX('Default Prob'!$P$5:$P$14,MIN(1+_xlfn.IFNA(MATCH(F1335,'Default Prob'!$F$5:$F$14,1),0),COUNT('Default Prob'!$P$5:$P$14)))</f>
        <v>3.22895928960443E-2</v>
      </c>
      <c r="H1335" s="5">
        <f t="shared" si="271"/>
        <v>0.8954800311824056</v>
      </c>
      <c r="I1335" s="24">
        <f t="shared" si="272"/>
        <v>7.9167594193685353E-5</v>
      </c>
      <c r="J1335" s="25">
        <f>INDEX('Default Prob'!$C$3:$C$13, _xlfn.IFNA(MATCH(F1335, 'Default Prob'!$B$3:$B$13, 1), 1))</f>
        <v>2.1100000000000001E-2</v>
      </c>
      <c r="K1335" s="26">
        <f t="shared" si="263"/>
        <v>0.89933189973821293</v>
      </c>
      <c r="L1335" s="27">
        <f t="shared" ca="1" si="264"/>
        <v>0</v>
      </c>
      <c r="M1335" s="27">
        <f t="shared" ca="1" si="265"/>
        <v>1950.3523771002592</v>
      </c>
      <c r="N1335" s="28">
        <f t="shared" ca="1" si="266"/>
        <v>0.13886107714828425</v>
      </c>
      <c r="O1335" s="29">
        <f t="shared" ca="1" si="267"/>
        <v>600000</v>
      </c>
      <c r="P1335" s="30">
        <f t="shared" ca="1" si="268"/>
        <v>42.718765730346576</v>
      </c>
    </row>
    <row r="1336" spans="1:16" x14ac:dyDescent="0.25">
      <c r="A1336" s="3">
        <f t="shared" si="269"/>
        <v>47982</v>
      </c>
      <c r="B1336" s="21">
        <f t="shared" si="260"/>
        <v>36660</v>
      </c>
      <c r="C1336" s="21">
        <f t="shared" si="261"/>
        <v>36697</v>
      </c>
      <c r="D1336" s="1">
        <f t="shared" si="270"/>
        <v>0</v>
      </c>
      <c r="E1336" s="3">
        <f t="array" ref="E1336">INDEX($A$9:A1335, MAX(IF($D$9:D1335=1, ROW(D$9:$D1335)-ROW($D$9)+1, 0)))</f>
        <v>47927</v>
      </c>
      <c r="F1336" s="23">
        <f t="shared" si="262"/>
        <v>5.0841889117043122</v>
      </c>
      <c r="G1336" s="5">
        <f>INDEX('Default Prob'!$P$5:$P$14,MIN(1+_xlfn.IFNA(MATCH(F1336,'Default Prob'!$F$5:$F$14,1),0),COUNT('Default Prob'!$P$5:$P$14)))</f>
        <v>3.22895928960443E-2</v>
      </c>
      <c r="H1336" s="5">
        <f t="shared" si="271"/>
        <v>0.89540087058664142</v>
      </c>
      <c r="I1336" s="24">
        <f t="shared" si="272"/>
        <v>7.9160595764182773E-5</v>
      </c>
      <c r="J1336" s="25">
        <f>INDEX('Default Prob'!$C$3:$C$13, _xlfn.IFNA(MATCH(F1336, 'Default Prob'!$B$3:$B$13, 1), 1))</f>
        <v>2.1100000000000001E-2</v>
      </c>
      <c r="K1336" s="26">
        <f t="shared" si="263"/>
        <v>0.89928048853268649</v>
      </c>
      <c r="L1336" s="27">
        <f t="shared" ca="1" si="264"/>
        <v>0</v>
      </c>
      <c r="M1336" s="27">
        <f t="shared" ca="1" si="265"/>
        <v>1986.4700137132272</v>
      </c>
      <c r="N1336" s="28">
        <f t="shared" ca="1" si="266"/>
        <v>0.14141199149191683</v>
      </c>
      <c r="O1336" s="29">
        <f t="shared" ca="1" si="267"/>
        <v>600000</v>
      </c>
      <c r="P1336" s="30">
        <f t="shared" ca="1" si="268"/>
        <v>42.712547538811677</v>
      </c>
    </row>
    <row r="1337" spans="1:16" x14ac:dyDescent="0.25">
      <c r="A1337" s="3">
        <f t="shared" si="269"/>
        <v>47983</v>
      </c>
      <c r="B1337" s="21">
        <f t="shared" si="260"/>
        <v>36661</v>
      </c>
      <c r="C1337" s="21">
        <f t="shared" si="261"/>
        <v>36697</v>
      </c>
      <c r="D1337" s="1">
        <f t="shared" si="270"/>
        <v>0</v>
      </c>
      <c r="E1337" s="3">
        <f t="array" ref="E1337">INDEX($A$9:A1336, MAX(IF($D$9:D1336=1, ROW(D$9:$D1336)-ROW($D$9)+1, 0)))</f>
        <v>47927</v>
      </c>
      <c r="F1337" s="23">
        <f t="shared" si="262"/>
        <v>5.0869267624914443</v>
      </c>
      <c r="G1337" s="5">
        <f>INDEX('Default Prob'!$P$5:$P$14,MIN(1+_xlfn.IFNA(MATCH(F1337,'Default Prob'!$F$5:$F$14,1),0),COUNT('Default Prob'!$P$5:$P$14)))</f>
        <v>3.22895928960443E-2</v>
      </c>
      <c r="H1337" s="5">
        <f t="shared" si="271"/>
        <v>0.89532171698868812</v>
      </c>
      <c r="I1337" s="24">
        <f t="shared" si="272"/>
        <v>7.9153597953296462E-5</v>
      </c>
      <c r="J1337" s="25">
        <f>INDEX('Default Prob'!$C$3:$C$13, _xlfn.IFNA(MATCH(F1337, 'Default Prob'!$B$3:$B$13, 1), 1))</f>
        <v>2.1100000000000001E-2</v>
      </c>
      <c r="K1337" s="26">
        <f t="shared" si="263"/>
        <v>0.89922908026613313</v>
      </c>
      <c r="L1337" s="27">
        <f t="shared" ca="1" si="264"/>
        <v>0</v>
      </c>
      <c r="M1337" s="27">
        <f t="shared" ca="1" si="265"/>
        <v>2022.587650326195</v>
      </c>
      <c r="N1337" s="28">
        <f t="shared" ca="1" si="266"/>
        <v>0.14396216026535566</v>
      </c>
      <c r="O1337" s="29">
        <f t="shared" ca="1" si="267"/>
        <v>600000</v>
      </c>
      <c r="P1337" s="30">
        <f t="shared" ca="1" si="268"/>
        <v>42.706330252378834</v>
      </c>
    </row>
    <row r="1338" spans="1:16" x14ac:dyDescent="0.25">
      <c r="A1338" s="3">
        <f t="shared" si="269"/>
        <v>47984</v>
      </c>
      <c r="B1338" s="21">
        <f t="shared" si="260"/>
        <v>36662</v>
      </c>
      <c r="C1338" s="21">
        <f t="shared" si="261"/>
        <v>36697</v>
      </c>
      <c r="D1338" s="1">
        <f t="shared" si="270"/>
        <v>0</v>
      </c>
      <c r="E1338" s="3">
        <f t="array" ref="E1338">INDEX($A$9:A1337, MAX(IF($D$9:D1337=1, ROW(D$9:$D1337)-ROW($D$9)+1, 0)))</f>
        <v>47927</v>
      </c>
      <c r="F1338" s="23">
        <f t="shared" si="262"/>
        <v>5.0896646132785763</v>
      </c>
      <c r="G1338" s="5">
        <f>INDEX('Default Prob'!$P$5:$P$14,MIN(1+_xlfn.IFNA(MATCH(F1338,'Default Prob'!$F$5:$F$14,1),0),COUNT('Default Prob'!$P$5:$P$14)))</f>
        <v>3.22895928960443E-2</v>
      </c>
      <c r="H1338" s="5">
        <f t="shared" si="271"/>
        <v>0.89524257038792709</v>
      </c>
      <c r="I1338" s="24">
        <f t="shared" si="272"/>
        <v>7.914660076102642E-5</v>
      </c>
      <c r="J1338" s="25">
        <f>INDEX('Default Prob'!$C$3:$C$13, _xlfn.IFNA(MATCH(F1338, 'Default Prob'!$B$3:$B$13, 1), 1))</f>
        <v>2.1100000000000001E-2</v>
      </c>
      <c r="K1338" s="26">
        <f t="shared" si="263"/>
        <v>0.89917767493838441</v>
      </c>
      <c r="L1338" s="27">
        <f t="shared" ca="1" si="264"/>
        <v>0</v>
      </c>
      <c r="M1338" s="27">
        <f t="shared" ca="1" si="265"/>
        <v>2058.7052869391628</v>
      </c>
      <c r="N1338" s="28">
        <f t="shared" ca="1" si="266"/>
        <v>0.14651158363170058</v>
      </c>
      <c r="O1338" s="29">
        <f t="shared" ca="1" si="267"/>
        <v>600000</v>
      </c>
      <c r="P1338" s="30">
        <f t="shared" ca="1" si="268"/>
        <v>42.700113870945785</v>
      </c>
    </row>
    <row r="1339" spans="1:16" x14ac:dyDescent="0.25">
      <c r="A1339" s="3">
        <f t="shared" si="269"/>
        <v>47987</v>
      </c>
      <c r="B1339" s="21">
        <f t="shared" si="260"/>
        <v>36665</v>
      </c>
      <c r="C1339" s="21">
        <f t="shared" si="261"/>
        <v>36697</v>
      </c>
      <c r="D1339" s="1">
        <f t="shared" si="270"/>
        <v>0</v>
      </c>
      <c r="E1339" s="3">
        <f t="array" ref="E1339">INDEX($A$9:A1338, MAX(IF($D$9:D1338=1, ROW(D$9:$D1338)-ROW($D$9)+1, 0)))</f>
        <v>47927</v>
      </c>
      <c r="F1339" s="23">
        <f t="shared" si="262"/>
        <v>5.0978781656399725</v>
      </c>
      <c r="G1339" s="5">
        <f>INDEX('Default Prob'!$P$5:$P$14,MIN(1+_xlfn.IFNA(MATCH(F1339,'Default Prob'!$F$5:$F$14,1),0),COUNT('Default Prob'!$P$5:$P$14)))</f>
        <v>3.22895928960443E-2</v>
      </c>
      <c r="H1339" s="5">
        <f t="shared" si="271"/>
        <v>0.89500517256261258</v>
      </c>
      <c r="I1339" s="24">
        <f t="shared" si="272"/>
        <v>2.3739782531451148E-4</v>
      </c>
      <c r="J1339" s="25">
        <f>INDEX('Default Prob'!$C$3:$C$13, _xlfn.IFNA(MATCH(F1339, 'Default Prob'!$B$3:$B$13, 1), 1))</f>
        <v>2.1100000000000001E-2</v>
      </c>
      <c r="K1339" s="26">
        <f t="shared" si="263"/>
        <v>0.89902347658628767</v>
      </c>
      <c r="L1339" s="27">
        <f t="shared" ca="1" si="264"/>
        <v>0</v>
      </c>
      <c r="M1339" s="27">
        <f t="shared" ca="1" si="265"/>
        <v>2167.0581967780658</v>
      </c>
      <c r="N1339" s="28">
        <f t="shared" ca="1" si="266"/>
        <v>0.46250703566227164</v>
      </c>
      <c r="O1339" s="29">
        <f t="shared" ca="1" si="267"/>
        <v>600000</v>
      </c>
      <c r="P1339" s="30">
        <f t="shared" ca="1" si="268"/>
        <v>128.05573094896582</v>
      </c>
    </row>
    <row r="1340" spans="1:16" x14ac:dyDescent="0.25">
      <c r="A1340" s="3">
        <f t="shared" si="269"/>
        <v>47988</v>
      </c>
      <c r="B1340" s="21">
        <f t="shared" si="260"/>
        <v>36666</v>
      </c>
      <c r="C1340" s="21">
        <f t="shared" si="261"/>
        <v>36697</v>
      </c>
      <c r="D1340" s="1">
        <f t="shared" si="270"/>
        <v>0</v>
      </c>
      <c r="E1340" s="3">
        <f t="array" ref="E1340">INDEX($A$9:A1339, MAX(IF($D$9:D1339=1, ROW(D$9:$D1339)-ROW($D$9)+1, 0)))</f>
        <v>47927</v>
      </c>
      <c r="F1340" s="23">
        <f t="shared" si="262"/>
        <v>5.1006160164271046</v>
      </c>
      <c r="G1340" s="5">
        <f>INDEX('Default Prob'!$P$5:$P$14,MIN(1+_xlfn.IFNA(MATCH(F1340,'Default Prob'!$F$5:$F$14,1),0),COUNT('Default Prob'!$P$5:$P$14)))</f>
        <v>3.22895928960443E-2</v>
      </c>
      <c r="H1340" s="5">
        <f t="shared" si="271"/>
        <v>0.89492605394443581</v>
      </c>
      <c r="I1340" s="24">
        <f t="shared" si="272"/>
        <v>7.9118618176776678E-5</v>
      </c>
      <c r="J1340" s="25">
        <f>INDEX('Default Prob'!$C$3:$C$13, _xlfn.IFNA(MATCH(F1340, 'Default Prob'!$B$3:$B$13, 1), 1))</f>
        <v>2.1100000000000001E-2</v>
      </c>
      <c r="K1340" s="26">
        <f t="shared" si="263"/>
        <v>0.89897208301207865</v>
      </c>
      <c r="L1340" s="27">
        <f t="shared" ca="1" si="264"/>
        <v>0</v>
      </c>
      <c r="M1340" s="27">
        <f t="shared" ca="1" si="265"/>
        <v>2203.1758333910338</v>
      </c>
      <c r="N1340" s="28">
        <f t="shared" ca="1" si="266"/>
        <v>0.15670182628464116</v>
      </c>
      <c r="O1340" s="29">
        <f t="shared" ca="1" si="267"/>
        <v>600000</v>
      </c>
      <c r="P1340" s="30">
        <f t="shared" ca="1" si="268"/>
        <v>42.675257392448543</v>
      </c>
    </row>
    <row r="1341" spans="1:16" x14ac:dyDescent="0.25">
      <c r="A1341" s="3">
        <f t="shared" si="269"/>
        <v>47989</v>
      </c>
      <c r="B1341" s="21">
        <f t="shared" si="260"/>
        <v>36667</v>
      </c>
      <c r="C1341" s="21">
        <f t="shared" si="261"/>
        <v>36697</v>
      </c>
      <c r="D1341" s="1">
        <f t="shared" si="270"/>
        <v>0</v>
      </c>
      <c r="E1341" s="3">
        <f t="array" ref="E1341">INDEX($A$9:A1340, MAX(IF($D$9:D1340=1, ROW(D$9:$D1340)-ROW($D$9)+1, 0)))</f>
        <v>47927</v>
      </c>
      <c r="F1341" s="23">
        <f t="shared" si="262"/>
        <v>5.1033538672142367</v>
      </c>
      <c r="G1341" s="5">
        <f>INDEX('Default Prob'!$P$5:$P$14,MIN(1+_xlfn.IFNA(MATCH(F1341,'Default Prob'!$F$5:$F$14,1),0),COUNT('Default Prob'!$P$5:$P$14)))</f>
        <v>3.22895928960443E-2</v>
      </c>
      <c r="H1341" s="5">
        <f t="shared" si="271"/>
        <v>0.89484694232035911</v>
      </c>
      <c r="I1341" s="24">
        <f t="shared" si="272"/>
        <v>7.9111624076699805E-5</v>
      </c>
      <c r="J1341" s="25">
        <f>INDEX('Default Prob'!$C$3:$C$13, _xlfn.IFNA(MATCH(F1341, 'Default Prob'!$B$3:$B$13, 1), 1))</f>
        <v>2.1100000000000001E-2</v>
      </c>
      <c r="K1341" s="26">
        <f t="shared" si="263"/>
        <v>0.8989206923758345</v>
      </c>
      <c r="L1341" s="27">
        <f t="shared" ca="1" si="264"/>
        <v>0</v>
      </c>
      <c r="M1341" s="27">
        <f t="shared" ca="1" si="265"/>
        <v>2239.2934700040018</v>
      </c>
      <c r="N1341" s="28">
        <f t="shared" ca="1" si="266"/>
        <v>0.15924752505932438</v>
      </c>
      <c r="O1341" s="29">
        <f t="shared" ca="1" si="267"/>
        <v>600000</v>
      </c>
      <c r="P1341" s="30">
        <f t="shared" ca="1" si="268"/>
        <v>42.669045534002237</v>
      </c>
    </row>
    <row r="1342" spans="1:16" x14ac:dyDescent="0.25">
      <c r="A1342" s="3">
        <f t="shared" si="269"/>
        <v>47990</v>
      </c>
      <c r="B1342" s="21">
        <f t="shared" si="260"/>
        <v>36668</v>
      </c>
      <c r="C1342" s="21">
        <f t="shared" si="261"/>
        <v>36697</v>
      </c>
      <c r="D1342" s="1">
        <f t="shared" si="270"/>
        <v>0</v>
      </c>
      <c r="E1342" s="3">
        <f t="array" ref="E1342">INDEX($A$9:A1341, MAX(IF($D$9:D1341=1, ROW(D$9:$D1341)-ROW($D$9)+1, 0)))</f>
        <v>47927</v>
      </c>
      <c r="F1342" s="23">
        <f t="shared" si="262"/>
        <v>5.1060917180013687</v>
      </c>
      <c r="G1342" s="5">
        <f>INDEX('Default Prob'!$P$5:$P$14,MIN(1+_xlfn.IFNA(MATCH(F1342,'Default Prob'!$F$5:$F$14,1),0),COUNT('Default Prob'!$P$5:$P$14)))</f>
        <v>3.22895928960443E-2</v>
      </c>
      <c r="H1342" s="5">
        <f t="shared" si="271"/>
        <v>0.8947678376897642</v>
      </c>
      <c r="I1342" s="24">
        <f t="shared" si="272"/>
        <v>7.9104630594906133E-5</v>
      </c>
      <c r="J1342" s="25">
        <f>INDEX('Default Prob'!$C$3:$C$13, _xlfn.IFNA(MATCH(F1342, 'Default Prob'!$B$3:$B$13, 1), 1))</f>
        <v>2.1100000000000001E-2</v>
      </c>
      <c r="K1342" s="26">
        <f t="shared" si="263"/>
        <v>0.89886930467738735</v>
      </c>
      <c r="L1342" s="27">
        <f t="shared" ca="1" si="264"/>
        <v>0</v>
      </c>
      <c r="M1342" s="27">
        <f t="shared" ca="1" si="265"/>
        <v>2275.4111066169694</v>
      </c>
      <c r="N1342" s="28">
        <f t="shared" ca="1" si="266"/>
        <v>0.16179247940425842</v>
      </c>
      <c r="O1342" s="29">
        <f t="shared" ca="1" si="267"/>
        <v>600000</v>
      </c>
      <c r="P1342" s="30">
        <f t="shared" ca="1" si="268"/>
        <v>42.662834579762915</v>
      </c>
    </row>
    <row r="1343" spans="1:16" x14ac:dyDescent="0.25">
      <c r="A1343" s="3">
        <f t="shared" si="269"/>
        <v>47991</v>
      </c>
      <c r="B1343" s="21">
        <f t="shared" si="260"/>
        <v>36669</v>
      </c>
      <c r="C1343" s="21">
        <f t="shared" si="261"/>
        <v>36697</v>
      </c>
      <c r="D1343" s="1">
        <f t="shared" si="270"/>
        <v>0</v>
      </c>
      <c r="E1343" s="3">
        <f t="array" ref="E1343">INDEX($A$9:A1342, MAX(IF($D$9:D1342=1, ROW(D$9:$D1342)-ROW($D$9)+1, 0)))</f>
        <v>47927</v>
      </c>
      <c r="F1343" s="23">
        <f t="shared" si="262"/>
        <v>5.1088295687885008</v>
      </c>
      <c r="G1343" s="5">
        <f>INDEX('Default Prob'!$P$5:$P$14,MIN(1+_xlfn.IFNA(MATCH(F1343,'Default Prob'!$F$5:$F$14,1),0),COUNT('Default Prob'!$P$5:$P$14)))</f>
        <v>3.22895928960443E-2</v>
      </c>
      <c r="H1343" s="5">
        <f t="shared" si="271"/>
        <v>0.8946887400520328</v>
      </c>
      <c r="I1343" s="24">
        <f t="shared" si="272"/>
        <v>7.9097637731395665E-5</v>
      </c>
      <c r="J1343" s="25">
        <f>INDEX('Default Prob'!$C$3:$C$13, _xlfn.IFNA(MATCH(F1343, 'Default Prob'!$B$3:$B$13, 1), 1))</f>
        <v>2.1100000000000001E-2</v>
      </c>
      <c r="K1343" s="26">
        <f t="shared" si="263"/>
        <v>0.89881791991656923</v>
      </c>
      <c r="L1343" s="27">
        <f t="shared" ca="1" si="264"/>
        <v>0</v>
      </c>
      <c r="M1343" s="27">
        <f t="shared" ca="1" si="265"/>
        <v>2311.5287432299369</v>
      </c>
      <c r="N1343" s="28">
        <f t="shared" ca="1" si="266"/>
        <v>0.16433668948233884</v>
      </c>
      <c r="O1343" s="29">
        <f t="shared" ca="1" si="267"/>
        <v>600000</v>
      </c>
      <c r="P1343" s="30">
        <f t="shared" ca="1" si="268"/>
        <v>42.656624529628438</v>
      </c>
    </row>
    <row r="1344" spans="1:16" x14ac:dyDescent="0.25">
      <c r="A1344" s="3">
        <f t="shared" si="269"/>
        <v>47994</v>
      </c>
      <c r="B1344" s="21">
        <f t="shared" si="260"/>
        <v>36672</v>
      </c>
      <c r="C1344" s="21">
        <f t="shared" si="261"/>
        <v>36697</v>
      </c>
      <c r="D1344" s="1">
        <f t="shared" si="270"/>
        <v>0</v>
      </c>
      <c r="E1344" s="3">
        <f t="array" ref="E1344">INDEX($A$9:A1343, MAX(IF($D$9:D1343=1, ROW(D$9:$D1343)-ROW($D$9)+1, 0)))</f>
        <v>47927</v>
      </c>
      <c r="F1344" s="23">
        <f t="shared" si="262"/>
        <v>5.117043121149897</v>
      </c>
      <c r="G1344" s="5">
        <f>INDEX('Default Prob'!$P$5:$P$14,MIN(1+_xlfn.IFNA(MATCH(F1344,'Default Prob'!$F$5:$F$14,1),0),COUNT('Default Prob'!$P$5:$P$14)))</f>
        <v>3.22895928960443E-2</v>
      </c>
      <c r="H1344" s="5">
        <f t="shared" si="271"/>
        <v>0.89445148908983863</v>
      </c>
      <c r="I1344" s="24">
        <f t="shared" si="272"/>
        <v>2.3725096219417985E-4</v>
      </c>
      <c r="J1344" s="25">
        <f>INDEX('Default Prob'!$C$3:$C$13, _xlfn.IFNA(MATCH(F1344, 'Default Prob'!$B$3:$B$13, 1), 1))</f>
        <v>2.1100000000000001E-2</v>
      </c>
      <c r="K1344" s="26">
        <f t="shared" si="263"/>
        <v>0.89866378325821017</v>
      </c>
      <c r="L1344" s="27">
        <f t="shared" ca="1" si="264"/>
        <v>0</v>
      </c>
      <c r="M1344" s="27">
        <f t="shared" ca="1" si="265"/>
        <v>2419.8816530688405</v>
      </c>
      <c r="N1344" s="28">
        <f t="shared" ca="1" si="266"/>
        <v>0.51594017777354473</v>
      </c>
      <c r="O1344" s="29">
        <f t="shared" ca="1" si="267"/>
        <v>600000</v>
      </c>
      <c r="P1344" s="30">
        <f t="shared" ca="1" si="268"/>
        <v>127.92530836024333</v>
      </c>
    </row>
    <row r="1345" spans="1:16" x14ac:dyDescent="0.25">
      <c r="A1345" s="3">
        <f t="shared" si="269"/>
        <v>47995</v>
      </c>
      <c r="B1345" s="21">
        <f t="shared" si="260"/>
        <v>36673</v>
      </c>
      <c r="C1345" s="21">
        <f t="shared" si="261"/>
        <v>36697</v>
      </c>
      <c r="D1345" s="1">
        <f t="shared" si="270"/>
        <v>0</v>
      </c>
      <c r="E1345" s="3">
        <f t="array" ref="E1345">INDEX($A$9:A1344, MAX(IF($D$9:D1344=1, ROW(D$9:$D1344)-ROW($D$9)+1, 0)))</f>
        <v>47927</v>
      </c>
      <c r="F1345" s="23">
        <f t="shared" si="262"/>
        <v>5.1197809719370291</v>
      </c>
      <c r="G1345" s="5">
        <f>INDEX('Default Prob'!$P$5:$P$14,MIN(1+_xlfn.IFNA(MATCH(F1345,'Default Prob'!$F$5:$F$14,1),0),COUNT('Default Prob'!$P$5:$P$14)))</f>
        <v>3.22895928960443E-2</v>
      </c>
      <c r="H1345" s="5">
        <f t="shared" si="271"/>
        <v>0.89437241941738033</v>
      </c>
      <c r="I1345" s="24">
        <f t="shared" si="272"/>
        <v>7.9069672458298434E-5</v>
      </c>
      <c r="J1345" s="25">
        <f>INDEX('Default Prob'!$C$3:$C$13, _xlfn.IFNA(MATCH(F1345, 'Default Prob'!$B$3:$B$13, 1), 1))</f>
        <v>2.1100000000000001E-2</v>
      </c>
      <c r="K1345" s="26">
        <f t="shared" si="263"/>
        <v>0.89861241024622918</v>
      </c>
      <c r="L1345" s="27">
        <f t="shared" ca="1" si="264"/>
        <v>0</v>
      </c>
      <c r="M1345" s="27">
        <f t="shared" ca="1" si="265"/>
        <v>2455.9992896818085</v>
      </c>
      <c r="N1345" s="28">
        <f t="shared" ca="1" si="266"/>
        <v>0.17450609037901221</v>
      </c>
      <c r="O1345" s="29">
        <f t="shared" ca="1" si="267"/>
        <v>600000</v>
      </c>
      <c r="P1345" s="30">
        <f t="shared" ca="1" si="268"/>
        <v>42.631793367078863</v>
      </c>
    </row>
    <row r="1346" spans="1:16" x14ac:dyDescent="0.25">
      <c r="A1346" s="3">
        <f t="shared" si="269"/>
        <v>47996</v>
      </c>
      <c r="B1346" s="21">
        <f t="shared" si="260"/>
        <v>36674</v>
      </c>
      <c r="C1346" s="21">
        <f t="shared" si="261"/>
        <v>36697</v>
      </c>
      <c r="D1346" s="1">
        <f t="shared" si="270"/>
        <v>0</v>
      </c>
      <c r="E1346" s="3">
        <f t="array" ref="E1346">INDEX($A$9:A1345, MAX(IF($D$9:D1345=1, ROW(D$9:$D1345)-ROW($D$9)+1, 0)))</f>
        <v>47927</v>
      </c>
      <c r="F1346" s="23">
        <f t="shared" si="262"/>
        <v>5.1225188227241611</v>
      </c>
      <c r="G1346" s="5">
        <f>INDEX('Default Prob'!$P$5:$P$14,MIN(1+_xlfn.IFNA(MATCH(F1346,'Default Prob'!$F$5:$F$14,1),0),COUNT('Default Prob'!$P$5:$P$14)))</f>
        <v>3.22895928960443E-2</v>
      </c>
      <c r="H1346" s="5">
        <f t="shared" si="271"/>
        <v>0.89429335673469534</v>
      </c>
      <c r="I1346" s="24">
        <f t="shared" si="272"/>
        <v>7.9062682684982732E-5</v>
      </c>
      <c r="J1346" s="25">
        <f>INDEX('Default Prob'!$C$3:$C$13, _xlfn.IFNA(MATCH(F1346, 'Default Prob'!$B$3:$B$13, 1), 1))</f>
        <v>2.1100000000000001E-2</v>
      </c>
      <c r="K1346" s="26">
        <f t="shared" si="263"/>
        <v>0.89856104017103755</v>
      </c>
      <c r="L1346" s="27">
        <f t="shared" ca="1" si="264"/>
        <v>0</v>
      </c>
      <c r="M1346" s="27">
        <f t="shared" ca="1" si="265"/>
        <v>2492.116926294776</v>
      </c>
      <c r="N1346" s="28">
        <f t="shared" ca="1" si="266"/>
        <v>0.17704658156260358</v>
      </c>
      <c r="O1346" s="29">
        <f t="shared" ca="1" si="267"/>
        <v>600000</v>
      </c>
      <c r="P1346" s="30">
        <f t="shared" ca="1" si="268"/>
        <v>42.625587835278459</v>
      </c>
    </row>
    <row r="1347" spans="1:16" x14ac:dyDescent="0.25">
      <c r="A1347" s="3">
        <f t="shared" si="269"/>
        <v>47997</v>
      </c>
      <c r="B1347" s="21">
        <f t="shared" si="260"/>
        <v>36675</v>
      </c>
      <c r="C1347" s="21">
        <f t="shared" si="261"/>
        <v>36697</v>
      </c>
      <c r="D1347" s="1">
        <f t="shared" si="270"/>
        <v>0</v>
      </c>
      <c r="E1347" s="3">
        <f t="array" ref="E1347">INDEX($A$9:A1346, MAX(IF($D$9:D1346=1, ROW(D$9:$D1346)-ROW($D$9)+1, 0)))</f>
        <v>47927</v>
      </c>
      <c r="F1347" s="23">
        <f t="shared" si="262"/>
        <v>5.1252566735112932</v>
      </c>
      <c r="G1347" s="5">
        <f>INDEX('Default Prob'!$P$5:$P$14,MIN(1+_xlfn.IFNA(MATCH(F1347,'Default Prob'!$F$5:$F$14,1),0),COUNT('Default Prob'!$P$5:$P$14)))</f>
        <v>3.22895928960443E-2</v>
      </c>
      <c r="H1347" s="5">
        <f t="shared" si="271"/>
        <v>0.89421430104116573</v>
      </c>
      <c r="I1347" s="24">
        <f t="shared" si="272"/>
        <v>7.9055693529617166E-5</v>
      </c>
      <c r="J1347" s="25">
        <f>INDEX('Default Prob'!$C$3:$C$13, _xlfn.IFNA(MATCH(F1347, 'Default Prob'!$B$3:$B$13, 1), 1))</f>
        <v>2.1100000000000001E-2</v>
      </c>
      <c r="K1347" s="26">
        <f t="shared" si="263"/>
        <v>0.89850967303246754</v>
      </c>
      <c r="L1347" s="27">
        <f t="shared" ca="1" si="264"/>
        <v>0</v>
      </c>
      <c r="M1347" s="27">
        <f t="shared" ca="1" si="265"/>
        <v>2528.2345629077436</v>
      </c>
      <c r="N1347" s="28">
        <f t="shared" ca="1" si="266"/>
        <v>0.17958632945536379</v>
      </c>
      <c r="O1347" s="29">
        <f t="shared" ca="1" si="267"/>
        <v>600000</v>
      </c>
      <c r="P1347" s="30">
        <f t="shared" ca="1" si="268"/>
        <v>42.619383206790765</v>
      </c>
    </row>
    <row r="1348" spans="1:16" x14ac:dyDescent="0.25">
      <c r="A1348" s="3">
        <f t="shared" si="269"/>
        <v>47998</v>
      </c>
      <c r="B1348" s="21">
        <f t="shared" si="260"/>
        <v>36676</v>
      </c>
      <c r="C1348" s="21">
        <f t="shared" si="261"/>
        <v>36697</v>
      </c>
      <c r="D1348" s="1">
        <f t="shared" si="270"/>
        <v>0</v>
      </c>
      <c r="E1348" s="3">
        <f t="array" ref="E1348">INDEX($A$9:A1347, MAX(IF($D$9:D1347=1, ROW(D$9:$D1347)-ROW($D$9)+1, 0)))</f>
        <v>47927</v>
      </c>
      <c r="F1348" s="23">
        <f t="shared" si="262"/>
        <v>5.1279945242984262</v>
      </c>
      <c r="G1348" s="5">
        <f>INDEX('Default Prob'!$P$5:$P$14,MIN(1+_xlfn.IFNA(MATCH(F1348,'Default Prob'!$F$5:$F$14,1),0),COUNT('Default Prob'!$P$5:$P$14)))</f>
        <v>3.22895928960443E-2</v>
      </c>
      <c r="H1348" s="5">
        <f t="shared" si="271"/>
        <v>0.89413525233617352</v>
      </c>
      <c r="I1348" s="24">
        <f t="shared" si="272"/>
        <v>7.9048704992201735E-5</v>
      </c>
      <c r="J1348" s="25">
        <f>INDEX('Default Prob'!$C$3:$C$13, _xlfn.IFNA(MATCH(F1348, 'Default Prob'!$B$3:$B$13, 1), 1))</f>
        <v>2.1100000000000001E-2</v>
      </c>
      <c r="K1348" s="26">
        <f t="shared" si="263"/>
        <v>0.89845830883035127</v>
      </c>
      <c r="L1348" s="27">
        <f t="shared" ca="1" si="264"/>
        <v>0</v>
      </c>
      <c r="M1348" s="27">
        <f t="shared" ca="1" si="265"/>
        <v>2564.3521995207116</v>
      </c>
      <c r="N1348" s="28">
        <f t="shared" ca="1" si="266"/>
        <v>0.18212533421998439</v>
      </c>
      <c r="O1348" s="29">
        <f t="shared" ca="1" si="267"/>
        <v>600000</v>
      </c>
      <c r="P1348" s="30">
        <f t="shared" ca="1" si="268"/>
        <v>42.613179481513747</v>
      </c>
    </row>
    <row r="1349" spans="1:16" x14ac:dyDescent="0.25">
      <c r="A1349" s="3">
        <f t="shared" si="269"/>
        <v>48001</v>
      </c>
      <c r="B1349" s="21">
        <f t="shared" si="260"/>
        <v>36679</v>
      </c>
      <c r="C1349" s="21">
        <f t="shared" si="261"/>
        <v>36697</v>
      </c>
      <c r="D1349" s="1">
        <f t="shared" si="270"/>
        <v>0</v>
      </c>
      <c r="E1349" s="3">
        <f t="array" ref="E1349">INDEX($A$9:A1348, MAX(IF($D$9:D1348=1, ROW(D$9:$D1348)-ROW($D$9)+1, 0)))</f>
        <v>47927</v>
      </c>
      <c r="F1349" s="23">
        <f t="shared" si="262"/>
        <v>5.1362080766598224</v>
      </c>
      <c r="G1349" s="5">
        <f>INDEX('Default Prob'!$P$5:$P$14,MIN(1+_xlfn.IFNA(MATCH(F1349,'Default Prob'!$F$5:$F$14,1),0),COUNT('Default Prob'!$P$5:$P$14)))</f>
        <v>3.22895928960443E-2</v>
      </c>
      <c r="H1349" s="5">
        <f t="shared" si="271"/>
        <v>0.89389814814624469</v>
      </c>
      <c r="I1349" s="24">
        <f t="shared" si="272"/>
        <v>2.3710418992883842E-4</v>
      </c>
      <c r="J1349" s="25">
        <f>INDEX('Default Prob'!$C$3:$C$13, _xlfn.IFNA(MATCH(F1349, 'Default Prob'!$B$3:$B$13, 1), 1))</f>
        <v>2.1100000000000001E-2</v>
      </c>
      <c r="K1349" s="26">
        <f t="shared" si="263"/>
        <v>0.89830423384104652</v>
      </c>
      <c r="L1349" s="27">
        <f t="shared" ca="1" si="264"/>
        <v>0</v>
      </c>
      <c r="M1349" s="27">
        <f t="shared" ca="1" si="265"/>
        <v>2672.7051093596151</v>
      </c>
      <c r="N1349" s="28">
        <f t="shared" ca="1" si="266"/>
        <v>0.56926399862588728</v>
      </c>
      <c r="O1349" s="29">
        <f t="shared" ca="1" si="267"/>
        <v>600000</v>
      </c>
      <c r="P1349" s="30">
        <f t="shared" ca="1" si="268"/>
        <v>127.79501860471629</v>
      </c>
    </row>
    <row r="1350" spans="1:16" x14ac:dyDescent="0.25">
      <c r="A1350" s="3">
        <f t="shared" si="269"/>
        <v>48002</v>
      </c>
      <c r="B1350" s="21">
        <f t="shared" si="260"/>
        <v>36680</v>
      </c>
      <c r="C1350" s="21">
        <f t="shared" si="261"/>
        <v>36697</v>
      </c>
      <c r="D1350" s="1">
        <f t="shared" si="270"/>
        <v>0</v>
      </c>
      <c r="E1350" s="3">
        <f t="array" ref="E1350">INDEX($A$9:A1349, MAX(IF($D$9:D1349=1, ROW(D$9:$D1349)-ROW($D$9)+1, 0)))</f>
        <v>47927</v>
      </c>
      <c r="F1350" s="23">
        <f t="shared" si="262"/>
        <v>5.1389459274469544</v>
      </c>
      <c r="G1350" s="5">
        <f>INDEX('Default Prob'!$P$5:$P$14,MIN(1+_xlfn.IFNA(MATCH(F1350,'Default Prob'!$F$5:$F$14,1),0),COUNT('Default Prob'!$P$5:$P$14)))</f>
        <v>3.22895928960443E-2</v>
      </c>
      <c r="H1350" s="5">
        <f t="shared" si="271"/>
        <v>0.89381912738922531</v>
      </c>
      <c r="I1350" s="24">
        <f t="shared" si="272"/>
        <v>7.902075701937683E-5</v>
      </c>
      <c r="J1350" s="25">
        <f>INDEX('Default Prob'!$C$3:$C$13, _xlfn.IFNA(MATCH(F1350, 'Default Prob'!$B$3:$B$13, 1), 1))</f>
        <v>2.1100000000000001E-2</v>
      </c>
      <c r="K1350" s="26">
        <f t="shared" si="263"/>
        <v>0.89825288138306669</v>
      </c>
      <c r="L1350" s="27">
        <f t="shared" ca="1" si="264"/>
        <v>0</v>
      </c>
      <c r="M1350" s="27">
        <f t="shared" ca="1" si="265"/>
        <v>2708.8227459725827</v>
      </c>
      <c r="N1350" s="28">
        <f t="shared" ca="1" si="266"/>
        <v>0.19227392524355799</v>
      </c>
      <c r="O1350" s="29">
        <f t="shared" ca="1" si="267"/>
        <v>600000</v>
      </c>
      <c r="P1350" s="30">
        <f t="shared" ca="1" si="268"/>
        <v>42.588373609035855</v>
      </c>
    </row>
    <row r="1351" spans="1:16" x14ac:dyDescent="0.25">
      <c r="A1351" s="3">
        <f t="shared" si="269"/>
        <v>48003</v>
      </c>
      <c r="B1351" s="21">
        <f t="shared" si="260"/>
        <v>36681</v>
      </c>
      <c r="C1351" s="21">
        <f t="shared" si="261"/>
        <v>36697</v>
      </c>
      <c r="D1351" s="1">
        <f t="shared" si="270"/>
        <v>0</v>
      </c>
      <c r="E1351" s="3">
        <f t="array" ref="E1351">INDEX($A$9:A1350, MAX(IF($D$9:D1350=1, ROW(D$9:$D1350)-ROW($D$9)+1, 0)))</f>
        <v>47927</v>
      </c>
      <c r="F1351" s="23">
        <f t="shared" si="262"/>
        <v>5.1416837782340865</v>
      </c>
      <c r="G1351" s="5">
        <f>INDEX('Default Prob'!$P$5:$P$14,MIN(1+_xlfn.IFNA(MATCH(F1351,'Default Prob'!$F$5:$F$14,1),0),COUNT('Default Prob'!$P$5:$P$14)))</f>
        <v>3.22895928960443E-2</v>
      </c>
      <c r="H1351" s="5">
        <f t="shared" si="271"/>
        <v>0.89374011361765504</v>
      </c>
      <c r="I1351" s="24">
        <f t="shared" si="272"/>
        <v>7.9013771570268787E-5</v>
      </c>
      <c r="J1351" s="25">
        <f>INDEX('Default Prob'!$C$3:$C$13, _xlfn.IFNA(MATCH(F1351, 'Default Prob'!$B$3:$B$13, 1), 1))</f>
        <v>2.1100000000000001E-2</v>
      </c>
      <c r="K1351" s="26">
        <f t="shared" si="263"/>
        <v>0.8982015318607014</v>
      </c>
      <c r="L1351" s="27">
        <f t="shared" ca="1" si="264"/>
        <v>0</v>
      </c>
      <c r="M1351" s="27">
        <f t="shared" ca="1" si="265"/>
        <v>2744.9403825855502</v>
      </c>
      <c r="N1351" s="28">
        <f t="shared" ca="1" si="266"/>
        <v>0.19480921680334956</v>
      </c>
      <c r="O1351" s="29">
        <f t="shared" ca="1" si="267"/>
        <v>600000</v>
      </c>
      <c r="P1351" s="30">
        <f t="shared" ca="1" si="268"/>
        <v>42.582174397504176</v>
      </c>
    </row>
    <row r="1352" spans="1:16" x14ac:dyDescent="0.25">
      <c r="A1352" s="3">
        <f t="shared" si="269"/>
        <v>48004</v>
      </c>
      <c r="B1352" s="21">
        <f t="shared" si="260"/>
        <v>36682</v>
      </c>
      <c r="C1352" s="21">
        <f t="shared" si="261"/>
        <v>36697</v>
      </c>
      <c r="D1352" s="1">
        <f t="shared" si="270"/>
        <v>0</v>
      </c>
      <c r="E1352" s="3">
        <f t="array" ref="E1352">INDEX($A$9:A1351, MAX(IF($D$9:D1351=1, ROW(D$9:$D1351)-ROW($D$9)+1, 0)))</f>
        <v>47927</v>
      </c>
      <c r="F1352" s="23">
        <f t="shared" si="262"/>
        <v>5.1444216290212186</v>
      </c>
      <c r="G1352" s="5">
        <f>INDEX('Default Prob'!$P$5:$P$14,MIN(1+_xlfn.IFNA(MATCH(F1352,'Default Prob'!$F$5:$F$14,1),0),COUNT('Default Prob'!$P$5:$P$14)))</f>
        <v>3.22895928960443E-2</v>
      </c>
      <c r="H1352" s="5">
        <f t="shared" si="271"/>
        <v>0.89366110683091637</v>
      </c>
      <c r="I1352" s="24">
        <f t="shared" si="272"/>
        <v>7.900678673866679E-5</v>
      </c>
      <c r="J1352" s="25">
        <f>INDEX('Default Prob'!$C$3:$C$13, _xlfn.IFNA(MATCH(F1352, 'Default Prob'!$B$3:$B$13, 1), 1))</f>
        <v>2.1100000000000001E-2</v>
      </c>
      <c r="K1352" s="26">
        <f t="shared" si="263"/>
        <v>0.89815018527378276</v>
      </c>
      <c r="L1352" s="27">
        <f t="shared" ca="1" si="264"/>
        <v>0</v>
      </c>
      <c r="M1352" s="27">
        <f t="shared" ca="1" si="265"/>
        <v>2781.0580191985182</v>
      </c>
      <c r="N1352" s="28">
        <f t="shared" ca="1" si="266"/>
        <v>0.19734376620943295</v>
      </c>
      <c r="O1352" s="29">
        <f t="shared" ca="1" si="267"/>
        <v>600000</v>
      </c>
      <c r="P1352" s="30">
        <f t="shared" ca="1" si="268"/>
        <v>42.575976088331892</v>
      </c>
    </row>
    <row r="1353" spans="1:16" x14ac:dyDescent="0.25">
      <c r="A1353" s="3">
        <f t="shared" si="269"/>
        <v>48005</v>
      </c>
      <c r="B1353" s="21">
        <f t="shared" ref="B1353:B1416" si="273">DATE(2000, MONTH(A1353), DAY(A1353))</f>
        <v>36683</v>
      </c>
      <c r="C1353" s="21">
        <f t="shared" ref="C1353:C1416" si="274">VLOOKUP(B1353, $R$9:$S$13, 2)</f>
        <v>36697</v>
      </c>
      <c r="D1353" s="1">
        <f t="shared" si="270"/>
        <v>0</v>
      </c>
      <c r="E1353" s="3">
        <f t="array" ref="E1353">INDEX($A$9:A1352, MAX(IF($D$9:D1352=1, ROW(D$9:$D1352)-ROW($D$9)+1, 0)))</f>
        <v>47927</v>
      </c>
      <c r="F1353" s="23">
        <f t="shared" ref="F1353:F1416" si="275">(A1353-$A$2)/365.25</f>
        <v>5.1471594798083506</v>
      </c>
      <c r="G1353" s="5">
        <f>INDEX('Default Prob'!$P$5:$P$14,MIN(1+_xlfn.IFNA(MATCH(F1353,'Default Prob'!$F$5:$F$14,1),0),COUNT('Default Prob'!$P$5:$P$14)))</f>
        <v>3.22895928960443E-2</v>
      </c>
      <c r="H1353" s="5">
        <f t="shared" si="271"/>
        <v>0.89358210702839191</v>
      </c>
      <c r="I1353" s="24">
        <f t="shared" si="272"/>
        <v>7.8999802524459817E-5</v>
      </c>
      <c r="J1353" s="25">
        <f>INDEX('Default Prob'!$C$3:$C$13, _xlfn.IFNA(MATCH(F1353, 'Default Prob'!$B$3:$B$13, 1), 1))</f>
        <v>2.1100000000000001E-2</v>
      </c>
      <c r="K1353" s="26">
        <f t="shared" ref="K1353:K1416" si="276">1/((1+J1353)^F1353)</f>
        <v>0.89809884162214304</v>
      </c>
      <c r="L1353" s="27">
        <f t="shared" ref="L1353:L1416" ca="1" si="277">IF(AND(D1353, A1353 &lt;= $G$2), $D$5*$D$2*(A1353-E1353)/365.25, 0)</f>
        <v>0</v>
      </c>
      <c r="M1353" s="27">
        <f t="shared" ref="M1353:M1416" ca="1" si="278">IF(A1353&lt;=$G$2, $D$5*$D$2*(A1353-E1353)/365.25, 0)</f>
        <v>2817.1756558114857</v>
      </c>
      <c r="N1353" s="28">
        <f t="shared" ref="N1353:N1416" ca="1" si="279">(L1353*H1353 + M1353*I1353) * K1353</f>
        <v>0.19987757362400402</v>
      </c>
      <c r="O1353" s="29">
        <f t="shared" ref="O1353:O1416" ca="1" si="280">IF(A1353&lt;=$G$2, $D$2*(1-$D$3), 0)</f>
        <v>600000</v>
      </c>
      <c r="P1353" s="30">
        <f t="shared" ref="P1353:P1416" ca="1" si="281">O1353*I1353*K1353</f>
        <v>42.569778681357249</v>
      </c>
    </row>
    <row r="1354" spans="1:16" x14ac:dyDescent="0.25">
      <c r="A1354" s="3">
        <f t="shared" ref="A1354:A1417" si="282">WORKDAY(A1353, 1)</f>
        <v>48008</v>
      </c>
      <c r="B1354" s="21">
        <f t="shared" si="273"/>
        <v>36686</v>
      </c>
      <c r="C1354" s="21">
        <f t="shared" si="274"/>
        <v>36697</v>
      </c>
      <c r="D1354" s="1">
        <f t="shared" ref="D1354:D1417" si="283">IF(OR(C1354=B1354, AND(C1354&lt;&gt;C1353, C1353&gt;B1353)), 1, 0)</f>
        <v>0</v>
      </c>
      <c r="E1354" s="3">
        <f t="array" ref="E1354">INDEX($A$9:A1353, MAX(IF($D$9:D1353=1, ROW(D$9:$D1353)-ROW($D$9)+1, 0)))</f>
        <v>47927</v>
      </c>
      <c r="F1354" s="23">
        <f t="shared" si="275"/>
        <v>5.1553730321697468</v>
      </c>
      <c r="G1354" s="5">
        <f>INDEX('Default Prob'!$P$5:$P$14,MIN(1+_xlfn.IFNA(MATCH(F1354,'Default Prob'!$F$5:$F$14,1),0),COUNT('Default Prob'!$P$5:$P$14)))</f>
        <v>3.22895928960443E-2</v>
      </c>
      <c r="H1354" s="5">
        <f t="shared" ref="H1354:H1417" si="284">H1353*EXP(-G1353*(F1354-F1353))</f>
        <v>0.8933451495199296</v>
      </c>
      <c r="I1354" s="24">
        <f t="shared" ref="I1354:I1417" si="285">H1353-H1354</f>
        <v>2.369575084623099E-4</v>
      </c>
      <c r="J1354" s="25">
        <f>INDEX('Default Prob'!$C$3:$C$13, _xlfn.IFNA(MATCH(F1354, 'Default Prob'!$B$3:$B$13, 1), 1))</f>
        <v>2.1100000000000001E-2</v>
      </c>
      <c r="K1354" s="26">
        <f t="shared" si="276"/>
        <v>0.89794482827721922</v>
      </c>
      <c r="L1354" s="27">
        <f t="shared" ca="1" si="277"/>
        <v>0</v>
      </c>
      <c r="M1354" s="27">
        <f t="shared" ca="1" si="278"/>
        <v>2925.5285656503888</v>
      </c>
      <c r="N1354" s="28">
        <f t="shared" ca="1" si="279"/>
        <v>0.62247866547646313</v>
      </c>
      <c r="O1354" s="29">
        <f t="shared" ca="1" si="280"/>
        <v>600000</v>
      </c>
      <c r="P1354" s="30">
        <f t="shared" ca="1" si="281"/>
        <v>127.66486154711194</v>
      </c>
    </row>
    <row r="1355" spans="1:16" x14ac:dyDescent="0.25">
      <c r="A1355" s="3">
        <f t="shared" si="282"/>
        <v>48009</v>
      </c>
      <c r="B1355" s="21">
        <f t="shared" si="273"/>
        <v>36687</v>
      </c>
      <c r="C1355" s="21">
        <f t="shared" si="274"/>
        <v>36697</v>
      </c>
      <c r="D1355" s="1">
        <f t="shared" si="283"/>
        <v>0</v>
      </c>
      <c r="E1355" s="3">
        <f t="array" ref="E1355">INDEX($A$9:A1354, MAX(IF($D$9:D1354=1, ROW(D$9:$D1354)-ROW($D$9)+1, 0)))</f>
        <v>47927</v>
      </c>
      <c r="F1355" s="23">
        <f t="shared" si="275"/>
        <v>5.1581108829568789</v>
      </c>
      <c r="G1355" s="5">
        <f>INDEX('Default Prob'!$P$5:$P$14,MIN(1+_xlfn.IFNA(MATCH(F1355,'Default Prob'!$F$5:$F$14,1),0),COUNT('Default Prob'!$P$5:$P$14)))</f>
        <v>3.22895928960443E-2</v>
      </c>
      <c r="H1355" s="5">
        <f t="shared" si="284"/>
        <v>0.89326617764808824</v>
      </c>
      <c r="I1355" s="24">
        <f t="shared" si="285"/>
        <v>7.897187184136012E-5</v>
      </c>
      <c r="J1355" s="25">
        <f>INDEX('Default Prob'!$C$3:$C$13, _xlfn.IFNA(MATCH(F1355, 'Default Prob'!$B$3:$B$13, 1), 1))</f>
        <v>2.1100000000000001E-2</v>
      </c>
      <c r="K1355" s="26">
        <f t="shared" si="276"/>
        <v>0.89789349636501725</v>
      </c>
      <c r="L1355" s="27">
        <f t="shared" ca="1" si="277"/>
        <v>0</v>
      </c>
      <c r="M1355" s="27">
        <f t="shared" ca="1" si="278"/>
        <v>2961.6462022633568</v>
      </c>
      <c r="N1355" s="28">
        <f t="shared" ca="1" si="279"/>
        <v>0.21000538661503942</v>
      </c>
      <c r="O1355" s="29">
        <f t="shared" ca="1" si="280"/>
        <v>600000</v>
      </c>
      <c r="P1355" s="30">
        <f t="shared" ca="1" si="281"/>
        <v>42.544998073277334</v>
      </c>
    </row>
    <row r="1356" spans="1:16" x14ac:dyDescent="0.25">
      <c r="A1356" s="3">
        <f t="shared" si="282"/>
        <v>48010</v>
      </c>
      <c r="B1356" s="21">
        <f t="shared" si="273"/>
        <v>36688</v>
      </c>
      <c r="C1356" s="21">
        <f t="shared" si="274"/>
        <v>36697</v>
      </c>
      <c r="D1356" s="1">
        <f t="shared" si="283"/>
        <v>0</v>
      </c>
      <c r="E1356" s="3">
        <f t="array" ref="E1356">INDEX($A$9:A1355, MAX(IF($D$9:D1355=1, ROW(D$9:$D1355)-ROW($D$9)+1, 0)))</f>
        <v>47927</v>
      </c>
      <c r="F1356" s="23">
        <f t="shared" si="275"/>
        <v>5.160848733744011</v>
      </c>
      <c r="G1356" s="5">
        <f>INDEX('Default Prob'!$P$5:$P$14,MIN(1+_xlfn.IFNA(MATCH(F1356,'Default Prob'!$F$5:$F$14,1),0),COUNT('Default Prob'!$P$5:$P$14)))</f>
        <v>3.22895928960443E-2</v>
      </c>
      <c r="H1356" s="5">
        <f t="shared" si="284"/>
        <v>0.89318721275737456</v>
      </c>
      <c r="I1356" s="24">
        <f t="shared" si="285"/>
        <v>7.8964890713684177E-5</v>
      </c>
      <c r="J1356" s="25">
        <f>INDEX('Default Prob'!$C$3:$C$13, _xlfn.IFNA(MATCH(F1356, 'Default Prob'!$B$3:$B$13, 1), 1))</f>
        <v>2.1100000000000001E-2</v>
      </c>
      <c r="K1356" s="26">
        <f t="shared" si="276"/>
        <v>0.89784216738725497</v>
      </c>
      <c r="L1356" s="27">
        <f t="shared" ca="1" si="277"/>
        <v>0</v>
      </c>
      <c r="M1356" s="27">
        <f t="shared" ca="1" si="278"/>
        <v>2997.7638388763244</v>
      </c>
      <c r="N1356" s="28">
        <f t="shared" ca="1" si="279"/>
        <v>0.21253548650698059</v>
      </c>
      <c r="O1356" s="29">
        <f t="shared" ca="1" si="280"/>
        <v>600000</v>
      </c>
      <c r="P1356" s="30">
        <f t="shared" ca="1" si="281"/>
        <v>42.538805175523152</v>
      </c>
    </row>
    <row r="1357" spans="1:16" x14ac:dyDescent="0.25">
      <c r="A1357" s="3">
        <f t="shared" si="282"/>
        <v>48011</v>
      </c>
      <c r="B1357" s="21">
        <f t="shared" si="273"/>
        <v>36689</v>
      </c>
      <c r="C1357" s="21">
        <f t="shared" si="274"/>
        <v>36697</v>
      </c>
      <c r="D1357" s="1">
        <f t="shared" si="283"/>
        <v>0</v>
      </c>
      <c r="E1357" s="3">
        <f t="array" ref="E1357">INDEX($A$9:A1356, MAX(IF($D$9:D1356=1, ROW(D$9:$D1356)-ROW($D$9)+1, 0)))</f>
        <v>47927</v>
      </c>
      <c r="F1357" s="23">
        <f t="shared" si="275"/>
        <v>5.1635865845311431</v>
      </c>
      <c r="G1357" s="5">
        <f>INDEX('Default Prob'!$P$5:$P$14,MIN(1+_xlfn.IFNA(MATCH(F1357,'Default Prob'!$F$5:$F$14,1),0),COUNT('Default Prob'!$P$5:$P$14)))</f>
        <v>3.22895928960443E-2</v>
      </c>
      <c r="H1357" s="5">
        <f t="shared" si="284"/>
        <v>0.89310825484717138</v>
      </c>
      <c r="I1357" s="24">
        <f t="shared" si="285"/>
        <v>7.8957910203181214E-5</v>
      </c>
      <c r="J1357" s="25">
        <f>INDEX('Default Prob'!$C$3:$C$13, _xlfn.IFNA(MATCH(F1357, 'Default Prob'!$B$3:$B$13, 1), 1))</f>
        <v>2.1100000000000001E-2</v>
      </c>
      <c r="K1357" s="26">
        <f t="shared" si="276"/>
        <v>0.89779084134376519</v>
      </c>
      <c r="L1357" s="27">
        <f t="shared" ca="1" si="277"/>
        <v>0</v>
      </c>
      <c r="M1357" s="27">
        <f t="shared" ca="1" si="278"/>
        <v>3033.8814754892928</v>
      </c>
      <c r="N1357" s="28">
        <f t="shared" ca="1" si="279"/>
        <v>0.2150648453810583</v>
      </c>
      <c r="O1357" s="29">
        <f t="shared" ca="1" si="280"/>
        <v>600000</v>
      </c>
      <c r="P1357" s="30">
        <f t="shared" ca="1" si="281"/>
        <v>42.532613179235717</v>
      </c>
    </row>
    <row r="1358" spans="1:16" x14ac:dyDescent="0.25">
      <c r="A1358" s="3">
        <f t="shared" si="282"/>
        <v>48012</v>
      </c>
      <c r="B1358" s="21">
        <f t="shared" si="273"/>
        <v>36690</v>
      </c>
      <c r="C1358" s="21">
        <f t="shared" si="274"/>
        <v>36697</v>
      </c>
      <c r="D1358" s="1">
        <f t="shared" si="283"/>
        <v>0</v>
      </c>
      <c r="E1358" s="3">
        <f t="array" ref="E1358">INDEX($A$9:A1357, MAX(IF($D$9:D1357=1, ROW(D$9:$D1357)-ROW($D$9)+1, 0)))</f>
        <v>47927</v>
      </c>
      <c r="F1358" s="23">
        <f t="shared" si="275"/>
        <v>5.1663244353182751</v>
      </c>
      <c r="G1358" s="5">
        <f>INDEX('Default Prob'!$P$5:$P$14,MIN(1+_xlfn.IFNA(MATCH(F1358,'Default Prob'!$F$5:$F$14,1),0),COUNT('Default Prob'!$P$5:$P$14)))</f>
        <v>3.22895928960443E-2</v>
      </c>
      <c r="H1358" s="5">
        <f t="shared" si="284"/>
        <v>0.89302930391686164</v>
      </c>
      <c r="I1358" s="24">
        <f t="shared" si="285"/>
        <v>7.8950930309740208E-5</v>
      </c>
      <c r="J1358" s="25">
        <f>INDEX('Default Prob'!$C$3:$C$13, _xlfn.IFNA(MATCH(F1358, 'Default Prob'!$B$3:$B$13, 1), 1))</f>
        <v>2.1100000000000001E-2</v>
      </c>
      <c r="K1358" s="26">
        <f t="shared" si="276"/>
        <v>0.89773951823437981</v>
      </c>
      <c r="L1358" s="27">
        <f t="shared" ca="1" si="277"/>
        <v>0</v>
      </c>
      <c r="M1358" s="27">
        <f t="shared" ca="1" si="278"/>
        <v>3069.9991121022604</v>
      </c>
      <c r="N1358" s="28">
        <f t="shared" ca="1" si="279"/>
        <v>0.21759346339923963</v>
      </c>
      <c r="O1358" s="29">
        <f t="shared" ca="1" si="280"/>
        <v>600000</v>
      </c>
      <c r="P1358" s="30">
        <f t="shared" ca="1" si="281"/>
        <v>42.526422084253362</v>
      </c>
    </row>
    <row r="1359" spans="1:16" x14ac:dyDescent="0.25">
      <c r="A1359" s="3">
        <f t="shared" si="282"/>
        <v>48015</v>
      </c>
      <c r="B1359" s="21">
        <f t="shared" si="273"/>
        <v>36693</v>
      </c>
      <c r="C1359" s="21">
        <f t="shared" si="274"/>
        <v>36697</v>
      </c>
      <c r="D1359" s="1">
        <f t="shared" si="283"/>
        <v>0</v>
      </c>
      <c r="E1359" s="3">
        <f t="array" ref="E1359">INDEX($A$9:A1358, MAX(IF($D$9:D1358=1, ROW(D$9:$D1358)-ROW($D$9)+1, 0)))</f>
        <v>47927</v>
      </c>
      <c r="F1359" s="23">
        <f t="shared" si="275"/>
        <v>5.1745379876796713</v>
      </c>
      <c r="G1359" s="5">
        <f>INDEX('Default Prob'!$P$5:$P$14,MIN(1+_xlfn.IFNA(MATCH(F1359,'Default Prob'!$F$5:$F$14,1),0),COUNT('Default Prob'!$P$5:$P$14)))</f>
        <v>3.22895928960443E-2</v>
      </c>
      <c r="H1359" s="5">
        <f t="shared" si="284"/>
        <v>0.89279249299912322</v>
      </c>
      <c r="I1359" s="24">
        <f t="shared" si="285"/>
        <v>2.36810917738417E-4</v>
      </c>
      <c r="J1359" s="25">
        <f>INDEX('Default Prob'!$C$3:$C$13, _xlfn.IFNA(MATCH(F1359, 'Default Prob'!$B$3:$B$13, 1), 1))</f>
        <v>2.1100000000000001E-2</v>
      </c>
      <c r="K1359" s="26">
        <f t="shared" si="276"/>
        <v>0.89758556650917354</v>
      </c>
      <c r="L1359" s="27">
        <f t="shared" ca="1" si="277"/>
        <v>0</v>
      </c>
      <c r="M1359" s="27">
        <f t="shared" ca="1" si="278"/>
        <v>3178.3520219411635</v>
      </c>
      <c r="N1359" s="28">
        <f t="shared" ca="1" si="279"/>
        <v>0.67558434535506684</v>
      </c>
      <c r="O1359" s="29">
        <f t="shared" ca="1" si="280"/>
        <v>600000</v>
      </c>
      <c r="P1359" s="30">
        <f t="shared" ca="1" si="281"/>
        <v>127.53483705227659</v>
      </c>
    </row>
    <row r="1360" spans="1:16" x14ac:dyDescent="0.25">
      <c r="A1360" s="3">
        <f t="shared" si="282"/>
        <v>48016</v>
      </c>
      <c r="B1360" s="21">
        <f t="shared" si="273"/>
        <v>36694</v>
      </c>
      <c r="C1360" s="21">
        <f t="shared" si="274"/>
        <v>36697</v>
      </c>
      <c r="D1360" s="1">
        <f t="shared" si="283"/>
        <v>0</v>
      </c>
      <c r="E1360" s="3">
        <f t="array" ref="E1360">INDEX($A$9:A1359, MAX(IF($D$9:D1359=1, ROW(D$9:$D1359)-ROW($D$9)+1, 0)))</f>
        <v>47927</v>
      </c>
      <c r="F1360" s="23">
        <f t="shared" si="275"/>
        <v>5.1772758384668034</v>
      </c>
      <c r="G1360" s="5">
        <f>INDEX('Default Prob'!$P$5:$P$14,MIN(1+_xlfn.IFNA(MATCH(F1360,'Default Prob'!$F$5:$F$14,1),0),COUNT('Default Prob'!$P$5:$P$14)))</f>
        <v>3.22895928960443E-2</v>
      </c>
      <c r="H1360" s="5">
        <f t="shared" si="284"/>
        <v>0.89271356998221763</v>
      </c>
      <c r="I1360" s="24">
        <f t="shared" si="285"/>
        <v>7.8923016905596555E-5</v>
      </c>
      <c r="J1360" s="25">
        <f>INDEX('Default Prob'!$C$3:$C$13, _xlfn.IFNA(MATCH(F1360, 'Default Prob'!$B$3:$B$13, 1), 1))</f>
        <v>2.1100000000000001E-2</v>
      </c>
      <c r="K1360" s="26">
        <f t="shared" si="276"/>
        <v>0.89753425513452889</v>
      </c>
      <c r="L1360" s="27">
        <f t="shared" ca="1" si="277"/>
        <v>0</v>
      </c>
      <c r="M1360" s="27">
        <f t="shared" ca="1" si="278"/>
        <v>3214.4696585541315</v>
      </c>
      <c r="N1360" s="28">
        <f t="shared" ca="1" si="279"/>
        <v>0.2277005301545113</v>
      </c>
      <c r="O1360" s="29">
        <f t="shared" ca="1" si="280"/>
        <v>600000</v>
      </c>
      <c r="P1360" s="30">
        <f t="shared" ca="1" si="281"/>
        <v>42.501666714800663</v>
      </c>
    </row>
    <row r="1361" spans="1:16" x14ac:dyDescent="0.25">
      <c r="A1361" s="3">
        <f t="shared" si="282"/>
        <v>48017</v>
      </c>
      <c r="B1361" s="21">
        <f t="shared" si="273"/>
        <v>36695</v>
      </c>
      <c r="C1361" s="21">
        <f t="shared" si="274"/>
        <v>36697</v>
      </c>
      <c r="D1361" s="1">
        <f t="shared" si="283"/>
        <v>0</v>
      </c>
      <c r="E1361" s="3">
        <f t="array" ref="E1361">INDEX($A$9:A1360, MAX(IF($D$9:D1360=1, ROW(D$9:$D1360)-ROW($D$9)+1, 0)))</f>
        <v>47927</v>
      </c>
      <c r="F1361" s="23">
        <f t="shared" si="275"/>
        <v>5.1800136892539355</v>
      </c>
      <c r="G1361" s="5">
        <f>INDEX('Default Prob'!$P$5:$P$14,MIN(1+_xlfn.IFNA(MATCH(F1361,'Default Prob'!$F$5:$F$14,1),0),COUNT('Default Prob'!$P$5:$P$14)))</f>
        <v>3.22895928960443E-2</v>
      </c>
      <c r="H1361" s="5">
        <f t="shared" si="284"/>
        <v>0.89263465394212094</v>
      </c>
      <c r="I1361" s="24">
        <f t="shared" si="285"/>
        <v>7.8916040096688178E-5</v>
      </c>
      <c r="J1361" s="25">
        <f>INDEX('Default Prob'!$C$3:$C$13, _xlfn.IFNA(MATCH(F1361, 'Default Prob'!$B$3:$B$13, 1), 1))</f>
        <v>2.1100000000000001E-2</v>
      </c>
      <c r="K1361" s="26">
        <f t="shared" si="276"/>
        <v>0.89748294669315021</v>
      </c>
      <c r="L1361" s="27">
        <f t="shared" ca="1" si="277"/>
        <v>0</v>
      </c>
      <c r="M1361" s="27">
        <f t="shared" ca="1" si="278"/>
        <v>3250.587295167099</v>
      </c>
      <c r="N1361" s="28">
        <f t="shared" ca="1" si="279"/>
        <v>0.23022544632399183</v>
      </c>
      <c r="O1361" s="29">
        <f t="shared" ca="1" si="280"/>
        <v>600000</v>
      </c>
      <c r="P1361" s="30">
        <f t="shared" ca="1" si="281"/>
        <v>42.495480124398298</v>
      </c>
    </row>
    <row r="1362" spans="1:16" x14ac:dyDescent="0.25">
      <c r="A1362" s="3">
        <f t="shared" si="282"/>
        <v>48018</v>
      </c>
      <c r="B1362" s="21">
        <f t="shared" si="273"/>
        <v>36696</v>
      </c>
      <c r="C1362" s="21">
        <f t="shared" si="274"/>
        <v>36697</v>
      </c>
      <c r="D1362" s="1">
        <f t="shared" si="283"/>
        <v>0</v>
      </c>
      <c r="E1362" s="3">
        <f t="array" ref="E1362">INDEX($A$9:A1361, MAX(IF($D$9:D1361=1, ROW(D$9:$D1361)-ROW($D$9)+1, 0)))</f>
        <v>47927</v>
      </c>
      <c r="F1362" s="23">
        <f t="shared" si="275"/>
        <v>5.1827515400410675</v>
      </c>
      <c r="G1362" s="5">
        <f>INDEX('Default Prob'!$P$5:$P$14,MIN(1+_xlfn.IFNA(MATCH(F1362,'Default Prob'!$F$5:$F$14,1),0),COUNT('Default Prob'!$P$5:$P$14)))</f>
        <v>3.22895928960443E-2</v>
      </c>
      <c r="H1362" s="5">
        <f t="shared" si="284"/>
        <v>0.89255574487821643</v>
      </c>
      <c r="I1362" s="24">
        <f t="shared" si="285"/>
        <v>7.8909063904508692E-5</v>
      </c>
      <c r="J1362" s="25">
        <f>INDEX('Default Prob'!$C$3:$C$13, _xlfn.IFNA(MATCH(F1362, 'Default Prob'!$B$3:$B$13, 1), 1))</f>
        <v>2.1100000000000001E-2</v>
      </c>
      <c r="K1362" s="26">
        <f t="shared" si="276"/>
        <v>0.89743164118486995</v>
      </c>
      <c r="L1362" s="27">
        <f t="shared" ca="1" si="277"/>
        <v>0</v>
      </c>
      <c r="M1362" s="27">
        <f t="shared" ca="1" si="278"/>
        <v>3286.7049317800665</v>
      </c>
      <c r="N1362" s="28">
        <f t="shared" ca="1" si="279"/>
        <v>0.23274962260960447</v>
      </c>
      <c r="O1362" s="29">
        <f t="shared" ca="1" si="280"/>
        <v>600000</v>
      </c>
      <c r="P1362" s="30">
        <f t="shared" ca="1" si="281"/>
        <v>42.48929443451101</v>
      </c>
    </row>
    <row r="1363" spans="1:16" x14ac:dyDescent="0.25">
      <c r="A1363" s="3">
        <f t="shared" si="282"/>
        <v>48019</v>
      </c>
      <c r="B1363" s="21">
        <f t="shared" si="273"/>
        <v>36697</v>
      </c>
      <c r="C1363" s="21">
        <f t="shared" si="274"/>
        <v>36697</v>
      </c>
      <c r="D1363" s="1">
        <f t="shared" si="283"/>
        <v>1</v>
      </c>
      <c r="E1363" s="3">
        <f t="array" ref="E1363">INDEX($A$9:A1362, MAX(IF($D$9:D1362=1, ROW(D$9:$D1362)-ROW($D$9)+1, 0)))</f>
        <v>47927</v>
      </c>
      <c r="F1363" s="23">
        <f t="shared" si="275"/>
        <v>5.1854893908281996</v>
      </c>
      <c r="G1363" s="5">
        <f>INDEX('Default Prob'!$P$5:$P$14,MIN(1+_xlfn.IFNA(MATCH(F1363,'Default Prob'!$F$5:$F$14,1),0),COUNT('Default Prob'!$P$5:$P$14)))</f>
        <v>3.22895928960443E-2</v>
      </c>
      <c r="H1363" s="5">
        <f t="shared" si="284"/>
        <v>0.89247684278988737</v>
      </c>
      <c r="I1363" s="24">
        <f t="shared" si="285"/>
        <v>7.8902088329058095E-5</v>
      </c>
      <c r="J1363" s="25">
        <f>INDEX('Default Prob'!$C$3:$C$13, _xlfn.IFNA(MATCH(F1363, 'Default Prob'!$B$3:$B$13, 1), 1))</f>
        <v>2.1100000000000001E-2</v>
      </c>
      <c r="K1363" s="26">
        <f t="shared" si="276"/>
        <v>0.89738033860952005</v>
      </c>
      <c r="L1363" s="27">
        <f t="shared" ca="1" si="277"/>
        <v>3322.8225683930345</v>
      </c>
      <c r="M1363" s="27">
        <f t="shared" ca="1" si="278"/>
        <v>3322.8225683930345</v>
      </c>
      <c r="N1363" s="28">
        <f t="shared" ca="1" si="279"/>
        <v>2661.4545321604783</v>
      </c>
      <c r="O1363" s="29">
        <f t="shared" ca="1" si="280"/>
        <v>600000</v>
      </c>
      <c r="P1363" s="30">
        <f t="shared" ca="1" si="281"/>
        <v>42.483109645037047</v>
      </c>
    </row>
    <row r="1364" spans="1:16" x14ac:dyDescent="0.25">
      <c r="A1364" s="3">
        <f t="shared" si="282"/>
        <v>48022</v>
      </c>
      <c r="B1364" s="21">
        <f t="shared" si="273"/>
        <v>36700</v>
      </c>
      <c r="C1364" s="21">
        <f t="shared" si="274"/>
        <v>36789</v>
      </c>
      <c r="D1364" s="1">
        <f t="shared" si="283"/>
        <v>0</v>
      </c>
      <c r="E1364" s="3">
        <f t="array" ref="E1364">INDEX($A$9:A1363, MAX(IF($D$9:D1363=1, ROW(D$9:$D1363)-ROW($D$9)+1, 0)))</f>
        <v>48019</v>
      </c>
      <c r="F1364" s="23">
        <f t="shared" si="275"/>
        <v>5.1937029431895958</v>
      </c>
      <c r="G1364" s="5">
        <f>INDEX('Default Prob'!$P$5:$P$14,MIN(1+_xlfn.IFNA(MATCH(F1364,'Default Prob'!$F$5:$F$14,1),0),COUNT('Default Prob'!$P$5:$P$14)))</f>
        <v>3.22895928960443E-2</v>
      </c>
      <c r="H1364" s="5">
        <f t="shared" si="284"/>
        <v>0.8922401783721865</v>
      </c>
      <c r="I1364" s="24">
        <f t="shared" si="285"/>
        <v>2.3666441770087143E-4</v>
      </c>
      <c r="J1364" s="25">
        <f>INDEX('Default Prob'!$C$3:$C$13, _xlfn.IFNA(MATCH(F1364, 'Default Prob'!$B$3:$B$13, 1), 1))</f>
        <v>2.1100000000000001E-2</v>
      </c>
      <c r="K1364" s="26">
        <f t="shared" si="276"/>
        <v>0.89722644847937749</v>
      </c>
      <c r="L1364" s="27">
        <f t="shared" ca="1" si="277"/>
        <v>0</v>
      </c>
      <c r="M1364" s="27">
        <f t="shared" ca="1" si="278"/>
        <v>0</v>
      </c>
      <c r="N1364" s="28">
        <f t="shared" ca="1" si="279"/>
        <v>0</v>
      </c>
      <c r="O1364" s="29">
        <f t="shared" ca="1" si="280"/>
        <v>0</v>
      </c>
      <c r="P1364" s="30">
        <f t="shared" ca="1" si="281"/>
        <v>0</v>
      </c>
    </row>
    <row r="1365" spans="1:16" x14ac:dyDescent="0.25">
      <c r="A1365" s="3">
        <f t="shared" si="282"/>
        <v>48023</v>
      </c>
      <c r="B1365" s="21">
        <f t="shared" si="273"/>
        <v>36701</v>
      </c>
      <c r="C1365" s="21">
        <f t="shared" si="274"/>
        <v>36789</v>
      </c>
      <c r="D1365" s="1">
        <f t="shared" si="283"/>
        <v>0</v>
      </c>
      <c r="E1365" s="3">
        <f t="array" ref="E1365">INDEX($A$9:A1364, MAX(IF($D$9:D1364=1, ROW(D$9:$D1364)-ROW($D$9)+1, 0)))</f>
        <v>48019</v>
      </c>
      <c r="F1365" s="23">
        <f t="shared" si="275"/>
        <v>5.1964407939767279</v>
      </c>
      <c r="G1365" s="5">
        <f>INDEX('Default Prob'!$P$5:$P$14,MIN(1+_xlfn.IFNA(MATCH(F1365,'Default Prob'!$F$5:$F$14,1),0),COUNT('Default Prob'!$P$5:$P$14)))</f>
        <v>3.22895928960443E-2</v>
      </c>
      <c r="H1365" s="5">
        <f t="shared" si="284"/>
        <v>0.89216130417999329</v>
      </c>
      <c r="I1365" s="24">
        <f t="shared" si="285"/>
        <v>7.8874192193212345E-5</v>
      </c>
      <c r="J1365" s="25">
        <f>INDEX('Default Prob'!$C$3:$C$13, _xlfn.IFNA(MATCH(F1365, 'Default Prob'!$B$3:$B$13, 1), 1))</f>
        <v>2.1100000000000001E-2</v>
      </c>
      <c r="K1365" s="26">
        <f t="shared" si="276"/>
        <v>0.89717515763407329</v>
      </c>
      <c r="L1365" s="27">
        <f t="shared" ca="1" si="277"/>
        <v>0</v>
      </c>
      <c r="M1365" s="27">
        <f t="shared" ca="1" si="278"/>
        <v>0</v>
      </c>
      <c r="N1365" s="28">
        <f t="shared" ca="1" si="279"/>
        <v>0</v>
      </c>
      <c r="O1365" s="29">
        <f t="shared" ca="1" si="280"/>
        <v>0</v>
      </c>
      <c r="P1365" s="30">
        <f t="shared" ca="1" si="281"/>
        <v>0</v>
      </c>
    </row>
    <row r="1366" spans="1:16" x14ac:dyDescent="0.25">
      <c r="A1366" s="3">
        <f t="shared" si="282"/>
        <v>48024</v>
      </c>
      <c r="B1366" s="21">
        <f t="shared" si="273"/>
        <v>36702</v>
      </c>
      <c r="C1366" s="21">
        <f t="shared" si="274"/>
        <v>36789</v>
      </c>
      <c r="D1366" s="1">
        <f t="shared" si="283"/>
        <v>0</v>
      </c>
      <c r="E1366" s="3">
        <f t="array" ref="E1366">INDEX($A$9:A1365, MAX(IF($D$9:D1365=1, ROW(D$9:$D1365)-ROW($D$9)+1, 0)))</f>
        <v>48019</v>
      </c>
      <c r="F1366" s="23">
        <f t="shared" si="275"/>
        <v>5.1991786447638599</v>
      </c>
      <c r="G1366" s="5">
        <f>INDEX('Default Prob'!$P$5:$P$14,MIN(1+_xlfn.IFNA(MATCH(F1366,'Default Prob'!$F$5:$F$14,1),0),COUNT('Default Prob'!$P$5:$P$14)))</f>
        <v>3.22895928960443E-2</v>
      </c>
      <c r="H1366" s="5">
        <f t="shared" si="284"/>
        <v>0.89208243696029288</v>
      </c>
      <c r="I1366" s="24">
        <f t="shared" si="285"/>
        <v>7.8867219700406999E-5</v>
      </c>
      <c r="J1366" s="25">
        <f>INDEX('Default Prob'!$C$3:$C$13, _xlfn.IFNA(MATCH(F1366, 'Default Prob'!$B$3:$B$13, 1), 1))</f>
        <v>2.1100000000000001E-2</v>
      </c>
      <c r="K1366" s="26">
        <f t="shared" si="276"/>
        <v>0.89712386972086167</v>
      </c>
      <c r="L1366" s="27">
        <f t="shared" ca="1" si="277"/>
        <v>0</v>
      </c>
      <c r="M1366" s="27">
        <f t="shared" ca="1" si="278"/>
        <v>0</v>
      </c>
      <c r="N1366" s="28">
        <f t="shared" ca="1" si="279"/>
        <v>0</v>
      </c>
      <c r="O1366" s="29">
        <f t="shared" ca="1" si="280"/>
        <v>0</v>
      </c>
      <c r="P1366" s="30">
        <f t="shared" ca="1" si="281"/>
        <v>0</v>
      </c>
    </row>
    <row r="1367" spans="1:16" x14ac:dyDescent="0.25">
      <c r="A1367" s="3">
        <f t="shared" si="282"/>
        <v>48025</v>
      </c>
      <c r="B1367" s="21">
        <f t="shared" si="273"/>
        <v>36703</v>
      </c>
      <c r="C1367" s="21">
        <f t="shared" si="274"/>
        <v>36789</v>
      </c>
      <c r="D1367" s="1">
        <f t="shared" si="283"/>
        <v>0</v>
      </c>
      <c r="E1367" s="3">
        <f t="array" ref="E1367">INDEX($A$9:A1366, MAX(IF($D$9:D1366=1, ROW(D$9:$D1366)-ROW($D$9)+1, 0)))</f>
        <v>48019</v>
      </c>
      <c r="F1367" s="23">
        <f t="shared" si="275"/>
        <v>5.2019164955509929</v>
      </c>
      <c r="G1367" s="5">
        <f>INDEX('Default Prob'!$P$5:$P$14,MIN(1+_xlfn.IFNA(MATCH(F1367,'Default Prob'!$F$5:$F$14,1),0),COUNT('Default Prob'!$P$5:$P$14)))</f>
        <v>3.22895928960443E-2</v>
      </c>
      <c r="H1367" s="5">
        <f t="shared" si="284"/>
        <v>0.89200357671246877</v>
      </c>
      <c r="I1367" s="24">
        <f t="shared" si="285"/>
        <v>7.8860247824108498E-5</v>
      </c>
      <c r="J1367" s="25">
        <f>INDEX('Default Prob'!$C$3:$C$13, _xlfn.IFNA(MATCH(F1367, 'Default Prob'!$B$3:$B$13, 1), 1))</f>
        <v>2.1100000000000001E-2</v>
      </c>
      <c r="K1367" s="26">
        <f t="shared" si="276"/>
        <v>0.89707258473957463</v>
      </c>
      <c r="L1367" s="27">
        <f t="shared" ca="1" si="277"/>
        <v>0</v>
      </c>
      <c r="M1367" s="27">
        <f t="shared" ca="1" si="278"/>
        <v>0</v>
      </c>
      <c r="N1367" s="28">
        <f t="shared" ca="1" si="279"/>
        <v>0</v>
      </c>
      <c r="O1367" s="29">
        <f t="shared" ca="1" si="280"/>
        <v>0</v>
      </c>
      <c r="P1367" s="30">
        <f t="shared" ca="1" si="281"/>
        <v>0</v>
      </c>
    </row>
    <row r="1368" spans="1:16" x14ac:dyDescent="0.25">
      <c r="A1368" s="3">
        <f t="shared" si="282"/>
        <v>48026</v>
      </c>
      <c r="B1368" s="21">
        <f t="shared" si="273"/>
        <v>36704</v>
      </c>
      <c r="C1368" s="21">
        <f t="shared" si="274"/>
        <v>36789</v>
      </c>
      <c r="D1368" s="1">
        <f t="shared" si="283"/>
        <v>0</v>
      </c>
      <c r="E1368" s="3">
        <f t="array" ref="E1368">INDEX($A$9:A1367, MAX(IF($D$9:D1367=1, ROW(D$9:$D1367)-ROW($D$9)+1, 0)))</f>
        <v>48019</v>
      </c>
      <c r="F1368" s="23">
        <f t="shared" si="275"/>
        <v>5.204654346338125</v>
      </c>
      <c r="G1368" s="5">
        <f>INDEX('Default Prob'!$P$5:$P$14,MIN(1+_xlfn.IFNA(MATCH(F1368,'Default Prob'!$F$5:$F$14,1),0),COUNT('Default Prob'!$P$5:$P$14)))</f>
        <v>3.22895928960443E-2</v>
      </c>
      <c r="H1368" s="5">
        <f t="shared" si="284"/>
        <v>0.89192472343590479</v>
      </c>
      <c r="I1368" s="24">
        <f t="shared" si="285"/>
        <v>7.8853276563983776E-5</v>
      </c>
      <c r="J1368" s="25">
        <f>INDEX('Default Prob'!$C$3:$C$13, _xlfn.IFNA(MATCH(F1368, 'Default Prob'!$B$3:$B$13, 1), 1))</f>
        <v>2.1100000000000001E-2</v>
      </c>
      <c r="K1368" s="26">
        <f t="shared" si="276"/>
        <v>0.89702130269004476</v>
      </c>
      <c r="L1368" s="27">
        <f t="shared" ca="1" si="277"/>
        <v>0</v>
      </c>
      <c r="M1368" s="27">
        <f t="shared" ca="1" si="278"/>
        <v>0</v>
      </c>
      <c r="N1368" s="28">
        <f t="shared" ca="1" si="279"/>
        <v>0</v>
      </c>
      <c r="O1368" s="29">
        <f t="shared" ca="1" si="280"/>
        <v>0</v>
      </c>
      <c r="P1368" s="30">
        <f t="shared" ca="1" si="281"/>
        <v>0</v>
      </c>
    </row>
    <row r="1369" spans="1:16" x14ac:dyDescent="0.25">
      <c r="A1369" s="3">
        <f t="shared" si="282"/>
        <v>48029</v>
      </c>
      <c r="B1369" s="21">
        <f t="shared" si="273"/>
        <v>36707</v>
      </c>
      <c r="C1369" s="21">
        <f t="shared" si="274"/>
        <v>36789</v>
      </c>
      <c r="D1369" s="1">
        <f t="shared" si="283"/>
        <v>0</v>
      </c>
      <c r="E1369" s="3">
        <f t="array" ref="E1369">INDEX($A$9:A1368, MAX(IF($D$9:D1368=1, ROW(D$9:$D1368)-ROW($D$9)+1, 0)))</f>
        <v>48019</v>
      </c>
      <c r="F1369" s="23">
        <f t="shared" si="275"/>
        <v>5.2128678986995212</v>
      </c>
      <c r="G1369" s="5">
        <f>INDEX('Default Prob'!$P$5:$P$14,MIN(1+_xlfn.IFNA(MATCH(F1369,'Default Prob'!$F$5:$F$14,1),0),COUNT('Default Prob'!$P$5:$P$14)))</f>
        <v>3.22895928960443E-2</v>
      </c>
      <c r="H1369" s="5">
        <f t="shared" si="284"/>
        <v>0.89168820542761096</v>
      </c>
      <c r="I1369" s="24">
        <f t="shared" si="285"/>
        <v>2.3651800829382896E-4</v>
      </c>
      <c r="J1369" s="25">
        <f>INDEX('Default Prob'!$C$3:$C$13, _xlfn.IFNA(MATCH(F1369, 'Default Prob'!$B$3:$B$13, 1), 1))</f>
        <v>2.1100000000000001E-2</v>
      </c>
      <c r="K1369" s="26">
        <f t="shared" si="276"/>
        <v>0.89686747413032231</v>
      </c>
      <c r="L1369" s="27">
        <f t="shared" ca="1" si="277"/>
        <v>0</v>
      </c>
      <c r="M1369" s="27">
        <f t="shared" ca="1" si="278"/>
        <v>0</v>
      </c>
      <c r="N1369" s="28">
        <f t="shared" ca="1" si="279"/>
        <v>0</v>
      </c>
      <c r="O1369" s="29">
        <f t="shared" ca="1" si="280"/>
        <v>0</v>
      </c>
      <c r="P1369" s="30">
        <f t="shared" ca="1" si="281"/>
        <v>0</v>
      </c>
    </row>
    <row r="1370" spans="1:16" x14ac:dyDescent="0.25">
      <c r="A1370" s="3">
        <f t="shared" si="282"/>
        <v>48030</v>
      </c>
      <c r="B1370" s="21">
        <f t="shared" si="273"/>
        <v>36708</v>
      </c>
      <c r="C1370" s="21">
        <f t="shared" si="274"/>
        <v>36789</v>
      </c>
      <c r="D1370" s="1">
        <f t="shared" si="283"/>
        <v>0</v>
      </c>
      <c r="E1370" s="3">
        <f t="array" ref="E1370">INDEX($A$9:A1369, MAX(IF($D$9:D1369=1, ROW(D$9:$D1369)-ROW($D$9)+1, 0)))</f>
        <v>48019</v>
      </c>
      <c r="F1370" s="23">
        <f t="shared" si="275"/>
        <v>5.2156057494866532</v>
      </c>
      <c r="G1370" s="5">
        <f>INDEX('Default Prob'!$P$5:$P$14,MIN(1+_xlfn.IFNA(MATCH(F1370,'Default Prob'!$F$5:$F$14,1),0),COUNT('Default Prob'!$P$5:$P$14)))</f>
        <v>3.22895928960443E-2</v>
      </c>
      <c r="H1370" s="5">
        <f t="shared" si="284"/>
        <v>0.89160938002992529</v>
      </c>
      <c r="I1370" s="24">
        <f t="shared" si="285"/>
        <v>7.8825397685666765E-5</v>
      </c>
      <c r="J1370" s="25">
        <f>INDEX('Default Prob'!$C$3:$C$13, _xlfn.IFNA(MATCH(F1370, 'Default Prob'!$B$3:$B$13, 1), 1))</f>
        <v>2.1100000000000001E-2</v>
      </c>
      <c r="K1370" s="26">
        <f t="shared" si="276"/>
        <v>0.89681620380614513</v>
      </c>
      <c r="L1370" s="27">
        <f t="shared" ca="1" si="277"/>
        <v>0</v>
      </c>
      <c r="M1370" s="27">
        <f t="shared" ca="1" si="278"/>
        <v>0</v>
      </c>
      <c r="N1370" s="28">
        <f t="shared" ca="1" si="279"/>
        <v>0</v>
      </c>
      <c r="O1370" s="29">
        <f t="shared" ca="1" si="280"/>
        <v>0</v>
      </c>
      <c r="P1370" s="30">
        <f t="shared" ca="1" si="281"/>
        <v>0</v>
      </c>
    </row>
    <row r="1371" spans="1:16" x14ac:dyDescent="0.25">
      <c r="A1371" s="3">
        <f t="shared" si="282"/>
        <v>48031</v>
      </c>
      <c r="B1371" s="21">
        <f t="shared" si="273"/>
        <v>36709</v>
      </c>
      <c r="C1371" s="21">
        <f t="shared" si="274"/>
        <v>36789</v>
      </c>
      <c r="D1371" s="1">
        <f t="shared" si="283"/>
        <v>0</v>
      </c>
      <c r="E1371" s="3">
        <f t="array" ref="E1371">INDEX($A$9:A1370, MAX(IF($D$9:D1370=1, ROW(D$9:$D1370)-ROW($D$9)+1, 0)))</f>
        <v>48019</v>
      </c>
      <c r="F1371" s="23">
        <f t="shared" si="275"/>
        <v>5.2183436002737853</v>
      </c>
      <c r="G1371" s="5">
        <f>INDEX('Default Prob'!$P$5:$P$14,MIN(1+_xlfn.IFNA(MATCH(F1371,'Default Prob'!$F$5:$F$14,1),0),COUNT('Default Prob'!$P$5:$P$14)))</f>
        <v>3.22895928960443E-2</v>
      </c>
      <c r="H1371" s="5">
        <f t="shared" si="284"/>
        <v>0.89153056160041899</v>
      </c>
      <c r="I1371" s="24">
        <f t="shared" si="285"/>
        <v>7.8818429506299914E-5</v>
      </c>
      <c r="J1371" s="25">
        <f>INDEX('Default Prob'!$C$3:$C$13, _xlfn.IFNA(MATCH(F1371, 'Default Prob'!$B$3:$B$13, 1), 1))</f>
        <v>2.1100000000000001E-2</v>
      </c>
      <c r="K1371" s="26">
        <f t="shared" si="276"/>
        <v>0.89676493641288724</v>
      </c>
      <c r="L1371" s="27">
        <f t="shared" ca="1" si="277"/>
        <v>0</v>
      </c>
      <c r="M1371" s="27">
        <f t="shared" ca="1" si="278"/>
        <v>0</v>
      </c>
      <c r="N1371" s="28">
        <f t="shared" ca="1" si="279"/>
        <v>0</v>
      </c>
      <c r="O1371" s="29">
        <f t="shared" ca="1" si="280"/>
        <v>0</v>
      </c>
      <c r="P1371" s="30">
        <f t="shared" ca="1" si="281"/>
        <v>0</v>
      </c>
    </row>
    <row r="1372" spans="1:16" x14ac:dyDescent="0.25">
      <c r="A1372" s="3">
        <f t="shared" si="282"/>
        <v>48032</v>
      </c>
      <c r="B1372" s="21">
        <f t="shared" si="273"/>
        <v>36710</v>
      </c>
      <c r="C1372" s="21">
        <f t="shared" si="274"/>
        <v>36789</v>
      </c>
      <c r="D1372" s="1">
        <f t="shared" si="283"/>
        <v>0</v>
      </c>
      <c r="E1372" s="3">
        <f t="array" ref="E1372">INDEX($A$9:A1371, MAX(IF($D$9:D1371=1, ROW(D$9:$D1371)-ROW($D$9)+1, 0)))</f>
        <v>48019</v>
      </c>
      <c r="F1372" s="23">
        <f t="shared" si="275"/>
        <v>5.2210814510609174</v>
      </c>
      <c r="G1372" s="5">
        <f>INDEX('Default Prob'!$P$5:$P$14,MIN(1+_xlfn.IFNA(MATCH(F1372,'Default Prob'!$F$5:$F$14,1),0),COUNT('Default Prob'!$P$5:$P$14)))</f>
        <v>3.22895928960443E-2</v>
      </c>
      <c r="H1372" s="5">
        <f t="shared" si="284"/>
        <v>0.891451750138476</v>
      </c>
      <c r="I1372" s="24">
        <f t="shared" si="285"/>
        <v>7.881146194299582E-5</v>
      </c>
      <c r="J1372" s="25">
        <f>INDEX('Default Prob'!$C$3:$C$13, _xlfn.IFNA(MATCH(F1372, 'Default Prob'!$B$3:$B$13, 1), 1))</f>
        <v>2.1100000000000001E-2</v>
      </c>
      <c r="K1372" s="26">
        <f t="shared" si="276"/>
        <v>0.8967136719503811</v>
      </c>
      <c r="L1372" s="27">
        <f t="shared" ca="1" si="277"/>
        <v>0</v>
      </c>
      <c r="M1372" s="27">
        <f t="shared" ca="1" si="278"/>
        <v>0</v>
      </c>
      <c r="N1372" s="28">
        <f t="shared" ca="1" si="279"/>
        <v>0</v>
      </c>
      <c r="O1372" s="29">
        <f t="shared" ca="1" si="280"/>
        <v>0</v>
      </c>
      <c r="P1372" s="30">
        <f t="shared" ca="1" si="281"/>
        <v>0</v>
      </c>
    </row>
    <row r="1373" spans="1:16" x14ac:dyDescent="0.25">
      <c r="A1373" s="3">
        <f t="shared" si="282"/>
        <v>48033</v>
      </c>
      <c r="B1373" s="21">
        <f t="shared" si="273"/>
        <v>36711</v>
      </c>
      <c r="C1373" s="21">
        <f t="shared" si="274"/>
        <v>36789</v>
      </c>
      <c r="D1373" s="1">
        <f t="shared" si="283"/>
        <v>0</v>
      </c>
      <c r="E1373" s="3">
        <f t="array" ref="E1373">INDEX($A$9:A1372, MAX(IF($D$9:D1372=1, ROW(D$9:$D1372)-ROW($D$9)+1, 0)))</f>
        <v>48019</v>
      </c>
      <c r="F1373" s="23">
        <f t="shared" si="275"/>
        <v>5.2238193018480494</v>
      </c>
      <c r="G1373" s="5">
        <f>INDEX('Default Prob'!$P$5:$P$14,MIN(1+_xlfn.IFNA(MATCH(F1373,'Default Prob'!$F$5:$F$14,1),0),COUNT('Default Prob'!$P$5:$P$14)))</f>
        <v>3.22895928960443E-2</v>
      </c>
      <c r="H1373" s="5">
        <f t="shared" si="284"/>
        <v>0.89137294564348035</v>
      </c>
      <c r="I1373" s="24">
        <f t="shared" si="285"/>
        <v>7.8804494995643459E-5</v>
      </c>
      <c r="J1373" s="25">
        <f>INDEX('Default Prob'!$C$3:$C$13, _xlfn.IFNA(MATCH(F1373, 'Default Prob'!$B$3:$B$13, 1), 1))</f>
        <v>2.1100000000000001E-2</v>
      </c>
      <c r="K1373" s="26">
        <f t="shared" si="276"/>
        <v>0.89666241041845907</v>
      </c>
      <c r="L1373" s="27">
        <f t="shared" ca="1" si="277"/>
        <v>0</v>
      </c>
      <c r="M1373" s="27">
        <f t="shared" ca="1" si="278"/>
        <v>0</v>
      </c>
      <c r="N1373" s="28">
        <f t="shared" ca="1" si="279"/>
        <v>0</v>
      </c>
      <c r="O1373" s="29">
        <f t="shared" ca="1" si="280"/>
        <v>0</v>
      </c>
      <c r="P1373" s="30">
        <f t="shared" ca="1" si="281"/>
        <v>0</v>
      </c>
    </row>
    <row r="1374" spans="1:16" x14ac:dyDescent="0.25">
      <c r="A1374" s="3">
        <f t="shared" si="282"/>
        <v>48036</v>
      </c>
      <c r="B1374" s="21">
        <f t="shared" si="273"/>
        <v>36714</v>
      </c>
      <c r="C1374" s="21">
        <f t="shared" si="274"/>
        <v>36789</v>
      </c>
      <c r="D1374" s="1">
        <f t="shared" si="283"/>
        <v>0</v>
      </c>
      <c r="E1374" s="3">
        <f t="array" ref="E1374">INDEX($A$9:A1373, MAX(IF($D$9:D1373=1, ROW(D$9:$D1373)-ROW($D$9)+1, 0)))</f>
        <v>48019</v>
      </c>
      <c r="F1374" s="23">
        <f t="shared" si="275"/>
        <v>5.2320328542094456</v>
      </c>
      <c r="G1374" s="5">
        <f>INDEX('Default Prob'!$P$5:$P$14,MIN(1+_xlfn.IFNA(MATCH(F1374,'Default Prob'!$F$5:$F$14,1),0),COUNT('Default Prob'!$P$5:$P$14)))</f>
        <v>3.22895928960443E-2</v>
      </c>
      <c r="H1374" s="5">
        <f t="shared" si="284"/>
        <v>0.89113657395401935</v>
      </c>
      <c r="I1374" s="24">
        <f t="shared" si="285"/>
        <v>2.3637168946100129E-4</v>
      </c>
      <c r="J1374" s="25">
        <f>INDEX('Default Prob'!$C$3:$C$13, _xlfn.IFNA(MATCH(F1374, 'Default Prob'!$B$3:$B$13, 1), 1))</f>
        <v>2.1100000000000001E-2</v>
      </c>
      <c r="K1374" s="26">
        <f t="shared" si="276"/>
        <v>0.89650864340452252</v>
      </c>
      <c r="L1374" s="27">
        <f t="shared" ca="1" si="277"/>
        <v>0</v>
      </c>
      <c r="M1374" s="27">
        <f t="shared" ca="1" si="278"/>
        <v>0</v>
      </c>
      <c r="N1374" s="28">
        <f t="shared" ca="1" si="279"/>
        <v>0</v>
      </c>
      <c r="O1374" s="29">
        <f t="shared" ca="1" si="280"/>
        <v>0</v>
      </c>
      <c r="P1374" s="30">
        <f t="shared" ca="1" si="281"/>
        <v>0</v>
      </c>
    </row>
    <row r="1375" spans="1:16" x14ac:dyDescent="0.25">
      <c r="A1375" s="3">
        <f t="shared" si="282"/>
        <v>48037</v>
      </c>
      <c r="B1375" s="21">
        <f t="shared" si="273"/>
        <v>36715</v>
      </c>
      <c r="C1375" s="21">
        <f t="shared" si="274"/>
        <v>36789</v>
      </c>
      <c r="D1375" s="1">
        <f t="shared" si="283"/>
        <v>0</v>
      </c>
      <c r="E1375" s="3">
        <f t="array" ref="E1375">INDEX($A$9:A1374, MAX(IF($D$9:D1374=1, ROW(D$9:$D1374)-ROW($D$9)+1, 0)))</f>
        <v>48019</v>
      </c>
      <c r="F1375" s="23">
        <f t="shared" si="275"/>
        <v>5.2347707049965777</v>
      </c>
      <c r="G1375" s="5">
        <f>INDEX('Default Prob'!$P$5:$P$14,MIN(1+_xlfn.IFNA(MATCH(F1375,'Default Prob'!$F$5:$F$14,1),0),COUNT('Default Prob'!$P$5:$P$14)))</f>
        <v>3.22895928960443E-2</v>
      </c>
      <c r="H1375" s="5">
        <f t="shared" si="284"/>
        <v>0.89105779732065515</v>
      </c>
      <c r="I1375" s="24">
        <f t="shared" si="285"/>
        <v>7.8776633364197046E-5</v>
      </c>
      <c r="J1375" s="25">
        <f>INDEX('Default Prob'!$C$3:$C$13, _xlfn.IFNA(MATCH(F1375, 'Default Prob'!$B$3:$B$13, 1), 1))</f>
        <v>2.1100000000000001E-2</v>
      </c>
      <c r="K1375" s="26">
        <f t="shared" si="276"/>
        <v>0.89645739359326193</v>
      </c>
      <c r="L1375" s="27">
        <f t="shared" ca="1" si="277"/>
        <v>0</v>
      </c>
      <c r="M1375" s="27">
        <f t="shared" ca="1" si="278"/>
        <v>0</v>
      </c>
      <c r="N1375" s="28">
        <f t="shared" ca="1" si="279"/>
        <v>0</v>
      </c>
      <c r="O1375" s="29">
        <f t="shared" ca="1" si="280"/>
        <v>0</v>
      </c>
      <c r="P1375" s="30">
        <f t="shared" ca="1" si="281"/>
        <v>0</v>
      </c>
    </row>
    <row r="1376" spans="1:16" x14ac:dyDescent="0.25">
      <c r="A1376" s="3">
        <f t="shared" si="282"/>
        <v>48038</v>
      </c>
      <c r="B1376" s="21">
        <f t="shared" si="273"/>
        <v>36716</v>
      </c>
      <c r="C1376" s="21">
        <f t="shared" si="274"/>
        <v>36789</v>
      </c>
      <c r="D1376" s="1">
        <f t="shared" si="283"/>
        <v>0</v>
      </c>
      <c r="E1376" s="3">
        <f t="array" ref="E1376">INDEX($A$9:A1375, MAX(IF($D$9:D1375=1, ROW(D$9:$D1375)-ROW($D$9)+1, 0)))</f>
        <v>48019</v>
      </c>
      <c r="F1376" s="23">
        <f t="shared" si="275"/>
        <v>5.2375085557837098</v>
      </c>
      <c r="G1376" s="5">
        <f>INDEX('Default Prob'!$P$5:$P$14,MIN(1+_xlfn.IFNA(MATCH(F1376,'Default Prob'!$F$5:$F$14,1),0),COUNT('Default Prob'!$P$5:$P$14)))</f>
        <v>3.22895928960443E-2</v>
      </c>
      <c r="H1376" s="5">
        <f t="shared" si="284"/>
        <v>0.89097902765115944</v>
      </c>
      <c r="I1376" s="24">
        <f t="shared" si="285"/>
        <v>7.8769669495715178E-5</v>
      </c>
      <c r="J1376" s="25">
        <f>INDEX('Default Prob'!$C$3:$C$13, _xlfn.IFNA(MATCH(F1376, 'Default Prob'!$B$3:$B$13, 1), 1))</f>
        <v>2.1100000000000001E-2</v>
      </c>
      <c r="K1376" s="26">
        <f t="shared" si="276"/>
        <v>0.89640614671174801</v>
      </c>
      <c r="L1376" s="27">
        <f t="shared" ca="1" si="277"/>
        <v>0</v>
      </c>
      <c r="M1376" s="27">
        <f t="shared" ca="1" si="278"/>
        <v>0</v>
      </c>
      <c r="N1376" s="28">
        <f t="shared" ca="1" si="279"/>
        <v>0</v>
      </c>
      <c r="O1376" s="29">
        <f t="shared" ca="1" si="280"/>
        <v>0</v>
      </c>
      <c r="P1376" s="30">
        <f t="shared" ca="1" si="281"/>
        <v>0</v>
      </c>
    </row>
    <row r="1377" spans="1:16" x14ac:dyDescent="0.25">
      <c r="A1377" s="3">
        <f t="shared" si="282"/>
        <v>48039</v>
      </c>
      <c r="B1377" s="21">
        <f t="shared" si="273"/>
        <v>36717</v>
      </c>
      <c r="C1377" s="21">
        <f t="shared" si="274"/>
        <v>36789</v>
      </c>
      <c r="D1377" s="1">
        <f t="shared" si="283"/>
        <v>0</v>
      </c>
      <c r="E1377" s="3">
        <f t="array" ref="E1377">INDEX($A$9:A1376, MAX(IF($D$9:D1376=1, ROW(D$9:$D1376)-ROW($D$9)+1, 0)))</f>
        <v>48019</v>
      </c>
      <c r="F1377" s="23">
        <f t="shared" si="275"/>
        <v>5.2402464065708418</v>
      </c>
      <c r="G1377" s="5">
        <f>INDEX('Default Prob'!$P$5:$P$14,MIN(1+_xlfn.IFNA(MATCH(F1377,'Default Prob'!$F$5:$F$14,1),0),COUNT('Default Prob'!$P$5:$P$14)))</f>
        <v>3.22895928960443E-2</v>
      </c>
      <c r="H1377" s="5">
        <f t="shared" si="284"/>
        <v>0.8909002649449167</v>
      </c>
      <c r="I1377" s="24">
        <f t="shared" si="285"/>
        <v>7.8762706242740954E-5</v>
      </c>
      <c r="J1377" s="25">
        <f>INDEX('Default Prob'!$C$3:$C$13, _xlfn.IFNA(MATCH(F1377, 'Default Prob'!$B$3:$B$13, 1), 1))</f>
        <v>2.1100000000000001E-2</v>
      </c>
      <c r="K1377" s="26">
        <f t="shared" si="276"/>
        <v>0.896354902759813</v>
      </c>
      <c r="L1377" s="27">
        <f t="shared" ca="1" si="277"/>
        <v>0</v>
      </c>
      <c r="M1377" s="27">
        <f t="shared" ca="1" si="278"/>
        <v>0</v>
      </c>
      <c r="N1377" s="28">
        <f t="shared" ca="1" si="279"/>
        <v>0</v>
      </c>
      <c r="O1377" s="29">
        <f t="shared" ca="1" si="280"/>
        <v>0</v>
      </c>
      <c r="P1377" s="30">
        <f t="shared" ca="1" si="281"/>
        <v>0</v>
      </c>
    </row>
    <row r="1378" spans="1:16" x14ac:dyDescent="0.25">
      <c r="A1378" s="3">
        <f t="shared" si="282"/>
        <v>48040</v>
      </c>
      <c r="B1378" s="21">
        <f t="shared" si="273"/>
        <v>36718</v>
      </c>
      <c r="C1378" s="21">
        <f t="shared" si="274"/>
        <v>36789</v>
      </c>
      <c r="D1378" s="1">
        <f t="shared" si="283"/>
        <v>0</v>
      </c>
      <c r="E1378" s="3">
        <f t="array" ref="E1378">INDEX($A$9:A1377, MAX(IF($D$9:D1377=1, ROW(D$9:$D1377)-ROW($D$9)+1, 0)))</f>
        <v>48019</v>
      </c>
      <c r="F1378" s="23">
        <f t="shared" si="275"/>
        <v>5.2429842573579739</v>
      </c>
      <c r="G1378" s="5">
        <f>INDEX('Default Prob'!$P$5:$P$14,MIN(1+_xlfn.IFNA(MATCH(F1378,'Default Prob'!$F$5:$F$14,1),0),COUNT('Default Prob'!$P$5:$P$14)))</f>
        <v>3.22895928960443E-2</v>
      </c>
      <c r="H1378" s="5">
        <f t="shared" si="284"/>
        <v>0.89082150920131131</v>
      </c>
      <c r="I1378" s="24">
        <f t="shared" si="285"/>
        <v>7.8755743605385398E-5</v>
      </c>
      <c r="J1378" s="25">
        <f>INDEX('Default Prob'!$C$3:$C$13, _xlfn.IFNA(MATCH(F1378, 'Default Prob'!$B$3:$B$13, 1), 1))</f>
        <v>2.1100000000000001E-2</v>
      </c>
      <c r="K1378" s="26">
        <f t="shared" si="276"/>
        <v>0.89630366173728981</v>
      </c>
      <c r="L1378" s="27">
        <f t="shared" ca="1" si="277"/>
        <v>0</v>
      </c>
      <c r="M1378" s="27">
        <f t="shared" ca="1" si="278"/>
        <v>0</v>
      </c>
      <c r="N1378" s="28">
        <f t="shared" ca="1" si="279"/>
        <v>0</v>
      </c>
      <c r="O1378" s="29">
        <f t="shared" ca="1" si="280"/>
        <v>0</v>
      </c>
      <c r="P1378" s="30">
        <f t="shared" ca="1" si="281"/>
        <v>0</v>
      </c>
    </row>
    <row r="1379" spans="1:16" x14ac:dyDescent="0.25">
      <c r="A1379" s="3">
        <f t="shared" si="282"/>
        <v>48043</v>
      </c>
      <c r="B1379" s="21">
        <f t="shared" si="273"/>
        <v>36721</v>
      </c>
      <c r="C1379" s="21">
        <f t="shared" si="274"/>
        <v>36789</v>
      </c>
      <c r="D1379" s="1">
        <f t="shared" si="283"/>
        <v>0</v>
      </c>
      <c r="E1379" s="3">
        <f t="array" ref="E1379">INDEX($A$9:A1378, MAX(IF($D$9:D1378=1, ROW(D$9:$D1378)-ROW($D$9)+1, 0)))</f>
        <v>48019</v>
      </c>
      <c r="F1379" s="23">
        <f t="shared" si="275"/>
        <v>5.2511978097193701</v>
      </c>
      <c r="G1379" s="5">
        <f>INDEX('Default Prob'!$P$5:$P$14,MIN(1+_xlfn.IFNA(MATCH(F1379,'Default Prob'!$F$5:$F$14,1),0),COUNT('Default Prob'!$P$5:$P$14)))</f>
        <v>3.22895928960443E-2</v>
      </c>
      <c r="H1379" s="5">
        <f t="shared" si="284"/>
        <v>0.89058528374016488</v>
      </c>
      <c r="I1379" s="24">
        <f t="shared" si="285"/>
        <v>2.3622546114643317E-4</v>
      </c>
      <c r="J1379" s="25">
        <f>INDEX('Default Prob'!$C$3:$C$13, _xlfn.IFNA(MATCH(F1379, 'Default Prob'!$B$3:$B$13, 1), 1))</f>
        <v>2.1100000000000001E-2</v>
      </c>
      <c r="K1379" s="26">
        <f t="shared" si="276"/>
        <v>0.89614995624451554</v>
      </c>
      <c r="L1379" s="27">
        <f t="shared" ca="1" si="277"/>
        <v>0</v>
      </c>
      <c r="M1379" s="27">
        <f t="shared" ca="1" si="278"/>
        <v>0</v>
      </c>
      <c r="N1379" s="28">
        <f t="shared" ca="1" si="279"/>
        <v>0</v>
      </c>
      <c r="O1379" s="29">
        <f t="shared" ca="1" si="280"/>
        <v>0</v>
      </c>
      <c r="P1379" s="30">
        <f t="shared" ca="1" si="281"/>
        <v>0</v>
      </c>
    </row>
    <row r="1380" spans="1:16" x14ac:dyDescent="0.25">
      <c r="A1380" s="3">
        <f t="shared" si="282"/>
        <v>48044</v>
      </c>
      <c r="B1380" s="21">
        <f t="shared" si="273"/>
        <v>36722</v>
      </c>
      <c r="C1380" s="21">
        <f t="shared" si="274"/>
        <v>36789</v>
      </c>
      <c r="D1380" s="1">
        <f t="shared" si="283"/>
        <v>0</v>
      </c>
      <c r="E1380" s="3">
        <f t="array" ref="E1380">INDEX($A$9:A1379, MAX(IF($D$9:D1379=1, ROW(D$9:$D1379)-ROW($D$9)+1, 0)))</f>
        <v>48019</v>
      </c>
      <c r="F1380" s="23">
        <f t="shared" si="275"/>
        <v>5.2539356605065022</v>
      </c>
      <c r="G1380" s="5">
        <f>INDEX('Default Prob'!$P$5:$P$14,MIN(1+_xlfn.IFNA(MATCH(F1380,'Default Prob'!$F$5:$F$14,1),0),COUNT('Default Prob'!$P$5:$P$14)))</f>
        <v>3.22895928960443E-2</v>
      </c>
      <c r="H1380" s="5">
        <f t="shared" si="284"/>
        <v>0.89050655584095462</v>
      </c>
      <c r="I1380" s="24">
        <f t="shared" si="285"/>
        <v>7.8727899210262464E-5</v>
      </c>
      <c r="J1380" s="25">
        <f>INDEX('Default Prob'!$C$3:$C$13, _xlfn.IFNA(MATCH(F1380, 'Default Prob'!$B$3:$B$13, 1), 1))</f>
        <v>2.1100000000000001E-2</v>
      </c>
      <c r="K1380" s="26">
        <f t="shared" si="276"/>
        <v>0.89609872693796422</v>
      </c>
      <c r="L1380" s="27">
        <f t="shared" ca="1" si="277"/>
        <v>0</v>
      </c>
      <c r="M1380" s="27">
        <f t="shared" ca="1" si="278"/>
        <v>0</v>
      </c>
      <c r="N1380" s="28">
        <f t="shared" ca="1" si="279"/>
        <v>0</v>
      </c>
      <c r="O1380" s="29">
        <f t="shared" ca="1" si="280"/>
        <v>0</v>
      </c>
      <c r="P1380" s="30">
        <f t="shared" ca="1" si="281"/>
        <v>0</v>
      </c>
    </row>
    <row r="1381" spans="1:16" x14ac:dyDescent="0.25">
      <c r="A1381" s="3">
        <f t="shared" si="282"/>
        <v>48045</v>
      </c>
      <c r="B1381" s="21">
        <f t="shared" si="273"/>
        <v>36723</v>
      </c>
      <c r="C1381" s="21">
        <f t="shared" si="274"/>
        <v>36789</v>
      </c>
      <c r="D1381" s="1">
        <f t="shared" si="283"/>
        <v>0</v>
      </c>
      <c r="E1381" s="3">
        <f t="array" ref="E1381">INDEX($A$9:A1380, MAX(IF($D$9:D1380=1, ROW(D$9:$D1380)-ROW($D$9)+1, 0)))</f>
        <v>48019</v>
      </c>
      <c r="F1381" s="23">
        <f t="shared" si="275"/>
        <v>5.2566735112936342</v>
      </c>
      <c r="G1381" s="5">
        <f>INDEX('Default Prob'!$P$5:$P$14,MIN(1+_xlfn.IFNA(MATCH(F1381,'Default Prob'!$F$5:$F$14,1),0),COUNT('Default Prob'!$P$5:$P$14)))</f>
        <v>3.22895928960443E-2</v>
      </c>
      <c r="H1381" s="5">
        <f t="shared" si="284"/>
        <v>0.89042783490130484</v>
      </c>
      <c r="I1381" s="24">
        <f t="shared" si="285"/>
        <v>7.8720939649778998E-5</v>
      </c>
      <c r="J1381" s="25">
        <f>INDEX('Default Prob'!$C$3:$C$13, _xlfn.IFNA(MATCH(F1381, 'Default Prob'!$B$3:$B$13, 1), 1))</f>
        <v>2.1100000000000001E-2</v>
      </c>
      <c r="K1381" s="26">
        <f t="shared" si="276"/>
        <v>0.8960475005599875</v>
      </c>
      <c r="L1381" s="27">
        <f t="shared" ca="1" si="277"/>
        <v>0</v>
      </c>
      <c r="M1381" s="27">
        <f t="shared" ca="1" si="278"/>
        <v>0</v>
      </c>
      <c r="N1381" s="28">
        <f t="shared" ca="1" si="279"/>
        <v>0</v>
      </c>
      <c r="O1381" s="29">
        <f t="shared" ca="1" si="280"/>
        <v>0</v>
      </c>
      <c r="P1381" s="30">
        <f t="shared" ca="1" si="281"/>
        <v>0</v>
      </c>
    </row>
    <row r="1382" spans="1:16" x14ac:dyDescent="0.25">
      <c r="A1382" s="3">
        <f t="shared" si="282"/>
        <v>48046</v>
      </c>
      <c r="B1382" s="21">
        <f t="shared" si="273"/>
        <v>36724</v>
      </c>
      <c r="C1382" s="21">
        <f t="shared" si="274"/>
        <v>36789</v>
      </c>
      <c r="D1382" s="1">
        <f t="shared" si="283"/>
        <v>0</v>
      </c>
      <c r="E1382" s="3">
        <f t="array" ref="E1382">INDEX($A$9:A1381, MAX(IF($D$9:D1381=1, ROW(D$9:$D1381)-ROW($D$9)+1, 0)))</f>
        <v>48019</v>
      </c>
      <c r="F1382" s="23">
        <f t="shared" si="275"/>
        <v>5.2594113620807663</v>
      </c>
      <c r="G1382" s="5">
        <f>INDEX('Default Prob'!$P$5:$P$14,MIN(1+_xlfn.IFNA(MATCH(F1382,'Default Prob'!$F$5:$F$14,1),0),COUNT('Default Prob'!$P$5:$P$14)))</f>
        <v>3.22895928960443E-2</v>
      </c>
      <c r="H1382" s="5">
        <f t="shared" si="284"/>
        <v>0.89034912092060026</v>
      </c>
      <c r="I1382" s="24">
        <f t="shared" si="285"/>
        <v>7.8713980704581132E-5</v>
      </c>
      <c r="J1382" s="25">
        <f>INDEX('Default Prob'!$C$3:$C$13, _xlfn.IFNA(MATCH(F1382, 'Default Prob'!$B$3:$B$13, 1), 1))</f>
        <v>2.1100000000000001E-2</v>
      </c>
      <c r="K1382" s="26">
        <f t="shared" si="276"/>
        <v>0.89599627711041785</v>
      </c>
      <c r="L1382" s="27">
        <f t="shared" ca="1" si="277"/>
        <v>0</v>
      </c>
      <c r="M1382" s="27">
        <f t="shared" ca="1" si="278"/>
        <v>0</v>
      </c>
      <c r="N1382" s="28">
        <f t="shared" ca="1" si="279"/>
        <v>0</v>
      </c>
      <c r="O1382" s="29">
        <f t="shared" ca="1" si="280"/>
        <v>0</v>
      </c>
      <c r="P1382" s="30">
        <f t="shared" ca="1" si="281"/>
        <v>0</v>
      </c>
    </row>
    <row r="1383" spans="1:16" x14ac:dyDescent="0.25">
      <c r="A1383" s="3">
        <f t="shared" si="282"/>
        <v>48047</v>
      </c>
      <c r="B1383" s="21">
        <f t="shared" si="273"/>
        <v>36725</v>
      </c>
      <c r="C1383" s="21">
        <f t="shared" si="274"/>
        <v>36789</v>
      </c>
      <c r="D1383" s="1">
        <f t="shared" si="283"/>
        <v>0</v>
      </c>
      <c r="E1383" s="3">
        <f t="array" ref="E1383">INDEX($A$9:A1382, MAX(IF($D$9:D1382=1, ROW(D$9:$D1382)-ROW($D$9)+1, 0)))</f>
        <v>48019</v>
      </c>
      <c r="F1383" s="23">
        <f t="shared" si="275"/>
        <v>5.2621492128678984</v>
      </c>
      <c r="G1383" s="5">
        <f>INDEX('Default Prob'!$P$5:$P$14,MIN(1+_xlfn.IFNA(MATCH(F1383,'Default Prob'!$F$5:$F$14,1),0),COUNT('Default Prob'!$P$5:$P$14)))</f>
        <v>3.22895928960443E-2</v>
      </c>
      <c r="H1383" s="5">
        <f t="shared" si="284"/>
        <v>0.89027041389822581</v>
      </c>
      <c r="I1383" s="24">
        <f t="shared" si="285"/>
        <v>7.8707022374446822E-5</v>
      </c>
      <c r="J1383" s="25">
        <f>INDEX('Default Prob'!$C$3:$C$13, _xlfn.IFNA(MATCH(F1383, 'Default Prob'!$B$3:$B$13, 1), 1))</f>
        <v>2.1100000000000001E-2</v>
      </c>
      <c r="K1383" s="26">
        <f t="shared" si="276"/>
        <v>0.89594505658908763</v>
      </c>
      <c r="L1383" s="27">
        <f t="shared" ca="1" si="277"/>
        <v>0</v>
      </c>
      <c r="M1383" s="27">
        <f t="shared" ca="1" si="278"/>
        <v>0</v>
      </c>
      <c r="N1383" s="28">
        <f t="shared" ca="1" si="279"/>
        <v>0</v>
      </c>
      <c r="O1383" s="29">
        <f t="shared" ca="1" si="280"/>
        <v>0</v>
      </c>
      <c r="P1383" s="30">
        <f t="shared" ca="1" si="281"/>
        <v>0</v>
      </c>
    </row>
    <row r="1384" spans="1:16" x14ac:dyDescent="0.25">
      <c r="A1384" s="3">
        <f t="shared" si="282"/>
        <v>48050</v>
      </c>
      <c r="B1384" s="21">
        <f t="shared" si="273"/>
        <v>36728</v>
      </c>
      <c r="C1384" s="21">
        <f t="shared" si="274"/>
        <v>36789</v>
      </c>
      <c r="D1384" s="1">
        <f t="shared" si="283"/>
        <v>0</v>
      </c>
      <c r="E1384" s="3">
        <f t="array" ref="E1384">INDEX($A$9:A1383, MAX(IF($D$9:D1383=1, ROW(D$9:$D1383)-ROW($D$9)+1, 0)))</f>
        <v>48019</v>
      </c>
      <c r="F1384" s="23">
        <f t="shared" si="275"/>
        <v>5.2703627652292946</v>
      </c>
      <c r="G1384" s="5">
        <f>INDEX('Default Prob'!$P$5:$P$14,MIN(1+_xlfn.IFNA(MATCH(F1384,'Default Prob'!$F$5:$F$14,1),0),COUNT('Default Prob'!$P$5:$P$14)))</f>
        <v>3.22895928960443E-2</v>
      </c>
      <c r="H1384" s="5">
        <f t="shared" si="284"/>
        <v>0.89003433457493164</v>
      </c>
      <c r="I1384" s="24">
        <f t="shared" si="285"/>
        <v>2.3607932329416936E-4</v>
      </c>
      <c r="J1384" s="25">
        <f>INDEX('Default Prob'!$C$3:$C$13, _xlfn.IFNA(MATCH(F1384, 'Default Prob'!$B$3:$B$13, 1), 1))</f>
        <v>2.1100000000000001E-2</v>
      </c>
      <c r="K1384" s="26">
        <f t="shared" si="276"/>
        <v>0.8957914125928611</v>
      </c>
      <c r="L1384" s="27">
        <f t="shared" ca="1" si="277"/>
        <v>0</v>
      </c>
      <c r="M1384" s="27">
        <f t="shared" ca="1" si="278"/>
        <v>0</v>
      </c>
      <c r="N1384" s="28">
        <f t="shared" ca="1" si="279"/>
        <v>0</v>
      </c>
      <c r="O1384" s="29">
        <f t="shared" ca="1" si="280"/>
        <v>0</v>
      </c>
      <c r="P1384" s="30">
        <f t="shared" ca="1" si="281"/>
        <v>0</v>
      </c>
    </row>
    <row r="1385" spans="1:16" x14ac:dyDescent="0.25">
      <c r="A1385" s="3">
        <f t="shared" si="282"/>
        <v>48051</v>
      </c>
      <c r="B1385" s="21">
        <f t="shared" si="273"/>
        <v>36729</v>
      </c>
      <c r="C1385" s="21">
        <f t="shared" si="274"/>
        <v>36789</v>
      </c>
      <c r="D1385" s="1">
        <f t="shared" si="283"/>
        <v>0</v>
      </c>
      <c r="E1385" s="3">
        <f t="array" ref="E1385">INDEX($A$9:A1384, MAX(IF($D$9:D1384=1, ROW(D$9:$D1384)-ROW($D$9)+1, 0)))</f>
        <v>48019</v>
      </c>
      <c r="F1385" s="23">
        <f t="shared" si="275"/>
        <v>5.2731006160164275</v>
      </c>
      <c r="G1385" s="5">
        <f>INDEX('Default Prob'!$P$5:$P$14,MIN(1+_xlfn.IFNA(MATCH(F1385,'Default Prob'!$F$5:$F$14,1),0),COUNT('Default Prob'!$P$5:$P$14)))</f>
        <v>3.22895928960443E-2</v>
      </c>
      <c r="H1385" s="5">
        <f t="shared" si="284"/>
        <v>0.88995565537972665</v>
      </c>
      <c r="I1385" s="24">
        <f t="shared" si="285"/>
        <v>7.8679195204989227E-5</v>
      </c>
      <c r="J1385" s="25">
        <f>INDEX('Default Prob'!$C$3:$C$13, _xlfn.IFNA(MATCH(F1385, 'Default Prob'!$B$3:$B$13, 1), 1))</f>
        <v>2.1100000000000001E-2</v>
      </c>
      <c r="K1385" s="26">
        <f t="shared" si="276"/>
        <v>0.8957402037828156</v>
      </c>
      <c r="L1385" s="27">
        <f t="shared" ca="1" si="277"/>
        <v>0</v>
      </c>
      <c r="M1385" s="27">
        <f t="shared" ca="1" si="278"/>
        <v>0</v>
      </c>
      <c r="N1385" s="28">
        <f t="shared" ca="1" si="279"/>
        <v>0</v>
      </c>
      <c r="O1385" s="29">
        <f t="shared" ca="1" si="280"/>
        <v>0</v>
      </c>
      <c r="P1385" s="30">
        <f t="shared" ca="1" si="281"/>
        <v>0</v>
      </c>
    </row>
    <row r="1386" spans="1:16" x14ac:dyDescent="0.25">
      <c r="A1386" s="3">
        <f t="shared" si="282"/>
        <v>48052</v>
      </c>
      <c r="B1386" s="21">
        <f t="shared" si="273"/>
        <v>36730</v>
      </c>
      <c r="C1386" s="21">
        <f t="shared" si="274"/>
        <v>36789</v>
      </c>
      <c r="D1386" s="1">
        <f t="shared" si="283"/>
        <v>0</v>
      </c>
      <c r="E1386" s="3">
        <f t="array" ref="E1386">INDEX($A$9:A1385, MAX(IF($D$9:D1385=1, ROW(D$9:$D1385)-ROW($D$9)+1, 0)))</f>
        <v>48019</v>
      </c>
      <c r="F1386" s="23">
        <f t="shared" si="275"/>
        <v>5.2758384668035596</v>
      </c>
      <c r="G1386" s="5">
        <f>INDEX('Default Prob'!$P$5:$P$14,MIN(1+_xlfn.IFNA(MATCH(F1386,'Default Prob'!$F$5:$F$14,1),0),COUNT('Default Prob'!$P$5:$P$14)))</f>
        <v>3.22895928960443E-2</v>
      </c>
      <c r="H1386" s="5">
        <f t="shared" si="284"/>
        <v>0.8898769831397767</v>
      </c>
      <c r="I1386" s="24">
        <f t="shared" si="285"/>
        <v>7.8672239949950651E-5</v>
      </c>
      <c r="J1386" s="25">
        <f>INDEX('Default Prob'!$C$3:$C$13, _xlfn.IFNA(MATCH(F1386, 'Default Prob'!$B$3:$B$13, 1), 1))</f>
        <v>2.1100000000000001E-2</v>
      </c>
      <c r="K1386" s="26">
        <f t="shared" si="276"/>
        <v>0.89568899790017287</v>
      </c>
      <c r="L1386" s="27">
        <f t="shared" ca="1" si="277"/>
        <v>0</v>
      </c>
      <c r="M1386" s="27">
        <f t="shared" ca="1" si="278"/>
        <v>0</v>
      </c>
      <c r="N1386" s="28">
        <f t="shared" ca="1" si="279"/>
        <v>0</v>
      </c>
      <c r="O1386" s="29">
        <f t="shared" ca="1" si="280"/>
        <v>0</v>
      </c>
      <c r="P1386" s="30">
        <f t="shared" ca="1" si="281"/>
        <v>0</v>
      </c>
    </row>
    <row r="1387" spans="1:16" x14ac:dyDescent="0.25">
      <c r="A1387" s="3">
        <f t="shared" si="282"/>
        <v>48053</v>
      </c>
      <c r="B1387" s="21">
        <f t="shared" si="273"/>
        <v>36731</v>
      </c>
      <c r="C1387" s="21">
        <f t="shared" si="274"/>
        <v>36789</v>
      </c>
      <c r="D1387" s="1">
        <f t="shared" si="283"/>
        <v>0</v>
      </c>
      <c r="E1387" s="3">
        <f t="array" ref="E1387">INDEX($A$9:A1386, MAX(IF($D$9:D1386=1, ROW(D$9:$D1386)-ROW($D$9)+1, 0)))</f>
        <v>48019</v>
      </c>
      <c r="F1387" s="23">
        <f t="shared" si="275"/>
        <v>5.2785763175906917</v>
      </c>
      <c r="G1387" s="5">
        <f>INDEX('Default Prob'!$P$5:$P$14,MIN(1+_xlfn.IFNA(MATCH(F1387,'Default Prob'!$F$5:$F$14,1),0),COUNT('Default Prob'!$P$5:$P$14)))</f>
        <v>3.22895928960443E-2</v>
      </c>
      <c r="H1387" s="5">
        <f t="shared" si="284"/>
        <v>0.88979831785446695</v>
      </c>
      <c r="I1387" s="24">
        <f t="shared" si="285"/>
        <v>7.8665285309753585E-5</v>
      </c>
      <c r="J1387" s="25">
        <f>INDEX('Default Prob'!$C$3:$C$13, _xlfn.IFNA(MATCH(F1387, 'Default Prob'!$B$3:$B$13, 1), 1))</f>
        <v>2.1100000000000001E-2</v>
      </c>
      <c r="K1387" s="26">
        <f t="shared" si="276"/>
        <v>0.89563779494476548</v>
      </c>
      <c r="L1387" s="27">
        <f t="shared" ca="1" si="277"/>
        <v>0</v>
      </c>
      <c r="M1387" s="27">
        <f t="shared" ca="1" si="278"/>
        <v>0</v>
      </c>
      <c r="N1387" s="28">
        <f t="shared" ca="1" si="279"/>
        <v>0</v>
      </c>
      <c r="O1387" s="29">
        <f t="shared" ca="1" si="280"/>
        <v>0</v>
      </c>
      <c r="P1387" s="30">
        <f t="shared" ca="1" si="281"/>
        <v>0</v>
      </c>
    </row>
    <row r="1388" spans="1:16" x14ac:dyDescent="0.25">
      <c r="A1388" s="3">
        <f t="shared" si="282"/>
        <v>48054</v>
      </c>
      <c r="B1388" s="21">
        <f t="shared" si="273"/>
        <v>36732</v>
      </c>
      <c r="C1388" s="21">
        <f t="shared" si="274"/>
        <v>36789</v>
      </c>
      <c r="D1388" s="1">
        <f t="shared" si="283"/>
        <v>0</v>
      </c>
      <c r="E1388" s="3">
        <f t="array" ref="E1388">INDEX($A$9:A1387, MAX(IF($D$9:D1387=1, ROW(D$9:$D1387)-ROW($D$9)+1, 0)))</f>
        <v>48019</v>
      </c>
      <c r="F1388" s="23">
        <f t="shared" si="275"/>
        <v>5.2813141683778237</v>
      </c>
      <c r="G1388" s="5">
        <f>INDEX('Default Prob'!$P$5:$P$14,MIN(1+_xlfn.IFNA(MATCH(F1388,'Default Prob'!$F$5:$F$14,1),0),COUNT('Default Prob'!$P$5:$P$14)))</f>
        <v>3.22895928960443E-2</v>
      </c>
      <c r="H1388" s="5">
        <f t="shared" si="284"/>
        <v>0.88971965952318255</v>
      </c>
      <c r="I1388" s="24">
        <f t="shared" si="285"/>
        <v>7.8658331284398031E-5</v>
      </c>
      <c r="J1388" s="25">
        <f>INDEX('Default Prob'!$C$3:$C$13, _xlfn.IFNA(MATCH(F1388, 'Default Prob'!$B$3:$B$13, 1), 1))</f>
        <v>2.1100000000000001E-2</v>
      </c>
      <c r="K1388" s="26">
        <f t="shared" si="276"/>
        <v>0.89558659491642612</v>
      </c>
      <c r="L1388" s="27">
        <f t="shared" ca="1" si="277"/>
        <v>0</v>
      </c>
      <c r="M1388" s="27">
        <f t="shared" ca="1" si="278"/>
        <v>0</v>
      </c>
      <c r="N1388" s="28">
        <f t="shared" ca="1" si="279"/>
        <v>0</v>
      </c>
      <c r="O1388" s="29">
        <f t="shared" ca="1" si="280"/>
        <v>0</v>
      </c>
      <c r="P1388" s="30">
        <f t="shared" ca="1" si="281"/>
        <v>0</v>
      </c>
    </row>
    <row r="1389" spans="1:16" x14ac:dyDescent="0.25">
      <c r="A1389" s="3">
        <f t="shared" si="282"/>
        <v>48057</v>
      </c>
      <c r="B1389" s="21">
        <f t="shared" si="273"/>
        <v>36735</v>
      </c>
      <c r="C1389" s="21">
        <f t="shared" si="274"/>
        <v>36789</v>
      </c>
      <c r="D1389" s="1">
        <f t="shared" si="283"/>
        <v>0</v>
      </c>
      <c r="E1389" s="3">
        <f t="array" ref="E1389">INDEX($A$9:A1388, MAX(IF($D$9:D1388=1, ROW(D$9:$D1388)-ROW($D$9)+1, 0)))</f>
        <v>48019</v>
      </c>
      <c r="F1389" s="23">
        <f t="shared" si="275"/>
        <v>5.28952772073922</v>
      </c>
      <c r="G1389" s="5">
        <f>INDEX('Default Prob'!$P$5:$P$14,MIN(1+_xlfn.IFNA(MATCH(F1389,'Default Prob'!$F$5:$F$14,1),0),COUNT('Default Prob'!$P$5:$P$14)))</f>
        <v>3.22895928960443E-2</v>
      </c>
      <c r="H1389" s="5">
        <f t="shared" si="284"/>
        <v>0.88948372624733429</v>
      </c>
      <c r="I1389" s="24">
        <f t="shared" si="285"/>
        <v>2.3593327584825463E-4</v>
      </c>
      <c r="J1389" s="25">
        <f>INDEX('Default Prob'!$C$3:$C$13, _xlfn.IFNA(MATCH(F1389, 'Default Prob'!$B$3:$B$13, 1), 1))</f>
        <v>2.1100000000000001E-2</v>
      </c>
      <c r="K1389" s="26">
        <f t="shared" si="276"/>
        <v>0.89543301239214312</v>
      </c>
      <c r="L1389" s="27">
        <f t="shared" ca="1" si="277"/>
        <v>0</v>
      </c>
      <c r="M1389" s="27">
        <f t="shared" ca="1" si="278"/>
        <v>0</v>
      </c>
      <c r="N1389" s="28">
        <f t="shared" ca="1" si="279"/>
        <v>0</v>
      </c>
      <c r="O1389" s="29">
        <f t="shared" ca="1" si="280"/>
        <v>0</v>
      </c>
      <c r="P1389" s="30">
        <f t="shared" ca="1" si="281"/>
        <v>0</v>
      </c>
    </row>
    <row r="1390" spans="1:16" x14ac:dyDescent="0.25">
      <c r="A1390" s="3">
        <f t="shared" si="282"/>
        <v>48058</v>
      </c>
      <c r="B1390" s="21">
        <f t="shared" si="273"/>
        <v>36736</v>
      </c>
      <c r="C1390" s="21">
        <f t="shared" si="274"/>
        <v>36789</v>
      </c>
      <c r="D1390" s="1">
        <f t="shared" si="283"/>
        <v>0</v>
      </c>
      <c r="E1390" s="3">
        <f t="array" ref="E1390">INDEX($A$9:A1389, MAX(IF($D$9:D1389=1, ROW(D$9:$D1389)-ROW($D$9)+1, 0)))</f>
        <v>48019</v>
      </c>
      <c r="F1390" s="23">
        <f t="shared" si="275"/>
        <v>5.292265571526352</v>
      </c>
      <c r="G1390" s="5">
        <f>INDEX('Default Prob'!$P$5:$P$14,MIN(1+_xlfn.IFNA(MATCH(F1390,'Default Prob'!$F$5:$F$14,1),0),COUNT('Default Prob'!$P$5:$P$14)))</f>
        <v>3.22895928960443E-2</v>
      </c>
      <c r="H1390" s="5">
        <f t="shared" si="284"/>
        <v>0.88940509572600457</v>
      </c>
      <c r="I1390" s="24">
        <f t="shared" si="285"/>
        <v>7.8630521329725589E-5</v>
      </c>
      <c r="J1390" s="25">
        <f>INDEX('Default Prob'!$C$3:$C$13, _xlfn.IFNA(MATCH(F1390, 'Default Prob'!$B$3:$B$13, 1), 1))</f>
        <v>2.1100000000000001E-2</v>
      </c>
      <c r="K1390" s="26">
        <f t="shared" si="276"/>
        <v>0.89538182407040257</v>
      </c>
      <c r="L1390" s="27">
        <f t="shared" ca="1" si="277"/>
        <v>0</v>
      </c>
      <c r="M1390" s="27">
        <f t="shared" ca="1" si="278"/>
        <v>0</v>
      </c>
      <c r="N1390" s="28">
        <f t="shared" ca="1" si="279"/>
        <v>0</v>
      </c>
      <c r="O1390" s="29">
        <f t="shared" ca="1" si="280"/>
        <v>0</v>
      </c>
      <c r="P1390" s="30">
        <f t="shared" ca="1" si="281"/>
        <v>0</v>
      </c>
    </row>
    <row r="1391" spans="1:16" x14ac:dyDescent="0.25">
      <c r="A1391" s="3">
        <f t="shared" si="282"/>
        <v>48059</v>
      </c>
      <c r="B1391" s="21">
        <f t="shared" si="273"/>
        <v>36737</v>
      </c>
      <c r="C1391" s="21">
        <f t="shared" si="274"/>
        <v>36789</v>
      </c>
      <c r="D1391" s="1">
        <f t="shared" si="283"/>
        <v>0</v>
      </c>
      <c r="E1391" s="3">
        <f t="array" ref="E1391">INDEX($A$9:A1390, MAX(IF($D$9:D1390=1, ROW(D$9:$D1390)-ROW($D$9)+1, 0)))</f>
        <v>48019</v>
      </c>
      <c r="F1391" s="23">
        <f t="shared" si="275"/>
        <v>5.2950034223134841</v>
      </c>
      <c r="G1391" s="5">
        <f>INDEX('Default Prob'!$P$5:$P$14,MIN(1+_xlfn.IFNA(MATCH(F1391,'Default Prob'!$F$5:$F$14,1),0),COUNT('Default Prob'!$P$5:$P$14)))</f>
        <v>3.22895928960443E-2</v>
      </c>
      <c r="H1391" s="5">
        <f t="shared" si="284"/>
        <v>0.88932647215562699</v>
      </c>
      <c r="I1391" s="24">
        <f t="shared" si="285"/>
        <v>7.8623570377578389E-5</v>
      </c>
      <c r="J1391" s="25">
        <f>INDEX('Default Prob'!$C$3:$C$13, _xlfn.IFNA(MATCH(F1391, 'Default Prob'!$B$3:$B$13, 1), 1))</f>
        <v>2.1100000000000001E-2</v>
      </c>
      <c r="K1391" s="26">
        <f t="shared" si="276"/>
        <v>0.89533063867489382</v>
      </c>
      <c r="L1391" s="27">
        <f t="shared" ca="1" si="277"/>
        <v>0</v>
      </c>
      <c r="M1391" s="27">
        <f t="shared" ca="1" si="278"/>
        <v>0</v>
      </c>
      <c r="N1391" s="28">
        <f t="shared" ca="1" si="279"/>
        <v>0</v>
      </c>
      <c r="O1391" s="29">
        <f t="shared" ca="1" si="280"/>
        <v>0</v>
      </c>
      <c r="P1391" s="30">
        <f t="shared" ca="1" si="281"/>
        <v>0</v>
      </c>
    </row>
    <row r="1392" spans="1:16" x14ac:dyDescent="0.25">
      <c r="A1392" s="3">
        <f t="shared" si="282"/>
        <v>48060</v>
      </c>
      <c r="B1392" s="21">
        <f t="shared" si="273"/>
        <v>36738</v>
      </c>
      <c r="C1392" s="21">
        <f t="shared" si="274"/>
        <v>36789</v>
      </c>
      <c r="D1392" s="1">
        <f t="shared" si="283"/>
        <v>0</v>
      </c>
      <c r="E1392" s="3">
        <f t="array" ref="E1392">INDEX($A$9:A1391, MAX(IF($D$9:D1391=1, ROW(D$9:$D1391)-ROW($D$9)+1, 0)))</f>
        <v>48019</v>
      </c>
      <c r="F1392" s="23">
        <f t="shared" si="275"/>
        <v>5.2977412731006162</v>
      </c>
      <c r="G1392" s="5">
        <f>INDEX('Default Prob'!$P$5:$P$14,MIN(1+_xlfn.IFNA(MATCH(F1392,'Default Prob'!$F$5:$F$14,1),0),COUNT('Default Prob'!$P$5:$P$14)))</f>
        <v>3.22895928960443E-2</v>
      </c>
      <c r="H1392" s="5">
        <f t="shared" si="284"/>
        <v>0.88924785553558716</v>
      </c>
      <c r="I1392" s="24">
        <f t="shared" si="285"/>
        <v>7.8616620039828611E-5</v>
      </c>
      <c r="J1392" s="25">
        <f>INDEX('Default Prob'!$C$3:$C$13, _xlfn.IFNA(MATCH(F1392, 'Default Prob'!$B$3:$B$13, 1), 1))</f>
        <v>2.1100000000000001E-2</v>
      </c>
      <c r="K1392" s="26">
        <f t="shared" si="276"/>
        <v>0.89527945620544913</v>
      </c>
      <c r="L1392" s="27">
        <f t="shared" ca="1" si="277"/>
        <v>0</v>
      </c>
      <c r="M1392" s="27">
        <f t="shared" ca="1" si="278"/>
        <v>0</v>
      </c>
      <c r="N1392" s="28">
        <f t="shared" ca="1" si="279"/>
        <v>0</v>
      </c>
      <c r="O1392" s="29">
        <f t="shared" ca="1" si="280"/>
        <v>0</v>
      </c>
      <c r="P1392" s="30">
        <f t="shared" ca="1" si="281"/>
        <v>0</v>
      </c>
    </row>
    <row r="1393" spans="1:16" x14ac:dyDescent="0.25">
      <c r="A1393" s="3">
        <f t="shared" si="282"/>
        <v>48061</v>
      </c>
      <c r="B1393" s="21">
        <f t="shared" si="273"/>
        <v>36739</v>
      </c>
      <c r="C1393" s="21">
        <f t="shared" si="274"/>
        <v>36789</v>
      </c>
      <c r="D1393" s="1">
        <f t="shared" si="283"/>
        <v>0</v>
      </c>
      <c r="E1393" s="3">
        <f t="array" ref="E1393">INDEX($A$9:A1392, MAX(IF($D$9:D1392=1, ROW(D$9:$D1392)-ROW($D$9)+1, 0)))</f>
        <v>48019</v>
      </c>
      <c r="F1393" s="23">
        <f t="shared" si="275"/>
        <v>5.3004791238877482</v>
      </c>
      <c r="G1393" s="5">
        <f>INDEX('Default Prob'!$P$5:$P$14,MIN(1+_xlfn.IFNA(MATCH(F1393,'Default Prob'!$F$5:$F$14,1),0),COUNT('Default Prob'!$P$5:$P$14)))</f>
        <v>3.22895928960443E-2</v>
      </c>
      <c r="H1393" s="5">
        <f t="shared" si="284"/>
        <v>0.88916924586527069</v>
      </c>
      <c r="I1393" s="24">
        <f t="shared" si="285"/>
        <v>7.8609670316476254E-5</v>
      </c>
      <c r="J1393" s="25">
        <f>INDEX('Default Prob'!$C$3:$C$13, _xlfn.IFNA(MATCH(F1393, 'Default Prob'!$B$3:$B$13, 1), 1))</f>
        <v>2.1100000000000001E-2</v>
      </c>
      <c r="K1393" s="26">
        <f t="shared" si="276"/>
        <v>0.89522827666190141</v>
      </c>
      <c r="L1393" s="27">
        <f t="shared" ca="1" si="277"/>
        <v>0</v>
      </c>
      <c r="M1393" s="27">
        <f t="shared" ca="1" si="278"/>
        <v>0</v>
      </c>
      <c r="N1393" s="28">
        <f t="shared" ca="1" si="279"/>
        <v>0</v>
      </c>
      <c r="O1393" s="29">
        <f t="shared" ca="1" si="280"/>
        <v>0</v>
      </c>
      <c r="P1393" s="30">
        <f t="shared" ca="1" si="281"/>
        <v>0</v>
      </c>
    </row>
    <row r="1394" spans="1:16" x14ac:dyDescent="0.25">
      <c r="A1394" s="3">
        <f t="shared" si="282"/>
        <v>48064</v>
      </c>
      <c r="B1394" s="21">
        <f t="shared" si="273"/>
        <v>36742</v>
      </c>
      <c r="C1394" s="21">
        <f t="shared" si="274"/>
        <v>36789</v>
      </c>
      <c r="D1394" s="1">
        <f t="shared" si="283"/>
        <v>0</v>
      </c>
      <c r="E1394" s="3">
        <f t="array" ref="E1394">INDEX($A$9:A1393, MAX(IF($D$9:D1393=1, ROW(D$9:$D1393)-ROW($D$9)+1, 0)))</f>
        <v>48019</v>
      </c>
      <c r="F1394" s="23">
        <f t="shared" si="275"/>
        <v>5.3086926762491444</v>
      </c>
      <c r="G1394" s="5">
        <f>INDEX('Default Prob'!$P$5:$P$14,MIN(1+_xlfn.IFNA(MATCH(F1394,'Default Prob'!$F$5:$F$14,1),0),COUNT('Default Prob'!$P$5:$P$14)))</f>
        <v>3.22895928960443E-2</v>
      </c>
      <c r="H1394" s="5">
        <f t="shared" si="284"/>
        <v>0.88893345854651806</v>
      </c>
      <c r="I1394" s="24">
        <f t="shared" si="285"/>
        <v>2.3578731875262271E-4</v>
      </c>
      <c r="J1394" s="25">
        <f>INDEX('Default Prob'!$C$3:$C$13, _xlfn.IFNA(MATCH(F1394, 'Default Prob'!$B$3:$B$13, 1), 1))</f>
        <v>2.1100000000000001E-2</v>
      </c>
      <c r="K1394" s="26">
        <f t="shared" si="276"/>
        <v>0.8950747555849673</v>
      </c>
      <c r="L1394" s="27">
        <f t="shared" ca="1" si="277"/>
        <v>0</v>
      </c>
      <c r="M1394" s="27">
        <f t="shared" ca="1" si="278"/>
        <v>0</v>
      </c>
      <c r="N1394" s="28">
        <f t="shared" ca="1" si="279"/>
        <v>0</v>
      </c>
      <c r="O1394" s="29">
        <f t="shared" ca="1" si="280"/>
        <v>0</v>
      </c>
      <c r="P1394" s="30">
        <f t="shared" ca="1" si="281"/>
        <v>0</v>
      </c>
    </row>
    <row r="1395" spans="1:16" x14ac:dyDescent="0.25">
      <c r="A1395" s="3">
        <f t="shared" si="282"/>
        <v>48065</v>
      </c>
      <c r="B1395" s="21">
        <f t="shared" si="273"/>
        <v>36743</v>
      </c>
      <c r="C1395" s="21">
        <f t="shared" si="274"/>
        <v>36789</v>
      </c>
      <c r="D1395" s="1">
        <f t="shared" si="283"/>
        <v>0</v>
      </c>
      <c r="E1395" s="3">
        <f t="array" ref="E1395">INDEX($A$9:A1394, MAX(IF($D$9:D1394=1, ROW(D$9:$D1394)-ROW($D$9)+1, 0)))</f>
        <v>48019</v>
      </c>
      <c r="F1395" s="23">
        <f t="shared" si="275"/>
        <v>5.3114305270362765</v>
      </c>
      <c r="G1395" s="5">
        <f>INDEX('Default Prob'!$P$5:$P$14,MIN(1+_xlfn.IFNA(MATCH(F1395,'Default Prob'!$F$5:$F$14,1),0),COUNT('Default Prob'!$P$5:$P$14)))</f>
        <v>3.22895928960443E-2</v>
      </c>
      <c r="H1395" s="5">
        <f t="shared" si="284"/>
        <v>0.88885487666895202</v>
      </c>
      <c r="I1395" s="24">
        <f t="shared" si="285"/>
        <v>7.8581877566041847E-5</v>
      </c>
      <c r="J1395" s="25">
        <f>INDEX('Default Prob'!$C$3:$C$13, _xlfn.IFNA(MATCH(F1395, 'Default Prob'!$B$3:$B$13, 1), 1))</f>
        <v>2.1100000000000001E-2</v>
      </c>
      <c r="K1395" s="26">
        <f t="shared" si="276"/>
        <v>0.89502358774333468</v>
      </c>
      <c r="L1395" s="27">
        <f t="shared" ca="1" si="277"/>
        <v>0</v>
      </c>
      <c r="M1395" s="27">
        <f t="shared" ca="1" si="278"/>
        <v>0</v>
      </c>
      <c r="N1395" s="28">
        <f t="shared" ca="1" si="279"/>
        <v>0</v>
      </c>
      <c r="O1395" s="29">
        <f t="shared" ca="1" si="280"/>
        <v>0</v>
      </c>
      <c r="P1395" s="30">
        <f t="shared" ca="1" si="281"/>
        <v>0</v>
      </c>
    </row>
    <row r="1396" spans="1:16" x14ac:dyDescent="0.25">
      <c r="A1396" s="3">
        <f t="shared" si="282"/>
        <v>48066</v>
      </c>
      <c r="B1396" s="21">
        <f t="shared" si="273"/>
        <v>36744</v>
      </c>
      <c r="C1396" s="21">
        <f t="shared" si="274"/>
        <v>36789</v>
      </c>
      <c r="D1396" s="1">
        <f t="shared" si="283"/>
        <v>0</v>
      </c>
      <c r="E1396" s="3">
        <f t="array" ref="E1396">INDEX($A$9:A1395, MAX(IF($D$9:D1395=1, ROW(D$9:$D1395)-ROW($D$9)+1, 0)))</f>
        <v>48019</v>
      </c>
      <c r="F1396" s="23">
        <f t="shared" si="275"/>
        <v>5.3141683778234086</v>
      </c>
      <c r="G1396" s="5">
        <f>INDEX('Default Prob'!$P$5:$P$14,MIN(1+_xlfn.IFNA(MATCH(F1396,'Default Prob'!$F$5:$F$14,1),0),COUNT('Default Prob'!$P$5:$P$14)))</f>
        <v>3.22895928960443E-2</v>
      </c>
      <c r="H1396" s="5">
        <f t="shared" si="284"/>
        <v>0.88877630173803801</v>
      </c>
      <c r="I1396" s="24">
        <f t="shared" si="285"/>
        <v>7.8574930914010466E-5</v>
      </c>
      <c r="J1396" s="25">
        <f>INDEX('Default Prob'!$C$3:$C$13, _xlfn.IFNA(MATCH(F1396, 'Default Prob'!$B$3:$B$13, 1), 1))</f>
        <v>2.1100000000000001E-2</v>
      </c>
      <c r="K1396" s="26">
        <f t="shared" si="276"/>
        <v>0.89497242282676304</v>
      </c>
      <c r="L1396" s="27">
        <f t="shared" ca="1" si="277"/>
        <v>0</v>
      </c>
      <c r="M1396" s="27">
        <f t="shared" ca="1" si="278"/>
        <v>0</v>
      </c>
      <c r="N1396" s="28">
        <f t="shared" ca="1" si="279"/>
        <v>0</v>
      </c>
      <c r="O1396" s="29">
        <f t="shared" ca="1" si="280"/>
        <v>0</v>
      </c>
      <c r="P1396" s="30">
        <f t="shared" ca="1" si="281"/>
        <v>0</v>
      </c>
    </row>
    <row r="1397" spans="1:16" x14ac:dyDescent="0.25">
      <c r="A1397" s="3">
        <f t="shared" si="282"/>
        <v>48067</v>
      </c>
      <c r="B1397" s="21">
        <f t="shared" si="273"/>
        <v>36745</v>
      </c>
      <c r="C1397" s="21">
        <f t="shared" si="274"/>
        <v>36789</v>
      </c>
      <c r="D1397" s="1">
        <f t="shared" si="283"/>
        <v>0</v>
      </c>
      <c r="E1397" s="3">
        <f t="array" ref="E1397">INDEX($A$9:A1396, MAX(IF($D$9:D1396=1, ROW(D$9:$D1396)-ROW($D$9)+1, 0)))</f>
        <v>48019</v>
      </c>
      <c r="F1397" s="23">
        <f t="shared" si="275"/>
        <v>5.3169062286105406</v>
      </c>
      <c r="G1397" s="5">
        <f>INDEX('Default Prob'!$P$5:$P$14,MIN(1+_xlfn.IFNA(MATCH(F1397,'Default Prob'!$F$5:$F$14,1),0),COUNT('Default Prob'!$P$5:$P$14)))</f>
        <v>3.22895928960443E-2</v>
      </c>
      <c r="H1397" s="5">
        <f t="shared" si="284"/>
        <v>0.88869773375316208</v>
      </c>
      <c r="I1397" s="24">
        <f t="shared" si="285"/>
        <v>7.8567984875932417E-5</v>
      </c>
      <c r="J1397" s="25">
        <f>INDEX('Default Prob'!$C$3:$C$13, _xlfn.IFNA(MATCH(F1397, 'Default Prob'!$B$3:$B$13, 1), 1))</f>
        <v>2.1100000000000001E-2</v>
      </c>
      <c r="K1397" s="26">
        <f t="shared" si="276"/>
        <v>0.89492126083508483</v>
      </c>
      <c r="L1397" s="27">
        <f t="shared" ca="1" si="277"/>
        <v>0</v>
      </c>
      <c r="M1397" s="27">
        <f t="shared" ca="1" si="278"/>
        <v>0</v>
      </c>
      <c r="N1397" s="28">
        <f t="shared" ca="1" si="279"/>
        <v>0</v>
      </c>
      <c r="O1397" s="29">
        <f t="shared" ca="1" si="280"/>
        <v>0</v>
      </c>
      <c r="P1397" s="30">
        <f t="shared" ca="1" si="281"/>
        <v>0</v>
      </c>
    </row>
    <row r="1398" spans="1:16" x14ac:dyDescent="0.25">
      <c r="A1398" s="3">
        <f t="shared" si="282"/>
        <v>48068</v>
      </c>
      <c r="B1398" s="21">
        <f t="shared" si="273"/>
        <v>36746</v>
      </c>
      <c r="C1398" s="21">
        <f t="shared" si="274"/>
        <v>36789</v>
      </c>
      <c r="D1398" s="1">
        <f t="shared" si="283"/>
        <v>0</v>
      </c>
      <c r="E1398" s="3">
        <f t="array" ref="E1398">INDEX($A$9:A1397, MAX(IF($D$9:D1397=1, ROW(D$9:$D1397)-ROW($D$9)+1, 0)))</f>
        <v>48019</v>
      </c>
      <c r="F1398" s="23">
        <f t="shared" si="275"/>
        <v>5.3196440793976727</v>
      </c>
      <c r="G1398" s="5">
        <f>INDEX('Default Prob'!$P$5:$P$14,MIN(1+_xlfn.IFNA(MATCH(F1398,'Default Prob'!$F$5:$F$14,1),0),COUNT('Default Prob'!$P$5:$P$14)))</f>
        <v>3.22895928960443E-2</v>
      </c>
      <c r="H1398" s="5">
        <f t="shared" si="284"/>
        <v>0.88861917271371005</v>
      </c>
      <c r="I1398" s="24">
        <f t="shared" si="285"/>
        <v>7.8561039452029746E-5</v>
      </c>
      <c r="J1398" s="25">
        <f>INDEX('Default Prob'!$C$3:$C$13, _xlfn.IFNA(MATCH(F1398, 'Default Prob'!$B$3:$B$13, 1), 1))</f>
        <v>2.1100000000000001E-2</v>
      </c>
      <c r="K1398" s="26">
        <f t="shared" si="276"/>
        <v>0.89487010176813286</v>
      </c>
      <c r="L1398" s="27">
        <f t="shared" ca="1" si="277"/>
        <v>0</v>
      </c>
      <c r="M1398" s="27">
        <f t="shared" ca="1" si="278"/>
        <v>0</v>
      </c>
      <c r="N1398" s="28">
        <f t="shared" ca="1" si="279"/>
        <v>0</v>
      </c>
      <c r="O1398" s="29">
        <f t="shared" ca="1" si="280"/>
        <v>0</v>
      </c>
      <c r="P1398" s="30">
        <f t="shared" ca="1" si="281"/>
        <v>0</v>
      </c>
    </row>
    <row r="1399" spans="1:16" x14ac:dyDescent="0.25">
      <c r="A1399" s="3">
        <f t="shared" si="282"/>
        <v>48071</v>
      </c>
      <c r="B1399" s="21">
        <f t="shared" si="273"/>
        <v>36749</v>
      </c>
      <c r="C1399" s="21">
        <f t="shared" si="274"/>
        <v>36789</v>
      </c>
      <c r="D1399" s="1">
        <f t="shared" si="283"/>
        <v>0</v>
      </c>
      <c r="E1399" s="3">
        <f t="array" ref="E1399">INDEX($A$9:A1398, MAX(IF($D$9:D1398=1, ROW(D$9:$D1398)-ROW($D$9)+1, 0)))</f>
        <v>48019</v>
      </c>
      <c r="F1399" s="23">
        <f t="shared" si="275"/>
        <v>5.3278576317590689</v>
      </c>
      <c r="G1399" s="5">
        <f>INDEX('Default Prob'!$P$5:$P$14,MIN(1+_xlfn.IFNA(MATCH(F1399,'Default Prob'!$F$5:$F$14,1),0),COUNT('Default Prob'!$P$5:$P$14)))</f>
        <v>3.22895928960443E-2</v>
      </c>
      <c r="H1399" s="5">
        <f t="shared" si="284"/>
        <v>0.88838353126175851</v>
      </c>
      <c r="I1399" s="24">
        <f t="shared" si="285"/>
        <v>2.356414519515404E-4</v>
      </c>
      <c r="J1399" s="25">
        <f>INDEX('Default Prob'!$C$3:$C$13, _xlfn.IFNA(MATCH(F1399, 'Default Prob'!$B$3:$B$13, 1), 1))</f>
        <v>2.1100000000000001E-2</v>
      </c>
      <c r="K1399" s="26">
        <f t="shared" si="276"/>
        <v>0.89471664211396307</v>
      </c>
      <c r="L1399" s="27">
        <f t="shared" ca="1" si="277"/>
        <v>0</v>
      </c>
      <c r="M1399" s="27">
        <f t="shared" ca="1" si="278"/>
        <v>0</v>
      </c>
      <c r="N1399" s="28">
        <f t="shared" ca="1" si="279"/>
        <v>0</v>
      </c>
      <c r="O1399" s="29">
        <f t="shared" ca="1" si="280"/>
        <v>0</v>
      </c>
      <c r="P1399" s="30">
        <f t="shared" ca="1" si="281"/>
        <v>0</v>
      </c>
    </row>
    <row r="1400" spans="1:16" x14ac:dyDescent="0.25">
      <c r="A1400" s="3">
        <f t="shared" si="282"/>
        <v>48072</v>
      </c>
      <c r="B1400" s="21">
        <f t="shared" si="273"/>
        <v>36750</v>
      </c>
      <c r="C1400" s="21">
        <f t="shared" si="274"/>
        <v>36789</v>
      </c>
      <c r="D1400" s="1">
        <f t="shared" si="283"/>
        <v>0</v>
      </c>
      <c r="E1400" s="3">
        <f t="array" ref="E1400">INDEX($A$9:A1399, MAX(IF($D$9:D1399=1, ROW(D$9:$D1399)-ROW($D$9)+1, 0)))</f>
        <v>48019</v>
      </c>
      <c r="F1400" s="23">
        <f t="shared" si="275"/>
        <v>5.330595482546201</v>
      </c>
      <c r="G1400" s="5">
        <f>INDEX('Default Prob'!$P$5:$P$14,MIN(1+_xlfn.IFNA(MATCH(F1400,'Default Prob'!$F$5:$F$14,1),0),COUNT('Default Prob'!$P$5:$P$14)))</f>
        <v>3.22895928960443E-2</v>
      </c>
      <c r="H1400" s="5">
        <f t="shared" si="284"/>
        <v>0.88830499799786322</v>
      </c>
      <c r="I1400" s="24">
        <f t="shared" si="285"/>
        <v>7.8533263895286254E-5</v>
      </c>
      <c r="J1400" s="25">
        <f>INDEX('Default Prob'!$C$3:$C$13, _xlfn.IFNA(MATCH(F1400, 'Default Prob'!$B$3:$B$13, 1), 1))</f>
        <v>2.1100000000000001E-2</v>
      </c>
      <c r="K1400" s="26">
        <f t="shared" si="276"/>
        <v>0.89466549474424439</v>
      </c>
      <c r="L1400" s="27">
        <f t="shared" ca="1" si="277"/>
        <v>0</v>
      </c>
      <c r="M1400" s="27">
        <f t="shared" ca="1" si="278"/>
        <v>0</v>
      </c>
      <c r="N1400" s="28">
        <f t="shared" ca="1" si="279"/>
        <v>0</v>
      </c>
      <c r="O1400" s="29">
        <f t="shared" ca="1" si="280"/>
        <v>0</v>
      </c>
      <c r="P1400" s="30">
        <f t="shared" ca="1" si="281"/>
        <v>0</v>
      </c>
    </row>
    <row r="1401" spans="1:16" x14ac:dyDescent="0.25">
      <c r="A1401" s="3">
        <f t="shared" si="282"/>
        <v>48073</v>
      </c>
      <c r="B1401" s="21">
        <f t="shared" si="273"/>
        <v>36751</v>
      </c>
      <c r="C1401" s="21">
        <f t="shared" si="274"/>
        <v>36789</v>
      </c>
      <c r="D1401" s="1">
        <f t="shared" si="283"/>
        <v>0</v>
      </c>
      <c r="E1401" s="3">
        <f t="array" ref="E1401">INDEX($A$9:A1400, MAX(IF($D$9:D1400=1, ROW(D$9:$D1400)-ROW($D$9)+1, 0)))</f>
        <v>48019</v>
      </c>
      <c r="F1401" s="23">
        <f t="shared" si="275"/>
        <v>5.333333333333333</v>
      </c>
      <c r="G1401" s="5">
        <f>INDEX('Default Prob'!$P$5:$P$14,MIN(1+_xlfn.IFNA(MATCH(F1401,'Default Prob'!$F$5:$F$14,1),0),COUNT('Default Prob'!$P$5:$P$14)))</f>
        <v>3.22895928960443E-2</v>
      </c>
      <c r="H1401" s="5">
        <f t="shared" si="284"/>
        <v>0.88822647167632263</v>
      </c>
      <c r="I1401" s="24">
        <f t="shared" si="285"/>
        <v>7.8526321540595134E-5</v>
      </c>
      <c r="J1401" s="25">
        <f>INDEX('Default Prob'!$C$3:$C$13, _xlfn.IFNA(MATCH(F1401, 'Default Prob'!$B$3:$B$13, 1), 1))</f>
        <v>2.1100000000000001E-2</v>
      </c>
      <c r="K1401" s="26">
        <f t="shared" si="276"/>
        <v>0.89461435029841641</v>
      </c>
      <c r="L1401" s="27">
        <f t="shared" ca="1" si="277"/>
        <v>0</v>
      </c>
      <c r="M1401" s="27">
        <f t="shared" ca="1" si="278"/>
        <v>0</v>
      </c>
      <c r="N1401" s="28">
        <f t="shared" ca="1" si="279"/>
        <v>0</v>
      </c>
      <c r="O1401" s="29">
        <f t="shared" ca="1" si="280"/>
        <v>0</v>
      </c>
      <c r="P1401" s="30">
        <f t="shared" ca="1" si="281"/>
        <v>0</v>
      </c>
    </row>
    <row r="1402" spans="1:16" x14ac:dyDescent="0.25">
      <c r="A1402" s="3">
        <f t="shared" si="282"/>
        <v>48074</v>
      </c>
      <c r="B1402" s="21">
        <f t="shared" si="273"/>
        <v>36752</v>
      </c>
      <c r="C1402" s="21">
        <f t="shared" si="274"/>
        <v>36789</v>
      </c>
      <c r="D1402" s="1">
        <f t="shared" si="283"/>
        <v>0</v>
      </c>
      <c r="E1402" s="3">
        <f t="array" ref="E1402">INDEX($A$9:A1401, MAX(IF($D$9:D1401=1, ROW(D$9:$D1401)-ROW($D$9)+1, 0)))</f>
        <v>48019</v>
      </c>
      <c r="F1402" s="23">
        <f t="shared" si="275"/>
        <v>5.3360711841204651</v>
      </c>
      <c r="G1402" s="5">
        <f>INDEX('Default Prob'!$P$5:$P$14,MIN(1+_xlfn.IFNA(MATCH(F1402,'Default Prob'!$F$5:$F$14,1),0),COUNT('Default Prob'!$P$5:$P$14)))</f>
        <v>3.22895928960443E-2</v>
      </c>
      <c r="H1402" s="5">
        <f t="shared" si="284"/>
        <v>0.88814795229652299</v>
      </c>
      <c r="I1402" s="24">
        <f t="shared" si="285"/>
        <v>7.8519379799635303E-5</v>
      </c>
      <c r="J1402" s="25">
        <f>INDEX('Default Prob'!$C$3:$C$13, _xlfn.IFNA(MATCH(F1402, 'Default Prob'!$B$3:$B$13, 1), 1))</f>
        <v>2.1100000000000001E-2</v>
      </c>
      <c r="K1402" s="26">
        <f t="shared" si="276"/>
        <v>0.89456320877631146</v>
      </c>
      <c r="L1402" s="27">
        <f t="shared" ca="1" si="277"/>
        <v>0</v>
      </c>
      <c r="M1402" s="27">
        <f t="shared" ca="1" si="278"/>
        <v>0</v>
      </c>
      <c r="N1402" s="28">
        <f t="shared" ca="1" si="279"/>
        <v>0</v>
      </c>
      <c r="O1402" s="29">
        <f t="shared" ca="1" si="280"/>
        <v>0</v>
      </c>
      <c r="P1402" s="30">
        <f t="shared" ca="1" si="281"/>
        <v>0</v>
      </c>
    </row>
    <row r="1403" spans="1:16" x14ac:dyDescent="0.25">
      <c r="A1403" s="3">
        <f t="shared" si="282"/>
        <v>48075</v>
      </c>
      <c r="B1403" s="21">
        <f t="shared" si="273"/>
        <v>36753</v>
      </c>
      <c r="C1403" s="21">
        <f t="shared" si="274"/>
        <v>36789</v>
      </c>
      <c r="D1403" s="1">
        <f t="shared" si="283"/>
        <v>0</v>
      </c>
      <c r="E1403" s="3">
        <f t="array" ref="E1403">INDEX($A$9:A1402, MAX(IF($D$9:D1402=1, ROW(D$9:$D1402)-ROW($D$9)+1, 0)))</f>
        <v>48019</v>
      </c>
      <c r="F1403" s="23">
        <f t="shared" si="275"/>
        <v>5.3388090349075972</v>
      </c>
      <c r="G1403" s="5">
        <f>INDEX('Default Prob'!$P$5:$P$14,MIN(1+_xlfn.IFNA(MATCH(F1403,'Default Prob'!$F$5:$F$14,1),0),COUNT('Default Prob'!$P$5:$P$14)))</f>
        <v>3.22895928960443E-2</v>
      </c>
      <c r="H1403" s="5">
        <f t="shared" si="284"/>
        <v>0.88806943985785058</v>
      </c>
      <c r="I1403" s="24">
        <f t="shared" si="285"/>
        <v>7.8512438672406759E-5</v>
      </c>
      <c r="J1403" s="25">
        <f>INDEX('Default Prob'!$C$3:$C$13, _xlfn.IFNA(MATCH(F1403, 'Default Prob'!$B$3:$B$13, 1), 1))</f>
        <v>2.1100000000000001E-2</v>
      </c>
      <c r="K1403" s="26">
        <f t="shared" si="276"/>
        <v>0.89451207017776302</v>
      </c>
      <c r="L1403" s="27">
        <f t="shared" ca="1" si="277"/>
        <v>0</v>
      </c>
      <c r="M1403" s="27">
        <f t="shared" ca="1" si="278"/>
        <v>0</v>
      </c>
      <c r="N1403" s="28">
        <f t="shared" ca="1" si="279"/>
        <v>0</v>
      </c>
      <c r="O1403" s="29">
        <f t="shared" ca="1" si="280"/>
        <v>0</v>
      </c>
      <c r="P1403" s="30">
        <f t="shared" ca="1" si="281"/>
        <v>0</v>
      </c>
    </row>
    <row r="1404" spans="1:16" x14ac:dyDescent="0.25">
      <c r="A1404" s="3">
        <f t="shared" si="282"/>
        <v>48078</v>
      </c>
      <c r="B1404" s="21">
        <f t="shared" si="273"/>
        <v>36756</v>
      </c>
      <c r="C1404" s="21">
        <f t="shared" si="274"/>
        <v>36789</v>
      </c>
      <c r="D1404" s="1">
        <f t="shared" si="283"/>
        <v>0</v>
      </c>
      <c r="E1404" s="3">
        <f t="array" ref="E1404">INDEX($A$9:A1403, MAX(IF($D$9:D1403=1, ROW(D$9:$D1403)-ROW($D$9)+1, 0)))</f>
        <v>48019</v>
      </c>
      <c r="F1404" s="23">
        <f t="shared" si="275"/>
        <v>5.3470225872689943</v>
      </c>
      <c r="G1404" s="5">
        <f>INDEX('Default Prob'!$P$5:$P$14,MIN(1+_xlfn.IFNA(MATCH(F1404,'Default Prob'!$F$5:$F$14,1),0),COUNT('Default Prob'!$P$5:$P$14)))</f>
        <v>3.22895928960443E-2</v>
      </c>
      <c r="H1404" s="5">
        <f t="shared" si="284"/>
        <v>0.88783394418246142</v>
      </c>
      <c r="I1404" s="24">
        <f t="shared" si="285"/>
        <v>2.3549567538916349E-4</v>
      </c>
      <c r="J1404" s="25">
        <f>INDEX('Default Prob'!$C$3:$C$13, _xlfn.IFNA(MATCH(F1404, 'Default Prob'!$B$3:$B$13, 1), 1))</f>
        <v>2.1100000000000001E-2</v>
      </c>
      <c r="K1404" s="26">
        <f t="shared" si="276"/>
        <v>0.89435867192178253</v>
      </c>
      <c r="L1404" s="27">
        <f t="shared" ca="1" si="277"/>
        <v>0</v>
      </c>
      <c r="M1404" s="27">
        <f t="shared" ca="1" si="278"/>
        <v>0</v>
      </c>
      <c r="N1404" s="28">
        <f t="shared" ca="1" si="279"/>
        <v>0</v>
      </c>
      <c r="O1404" s="29">
        <f t="shared" ca="1" si="280"/>
        <v>0</v>
      </c>
      <c r="P1404" s="30">
        <f t="shared" ca="1" si="281"/>
        <v>0</v>
      </c>
    </row>
    <row r="1405" spans="1:16" x14ac:dyDescent="0.25">
      <c r="A1405" s="3">
        <f t="shared" si="282"/>
        <v>48079</v>
      </c>
      <c r="B1405" s="21">
        <f t="shared" si="273"/>
        <v>36757</v>
      </c>
      <c r="C1405" s="21">
        <f t="shared" si="274"/>
        <v>36789</v>
      </c>
      <c r="D1405" s="1">
        <f t="shared" si="283"/>
        <v>0</v>
      </c>
      <c r="E1405" s="3">
        <f t="array" ref="E1405">INDEX($A$9:A1404, MAX(IF($D$9:D1404=1, ROW(D$9:$D1404)-ROW($D$9)+1, 0)))</f>
        <v>48019</v>
      </c>
      <c r="F1405" s="23">
        <f t="shared" si="275"/>
        <v>5.3497604380561263</v>
      </c>
      <c r="G1405" s="5">
        <f>INDEX('Default Prob'!$P$5:$P$14,MIN(1+_xlfn.IFNA(MATCH(F1405,'Default Prob'!$F$5:$F$14,1),0),COUNT('Default Prob'!$P$5:$P$14)))</f>
        <v>3.22895928960443E-2</v>
      </c>
      <c r="H1405" s="5">
        <f t="shared" si="284"/>
        <v>0.88775545950216284</v>
      </c>
      <c r="I1405" s="24">
        <f t="shared" si="285"/>
        <v>7.8484680298585019E-5</v>
      </c>
      <c r="J1405" s="25">
        <f>INDEX('Default Prob'!$C$3:$C$13, _xlfn.IFNA(MATCH(F1405, 'Default Prob'!$B$3:$B$13, 1), 1))</f>
        <v>2.1100000000000001E-2</v>
      </c>
      <c r="K1405" s="26">
        <f t="shared" si="276"/>
        <v>0.89430754501578713</v>
      </c>
      <c r="L1405" s="27">
        <f t="shared" ca="1" si="277"/>
        <v>0</v>
      </c>
      <c r="M1405" s="27">
        <f t="shared" ca="1" si="278"/>
        <v>0</v>
      </c>
      <c r="N1405" s="28">
        <f t="shared" ca="1" si="279"/>
        <v>0</v>
      </c>
      <c r="O1405" s="29">
        <f t="shared" ca="1" si="280"/>
        <v>0</v>
      </c>
      <c r="P1405" s="30">
        <f t="shared" ca="1" si="281"/>
        <v>0</v>
      </c>
    </row>
    <row r="1406" spans="1:16" x14ac:dyDescent="0.25">
      <c r="A1406" s="3">
        <f t="shared" si="282"/>
        <v>48080</v>
      </c>
      <c r="B1406" s="21">
        <f t="shared" si="273"/>
        <v>36758</v>
      </c>
      <c r="C1406" s="21">
        <f t="shared" si="274"/>
        <v>36789</v>
      </c>
      <c r="D1406" s="1">
        <f t="shared" si="283"/>
        <v>0</v>
      </c>
      <c r="E1406" s="3">
        <f t="array" ref="E1406">INDEX($A$9:A1405, MAX(IF($D$9:D1405=1, ROW(D$9:$D1405)-ROW($D$9)+1, 0)))</f>
        <v>48019</v>
      </c>
      <c r="F1406" s="23">
        <f t="shared" si="275"/>
        <v>5.3524982888432584</v>
      </c>
      <c r="G1406" s="5">
        <f>INDEX('Default Prob'!$P$5:$P$14,MIN(1+_xlfn.IFNA(MATCH(F1406,'Default Prob'!$F$5:$F$14,1),0),COUNT('Default Prob'!$P$5:$P$14)))</f>
        <v>3.22895928960443E-2</v>
      </c>
      <c r="H1406" s="5">
        <f t="shared" si="284"/>
        <v>0.88767698175992404</v>
      </c>
      <c r="I1406" s="24">
        <f t="shared" si="285"/>
        <v>7.847774223879167E-5</v>
      </c>
      <c r="J1406" s="25">
        <f>INDEX('Default Prob'!$C$3:$C$13, _xlfn.IFNA(MATCH(F1406, 'Default Prob'!$B$3:$B$13, 1), 1))</f>
        <v>2.1100000000000001E-2</v>
      </c>
      <c r="K1406" s="26">
        <f t="shared" si="276"/>
        <v>0.89425642103251257</v>
      </c>
      <c r="L1406" s="27">
        <f t="shared" ca="1" si="277"/>
        <v>0</v>
      </c>
      <c r="M1406" s="27">
        <f t="shared" ca="1" si="278"/>
        <v>0</v>
      </c>
      <c r="N1406" s="28">
        <f t="shared" ca="1" si="279"/>
        <v>0</v>
      </c>
      <c r="O1406" s="29">
        <f t="shared" ca="1" si="280"/>
        <v>0</v>
      </c>
      <c r="P1406" s="30">
        <f t="shared" ca="1" si="281"/>
        <v>0</v>
      </c>
    </row>
    <row r="1407" spans="1:16" x14ac:dyDescent="0.25">
      <c r="A1407" s="3">
        <f t="shared" si="282"/>
        <v>48081</v>
      </c>
      <c r="B1407" s="21">
        <f t="shared" si="273"/>
        <v>36759</v>
      </c>
      <c r="C1407" s="21">
        <f t="shared" si="274"/>
        <v>36789</v>
      </c>
      <c r="D1407" s="1">
        <f t="shared" si="283"/>
        <v>0</v>
      </c>
      <c r="E1407" s="3">
        <f t="array" ref="E1407">INDEX($A$9:A1406, MAX(IF($D$9:D1406=1, ROW(D$9:$D1406)-ROW($D$9)+1, 0)))</f>
        <v>48019</v>
      </c>
      <c r="F1407" s="23">
        <f t="shared" si="275"/>
        <v>5.3552361396303905</v>
      </c>
      <c r="G1407" s="5">
        <f>INDEX('Default Prob'!$P$5:$P$14,MIN(1+_xlfn.IFNA(MATCH(F1407,'Default Prob'!$F$5:$F$14,1),0),COUNT('Default Prob'!$P$5:$P$14)))</f>
        <v>3.22895928960443E-2</v>
      </c>
      <c r="H1407" s="5">
        <f t="shared" si="284"/>
        <v>0.88759851095513176</v>
      </c>
      <c r="I1407" s="24">
        <f t="shared" si="285"/>
        <v>7.847080479228552E-5</v>
      </c>
      <c r="J1407" s="25">
        <f>INDEX('Default Prob'!$C$3:$C$13, _xlfn.IFNA(MATCH(F1407, 'Default Prob'!$B$3:$B$13, 1), 1))</f>
        <v>2.1100000000000001E-2</v>
      </c>
      <c r="K1407" s="26">
        <f t="shared" si="276"/>
        <v>0.89420529997179155</v>
      </c>
      <c r="L1407" s="27">
        <f t="shared" ca="1" si="277"/>
        <v>0</v>
      </c>
      <c r="M1407" s="27">
        <f t="shared" ca="1" si="278"/>
        <v>0</v>
      </c>
      <c r="N1407" s="28">
        <f t="shared" ca="1" si="279"/>
        <v>0</v>
      </c>
      <c r="O1407" s="29">
        <f t="shared" ca="1" si="280"/>
        <v>0</v>
      </c>
      <c r="P1407" s="30">
        <f t="shared" ca="1" si="281"/>
        <v>0</v>
      </c>
    </row>
    <row r="1408" spans="1:16" x14ac:dyDescent="0.25">
      <c r="A1408" s="3">
        <f t="shared" si="282"/>
        <v>48082</v>
      </c>
      <c r="B1408" s="21">
        <f t="shared" si="273"/>
        <v>36760</v>
      </c>
      <c r="C1408" s="21">
        <f t="shared" si="274"/>
        <v>36789</v>
      </c>
      <c r="D1408" s="1">
        <f t="shared" si="283"/>
        <v>0</v>
      </c>
      <c r="E1408" s="3">
        <f t="array" ref="E1408">INDEX($A$9:A1407, MAX(IF($D$9:D1407=1, ROW(D$9:$D1407)-ROW($D$9)+1, 0)))</f>
        <v>48019</v>
      </c>
      <c r="F1408" s="23">
        <f t="shared" si="275"/>
        <v>5.3579739904175225</v>
      </c>
      <c r="G1408" s="5">
        <f>INDEX('Default Prob'!$P$5:$P$14,MIN(1+_xlfn.IFNA(MATCH(F1408,'Default Prob'!$F$5:$F$14,1),0),COUNT('Default Prob'!$P$5:$P$14)))</f>
        <v>3.22895928960443E-2</v>
      </c>
      <c r="H1408" s="5">
        <f t="shared" si="284"/>
        <v>0.8875200470871728</v>
      </c>
      <c r="I1408" s="24">
        <f t="shared" si="285"/>
        <v>7.8463867958955547E-5</v>
      </c>
      <c r="J1408" s="25">
        <f>INDEX('Default Prob'!$C$3:$C$13, _xlfn.IFNA(MATCH(F1408, 'Default Prob'!$B$3:$B$13, 1), 1))</f>
        <v>2.1100000000000001E-2</v>
      </c>
      <c r="K1408" s="26">
        <f t="shared" si="276"/>
        <v>0.89415418183345685</v>
      </c>
      <c r="L1408" s="27">
        <f t="shared" ca="1" si="277"/>
        <v>0</v>
      </c>
      <c r="M1408" s="27">
        <f t="shared" ca="1" si="278"/>
        <v>0</v>
      </c>
      <c r="N1408" s="28">
        <f t="shared" ca="1" si="279"/>
        <v>0</v>
      </c>
      <c r="O1408" s="29">
        <f t="shared" ca="1" si="280"/>
        <v>0</v>
      </c>
      <c r="P1408" s="30">
        <f t="shared" ca="1" si="281"/>
        <v>0</v>
      </c>
    </row>
    <row r="1409" spans="1:16" x14ac:dyDescent="0.25">
      <c r="A1409" s="3">
        <f t="shared" si="282"/>
        <v>48085</v>
      </c>
      <c r="B1409" s="21">
        <f t="shared" si="273"/>
        <v>36763</v>
      </c>
      <c r="C1409" s="21">
        <f t="shared" si="274"/>
        <v>36789</v>
      </c>
      <c r="D1409" s="1">
        <f t="shared" si="283"/>
        <v>0</v>
      </c>
      <c r="E1409" s="3">
        <f t="array" ref="E1409">INDEX($A$9:A1408, MAX(IF($D$9:D1408=1, ROW(D$9:$D1408)-ROW($D$9)+1, 0)))</f>
        <v>48019</v>
      </c>
      <c r="F1409" s="23">
        <f t="shared" si="275"/>
        <v>5.3661875427789187</v>
      </c>
      <c r="G1409" s="5">
        <f>INDEX('Default Prob'!$P$5:$P$14,MIN(1+_xlfn.IFNA(MATCH(F1409,'Default Prob'!$F$5:$F$14,1),0),COUNT('Default Prob'!$P$5:$P$14)))</f>
        <v>3.22895928960443E-2</v>
      </c>
      <c r="H1409" s="5">
        <f t="shared" si="284"/>
        <v>0.88728469709816338</v>
      </c>
      <c r="I1409" s="24">
        <f t="shared" si="285"/>
        <v>2.3534998900942572E-4</v>
      </c>
      <c r="J1409" s="25">
        <f>INDEX('Default Prob'!$C$3:$C$13, _xlfn.IFNA(MATCH(F1409, 'Default Prob'!$B$3:$B$13, 1), 1))</f>
        <v>2.1100000000000001E-2</v>
      </c>
      <c r="K1409" s="26">
        <f t="shared" si="276"/>
        <v>0.89400084495110077</v>
      </c>
      <c r="L1409" s="27">
        <f t="shared" ca="1" si="277"/>
        <v>0</v>
      </c>
      <c r="M1409" s="27">
        <f t="shared" ca="1" si="278"/>
        <v>0</v>
      </c>
      <c r="N1409" s="28">
        <f t="shared" ca="1" si="279"/>
        <v>0</v>
      </c>
      <c r="O1409" s="29">
        <f t="shared" ca="1" si="280"/>
        <v>0</v>
      </c>
      <c r="P1409" s="30">
        <f t="shared" ca="1" si="281"/>
        <v>0</v>
      </c>
    </row>
    <row r="1410" spans="1:16" x14ac:dyDescent="0.25">
      <c r="A1410" s="3">
        <f t="shared" si="282"/>
        <v>48086</v>
      </c>
      <c r="B1410" s="21">
        <f t="shared" si="273"/>
        <v>36764</v>
      </c>
      <c r="C1410" s="21">
        <f t="shared" si="274"/>
        <v>36789</v>
      </c>
      <c r="D1410" s="1">
        <f t="shared" si="283"/>
        <v>0</v>
      </c>
      <c r="E1410" s="3">
        <f t="array" ref="E1410">INDEX($A$9:A1409, MAX(IF($D$9:D1409=1, ROW(D$9:$D1409)-ROW($D$9)+1, 0)))</f>
        <v>48019</v>
      </c>
      <c r="F1410" s="23">
        <f t="shared" si="275"/>
        <v>5.3689253935660508</v>
      </c>
      <c r="G1410" s="5">
        <f>INDEX('Default Prob'!$P$5:$P$14,MIN(1+_xlfn.IFNA(MATCH(F1410,'Default Prob'!$F$5:$F$14,1),0),COUNT('Default Prob'!$P$5:$P$14)))</f>
        <v>3.22895928960443E-2</v>
      </c>
      <c r="H1410" s="5">
        <f t="shared" si="284"/>
        <v>0.88720626097140576</v>
      </c>
      <c r="I1410" s="24">
        <f t="shared" si="285"/>
        <v>7.8436126757619462E-5</v>
      </c>
      <c r="J1410" s="25">
        <f>INDEX('Default Prob'!$C$3:$C$13, _xlfn.IFNA(MATCH(F1410, 'Default Prob'!$B$3:$B$13, 1), 1))</f>
        <v>2.1100000000000001E-2</v>
      </c>
      <c r="K1410" s="26">
        <f t="shared" si="276"/>
        <v>0.89394973850064141</v>
      </c>
      <c r="L1410" s="27">
        <f t="shared" ca="1" si="277"/>
        <v>0</v>
      </c>
      <c r="M1410" s="27">
        <f t="shared" ca="1" si="278"/>
        <v>0</v>
      </c>
      <c r="N1410" s="28">
        <f t="shared" ca="1" si="279"/>
        <v>0</v>
      </c>
      <c r="O1410" s="29">
        <f t="shared" ca="1" si="280"/>
        <v>0</v>
      </c>
      <c r="P1410" s="30">
        <f t="shared" ca="1" si="281"/>
        <v>0</v>
      </c>
    </row>
    <row r="1411" spans="1:16" x14ac:dyDescent="0.25">
      <c r="A1411" s="3">
        <f t="shared" si="282"/>
        <v>48087</v>
      </c>
      <c r="B1411" s="21">
        <f t="shared" si="273"/>
        <v>36765</v>
      </c>
      <c r="C1411" s="21">
        <f t="shared" si="274"/>
        <v>36789</v>
      </c>
      <c r="D1411" s="1">
        <f t="shared" si="283"/>
        <v>0</v>
      </c>
      <c r="E1411" s="3">
        <f t="array" ref="E1411">INDEX($A$9:A1410, MAX(IF($D$9:D1410=1, ROW(D$9:$D1410)-ROW($D$9)+1, 0)))</f>
        <v>48019</v>
      </c>
      <c r="F1411" s="23">
        <f t="shared" si="275"/>
        <v>5.3716632443531829</v>
      </c>
      <c r="G1411" s="5">
        <f>INDEX('Default Prob'!$P$5:$P$14,MIN(1+_xlfn.IFNA(MATCH(F1411,'Default Prob'!$F$5:$F$14,1),0),COUNT('Default Prob'!$P$5:$P$14)))</f>
        <v>3.22895928960443E-2</v>
      </c>
      <c r="H1411" s="5">
        <f t="shared" si="284"/>
        <v>0.88712783177841581</v>
      </c>
      <c r="I1411" s="24">
        <f t="shared" si="285"/>
        <v>7.8429192989948326E-5</v>
      </c>
      <c r="J1411" s="25">
        <f>INDEX('Default Prob'!$C$3:$C$13, _xlfn.IFNA(MATCH(F1411, 'Default Prob'!$B$3:$B$13, 1), 1))</f>
        <v>2.1100000000000001E-2</v>
      </c>
      <c r="K1411" s="26">
        <f t="shared" si="276"/>
        <v>0.89389863497173327</v>
      </c>
      <c r="L1411" s="27">
        <f t="shared" ca="1" si="277"/>
        <v>0</v>
      </c>
      <c r="M1411" s="27">
        <f t="shared" ca="1" si="278"/>
        <v>0</v>
      </c>
      <c r="N1411" s="28">
        <f t="shared" ca="1" si="279"/>
        <v>0</v>
      </c>
      <c r="O1411" s="29">
        <f t="shared" ca="1" si="280"/>
        <v>0</v>
      </c>
      <c r="P1411" s="30">
        <f t="shared" ca="1" si="281"/>
        <v>0</v>
      </c>
    </row>
    <row r="1412" spans="1:16" x14ac:dyDescent="0.25">
      <c r="A1412" s="3">
        <f t="shared" si="282"/>
        <v>48088</v>
      </c>
      <c r="B1412" s="21">
        <f t="shared" si="273"/>
        <v>36766</v>
      </c>
      <c r="C1412" s="21">
        <f t="shared" si="274"/>
        <v>36789</v>
      </c>
      <c r="D1412" s="1">
        <f t="shared" si="283"/>
        <v>0</v>
      </c>
      <c r="E1412" s="3">
        <f t="array" ref="E1412">INDEX($A$9:A1411, MAX(IF($D$9:D1411=1, ROW(D$9:$D1411)-ROW($D$9)+1, 0)))</f>
        <v>48019</v>
      </c>
      <c r="F1412" s="23">
        <f t="shared" si="275"/>
        <v>5.3744010951403149</v>
      </c>
      <c r="G1412" s="5">
        <f>INDEX('Default Prob'!$P$5:$P$14,MIN(1+_xlfn.IFNA(MATCH(F1412,'Default Prob'!$F$5:$F$14,1),0),COUNT('Default Prob'!$P$5:$P$14)))</f>
        <v>3.22895928960443E-2</v>
      </c>
      <c r="H1412" s="5">
        <f t="shared" si="284"/>
        <v>0.88704940951858069</v>
      </c>
      <c r="I1412" s="24">
        <f t="shared" si="285"/>
        <v>7.84222598351203E-5</v>
      </c>
      <c r="J1412" s="25">
        <f>INDEX('Default Prob'!$C$3:$C$13, _xlfn.IFNA(MATCH(F1412, 'Default Prob'!$B$3:$B$13, 1), 1))</f>
        <v>2.1100000000000001E-2</v>
      </c>
      <c r="K1412" s="26">
        <f t="shared" si="276"/>
        <v>0.89384753436420938</v>
      </c>
      <c r="L1412" s="27">
        <f t="shared" ca="1" si="277"/>
        <v>0</v>
      </c>
      <c r="M1412" s="27">
        <f t="shared" ca="1" si="278"/>
        <v>0</v>
      </c>
      <c r="N1412" s="28">
        <f t="shared" ca="1" si="279"/>
        <v>0</v>
      </c>
      <c r="O1412" s="29">
        <f t="shared" ca="1" si="280"/>
        <v>0</v>
      </c>
      <c r="P1412" s="30">
        <f t="shared" ca="1" si="281"/>
        <v>0</v>
      </c>
    </row>
    <row r="1413" spans="1:16" x14ac:dyDescent="0.25">
      <c r="A1413" s="3">
        <f t="shared" si="282"/>
        <v>48089</v>
      </c>
      <c r="B1413" s="21">
        <f t="shared" si="273"/>
        <v>36767</v>
      </c>
      <c r="C1413" s="21">
        <f t="shared" si="274"/>
        <v>36789</v>
      </c>
      <c r="D1413" s="1">
        <f t="shared" si="283"/>
        <v>0</v>
      </c>
      <c r="E1413" s="3">
        <f t="array" ref="E1413">INDEX($A$9:A1412, MAX(IF($D$9:D1412=1, ROW(D$9:$D1412)-ROW($D$9)+1, 0)))</f>
        <v>48019</v>
      </c>
      <c r="F1413" s="23">
        <f t="shared" si="275"/>
        <v>5.377138945927447</v>
      </c>
      <c r="G1413" s="5">
        <f>INDEX('Default Prob'!$P$5:$P$14,MIN(1+_xlfn.IFNA(MATCH(F1413,'Default Prob'!$F$5:$F$14,1),0),COUNT('Default Prob'!$P$5:$P$14)))</f>
        <v>3.22895928960443E-2</v>
      </c>
      <c r="H1413" s="5">
        <f t="shared" si="284"/>
        <v>0.88697099419128744</v>
      </c>
      <c r="I1413" s="24">
        <f t="shared" si="285"/>
        <v>7.8415327293246406E-5</v>
      </c>
      <c r="J1413" s="25">
        <f>INDEX('Default Prob'!$C$3:$C$13, _xlfn.IFNA(MATCH(F1413, 'Default Prob'!$B$3:$B$13, 1), 1))</f>
        <v>2.1100000000000001E-2</v>
      </c>
      <c r="K1413" s="26">
        <f t="shared" si="276"/>
        <v>0.89379643667790254</v>
      </c>
      <c r="L1413" s="27">
        <f t="shared" ca="1" si="277"/>
        <v>0</v>
      </c>
      <c r="M1413" s="27">
        <f t="shared" ca="1" si="278"/>
        <v>0</v>
      </c>
      <c r="N1413" s="28">
        <f t="shared" ca="1" si="279"/>
        <v>0</v>
      </c>
      <c r="O1413" s="29">
        <f t="shared" ca="1" si="280"/>
        <v>0</v>
      </c>
      <c r="P1413" s="30">
        <f t="shared" ca="1" si="281"/>
        <v>0</v>
      </c>
    </row>
    <row r="1414" spans="1:16" x14ac:dyDescent="0.25">
      <c r="A1414" s="3">
        <f t="shared" si="282"/>
        <v>48092</v>
      </c>
      <c r="B1414" s="21">
        <f t="shared" si="273"/>
        <v>36770</v>
      </c>
      <c r="C1414" s="21">
        <f t="shared" si="274"/>
        <v>36789</v>
      </c>
      <c r="D1414" s="1">
        <f t="shared" si="283"/>
        <v>0</v>
      </c>
      <c r="E1414" s="3">
        <f t="array" ref="E1414">INDEX($A$9:A1413, MAX(IF($D$9:D1413=1, ROW(D$9:$D1413)-ROW($D$9)+1, 0)))</f>
        <v>48019</v>
      </c>
      <c r="F1414" s="23">
        <f t="shared" si="275"/>
        <v>5.3853524982888432</v>
      </c>
      <c r="G1414" s="5">
        <f>INDEX('Default Prob'!$P$5:$P$14,MIN(1+_xlfn.IFNA(MATCH(F1414,'Default Prob'!$F$5:$F$14,1),0),COUNT('Default Prob'!$P$5:$P$14)))</f>
        <v>3.22895928960443E-2</v>
      </c>
      <c r="H1414" s="5">
        <f t="shared" si="284"/>
        <v>0.88673578979853063</v>
      </c>
      <c r="I1414" s="24">
        <f t="shared" si="285"/>
        <v>2.3520439275681593E-4</v>
      </c>
      <c r="J1414" s="25">
        <f>INDEX('Default Prob'!$C$3:$C$13, _xlfn.IFNA(MATCH(F1414, 'Default Prob'!$B$3:$B$13, 1), 1))</f>
        <v>2.1100000000000001E-2</v>
      </c>
      <c r="K1414" s="26">
        <f t="shared" si="276"/>
        <v>0.89364316114461584</v>
      </c>
      <c r="L1414" s="27">
        <f t="shared" ca="1" si="277"/>
        <v>0</v>
      </c>
      <c r="M1414" s="27">
        <f t="shared" ca="1" si="278"/>
        <v>0</v>
      </c>
      <c r="N1414" s="28">
        <f t="shared" ca="1" si="279"/>
        <v>0</v>
      </c>
      <c r="O1414" s="29">
        <f t="shared" ca="1" si="280"/>
        <v>0</v>
      </c>
      <c r="P1414" s="30">
        <f t="shared" ca="1" si="281"/>
        <v>0</v>
      </c>
    </row>
    <row r="1415" spans="1:16" x14ac:dyDescent="0.25">
      <c r="A1415" s="3">
        <f t="shared" si="282"/>
        <v>48093</v>
      </c>
      <c r="B1415" s="21">
        <f t="shared" si="273"/>
        <v>36771</v>
      </c>
      <c r="C1415" s="21">
        <f t="shared" si="274"/>
        <v>36789</v>
      </c>
      <c r="D1415" s="1">
        <f t="shared" si="283"/>
        <v>0</v>
      </c>
      <c r="E1415" s="3">
        <f t="array" ref="E1415">INDEX($A$9:A1414, MAX(IF($D$9:D1414=1, ROW(D$9:$D1414)-ROW($D$9)+1, 0)))</f>
        <v>48019</v>
      </c>
      <c r="F1415" s="23">
        <f t="shared" si="275"/>
        <v>5.3880903490759753</v>
      </c>
      <c r="G1415" s="5">
        <f>INDEX('Default Prob'!$P$5:$P$14,MIN(1+_xlfn.IFNA(MATCH(F1415,'Default Prob'!$F$5:$F$14,1),0),COUNT('Default Prob'!$P$5:$P$14)))</f>
        <v>3.22895928960443E-2</v>
      </c>
      <c r="H1415" s="5">
        <f t="shared" si="284"/>
        <v>0.886657402195277</v>
      </c>
      <c r="I1415" s="24">
        <f t="shared" si="285"/>
        <v>7.8387603253626814E-5</v>
      </c>
      <c r="J1415" s="25">
        <f>INDEX('Default Prob'!$C$3:$C$13, _xlfn.IFNA(MATCH(F1415, 'Default Prob'!$B$3:$B$13, 1), 1))</f>
        <v>2.1100000000000001E-2</v>
      </c>
      <c r="K1415" s="26">
        <f t="shared" si="276"/>
        <v>0.89359207514150829</v>
      </c>
      <c r="L1415" s="27">
        <f t="shared" ca="1" si="277"/>
        <v>0</v>
      </c>
      <c r="M1415" s="27">
        <f t="shared" ca="1" si="278"/>
        <v>0</v>
      </c>
      <c r="N1415" s="28">
        <f t="shared" ca="1" si="279"/>
        <v>0</v>
      </c>
      <c r="O1415" s="29">
        <f t="shared" ca="1" si="280"/>
        <v>0</v>
      </c>
      <c r="P1415" s="30">
        <f t="shared" ca="1" si="281"/>
        <v>0</v>
      </c>
    </row>
    <row r="1416" spans="1:16" x14ac:dyDescent="0.25">
      <c r="A1416" s="3">
        <f t="shared" si="282"/>
        <v>48094</v>
      </c>
      <c r="B1416" s="21">
        <f t="shared" si="273"/>
        <v>36772</v>
      </c>
      <c r="C1416" s="21">
        <f t="shared" si="274"/>
        <v>36789</v>
      </c>
      <c r="D1416" s="1">
        <f t="shared" si="283"/>
        <v>0</v>
      </c>
      <c r="E1416" s="3">
        <f t="array" ref="E1416">INDEX($A$9:A1415, MAX(IF($D$9:D1415=1, ROW(D$9:$D1415)-ROW($D$9)+1, 0)))</f>
        <v>48019</v>
      </c>
      <c r="F1416" s="23">
        <f t="shared" si="275"/>
        <v>5.3908281998631074</v>
      </c>
      <c r="G1416" s="5">
        <f>INDEX('Default Prob'!$P$5:$P$14,MIN(1+_xlfn.IFNA(MATCH(F1416,'Default Prob'!$F$5:$F$14,1),0),COUNT('Default Prob'!$P$5:$P$14)))</f>
        <v>3.22895928960443E-2</v>
      </c>
      <c r="H1416" s="5">
        <f t="shared" si="284"/>
        <v>0.88657902152150159</v>
      </c>
      <c r="I1416" s="24">
        <f t="shared" si="285"/>
        <v>7.8380673775413356E-5</v>
      </c>
      <c r="J1416" s="25">
        <f>INDEX('Default Prob'!$C$3:$C$13, _xlfn.IFNA(MATCH(F1416, 'Default Prob'!$B$3:$B$13, 1), 1))</f>
        <v>2.1100000000000001E-2</v>
      </c>
      <c r="K1416" s="26">
        <f t="shared" si="276"/>
        <v>0.89354099205878301</v>
      </c>
      <c r="L1416" s="27">
        <f t="shared" ca="1" si="277"/>
        <v>0</v>
      </c>
      <c r="M1416" s="27">
        <f t="shared" ca="1" si="278"/>
        <v>0</v>
      </c>
      <c r="N1416" s="28">
        <f t="shared" ca="1" si="279"/>
        <v>0</v>
      </c>
      <c r="O1416" s="29">
        <f t="shared" ca="1" si="280"/>
        <v>0</v>
      </c>
      <c r="P1416" s="30">
        <f t="shared" ca="1" si="281"/>
        <v>0</v>
      </c>
    </row>
    <row r="1417" spans="1:16" x14ac:dyDescent="0.25">
      <c r="A1417" s="3">
        <f t="shared" si="282"/>
        <v>48095</v>
      </c>
      <c r="B1417" s="21">
        <f t="shared" ref="B1417:B1480" si="286">DATE(2000, MONTH(A1417), DAY(A1417))</f>
        <v>36773</v>
      </c>
      <c r="C1417" s="21">
        <f t="shared" ref="C1417:C1480" si="287">VLOOKUP(B1417, $R$9:$S$13, 2)</f>
        <v>36789</v>
      </c>
      <c r="D1417" s="1">
        <f t="shared" si="283"/>
        <v>0</v>
      </c>
      <c r="E1417" s="3">
        <f t="array" ref="E1417">INDEX($A$9:A1416, MAX(IF($D$9:D1416=1, ROW(D$9:$D1416)-ROW($D$9)+1, 0)))</f>
        <v>48019</v>
      </c>
      <c r="F1417" s="23">
        <f t="shared" ref="F1417:F1480" si="288">(A1417-$A$2)/365.25</f>
        <v>5.3935660506502394</v>
      </c>
      <c r="G1417" s="5">
        <f>INDEX('Default Prob'!$P$5:$P$14,MIN(1+_xlfn.IFNA(MATCH(F1417,'Default Prob'!$F$5:$F$14,1),0),COUNT('Default Prob'!$P$5:$P$14)))</f>
        <v>3.22895928960443E-2</v>
      </c>
      <c r="H1417" s="5">
        <f t="shared" si="284"/>
        <v>0.88650064777659188</v>
      </c>
      <c r="I1417" s="24">
        <f t="shared" si="285"/>
        <v>7.8373744909709941E-5</v>
      </c>
      <c r="J1417" s="25">
        <f>INDEX('Default Prob'!$C$3:$C$13, _xlfn.IFNA(MATCH(F1417, 'Default Prob'!$B$3:$B$13, 1), 1))</f>
        <v>2.1100000000000001E-2</v>
      </c>
      <c r="K1417" s="26">
        <f t="shared" ref="K1417:K1480" si="289">1/((1+J1417)^F1417)</f>
        <v>0.89348991189627314</v>
      </c>
      <c r="L1417" s="27">
        <f t="shared" ref="L1417:L1480" ca="1" si="290">IF(AND(D1417, A1417 &lt;= $G$2), $D$5*$D$2*(A1417-E1417)/365.25, 0)</f>
        <v>0</v>
      </c>
      <c r="M1417" s="27">
        <f t="shared" ref="M1417:M1480" ca="1" si="291">IF(A1417&lt;=$G$2, $D$5*$D$2*(A1417-E1417)/365.25, 0)</f>
        <v>0</v>
      </c>
      <c r="N1417" s="28">
        <f t="shared" ref="N1417:N1480" ca="1" si="292">(L1417*H1417 + M1417*I1417) * K1417</f>
        <v>0</v>
      </c>
      <c r="O1417" s="29">
        <f t="shared" ref="O1417:O1480" ca="1" si="293">IF(A1417&lt;=$G$2, $D$2*(1-$D$3), 0)</f>
        <v>0</v>
      </c>
      <c r="P1417" s="30">
        <f t="shared" ref="P1417:P1480" ca="1" si="294">O1417*I1417*K1417</f>
        <v>0</v>
      </c>
    </row>
    <row r="1418" spans="1:16" x14ac:dyDescent="0.25">
      <c r="A1418" s="3">
        <f t="shared" ref="A1418:A1481" si="295">WORKDAY(A1417, 1)</f>
        <v>48096</v>
      </c>
      <c r="B1418" s="21">
        <f t="shared" si="286"/>
        <v>36774</v>
      </c>
      <c r="C1418" s="21">
        <f t="shared" si="287"/>
        <v>36789</v>
      </c>
      <c r="D1418" s="1">
        <f t="shared" ref="D1418:D1481" si="296">IF(OR(C1418=B1418, AND(C1418&lt;&gt;C1417, C1417&gt;B1417)), 1, 0)</f>
        <v>0</v>
      </c>
      <c r="E1418" s="3">
        <f t="array" ref="E1418">INDEX($A$9:A1417, MAX(IF($D$9:D1417=1, ROW(D$9:$D1417)-ROW($D$9)+1, 0)))</f>
        <v>48019</v>
      </c>
      <c r="F1418" s="23">
        <f t="shared" si="288"/>
        <v>5.3963039014373715</v>
      </c>
      <c r="G1418" s="5">
        <f>INDEX('Default Prob'!$P$5:$P$14,MIN(1+_xlfn.IFNA(MATCH(F1418,'Default Prob'!$F$5:$F$14,1),0),COUNT('Default Prob'!$P$5:$P$14)))</f>
        <v>3.22895928960443E-2</v>
      </c>
      <c r="H1418" s="5">
        <f t="shared" ref="H1418:H1481" si="297">H1417*EXP(-G1417*(F1418-F1417))</f>
        <v>0.88642228095993525</v>
      </c>
      <c r="I1418" s="24">
        <f t="shared" ref="I1418:I1481" si="298">H1417-H1418</f>
        <v>7.8366816656627591E-5</v>
      </c>
      <c r="J1418" s="25">
        <f>INDEX('Default Prob'!$C$3:$C$13, _xlfn.IFNA(MATCH(F1418, 'Default Prob'!$B$3:$B$13, 1), 1))</f>
        <v>2.1100000000000001E-2</v>
      </c>
      <c r="K1418" s="26">
        <f t="shared" si="289"/>
        <v>0.89343883465381169</v>
      </c>
      <c r="L1418" s="27">
        <f t="shared" ca="1" si="290"/>
        <v>0</v>
      </c>
      <c r="M1418" s="27">
        <f t="shared" ca="1" si="291"/>
        <v>0</v>
      </c>
      <c r="N1418" s="28">
        <f t="shared" ca="1" si="292"/>
        <v>0</v>
      </c>
      <c r="O1418" s="29">
        <f t="shared" ca="1" si="293"/>
        <v>0</v>
      </c>
      <c r="P1418" s="30">
        <f t="shared" ca="1" si="294"/>
        <v>0</v>
      </c>
    </row>
    <row r="1419" spans="1:16" x14ac:dyDescent="0.25">
      <c r="A1419" s="3">
        <f t="shared" si="295"/>
        <v>48099</v>
      </c>
      <c r="B1419" s="21">
        <f t="shared" si="286"/>
        <v>36777</v>
      </c>
      <c r="C1419" s="21">
        <f t="shared" si="287"/>
        <v>36789</v>
      </c>
      <c r="D1419" s="1">
        <f t="shared" si="296"/>
        <v>0</v>
      </c>
      <c r="E1419" s="3">
        <f t="array" ref="E1419">INDEX($A$9:A1418, MAX(IF($D$9:D1418=1, ROW(D$9:$D1418)-ROW($D$9)+1, 0)))</f>
        <v>48019</v>
      </c>
      <c r="F1419" s="23">
        <f t="shared" si="288"/>
        <v>5.4045174537987677</v>
      </c>
      <c r="G1419" s="5">
        <f>INDEX('Default Prob'!$P$5:$P$14,MIN(1+_xlfn.IFNA(MATCH(F1419,'Default Prob'!$F$5:$F$14,1),0),COUNT('Default Prob'!$P$5:$P$14)))</f>
        <v>3.22895928960443E-2</v>
      </c>
      <c r="H1419" s="5">
        <f t="shared" si="297"/>
        <v>0.88618722207335987</v>
      </c>
      <c r="I1419" s="24">
        <f t="shared" si="298"/>
        <v>2.3505888657537888E-4</v>
      </c>
      <c r="J1419" s="25">
        <f>INDEX('Default Prob'!$C$3:$C$13, _xlfn.IFNA(MATCH(F1419, 'Default Prob'!$B$3:$B$13, 1), 1))</f>
        <v>2.1100000000000001E-2</v>
      </c>
      <c r="K1419" s="26">
        <f t="shared" si="289"/>
        <v>0.89328562044504889</v>
      </c>
      <c r="L1419" s="27">
        <f t="shared" ca="1" si="290"/>
        <v>0</v>
      </c>
      <c r="M1419" s="27">
        <f t="shared" ca="1" si="291"/>
        <v>0</v>
      </c>
      <c r="N1419" s="28">
        <f t="shared" ca="1" si="292"/>
        <v>0</v>
      </c>
      <c r="O1419" s="29">
        <f t="shared" ca="1" si="293"/>
        <v>0</v>
      </c>
      <c r="P1419" s="30">
        <f t="shared" ca="1" si="294"/>
        <v>0</v>
      </c>
    </row>
    <row r="1420" spans="1:16" x14ac:dyDescent="0.25">
      <c r="A1420" s="3">
        <f t="shared" si="295"/>
        <v>48100</v>
      </c>
      <c r="B1420" s="21">
        <f t="shared" si="286"/>
        <v>36778</v>
      </c>
      <c r="C1420" s="21">
        <f t="shared" si="287"/>
        <v>36789</v>
      </c>
      <c r="D1420" s="1">
        <f t="shared" si="296"/>
        <v>0</v>
      </c>
      <c r="E1420" s="3">
        <f t="array" ref="E1420">INDEX($A$9:A1419, MAX(IF($D$9:D1419=1, ROW(D$9:$D1419)-ROW($D$9)+1, 0)))</f>
        <v>48019</v>
      </c>
      <c r="F1420" s="23">
        <f t="shared" si="288"/>
        <v>5.4072553045858998</v>
      </c>
      <c r="G1420" s="5">
        <f>INDEX('Default Prob'!$P$5:$P$14,MIN(1+_xlfn.IFNA(MATCH(F1420,'Default Prob'!$F$5:$F$14,1),0),COUNT('Default Prob'!$P$5:$P$14)))</f>
        <v>3.22895928960443E-2</v>
      </c>
      <c r="H1420" s="5">
        <f t="shared" si="297"/>
        <v>0.8861088829635918</v>
      </c>
      <c r="I1420" s="24">
        <f t="shared" si="298"/>
        <v>7.8339109768066351E-5</v>
      </c>
      <c r="J1420" s="25">
        <f>INDEX('Default Prob'!$C$3:$C$13, _xlfn.IFNA(MATCH(F1420, 'Default Prob'!$B$3:$B$13, 1), 1))</f>
        <v>2.1100000000000001E-2</v>
      </c>
      <c r="K1420" s="26">
        <f t="shared" si="289"/>
        <v>0.89323455488111214</v>
      </c>
      <c r="L1420" s="27">
        <f t="shared" ca="1" si="290"/>
        <v>0</v>
      </c>
      <c r="M1420" s="27">
        <f t="shared" ca="1" si="291"/>
        <v>0</v>
      </c>
      <c r="N1420" s="28">
        <f t="shared" ca="1" si="292"/>
        <v>0</v>
      </c>
      <c r="O1420" s="29">
        <f t="shared" ca="1" si="293"/>
        <v>0</v>
      </c>
      <c r="P1420" s="30">
        <f t="shared" ca="1" si="294"/>
        <v>0</v>
      </c>
    </row>
    <row r="1421" spans="1:16" x14ac:dyDescent="0.25">
      <c r="A1421" s="3">
        <f t="shared" si="295"/>
        <v>48101</v>
      </c>
      <c r="B1421" s="21">
        <f t="shared" si="286"/>
        <v>36779</v>
      </c>
      <c r="C1421" s="21">
        <f t="shared" si="287"/>
        <v>36789</v>
      </c>
      <c r="D1421" s="1">
        <f t="shared" si="296"/>
        <v>0</v>
      </c>
      <c r="E1421" s="3">
        <f t="array" ref="E1421">INDEX($A$9:A1420, MAX(IF($D$9:D1420=1, ROW(D$9:$D1420)-ROW($D$9)+1, 0)))</f>
        <v>48019</v>
      </c>
      <c r="F1421" s="23">
        <f t="shared" si="288"/>
        <v>5.4099931553730318</v>
      </c>
      <c r="G1421" s="5">
        <f>INDEX('Default Prob'!$P$5:$P$14,MIN(1+_xlfn.IFNA(MATCH(F1421,'Default Prob'!$F$5:$F$14,1),0),COUNT('Default Prob'!$P$5:$P$14)))</f>
        <v>3.22895928960443E-2</v>
      </c>
      <c r="H1421" s="5">
        <f t="shared" si="297"/>
        <v>0.88603055077901516</v>
      </c>
      <c r="I1421" s="24">
        <f t="shared" si="298"/>
        <v>7.8332184576646036E-5</v>
      </c>
      <c r="J1421" s="25">
        <f>INDEX('Default Prob'!$C$3:$C$13, _xlfn.IFNA(MATCH(F1421, 'Default Prob'!$B$3:$B$13, 1), 1))</f>
        <v>2.1100000000000001E-2</v>
      </c>
      <c r="K1421" s="26">
        <f t="shared" si="289"/>
        <v>0.89318349223638938</v>
      </c>
      <c r="L1421" s="27">
        <f t="shared" ca="1" si="290"/>
        <v>0</v>
      </c>
      <c r="M1421" s="27">
        <f t="shared" ca="1" si="291"/>
        <v>0</v>
      </c>
      <c r="N1421" s="28">
        <f t="shared" ca="1" si="292"/>
        <v>0</v>
      </c>
      <c r="O1421" s="29">
        <f t="shared" ca="1" si="293"/>
        <v>0</v>
      </c>
      <c r="P1421" s="30">
        <f t="shared" ca="1" si="294"/>
        <v>0</v>
      </c>
    </row>
    <row r="1422" spans="1:16" x14ac:dyDescent="0.25">
      <c r="A1422" s="3">
        <f t="shared" si="295"/>
        <v>48102</v>
      </c>
      <c r="B1422" s="21">
        <f t="shared" si="286"/>
        <v>36780</v>
      </c>
      <c r="C1422" s="21">
        <f t="shared" si="287"/>
        <v>36789</v>
      </c>
      <c r="D1422" s="1">
        <f t="shared" si="296"/>
        <v>0</v>
      </c>
      <c r="E1422" s="3">
        <f t="array" ref="E1422">INDEX($A$9:A1421, MAX(IF($D$9:D1421=1, ROW(D$9:$D1421)-ROW($D$9)+1, 0)))</f>
        <v>48019</v>
      </c>
      <c r="F1422" s="23">
        <f t="shared" si="288"/>
        <v>5.4127310061601639</v>
      </c>
      <c r="G1422" s="5">
        <f>INDEX('Default Prob'!$P$5:$P$14,MIN(1+_xlfn.IFNA(MATCH(F1422,'Default Prob'!$F$5:$F$14,1),0),COUNT('Default Prob'!$P$5:$P$14)))</f>
        <v>3.22895928960443E-2</v>
      </c>
      <c r="H1422" s="5">
        <f t="shared" si="297"/>
        <v>0.88595222551901764</v>
      </c>
      <c r="I1422" s="24">
        <f t="shared" si="298"/>
        <v>7.8325259997513719E-5</v>
      </c>
      <c r="J1422" s="25">
        <f>INDEX('Default Prob'!$C$3:$C$13, _xlfn.IFNA(MATCH(F1422, 'Default Prob'!$B$3:$B$13, 1), 1))</f>
        <v>2.1100000000000001E-2</v>
      </c>
      <c r="K1422" s="26">
        <f t="shared" si="289"/>
        <v>0.8931324325107135</v>
      </c>
      <c r="L1422" s="27">
        <f t="shared" ca="1" si="290"/>
        <v>0</v>
      </c>
      <c r="M1422" s="27">
        <f t="shared" ca="1" si="291"/>
        <v>0</v>
      </c>
      <c r="N1422" s="28">
        <f t="shared" ca="1" si="292"/>
        <v>0</v>
      </c>
      <c r="O1422" s="29">
        <f t="shared" ca="1" si="293"/>
        <v>0</v>
      </c>
      <c r="P1422" s="30">
        <f t="shared" ca="1" si="294"/>
        <v>0</v>
      </c>
    </row>
    <row r="1423" spans="1:16" x14ac:dyDescent="0.25">
      <c r="A1423" s="3">
        <f t="shared" si="295"/>
        <v>48103</v>
      </c>
      <c r="B1423" s="21">
        <f t="shared" si="286"/>
        <v>36781</v>
      </c>
      <c r="C1423" s="21">
        <f t="shared" si="287"/>
        <v>36789</v>
      </c>
      <c r="D1423" s="1">
        <f t="shared" si="296"/>
        <v>0</v>
      </c>
      <c r="E1423" s="3">
        <f t="array" ref="E1423">INDEX($A$9:A1422, MAX(IF($D$9:D1422=1, ROW(D$9:$D1422)-ROW($D$9)+1, 0)))</f>
        <v>48019</v>
      </c>
      <c r="F1423" s="23">
        <f t="shared" si="288"/>
        <v>5.415468856947296</v>
      </c>
      <c r="G1423" s="5">
        <f>INDEX('Default Prob'!$P$5:$P$14,MIN(1+_xlfn.IFNA(MATCH(F1423,'Default Prob'!$F$5:$F$14,1),0),COUNT('Default Prob'!$P$5:$P$14)))</f>
        <v>3.22895928960443E-2</v>
      </c>
      <c r="H1423" s="5">
        <f t="shared" si="297"/>
        <v>0.8858739071829872</v>
      </c>
      <c r="I1423" s="24">
        <f t="shared" si="298"/>
        <v>7.8318336030447355E-5</v>
      </c>
      <c r="J1423" s="25">
        <f>INDEX('Default Prob'!$C$3:$C$13, _xlfn.IFNA(MATCH(F1423, 'Default Prob'!$B$3:$B$13, 1), 1))</f>
        <v>2.1100000000000001E-2</v>
      </c>
      <c r="K1423" s="26">
        <f t="shared" si="289"/>
        <v>0.89308137570391788</v>
      </c>
      <c r="L1423" s="27">
        <f t="shared" ca="1" si="290"/>
        <v>0</v>
      </c>
      <c r="M1423" s="27">
        <f t="shared" ca="1" si="291"/>
        <v>0</v>
      </c>
      <c r="N1423" s="28">
        <f t="shared" ca="1" si="292"/>
        <v>0</v>
      </c>
      <c r="O1423" s="29">
        <f t="shared" ca="1" si="293"/>
        <v>0</v>
      </c>
      <c r="P1423" s="30">
        <f t="shared" ca="1" si="294"/>
        <v>0</v>
      </c>
    </row>
    <row r="1424" spans="1:16" x14ac:dyDescent="0.25">
      <c r="A1424" s="3">
        <f t="shared" si="295"/>
        <v>48106</v>
      </c>
      <c r="B1424" s="21">
        <f t="shared" si="286"/>
        <v>36784</v>
      </c>
      <c r="C1424" s="21">
        <f t="shared" si="287"/>
        <v>36789</v>
      </c>
      <c r="D1424" s="1">
        <f t="shared" si="296"/>
        <v>0</v>
      </c>
      <c r="E1424" s="3">
        <f t="array" ref="E1424">INDEX($A$9:A1423, MAX(IF($D$9:D1423=1, ROW(D$9:$D1423)-ROW($D$9)+1, 0)))</f>
        <v>48019</v>
      </c>
      <c r="F1424" s="23">
        <f t="shared" si="288"/>
        <v>5.4236824093086931</v>
      </c>
      <c r="G1424" s="5">
        <f>INDEX('Default Prob'!$P$5:$P$14,MIN(1+_xlfn.IFNA(MATCH(F1424,'Default Prob'!$F$5:$F$14,1),0),COUNT('Default Prob'!$P$5:$P$14)))</f>
        <v>3.22895928960443E-2</v>
      </c>
      <c r="H1424" s="5">
        <f t="shared" si="297"/>
        <v>0.88563899371257759</v>
      </c>
      <c r="I1424" s="24">
        <f t="shared" si="298"/>
        <v>2.3491347040960342E-4</v>
      </c>
      <c r="J1424" s="25">
        <f>INDEX('Default Prob'!$C$3:$C$13, _xlfn.IFNA(MATCH(F1424, 'Default Prob'!$B$3:$B$13, 1), 1))</f>
        <v>2.1100000000000001E-2</v>
      </c>
      <c r="K1424" s="26">
        <f t="shared" si="289"/>
        <v>0.8929282227951435</v>
      </c>
      <c r="L1424" s="27">
        <f t="shared" ca="1" si="290"/>
        <v>0</v>
      </c>
      <c r="M1424" s="27">
        <f t="shared" ca="1" si="291"/>
        <v>0</v>
      </c>
      <c r="N1424" s="28">
        <f t="shared" ca="1" si="292"/>
        <v>0</v>
      </c>
      <c r="O1424" s="29">
        <f t="shared" ca="1" si="293"/>
        <v>0</v>
      </c>
      <c r="P1424" s="30">
        <f t="shared" ca="1" si="294"/>
        <v>0</v>
      </c>
    </row>
    <row r="1425" spans="1:16" x14ac:dyDescent="0.25">
      <c r="A1425" s="3">
        <f t="shared" si="295"/>
        <v>48107</v>
      </c>
      <c r="B1425" s="21">
        <f t="shared" si="286"/>
        <v>36785</v>
      </c>
      <c r="C1425" s="21">
        <f t="shared" si="287"/>
        <v>36789</v>
      </c>
      <c r="D1425" s="1">
        <f t="shared" si="296"/>
        <v>0</v>
      </c>
      <c r="E1425" s="3">
        <f t="array" ref="E1425">INDEX($A$9:A1424, MAX(IF($D$9:D1424=1, ROW(D$9:$D1424)-ROW($D$9)+1, 0)))</f>
        <v>48019</v>
      </c>
      <c r="F1425" s="23">
        <f t="shared" si="288"/>
        <v>5.4264202600958251</v>
      </c>
      <c r="G1425" s="5">
        <f>INDEX('Default Prob'!$P$5:$P$14,MIN(1+_xlfn.IFNA(MATCH(F1425,'Default Prob'!$F$5:$F$14,1),0),COUNT('Default Prob'!$P$5:$P$14)))</f>
        <v>3.22895928960443E-2</v>
      </c>
      <c r="H1425" s="5">
        <f t="shared" si="297"/>
        <v>0.8855607030662952</v>
      </c>
      <c r="I1425" s="24">
        <f t="shared" si="298"/>
        <v>7.8290646282397347E-5</v>
      </c>
      <c r="J1425" s="25">
        <f>INDEX('Default Prob'!$C$3:$C$13, _xlfn.IFNA(MATCH(F1425, 'Default Prob'!$B$3:$B$13, 1), 1))</f>
        <v>2.1100000000000001E-2</v>
      </c>
      <c r="K1425" s="26">
        <f t="shared" si="289"/>
        <v>0.89287717766220009</v>
      </c>
      <c r="L1425" s="27">
        <f t="shared" ca="1" si="290"/>
        <v>0</v>
      </c>
      <c r="M1425" s="27">
        <f t="shared" ca="1" si="291"/>
        <v>0</v>
      </c>
      <c r="N1425" s="28">
        <f t="shared" ca="1" si="292"/>
        <v>0</v>
      </c>
      <c r="O1425" s="29">
        <f t="shared" ca="1" si="293"/>
        <v>0</v>
      </c>
      <c r="P1425" s="30">
        <f t="shared" ca="1" si="294"/>
        <v>0</v>
      </c>
    </row>
    <row r="1426" spans="1:16" x14ac:dyDescent="0.25">
      <c r="A1426" s="3">
        <f t="shared" si="295"/>
        <v>48108</v>
      </c>
      <c r="B1426" s="21">
        <f t="shared" si="286"/>
        <v>36786</v>
      </c>
      <c r="C1426" s="21">
        <f t="shared" si="287"/>
        <v>36789</v>
      </c>
      <c r="D1426" s="1">
        <f t="shared" si="296"/>
        <v>0</v>
      </c>
      <c r="E1426" s="3">
        <f t="array" ref="E1426">INDEX($A$9:A1425, MAX(IF($D$9:D1425=1, ROW(D$9:$D1425)-ROW($D$9)+1, 0)))</f>
        <v>48019</v>
      </c>
      <c r="F1426" s="23">
        <f t="shared" si="288"/>
        <v>5.4291581108829572</v>
      </c>
      <c r="G1426" s="5">
        <f>INDEX('Default Prob'!$P$5:$P$14,MIN(1+_xlfn.IFNA(MATCH(F1426,'Default Prob'!$F$5:$F$14,1),0),COUNT('Default Prob'!$P$5:$P$14)))</f>
        <v>3.22895928960443E-2</v>
      </c>
      <c r="H1426" s="5">
        <f t="shared" si="297"/>
        <v>0.88548241934091998</v>
      </c>
      <c r="I1426" s="24">
        <f t="shared" si="298"/>
        <v>7.8283725375216662E-5</v>
      </c>
      <c r="J1426" s="25">
        <f>INDEX('Default Prob'!$C$3:$C$13, _xlfn.IFNA(MATCH(F1426, 'Default Prob'!$B$3:$B$13, 1), 1))</f>
        <v>2.1100000000000001E-2</v>
      </c>
      <c r="K1426" s="26">
        <f t="shared" si="289"/>
        <v>0.89282613544730249</v>
      </c>
      <c r="L1426" s="27">
        <f t="shared" ca="1" si="290"/>
        <v>0</v>
      </c>
      <c r="M1426" s="27">
        <f t="shared" ca="1" si="291"/>
        <v>0</v>
      </c>
      <c r="N1426" s="28">
        <f t="shared" ca="1" si="292"/>
        <v>0</v>
      </c>
      <c r="O1426" s="29">
        <f t="shared" ca="1" si="293"/>
        <v>0</v>
      </c>
      <c r="P1426" s="30">
        <f t="shared" ca="1" si="294"/>
        <v>0</v>
      </c>
    </row>
    <row r="1427" spans="1:16" x14ac:dyDescent="0.25">
      <c r="A1427" s="3">
        <f t="shared" si="295"/>
        <v>48109</v>
      </c>
      <c r="B1427" s="21">
        <f t="shared" si="286"/>
        <v>36787</v>
      </c>
      <c r="C1427" s="21">
        <f t="shared" si="287"/>
        <v>36789</v>
      </c>
      <c r="D1427" s="1">
        <f t="shared" si="296"/>
        <v>0</v>
      </c>
      <c r="E1427" s="3">
        <f t="array" ref="E1427">INDEX($A$9:A1426, MAX(IF($D$9:D1426=1, ROW(D$9:$D1426)-ROW($D$9)+1, 0)))</f>
        <v>48019</v>
      </c>
      <c r="F1427" s="23">
        <f t="shared" si="288"/>
        <v>5.4318959616700893</v>
      </c>
      <c r="G1427" s="5">
        <f>INDEX('Default Prob'!$P$5:$P$14,MIN(1+_xlfn.IFNA(MATCH(F1427,'Default Prob'!$F$5:$F$14,1),0),COUNT('Default Prob'!$P$5:$P$14)))</f>
        <v>3.22895928960443E-2</v>
      </c>
      <c r="H1427" s="5">
        <f t="shared" si="297"/>
        <v>0.88540414253584021</v>
      </c>
      <c r="I1427" s="24">
        <f t="shared" si="298"/>
        <v>7.8276805079768863E-5</v>
      </c>
      <c r="J1427" s="25">
        <f>INDEX('Default Prob'!$C$3:$C$13, _xlfn.IFNA(MATCH(F1427, 'Default Prob'!$B$3:$B$13, 1), 1))</f>
        <v>2.1100000000000001E-2</v>
      </c>
      <c r="K1427" s="26">
        <f t="shared" si="289"/>
        <v>0.89277509615028428</v>
      </c>
      <c r="L1427" s="27">
        <f t="shared" ca="1" si="290"/>
        <v>0</v>
      </c>
      <c r="M1427" s="27">
        <f t="shared" ca="1" si="291"/>
        <v>0</v>
      </c>
      <c r="N1427" s="28">
        <f t="shared" ca="1" si="292"/>
        <v>0</v>
      </c>
      <c r="O1427" s="29">
        <f t="shared" ca="1" si="293"/>
        <v>0</v>
      </c>
      <c r="P1427" s="30">
        <f t="shared" ca="1" si="294"/>
        <v>0</v>
      </c>
    </row>
    <row r="1428" spans="1:16" x14ac:dyDescent="0.25">
      <c r="A1428" s="3">
        <f t="shared" si="295"/>
        <v>48110</v>
      </c>
      <c r="B1428" s="21">
        <f t="shared" si="286"/>
        <v>36788</v>
      </c>
      <c r="C1428" s="21">
        <f t="shared" si="287"/>
        <v>36789</v>
      </c>
      <c r="D1428" s="1">
        <f t="shared" si="296"/>
        <v>0</v>
      </c>
      <c r="E1428" s="3">
        <f t="array" ref="E1428">INDEX($A$9:A1427, MAX(IF($D$9:D1427=1, ROW(D$9:$D1427)-ROW($D$9)+1, 0)))</f>
        <v>48019</v>
      </c>
      <c r="F1428" s="23">
        <f t="shared" si="288"/>
        <v>5.4346338124572213</v>
      </c>
      <c r="G1428" s="5">
        <f>INDEX('Default Prob'!$P$5:$P$14,MIN(1+_xlfn.IFNA(MATCH(F1428,'Default Prob'!$F$5:$F$14,1),0),COUNT('Default Prob'!$P$5:$P$14)))</f>
        <v>3.22895928960443E-2</v>
      </c>
      <c r="H1428" s="5">
        <f t="shared" si="297"/>
        <v>0.88532587265044405</v>
      </c>
      <c r="I1428" s="24">
        <f t="shared" si="298"/>
        <v>7.8269885396164973E-5</v>
      </c>
      <c r="J1428" s="25">
        <f>INDEX('Default Prob'!$C$3:$C$13, _xlfn.IFNA(MATCH(F1428, 'Default Prob'!$B$3:$B$13, 1), 1))</f>
        <v>2.1100000000000001E-2</v>
      </c>
      <c r="K1428" s="26">
        <f t="shared" si="289"/>
        <v>0.89272405977097824</v>
      </c>
      <c r="L1428" s="27">
        <f t="shared" ca="1" si="290"/>
        <v>0</v>
      </c>
      <c r="M1428" s="27">
        <f t="shared" ca="1" si="291"/>
        <v>0</v>
      </c>
      <c r="N1428" s="28">
        <f t="shared" ca="1" si="292"/>
        <v>0</v>
      </c>
      <c r="O1428" s="29">
        <f t="shared" ca="1" si="293"/>
        <v>0</v>
      </c>
      <c r="P1428" s="30">
        <f t="shared" ca="1" si="294"/>
        <v>0</v>
      </c>
    </row>
    <row r="1429" spans="1:16" x14ac:dyDescent="0.25">
      <c r="A1429" s="3">
        <f t="shared" si="295"/>
        <v>48113</v>
      </c>
      <c r="B1429" s="21">
        <f t="shared" si="286"/>
        <v>36791</v>
      </c>
      <c r="C1429" s="21">
        <f t="shared" si="287"/>
        <v>36880</v>
      </c>
      <c r="D1429" s="1">
        <f t="shared" si="296"/>
        <v>1</v>
      </c>
      <c r="E1429" s="3">
        <f t="array" ref="E1429">INDEX($A$9:A1428, MAX(IF($D$9:D1428=1, ROW(D$9:$D1428)-ROW($D$9)+1, 0)))</f>
        <v>48019</v>
      </c>
      <c r="F1429" s="23">
        <f t="shared" si="288"/>
        <v>5.4428473648186175</v>
      </c>
      <c r="G1429" s="5">
        <f>INDEX('Default Prob'!$P$5:$P$14,MIN(1+_xlfn.IFNA(MATCH(F1429,'Default Prob'!$F$5:$F$14,1),0),COUNT('Default Prob'!$P$5:$P$14)))</f>
        <v>3.22895928960443E-2</v>
      </c>
      <c r="H1429" s="5">
        <f t="shared" si="297"/>
        <v>0.88509110450624062</v>
      </c>
      <c r="I1429" s="24">
        <f t="shared" si="298"/>
        <v>2.3476814420342329E-4</v>
      </c>
      <c r="J1429" s="25">
        <f>INDEX('Default Prob'!$C$3:$C$13, _xlfn.IFNA(MATCH(F1429, 'Default Prob'!$B$3:$B$13, 1), 1))</f>
        <v>2.1100000000000001E-2</v>
      </c>
      <c r="K1429" s="26">
        <f t="shared" si="289"/>
        <v>0.89257096813766645</v>
      </c>
      <c r="L1429" s="27">
        <f t="shared" ca="1" si="290"/>
        <v>0</v>
      </c>
      <c r="M1429" s="27">
        <f t="shared" ca="1" si="291"/>
        <v>0</v>
      </c>
      <c r="N1429" s="28">
        <f t="shared" ca="1" si="292"/>
        <v>0</v>
      </c>
      <c r="O1429" s="29">
        <f t="shared" ca="1" si="293"/>
        <v>0</v>
      </c>
      <c r="P1429" s="30">
        <f t="shared" ca="1" si="294"/>
        <v>0</v>
      </c>
    </row>
    <row r="1430" spans="1:16" x14ac:dyDescent="0.25">
      <c r="A1430" s="3">
        <f t="shared" si="295"/>
        <v>48114</v>
      </c>
      <c r="B1430" s="21">
        <f t="shared" si="286"/>
        <v>36792</v>
      </c>
      <c r="C1430" s="21">
        <f t="shared" si="287"/>
        <v>36880</v>
      </c>
      <c r="D1430" s="1">
        <f t="shared" si="296"/>
        <v>0</v>
      </c>
      <c r="E1430" s="3">
        <f t="array" ref="E1430">INDEX($A$9:A1429, MAX(IF($D$9:D1429=1, ROW(D$9:$D1429)-ROW($D$9)+1, 0)))</f>
        <v>48113</v>
      </c>
      <c r="F1430" s="23">
        <f t="shared" si="288"/>
        <v>5.4455852156057496</v>
      </c>
      <c r="G1430" s="5">
        <f>INDEX('Default Prob'!$P$5:$P$14,MIN(1+_xlfn.IFNA(MATCH(F1430,'Default Prob'!$F$5:$F$14,1),0),COUNT('Default Prob'!$P$5:$P$14)))</f>
        <v>3.22895928960443E-2</v>
      </c>
      <c r="H1430" s="5">
        <f t="shared" si="297"/>
        <v>0.88501286229346254</v>
      </c>
      <c r="I1430" s="24">
        <f t="shared" si="298"/>
        <v>7.8242212778079079E-5</v>
      </c>
      <c r="J1430" s="25">
        <f>INDEX('Default Prob'!$C$3:$C$13, _xlfn.IFNA(MATCH(F1430, 'Default Prob'!$B$3:$B$13, 1), 1))</f>
        <v>2.1100000000000001E-2</v>
      </c>
      <c r="K1430" s="26">
        <f t="shared" si="289"/>
        <v>0.89251994342754204</v>
      </c>
      <c r="L1430" s="27">
        <f t="shared" ca="1" si="290"/>
        <v>0</v>
      </c>
      <c r="M1430" s="27">
        <f t="shared" ca="1" si="291"/>
        <v>0</v>
      </c>
      <c r="N1430" s="28">
        <f t="shared" ca="1" si="292"/>
        <v>0</v>
      </c>
      <c r="O1430" s="29">
        <f t="shared" ca="1" si="293"/>
        <v>0</v>
      </c>
      <c r="P1430" s="30">
        <f t="shared" ca="1" si="294"/>
        <v>0</v>
      </c>
    </row>
    <row r="1431" spans="1:16" x14ac:dyDescent="0.25">
      <c r="A1431" s="3">
        <f t="shared" si="295"/>
        <v>48115</v>
      </c>
      <c r="B1431" s="21">
        <f t="shared" si="286"/>
        <v>36793</v>
      </c>
      <c r="C1431" s="21">
        <f t="shared" si="287"/>
        <v>36880</v>
      </c>
      <c r="D1431" s="1">
        <f t="shared" si="296"/>
        <v>0</v>
      </c>
      <c r="E1431" s="3">
        <f t="array" ref="E1431">INDEX($A$9:A1430, MAX(IF($D$9:D1430=1, ROW(D$9:$D1430)-ROW($D$9)+1, 0)))</f>
        <v>48113</v>
      </c>
      <c r="F1431" s="23">
        <f t="shared" si="288"/>
        <v>5.4483230663928817</v>
      </c>
      <c r="G1431" s="5">
        <f>INDEX('Default Prob'!$P$5:$P$14,MIN(1+_xlfn.IFNA(MATCH(F1431,'Default Prob'!$F$5:$F$14,1),0),COUNT('Default Prob'!$P$5:$P$14)))</f>
        <v>3.22895928960443E-2</v>
      </c>
      <c r="H1431" s="5">
        <f t="shared" si="297"/>
        <v>0.88493462699731018</v>
      </c>
      <c r="I1431" s="24">
        <f t="shared" si="298"/>
        <v>7.8235296152362466E-5</v>
      </c>
      <c r="J1431" s="25">
        <f>INDEX('Default Prob'!$C$3:$C$13, _xlfn.IFNA(MATCH(F1431, 'Default Prob'!$B$3:$B$13, 1), 1))</f>
        <v>2.1100000000000001E-2</v>
      </c>
      <c r="K1431" s="26">
        <f t="shared" si="289"/>
        <v>0.89246892163429614</v>
      </c>
      <c r="L1431" s="27">
        <f t="shared" ca="1" si="290"/>
        <v>0</v>
      </c>
      <c r="M1431" s="27">
        <f t="shared" ca="1" si="291"/>
        <v>0</v>
      </c>
      <c r="N1431" s="28">
        <f t="shared" ca="1" si="292"/>
        <v>0</v>
      </c>
      <c r="O1431" s="29">
        <f t="shared" ca="1" si="293"/>
        <v>0</v>
      </c>
      <c r="P1431" s="30">
        <f t="shared" ca="1" si="294"/>
        <v>0</v>
      </c>
    </row>
    <row r="1432" spans="1:16" x14ac:dyDescent="0.25">
      <c r="A1432" s="3">
        <f t="shared" si="295"/>
        <v>48116</v>
      </c>
      <c r="B1432" s="21">
        <f t="shared" si="286"/>
        <v>36794</v>
      </c>
      <c r="C1432" s="21">
        <f t="shared" si="287"/>
        <v>36880</v>
      </c>
      <c r="D1432" s="1">
        <f t="shared" si="296"/>
        <v>0</v>
      </c>
      <c r="E1432" s="3">
        <f t="array" ref="E1432">INDEX($A$9:A1431, MAX(IF($D$9:D1431=1, ROW(D$9:$D1431)-ROW($D$9)+1, 0)))</f>
        <v>48113</v>
      </c>
      <c r="F1432" s="23">
        <f t="shared" si="288"/>
        <v>5.4510609171800137</v>
      </c>
      <c r="G1432" s="5">
        <f>INDEX('Default Prob'!$P$5:$P$14,MIN(1+_xlfn.IFNA(MATCH(F1432,'Default Prob'!$F$5:$F$14,1),0),COUNT('Default Prob'!$P$5:$P$14)))</f>
        <v>3.22895928960443E-2</v>
      </c>
      <c r="H1432" s="5">
        <f t="shared" si="297"/>
        <v>0.88485639861717202</v>
      </c>
      <c r="I1432" s="24">
        <f t="shared" si="298"/>
        <v>7.8228380138156695E-5</v>
      </c>
      <c r="J1432" s="25">
        <f>INDEX('Default Prob'!$C$3:$C$13, _xlfn.IFNA(MATCH(F1432, 'Default Prob'!$B$3:$B$13, 1), 1))</f>
        <v>2.1100000000000001E-2</v>
      </c>
      <c r="K1432" s="26">
        <f t="shared" si="289"/>
        <v>0.89241790275776189</v>
      </c>
      <c r="L1432" s="27">
        <f t="shared" ca="1" si="290"/>
        <v>0</v>
      </c>
      <c r="M1432" s="27">
        <f t="shared" ca="1" si="291"/>
        <v>0</v>
      </c>
      <c r="N1432" s="28">
        <f t="shared" ca="1" si="292"/>
        <v>0</v>
      </c>
      <c r="O1432" s="29">
        <f t="shared" ca="1" si="293"/>
        <v>0</v>
      </c>
      <c r="P1432" s="30">
        <f t="shared" ca="1" si="294"/>
        <v>0</v>
      </c>
    </row>
    <row r="1433" spans="1:16" x14ac:dyDescent="0.25">
      <c r="A1433" s="3">
        <f t="shared" si="295"/>
        <v>48117</v>
      </c>
      <c r="B1433" s="21">
        <f t="shared" si="286"/>
        <v>36795</v>
      </c>
      <c r="C1433" s="21">
        <f t="shared" si="287"/>
        <v>36880</v>
      </c>
      <c r="D1433" s="1">
        <f t="shared" si="296"/>
        <v>0</v>
      </c>
      <c r="E1433" s="3">
        <f t="array" ref="E1433">INDEX($A$9:A1432, MAX(IF($D$9:D1432=1, ROW(D$9:$D1432)-ROW($D$9)+1, 0)))</f>
        <v>48113</v>
      </c>
      <c r="F1433" s="23">
        <f t="shared" si="288"/>
        <v>5.4537987679671458</v>
      </c>
      <c r="G1433" s="5">
        <f>INDEX('Default Prob'!$P$5:$P$14,MIN(1+_xlfn.IFNA(MATCH(F1433,'Default Prob'!$F$5:$F$14,1),0),COUNT('Default Prob'!$P$5:$P$14)))</f>
        <v>3.22895928960443E-2</v>
      </c>
      <c r="H1433" s="5">
        <f t="shared" si="297"/>
        <v>0.88477817715243678</v>
      </c>
      <c r="I1433" s="24">
        <f t="shared" si="298"/>
        <v>7.8221464735239721E-5</v>
      </c>
      <c r="J1433" s="25">
        <f>INDEX('Default Prob'!$C$3:$C$13, _xlfn.IFNA(MATCH(F1433, 'Default Prob'!$B$3:$B$13, 1), 1))</f>
        <v>2.1100000000000001E-2</v>
      </c>
      <c r="K1433" s="26">
        <f t="shared" si="289"/>
        <v>0.89236688679777265</v>
      </c>
      <c r="L1433" s="27">
        <f t="shared" ca="1" si="290"/>
        <v>0</v>
      </c>
      <c r="M1433" s="27">
        <f t="shared" ca="1" si="291"/>
        <v>0</v>
      </c>
      <c r="N1433" s="28">
        <f t="shared" ca="1" si="292"/>
        <v>0</v>
      </c>
      <c r="O1433" s="29">
        <f t="shared" ca="1" si="293"/>
        <v>0</v>
      </c>
      <c r="P1433" s="30">
        <f t="shared" ca="1" si="294"/>
        <v>0</v>
      </c>
    </row>
    <row r="1434" spans="1:16" x14ac:dyDescent="0.25">
      <c r="A1434" s="3">
        <f t="shared" si="295"/>
        <v>48120</v>
      </c>
      <c r="B1434" s="21">
        <f t="shared" si="286"/>
        <v>36798</v>
      </c>
      <c r="C1434" s="21">
        <f t="shared" si="287"/>
        <v>36880</v>
      </c>
      <c r="D1434" s="1">
        <f t="shared" si="296"/>
        <v>0</v>
      </c>
      <c r="E1434" s="3">
        <f t="array" ref="E1434">INDEX($A$9:A1433, MAX(IF($D$9:D1433=1, ROW(D$9:$D1433)-ROW($D$9)+1, 0)))</f>
        <v>48113</v>
      </c>
      <c r="F1434" s="23">
        <f t="shared" si="288"/>
        <v>5.462012320328542</v>
      </c>
      <c r="G1434" s="5">
        <f>INDEX('Default Prob'!$P$5:$P$14,MIN(1+_xlfn.IFNA(MATCH(F1434,'Default Prob'!$F$5:$F$14,1),0),COUNT('Default Prob'!$P$5:$P$14)))</f>
        <v>3.22895928960443E-2</v>
      </c>
      <c r="H1434" s="5">
        <f t="shared" si="297"/>
        <v>0.88454355424453512</v>
      </c>
      <c r="I1434" s="24">
        <f t="shared" si="298"/>
        <v>2.346229079016604E-4</v>
      </c>
      <c r="J1434" s="25">
        <f>INDEX('Default Prob'!$C$3:$C$13, _xlfn.IFNA(MATCH(F1434, 'Default Prob'!$B$3:$B$13, 1), 1))</f>
        <v>2.1100000000000001E-2</v>
      </c>
      <c r="K1434" s="26">
        <f t="shared" si="289"/>
        <v>0.89221385641540774</v>
      </c>
      <c r="L1434" s="27">
        <f t="shared" ca="1" si="290"/>
        <v>0</v>
      </c>
      <c r="M1434" s="27">
        <f t="shared" ca="1" si="291"/>
        <v>0</v>
      </c>
      <c r="N1434" s="28">
        <f t="shared" ca="1" si="292"/>
        <v>0</v>
      </c>
      <c r="O1434" s="29">
        <f t="shared" ca="1" si="293"/>
        <v>0</v>
      </c>
      <c r="P1434" s="30">
        <f t="shared" ca="1" si="294"/>
        <v>0</v>
      </c>
    </row>
    <row r="1435" spans="1:16" x14ac:dyDescent="0.25">
      <c r="A1435" s="3">
        <f t="shared" si="295"/>
        <v>48121</v>
      </c>
      <c r="B1435" s="21">
        <f t="shared" si="286"/>
        <v>36799</v>
      </c>
      <c r="C1435" s="21">
        <f t="shared" si="287"/>
        <v>36880</v>
      </c>
      <c r="D1435" s="1">
        <f t="shared" si="296"/>
        <v>0</v>
      </c>
      <c r="E1435" s="3">
        <f t="array" ref="E1435">INDEX($A$9:A1434, MAX(IF($D$9:D1434=1, ROW(D$9:$D1434)-ROW($D$9)+1, 0)))</f>
        <v>48113</v>
      </c>
      <c r="F1435" s="23">
        <f t="shared" si="288"/>
        <v>5.4647501711156741</v>
      </c>
      <c r="G1435" s="5">
        <f>INDEX('Default Prob'!$P$5:$P$14,MIN(1+_xlfn.IFNA(MATCH(F1435,'Default Prob'!$F$5:$F$14,1),0),COUNT('Default Prob'!$P$5:$P$14)))</f>
        <v>3.22895928960443E-2</v>
      </c>
      <c r="H1435" s="5">
        <f t="shared" si="297"/>
        <v>0.88446536043529866</v>
      </c>
      <c r="I1435" s="24">
        <f t="shared" si="298"/>
        <v>7.8193809236459799E-5</v>
      </c>
      <c r="J1435" s="25">
        <f>INDEX('Default Prob'!$C$3:$C$13, _xlfn.IFNA(MATCH(F1435, 'Default Prob'!$B$3:$B$13, 1), 1))</f>
        <v>2.1100000000000001E-2</v>
      </c>
      <c r="K1435" s="26">
        <f t="shared" si="289"/>
        <v>0.89216285211993118</v>
      </c>
      <c r="L1435" s="27">
        <f t="shared" ca="1" si="290"/>
        <v>0</v>
      </c>
      <c r="M1435" s="27">
        <f t="shared" ca="1" si="291"/>
        <v>0</v>
      </c>
      <c r="N1435" s="28">
        <f t="shared" ca="1" si="292"/>
        <v>0</v>
      </c>
      <c r="O1435" s="29">
        <f t="shared" ca="1" si="293"/>
        <v>0</v>
      </c>
      <c r="P1435" s="30">
        <f t="shared" ca="1" si="294"/>
        <v>0</v>
      </c>
    </row>
    <row r="1436" spans="1:16" x14ac:dyDescent="0.25">
      <c r="A1436" s="3">
        <f t="shared" si="295"/>
        <v>48122</v>
      </c>
      <c r="B1436" s="21">
        <f t="shared" si="286"/>
        <v>36800</v>
      </c>
      <c r="C1436" s="21">
        <f t="shared" si="287"/>
        <v>36880</v>
      </c>
      <c r="D1436" s="1">
        <f t="shared" si="296"/>
        <v>0</v>
      </c>
      <c r="E1436" s="3">
        <f t="array" ref="E1436">INDEX($A$9:A1435, MAX(IF($D$9:D1435=1, ROW(D$9:$D1435)-ROW($D$9)+1, 0)))</f>
        <v>48113</v>
      </c>
      <c r="F1436" s="23">
        <f t="shared" si="288"/>
        <v>5.4674880219028061</v>
      </c>
      <c r="G1436" s="5">
        <f>INDEX('Default Prob'!$P$5:$P$14,MIN(1+_xlfn.IFNA(MATCH(F1436,'Default Prob'!$F$5:$F$14,1),0),COUNT('Default Prob'!$P$5:$P$14)))</f>
        <v>3.22895928960443E-2</v>
      </c>
      <c r="H1436" s="5">
        <f t="shared" si="297"/>
        <v>0.88438717353840901</v>
      </c>
      <c r="I1436" s="24">
        <f t="shared" si="298"/>
        <v>7.8186896889653745E-5</v>
      </c>
      <c r="J1436" s="25">
        <f>INDEX('Default Prob'!$C$3:$C$13, _xlfn.IFNA(MATCH(F1436, 'Default Prob'!$B$3:$B$13, 1), 1))</f>
        <v>2.1100000000000001E-2</v>
      </c>
      <c r="K1436" s="26">
        <f t="shared" si="289"/>
        <v>0.8921118507401663</v>
      </c>
      <c r="L1436" s="27">
        <f t="shared" ca="1" si="290"/>
        <v>0</v>
      </c>
      <c r="M1436" s="27">
        <f t="shared" ca="1" si="291"/>
        <v>0</v>
      </c>
      <c r="N1436" s="28">
        <f t="shared" ca="1" si="292"/>
        <v>0</v>
      </c>
      <c r="O1436" s="29">
        <f t="shared" ca="1" si="293"/>
        <v>0</v>
      </c>
      <c r="P1436" s="30">
        <f t="shared" ca="1" si="294"/>
        <v>0</v>
      </c>
    </row>
    <row r="1437" spans="1:16" x14ac:dyDescent="0.25">
      <c r="A1437" s="3">
        <f t="shared" si="295"/>
        <v>48123</v>
      </c>
      <c r="B1437" s="21">
        <f t="shared" si="286"/>
        <v>36801</v>
      </c>
      <c r="C1437" s="21">
        <f t="shared" si="287"/>
        <v>36880</v>
      </c>
      <c r="D1437" s="1">
        <f t="shared" si="296"/>
        <v>0</v>
      </c>
      <c r="E1437" s="3">
        <f t="array" ref="E1437">INDEX($A$9:A1436, MAX(IF($D$9:D1436=1, ROW(D$9:$D1436)-ROW($D$9)+1, 0)))</f>
        <v>48113</v>
      </c>
      <c r="F1437" s="23">
        <f t="shared" si="288"/>
        <v>5.4702258726899382</v>
      </c>
      <c r="G1437" s="5">
        <f>INDEX('Default Prob'!$P$5:$P$14,MIN(1+_xlfn.IFNA(MATCH(F1437,'Default Prob'!$F$5:$F$14,1),0),COUNT('Default Prob'!$P$5:$P$14)))</f>
        <v>3.22895928960443E-2</v>
      </c>
      <c r="H1437" s="5">
        <f t="shared" si="297"/>
        <v>0.8843089935532551</v>
      </c>
      <c r="I1437" s="24">
        <f t="shared" si="298"/>
        <v>7.8179985153914444E-5</v>
      </c>
      <c r="J1437" s="25">
        <f>INDEX('Default Prob'!$C$3:$C$13, _xlfn.IFNA(MATCH(F1437, 'Default Prob'!$B$3:$B$13, 1), 1))</f>
        <v>2.1100000000000001E-2</v>
      </c>
      <c r="K1437" s="26">
        <f t="shared" si="289"/>
        <v>0.892060852275946</v>
      </c>
      <c r="L1437" s="27">
        <f t="shared" ca="1" si="290"/>
        <v>0</v>
      </c>
      <c r="M1437" s="27">
        <f t="shared" ca="1" si="291"/>
        <v>0</v>
      </c>
      <c r="N1437" s="28">
        <f t="shared" ca="1" si="292"/>
        <v>0</v>
      </c>
      <c r="O1437" s="29">
        <f t="shared" ca="1" si="293"/>
        <v>0</v>
      </c>
      <c r="P1437" s="30">
        <f t="shared" ca="1" si="294"/>
        <v>0</v>
      </c>
    </row>
    <row r="1438" spans="1:16" x14ac:dyDescent="0.25">
      <c r="A1438" s="3">
        <f t="shared" si="295"/>
        <v>48124</v>
      </c>
      <c r="B1438" s="21">
        <f t="shared" si="286"/>
        <v>36802</v>
      </c>
      <c r="C1438" s="21">
        <f t="shared" si="287"/>
        <v>36880</v>
      </c>
      <c r="D1438" s="1">
        <f t="shared" si="296"/>
        <v>0</v>
      </c>
      <c r="E1438" s="3">
        <f t="array" ref="E1438">INDEX($A$9:A1437, MAX(IF($D$9:D1437=1, ROW(D$9:$D1437)-ROW($D$9)+1, 0)))</f>
        <v>48113</v>
      </c>
      <c r="F1438" s="23">
        <f t="shared" si="288"/>
        <v>5.4729637234770703</v>
      </c>
      <c r="G1438" s="5">
        <f>INDEX('Default Prob'!$P$5:$P$14,MIN(1+_xlfn.IFNA(MATCH(F1438,'Default Prob'!$F$5:$F$14,1),0),COUNT('Default Prob'!$P$5:$P$14)))</f>
        <v>3.22895928960443E-2</v>
      </c>
      <c r="H1438" s="5">
        <f t="shared" si="297"/>
        <v>0.88423082047922585</v>
      </c>
      <c r="I1438" s="24">
        <f t="shared" si="298"/>
        <v>7.8173074029241896E-5</v>
      </c>
      <c r="J1438" s="25">
        <f>INDEX('Default Prob'!$C$3:$C$13, _xlfn.IFNA(MATCH(F1438, 'Default Prob'!$B$3:$B$13, 1), 1))</f>
        <v>2.1100000000000001E-2</v>
      </c>
      <c r="K1438" s="26">
        <f t="shared" si="289"/>
        <v>0.89200985672710387</v>
      </c>
      <c r="L1438" s="27">
        <f t="shared" ca="1" si="290"/>
        <v>0</v>
      </c>
      <c r="M1438" s="27">
        <f t="shared" ca="1" si="291"/>
        <v>0</v>
      </c>
      <c r="N1438" s="28">
        <f t="shared" ca="1" si="292"/>
        <v>0</v>
      </c>
      <c r="O1438" s="29">
        <f t="shared" ca="1" si="293"/>
        <v>0</v>
      </c>
      <c r="P1438" s="30">
        <f t="shared" ca="1" si="294"/>
        <v>0</v>
      </c>
    </row>
    <row r="1439" spans="1:16" x14ac:dyDescent="0.25">
      <c r="A1439" s="3">
        <f t="shared" si="295"/>
        <v>48127</v>
      </c>
      <c r="B1439" s="21">
        <f t="shared" si="286"/>
        <v>36805</v>
      </c>
      <c r="C1439" s="21">
        <f t="shared" si="287"/>
        <v>36880</v>
      </c>
      <c r="D1439" s="1">
        <f t="shared" si="296"/>
        <v>0</v>
      </c>
      <c r="E1439" s="3">
        <f t="array" ref="E1439">INDEX($A$9:A1438, MAX(IF($D$9:D1438=1, ROW(D$9:$D1438)-ROW($D$9)+1, 0)))</f>
        <v>48113</v>
      </c>
      <c r="F1439" s="23">
        <f t="shared" si="288"/>
        <v>5.4811772758384665</v>
      </c>
      <c r="G1439" s="5">
        <f>INDEX('Default Prob'!$P$5:$P$14,MIN(1+_xlfn.IFNA(MATCH(F1439,'Default Prob'!$F$5:$F$14,1),0),COUNT('Default Prob'!$P$5:$P$14)))</f>
        <v>3.22895928960443E-2</v>
      </c>
      <c r="H1439" s="5">
        <f t="shared" si="297"/>
        <v>0.88399634271777749</v>
      </c>
      <c r="I1439" s="24">
        <f t="shared" si="298"/>
        <v>2.3447776144835952E-4</v>
      </c>
      <c r="J1439" s="25">
        <f>INDEX('Default Prob'!$C$3:$C$13, _xlfn.IFNA(MATCH(F1439, 'Default Prob'!$B$3:$B$13, 1), 1))</f>
        <v>2.1100000000000001E-2</v>
      </c>
      <c r="K1439" s="26">
        <f t="shared" si="289"/>
        <v>0.89185688757117954</v>
      </c>
      <c r="L1439" s="27">
        <f t="shared" ca="1" si="290"/>
        <v>0</v>
      </c>
      <c r="M1439" s="27">
        <f t="shared" ca="1" si="291"/>
        <v>0</v>
      </c>
      <c r="N1439" s="28">
        <f t="shared" ca="1" si="292"/>
        <v>0</v>
      </c>
      <c r="O1439" s="29">
        <f t="shared" ca="1" si="293"/>
        <v>0</v>
      </c>
      <c r="P1439" s="30">
        <f t="shared" ca="1" si="294"/>
        <v>0</v>
      </c>
    </row>
    <row r="1440" spans="1:16" x14ac:dyDescent="0.25">
      <c r="A1440" s="3">
        <f t="shared" si="295"/>
        <v>48128</v>
      </c>
      <c r="B1440" s="21">
        <f t="shared" si="286"/>
        <v>36806</v>
      </c>
      <c r="C1440" s="21">
        <f t="shared" si="287"/>
        <v>36880</v>
      </c>
      <c r="D1440" s="1">
        <f t="shared" si="296"/>
        <v>0</v>
      </c>
      <c r="E1440" s="3">
        <f t="array" ref="E1440">INDEX($A$9:A1439, MAX(IF($D$9:D1439=1, ROW(D$9:$D1439)-ROW($D$9)+1, 0)))</f>
        <v>48113</v>
      </c>
      <c r="F1440" s="23">
        <f t="shared" si="288"/>
        <v>5.4839151266255985</v>
      </c>
      <c r="G1440" s="5">
        <f>INDEX('Default Prob'!$P$5:$P$14,MIN(1+_xlfn.IFNA(MATCH(F1440,'Default Prob'!$F$5:$F$14,1),0),COUNT('Default Prob'!$P$5:$P$14)))</f>
        <v>3.22895928960443E-2</v>
      </c>
      <c r="H1440" s="5">
        <f t="shared" si="297"/>
        <v>0.88391819728213838</v>
      </c>
      <c r="I1440" s="24">
        <f t="shared" si="298"/>
        <v>7.8145435639109806E-5</v>
      </c>
      <c r="J1440" s="25">
        <f>INDEX('Default Prob'!$C$3:$C$13, _xlfn.IFNA(MATCH(F1440, 'Default Prob'!$B$3:$B$13, 1), 1))</f>
        <v>2.1100000000000001E-2</v>
      </c>
      <c r="K1440" s="26">
        <f t="shared" si="289"/>
        <v>0.89180590368218327</v>
      </c>
      <c r="L1440" s="27">
        <f t="shared" ca="1" si="290"/>
        <v>0</v>
      </c>
      <c r="M1440" s="27">
        <f t="shared" ca="1" si="291"/>
        <v>0</v>
      </c>
      <c r="N1440" s="28">
        <f t="shared" ca="1" si="292"/>
        <v>0</v>
      </c>
      <c r="O1440" s="29">
        <f t="shared" ca="1" si="293"/>
        <v>0</v>
      </c>
      <c r="P1440" s="30">
        <f t="shared" ca="1" si="294"/>
        <v>0</v>
      </c>
    </row>
    <row r="1441" spans="1:16" x14ac:dyDescent="0.25">
      <c r="A1441" s="3">
        <f t="shared" si="295"/>
        <v>48129</v>
      </c>
      <c r="B1441" s="21">
        <f t="shared" si="286"/>
        <v>36807</v>
      </c>
      <c r="C1441" s="21">
        <f t="shared" si="287"/>
        <v>36880</v>
      </c>
      <c r="D1441" s="1">
        <f t="shared" si="296"/>
        <v>0</v>
      </c>
      <c r="E1441" s="3">
        <f t="array" ref="E1441">INDEX($A$9:A1440, MAX(IF($D$9:D1440=1, ROW(D$9:$D1440)-ROW($D$9)+1, 0)))</f>
        <v>48113</v>
      </c>
      <c r="F1441" s="23">
        <f t="shared" si="288"/>
        <v>5.4866529774127306</v>
      </c>
      <c r="G1441" s="5">
        <f>INDEX('Default Prob'!$P$5:$P$14,MIN(1+_xlfn.IFNA(MATCH(F1441,'Default Prob'!$F$5:$F$14,1),0),COUNT('Default Prob'!$P$5:$P$14)))</f>
        <v>3.22895928960443E-2</v>
      </c>
      <c r="H1441" s="5">
        <f t="shared" si="297"/>
        <v>0.88384005875456984</v>
      </c>
      <c r="I1441" s="24">
        <f t="shared" si="298"/>
        <v>7.8138527568549776E-5</v>
      </c>
      <c r="J1441" s="25">
        <f>INDEX('Default Prob'!$C$3:$C$13, _xlfn.IFNA(MATCH(F1441, 'Default Prob'!$B$3:$B$13, 1), 1))</f>
        <v>2.1100000000000001E-2</v>
      </c>
      <c r="K1441" s="26">
        <f t="shared" si="289"/>
        <v>0.89175492270773182</v>
      </c>
      <c r="L1441" s="27">
        <f t="shared" ca="1" si="290"/>
        <v>0</v>
      </c>
      <c r="M1441" s="27">
        <f t="shared" ca="1" si="291"/>
        <v>0</v>
      </c>
      <c r="N1441" s="28">
        <f t="shared" ca="1" si="292"/>
        <v>0</v>
      </c>
      <c r="O1441" s="29">
        <f t="shared" ca="1" si="293"/>
        <v>0</v>
      </c>
      <c r="P1441" s="30">
        <f t="shared" ca="1" si="294"/>
        <v>0</v>
      </c>
    </row>
    <row r="1442" spans="1:16" x14ac:dyDescent="0.25">
      <c r="A1442" s="3">
        <f t="shared" si="295"/>
        <v>48130</v>
      </c>
      <c r="B1442" s="21">
        <f t="shared" si="286"/>
        <v>36808</v>
      </c>
      <c r="C1442" s="21">
        <f t="shared" si="287"/>
        <v>36880</v>
      </c>
      <c r="D1442" s="1">
        <f t="shared" si="296"/>
        <v>0</v>
      </c>
      <c r="E1442" s="3">
        <f t="array" ref="E1442">INDEX($A$9:A1441, MAX(IF($D$9:D1441=1, ROW(D$9:$D1441)-ROW($D$9)+1, 0)))</f>
        <v>48113</v>
      </c>
      <c r="F1442" s="23">
        <f t="shared" si="288"/>
        <v>5.4893908281998627</v>
      </c>
      <c r="G1442" s="5">
        <f>INDEX('Default Prob'!$P$5:$P$14,MIN(1+_xlfn.IFNA(MATCH(F1442,'Default Prob'!$F$5:$F$14,1),0),COUNT('Default Prob'!$P$5:$P$14)))</f>
        <v>3.22895928960443E-2</v>
      </c>
      <c r="H1442" s="5">
        <f t="shared" si="297"/>
        <v>0.88376192713446111</v>
      </c>
      <c r="I1442" s="24">
        <f t="shared" si="298"/>
        <v>7.8131620108723432E-5</v>
      </c>
      <c r="J1442" s="25">
        <f>INDEX('Default Prob'!$C$3:$C$13, _xlfn.IFNA(MATCH(F1442, 'Default Prob'!$B$3:$B$13, 1), 1))</f>
        <v>2.1100000000000001E-2</v>
      </c>
      <c r="K1442" s="26">
        <f t="shared" si="289"/>
        <v>0.8917039446476589</v>
      </c>
      <c r="L1442" s="27">
        <f t="shared" ca="1" si="290"/>
        <v>0</v>
      </c>
      <c r="M1442" s="27">
        <f t="shared" ca="1" si="291"/>
        <v>0</v>
      </c>
      <c r="N1442" s="28">
        <f t="shared" ca="1" si="292"/>
        <v>0</v>
      </c>
      <c r="O1442" s="29">
        <f t="shared" ca="1" si="293"/>
        <v>0</v>
      </c>
      <c r="P1442" s="30">
        <f t="shared" ca="1" si="294"/>
        <v>0</v>
      </c>
    </row>
    <row r="1443" spans="1:16" x14ac:dyDescent="0.25">
      <c r="A1443" s="3">
        <f t="shared" si="295"/>
        <v>48131</v>
      </c>
      <c r="B1443" s="21">
        <f t="shared" si="286"/>
        <v>36809</v>
      </c>
      <c r="C1443" s="21">
        <f t="shared" si="287"/>
        <v>36880</v>
      </c>
      <c r="D1443" s="1">
        <f t="shared" si="296"/>
        <v>0</v>
      </c>
      <c r="E1443" s="3">
        <f t="array" ref="E1443">INDEX($A$9:A1442, MAX(IF($D$9:D1442=1, ROW(D$9:$D1442)-ROW($D$9)+1, 0)))</f>
        <v>48113</v>
      </c>
      <c r="F1443" s="23">
        <f t="shared" si="288"/>
        <v>5.4921286789869956</v>
      </c>
      <c r="G1443" s="5">
        <f>INDEX('Default Prob'!$P$5:$P$14,MIN(1+_xlfn.IFNA(MATCH(F1443,'Default Prob'!$F$5:$F$14,1),0),COUNT('Default Prob'!$P$5:$P$14)))</f>
        <v>3.22895928960443E-2</v>
      </c>
      <c r="H1443" s="5">
        <f t="shared" si="297"/>
        <v>0.88368380242120159</v>
      </c>
      <c r="I1443" s="24">
        <f t="shared" si="298"/>
        <v>7.8124713259519751E-5</v>
      </c>
      <c r="J1443" s="25">
        <f>INDEX('Default Prob'!$C$3:$C$13, _xlfn.IFNA(MATCH(F1443, 'Default Prob'!$B$3:$B$13, 1), 1))</f>
        <v>2.1100000000000001E-2</v>
      </c>
      <c r="K1443" s="26">
        <f t="shared" si="289"/>
        <v>0.8916529695017974</v>
      </c>
      <c r="L1443" s="27">
        <f t="shared" ca="1" si="290"/>
        <v>0</v>
      </c>
      <c r="M1443" s="27">
        <f t="shared" ca="1" si="291"/>
        <v>0</v>
      </c>
      <c r="N1443" s="28">
        <f t="shared" ca="1" si="292"/>
        <v>0</v>
      </c>
      <c r="O1443" s="29">
        <f t="shared" ca="1" si="293"/>
        <v>0</v>
      </c>
      <c r="P1443" s="30">
        <f t="shared" ca="1" si="294"/>
        <v>0</v>
      </c>
    </row>
    <row r="1444" spans="1:16" x14ac:dyDescent="0.25">
      <c r="A1444" s="3">
        <f t="shared" si="295"/>
        <v>48134</v>
      </c>
      <c r="B1444" s="21">
        <f t="shared" si="286"/>
        <v>36812</v>
      </c>
      <c r="C1444" s="21">
        <f t="shared" si="287"/>
        <v>36880</v>
      </c>
      <c r="D1444" s="1">
        <f t="shared" si="296"/>
        <v>0</v>
      </c>
      <c r="E1444" s="3">
        <f t="array" ref="E1444">INDEX($A$9:A1443, MAX(IF($D$9:D1443=1, ROW(D$9:$D1443)-ROW($D$9)+1, 0)))</f>
        <v>48113</v>
      </c>
      <c r="F1444" s="23">
        <f t="shared" si="288"/>
        <v>5.5003422313483918</v>
      </c>
      <c r="G1444" s="5">
        <f>INDEX('Default Prob'!$P$5:$P$14,MIN(1+_xlfn.IFNA(MATCH(F1444,'Default Prob'!$F$5:$F$14,1),0),COUNT('Default Prob'!$P$5:$P$14)))</f>
        <v>3.22895928960443E-2</v>
      </c>
      <c r="H1444" s="5">
        <f t="shared" si="297"/>
        <v>0.88344946971641347</v>
      </c>
      <c r="I1444" s="24">
        <f t="shared" si="298"/>
        <v>2.3433270478812052E-4</v>
      </c>
      <c r="J1444" s="25">
        <f>INDEX('Default Prob'!$C$3:$C$13, _xlfn.IFNA(MATCH(F1444, 'Default Prob'!$B$3:$B$13, 1), 1))</f>
        <v>2.1100000000000001E-2</v>
      </c>
      <c r="K1444" s="26">
        <f t="shared" si="289"/>
        <v>0.89150006154781758</v>
      </c>
      <c r="L1444" s="27">
        <f t="shared" ca="1" si="290"/>
        <v>0</v>
      </c>
      <c r="M1444" s="27">
        <f t="shared" ca="1" si="291"/>
        <v>0</v>
      </c>
      <c r="N1444" s="28">
        <f t="shared" ca="1" si="292"/>
        <v>0</v>
      </c>
      <c r="O1444" s="29">
        <f t="shared" ca="1" si="293"/>
        <v>0</v>
      </c>
      <c r="P1444" s="30">
        <f t="shared" ca="1" si="294"/>
        <v>0</v>
      </c>
    </row>
    <row r="1445" spans="1:16" x14ac:dyDescent="0.25">
      <c r="A1445" s="3">
        <f t="shared" si="295"/>
        <v>48135</v>
      </c>
      <c r="B1445" s="21">
        <f t="shared" si="286"/>
        <v>36813</v>
      </c>
      <c r="C1445" s="21">
        <f t="shared" si="287"/>
        <v>36880</v>
      </c>
      <c r="D1445" s="1">
        <f t="shared" si="296"/>
        <v>0</v>
      </c>
      <c r="E1445" s="3">
        <f t="array" ref="E1445">INDEX($A$9:A1444, MAX(IF($D$9:D1444=1, ROW(D$9:$D1444)-ROW($D$9)+1, 0)))</f>
        <v>48113</v>
      </c>
      <c r="F1445" s="23">
        <f t="shared" si="288"/>
        <v>5.5030800821355239</v>
      </c>
      <c r="G1445" s="5">
        <f>INDEX('Default Prob'!$P$5:$P$14,MIN(1+_xlfn.IFNA(MATCH(F1445,'Default Prob'!$F$5:$F$14,1),0),COUNT('Default Prob'!$P$5:$P$14)))</f>
        <v>3.22895928960443E-2</v>
      </c>
      <c r="H1445" s="5">
        <f t="shared" si="297"/>
        <v>0.88337137262444598</v>
      </c>
      <c r="I1445" s="24">
        <f t="shared" si="298"/>
        <v>7.8097091967488375E-5</v>
      </c>
      <c r="J1445" s="25">
        <f>INDEX('Default Prob'!$C$3:$C$13, _xlfn.IFNA(MATCH(F1445, 'Default Prob'!$B$3:$B$13, 1), 1))</f>
        <v>2.1100000000000001E-2</v>
      </c>
      <c r="K1445" s="26">
        <f t="shared" si="289"/>
        <v>0.8914490980571369</v>
      </c>
      <c r="L1445" s="27">
        <f t="shared" ca="1" si="290"/>
        <v>0</v>
      </c>
      <c r="M1445" s="27">
        <f t="shared" ca="1" si="291"/>
        <v>0</v>
      </c>
      <c r="N1445" s="28">
        <f t="shared" ca="1" si="292"/>
        <v>0</v>
      </c>
      <c r="O1445" s="29">
        <f t="shared" ca="1" si="293"/>
        <v>0</v>
      </c>
      <c r="P1445" s="30">
        <f t="shared" ca="1" si="294"/>
        <v>0</v>
      </c>
    </row>
    <row r="1446" spans="1:16" x14ac:dyDescent="0.25">
      <c r="A1446" s="3">
        <f t="shared" si="295"/>
        <v>48136</v>
      </c>
      <c r="B1446" s="21">
        <f t="shared" si="286"/>
        <v>36814</v>
      </c>
      <c r="C1446" s="21">
        <f t="shared" si="287"/>
        <v>36880</v>
      </c>
      <c r="D1446" s="1">
        <f t="shared" si="296"/>
        <v>0</v>
      </c>
      <c r="E1446" s="3">
        <f t="array" ref="E1446">INDEX($A$9:A1445, MAX(IF($D$9:D1445=1, ROW(D$9:$D1445)-ROW($D$9)+1, 0)))</f>
        <v>48113</v>
      </c>
      <c r="F1446" s="23">
        <f t="shared" si="288"/>
        <v>5.505817932922656</v>
      </c>
      <c r="G1446" s="5">
        <f>INDEX('Default Prob'!$P$5:$P$14,MIN(1+_xlfn.IFNA(MATCH(F1446,'Default Prob'!$F$5:$F$14,1),0),COUNT('Default Prob'!$P$5:$P$14)))</f>
        <v>3.22895928960443E-2</v>
      </c>
      <c r="H1446" s="5">
        <f t="shared" si="297"/>
        <v>0.88329328243627547</v>
      </c>
      <c r="I1446" s="24">
        <f t="shared" si="298"/>
        <v>7.8090188170509833E-5</v>
      </c>
      <c r="J1446" s="25">
        <f>INDEX('Default Prob'!$C$3:$C$13, _xlfn.IFNA(MATCH(F1446, 'Default Prob'!$B$3:$B$13, 1), 1))</f>
        <v>2.1100000000000001E-2</v>
      </c>
      <c r="K1446" s="26">
        <f t="shared" si="289"/>
        <v>0.89139813747983521</v>
      </c>
      <c r="L1446" s="27">
        <f t="shared" ca="1" si="290"/>
        <v>0</v>
      </c>
      <c r="M1446" s="27">
        <f t="shared" ca="1" si="291"/>
        <v>0</v>
      </c>
      <c r="N1446" s="28">
        <f t="shared" ca="1" si="292"/>
        <v>0</v>
      </c>
      <c r="O1446" s="29">
        <f t="shared" ca="1" si="293"/>
        <v>0</v>
      </c>
      <c r="P1446" s="30">
        <f t="shared" ca="1" si="294"/>
        <v>0</v>
      </c>
    </row>
    <row r="1447" spans="1:16" x14ac:dyDescent="0.25">
      <c r="A1447" s="3">
        <f t="shared" si="295"/>
        <v>48137</v>
      </c>
      <c r="B1447" s="21">
        <f t="shared" si="286"/>
        <v>36815</v>
      </c>
      <c r="C1447" s="21">
        <f t="shared" si="287"/>
        <v>36880</v>
      </c>
      <c r="D1447" s="1">
        <f t="shared" si="296"/>
        <v>0</v>
      </c>
      <c r="E1447" s="3">
        <f t="array" ref="E1447">INDEX($A$9:A1446, MAX(IF($D$9:D1446=1, ROW(D$9:$D1446)-ROW($D$9)+1, 0)))</f>
        <v>48113</v>
      </c>
      <c r="F1447" s="23">
        <f t="shared" si="288"/>
        <v>5.508555783709788</v>
      </c>
      <c r="G1447" s="5">
        <f>INDEX('Default Prob'!$P$5:$P$14,MIN(1+_xlfn.IFNA(MATCH(F1447,'Default Prob'!$F$5:$F$14,1),0),COUNT('Default Prob'!$P$5:$P$14)))</f>
        <v>3.22895928960443E-2</v>
      </c>
      <c r="H1447" s="5">
        <f t="shared" si="297"/>
        <v>0.88321519915129165</v>
      </c>
      <c r="I1447" s="24">
        <f t="shared" si="298"/>
        <v>7.8083284983820889E-5</v>
      </c>
      <c r="J1447" s="25">
        <f>INDEX('Default Prob'!$C$3:$C$13, _xlfn.IFNA(MATCH(F1447, 'Default Prob'!$B$3:$B$13, 1), 1))</f>
        <v>2.1100000000000001E-2</v>
      </c>
      <c r="K1447" s="26">
        <f t="shared" si="289"/>
        <v>0.89134717981574574</v>
      </c>
      <c r="L1447" s="27">
        <f t="shared" ca="1" si="290"/>
        <v>0</v>
      </c>
      <c r="M1447" s="27">
        <f t="shared" ca="1" si="291"/>
        <v>0</v>
      </c>
      <c r="N1447" s="28">
        <f t="shared" ca="1" si="292"/>
        <v>0</v>
      </c>
      <c r="O1447" s="29">
        <f t="shared" ca="1" si="293"/>
        <v>0</v>
      </c>
      <c r="P1447" s="30">
        <f t="shared" ca="1" si="294"/>
        <v>0</v>
      </c>
    </row>
    <row r="1448" spans="1:16" x14ac:dyDescent="0.25">
      <c r="A1448" s="3">
        <f t="shared" si="295"/>
        <v>48138</v>
      </c>
      <c r="B1448" s="21">
        <f t="shared" si="286"/>
        <v>36816</v>
      </c>
      <c r="C1448" s="21">
        <f t="shared" si="287"/>
        <v>36880</v>
      </c>
      <c r="D1448" s="1">
        <f t="shared" si="296"/>
        <v>0</v>
      </c>
      <c r="E1448" s="3">
        <f t="array" ref="E1448">INDEX($A$9:A1447, MAX(IF($D$9:D1447=1, ROW(D$9:$D1447)-ROW($D$9)+1, 0)))</f>
        <v>48113</v>
      </c>
      <c r="F1448" s="23">
        <f t="shared" si="288"/>
        <v>5.5112936344969201</v>
      </c>
      <c r="G1448" s="5">
        <f>INDEX('Default Prob'!$P$5:$P$14,MIN(1+_xlfn.IFNA(MATCH(F1448,'Default Prob'!$F$5:$F$14,1),0),COUNT('Default Prob'!$P$5:$P$14)))</f>
        <v>3.22895928960443E-2</v>
      </c>
      <c r="H1448" s="5">
        <f t="shared" si="297"/>
        <v>0.88313712276888423</v>
      </c>
      <c r="I1448" s="24">
        <f t="shared" si="298"/>
        <v>7.8076382407421541E-5</v>
      </c>
      <c r="J1448" s="25">
        <f>INDEX('Default Prob'!$C$3:$C$13, _xlfn.IFNA(MATCH(F1448, 'Default Prob'!$B$3:$B$13, 1), 1))</f>
        <v>2.1100000000000001E-2</v>
      </c>
      <c r="K1448" s="26">
        <f t="shared" si="289"/>
        <v>0.89129622506470207</v>
      </c>
      <c r="L1448" s="27">
        <f t="shared" ca="1" si="290"/>
        <v>0</v>
      </c>
      <c r="M1448" s="27">
        <f t="shared" ca="1" si="291"/>
        <v>0</v>
      </c>
      <c r="N1448" s="28">
        <f t="shared" ca="1" si="292"/>
        <v>0</v>
      </c>
      <c r="O1448" s="29">
        <f t="shared" ca="1" si="293"/>
        <v>0</v>
      </c>
      <c r="P1448" s="30">
        <f t="shared" ca="1" si="294"/>
        <v>0</v>
      </c>
    </row>
    <row r="1449" spans="1:16" x14ac:dyDescent="0.25">
      <c r="A1449" s="3">
        <f t="shared" si="295"/>
        <v>48141</v>
      </c>
      <c r="B1449" s="21">
        <f t="shared" si="286"/>
        <v>36819</v>
      </c>
      <c r="C1449" s="21">
        <f t="shared" si="287"/>
        <v>36880</v>
      </c>
      <c r="D1449" s="1">
        <f t="shared" si="296"/>
        <v>0</v>
      </c>
      <c r="E1449" s="3">
        <f t="array" ref="E1449">INDEX($A$9:A1448, MAX(IF($D$9:D1448=1, ROW(D$9:$D1448)-ROW($D$9)+1, 0)))</f>
        <v>48113</v>
      </c>
      <c r="F1449" s="23">
        <f t="shared" si="288"/>
        <v>5.5195071868583163</v>
      </c>
      <c r="G1449" s="5">
        <f>INDEX('Default Prob'!$P$5:$P$14,MIN(1+_xlfn.IFNA(MATCH(F1449,'Default Prob'!$F$5:$F$14,1),0),COUNT('Default Prob'!$P$5:$P$14)))</f>
        <v>3.22895928960443E-2</v>
      </c>
      <c r="H1449" s="5">
        <f t="shared" si="297"/>
        <v>0.88290293503101891</v>
      </c>
      <c r="I1449" s="24">
        <f t="shared" si="298"/>
        <v>2.3418773786532121E-4</v>
      </c>
      <c r="J1449" s="25">
        <f>INDEX('Default Prob'!$C$3:$C$13, _xlfn.IFNA(MATCH(F1449, 'Default Prob'!$B$3:$B$13, 1), 1))</f>
        <v>2.1100000000000001E-2</v>
      </c>
      <c r="K1449" s="26">
        <f t="shared" si="289"/>
        <v>0.89114337828817991</v>
      </c>
      <c r="L1449" s="27">
        <f t="shared" ca="1" si="290"/>
        <v>0</v>
      </c>
      <c r="M1449" s="27">
        <f t="shared" ca="1" si="291"/>
        <v>0</v>
      </c>
      <c r="N1449" s="28">
        <f t="shared" ca="1" si="292"/>
        <v>0</v>
      </c>
      <c r="O1449" s="29">
        <f t="shared" ca="1" si="293"/>
        <v>0</v>
      </c>
      <c r="P1449" s="30">
        <f t="shared" ca="1" si="294"/>
        <v>0</v>
      </c>
    </row>
    <row r="1450" spans="1:16" x14ac:dyDescent="0.25">
      <c r="A1450" s="3">
        <f t="shared" si="295"/>
        <v>48142</v>
      </c>
      <c r="B1450" s="21">
        <f t="shared" si="286"/>
        <v>36820</v>
      </c>
      <c r="C1450" s="21">
        <f t="shared" si="287"/>
        <v>36880</v>
      </c>
      <c r="D1450" s="1">
        <f t="shared" si="296"/>
        <v>0</v>
      </c>
      <c r="E1450" s="3">
        <f t="array" ref="E1450">INDEX($A$9:A1449, MAX(IF($D$9:D1449=1, ROW(D$9:$D1449)-ROW($D$9)+1, 0)))</f>
        <v>48113</v>
      </c>
      <c r="F1450" s="23">
        <f t="shared" si="288"/>
        <v>5.5222450376454484</v>
      </c>
      <c r="G1450" s="5">
        <f>INDEX('Default Prob'!$P$5:$P$14,MIN(1+_xlfn.IFNA(MATCH(F1450,'Default Prob'!$F$5:$F$14,1),0),COUNT('Default Prob'!$P$5:$P$14)))</f>
        <v>3.22895928960443E-2</v>
      </c>
      <c r="H1450" s="5">
        <f t="shared" si="297"/>
        <v>0.88282488625281585</v>
      </c>
      <c r="I1450" s="24">
        <f t="shared" si="298"/>
        <v>7.8048778203054781E-5</v>
      </c>
      <c r="J1450" s="25">
        <f>INDEX('Default Prob'!$C$3:$C$13, _xlfn.IFNA(MATCH(F1450, 'Default Prob'!$B$3:$B$13, 1), 1))</f>
        <v>2.1100000000000001E-2</v>
      </c>
      <c r="K1450" s="26">
        <f t="shared" si="289"/>
        <v>0.8910924351876538</v>
      </c>
      <c r="L1450" s="27">
        <f t="shared" ca="1" si="290"/>
        <v>0</v>
      </c>
      <c r="M1450" s="27">
        <f t="shared" ca="1" si="291"/>
        <v>0</v>
      </c>
      <c r="N1450" s="28">
        <f t="shared" ca="1" si="292"/>
        <v>0</v>
      </c>
      <c r="O1450" s="29">
        <f t="shared" ca="1" si="293"/>
        <v>0</v>
      </c>
      <c r="P1450" s="30">
        <f t="shared" ca="1" si="294"/>
        <v>0</v>
      </c>
    </row>
    <row r="1451" spans="1:16" x14ac:dyDescent="0.25">
      <c r="A1451" s="3">
        <f t="shared" si="295"/>
        <v>48143</v>
      </c>
      <c r="B1451" s="21">
        <f t="shared" si="286"/>
        <v>36821</v>
      </c>
      <c r="C1451" s="21">
        <f t="shared" si="287"/>
        <v>36880</v>
      </c>
      <c r="D1451" s="1">
        <f t="shared" si="296"/>
        <v>0</v>
      </c>
      <c r="E1451" s="3">
        <f t="array" ref="E1451">INDEX($A$9:A1450, MAX(IF($D$9:D1450=1, ROW(D$9:$D1450)-ROW($D$9)+1, 0)))</f>
        <v>48113</v>
      </c>
      <c r="F1451" s="23">
        <f t="shared" si="288"/>
        <v>5.5249828884325805</v>
      </c>
      <c r="G1451" s="5">
        <f>INDEX('Default Prob'!$P$5:$P$14,MIN(1+_xlfn.IFNA(MATCH(F1451,'Default Prob'!$F$5:$F$14,1),0),COUNT('Default Prob'!$P$5:$P$14)))</f>
        <v>3.22895928960443E-2</v>
      </c>
      <c r="H1451" s="5">
        <f t="shared" si="297"/>
        <v>0.88274684437413886</v>
      </c>
      <c r="I1451" s="24">
        <f t="shared" si="298"/>
        <v>7.8041878676993193E-5</v>
      </c>
      <c r="J1451" s="25">
        <f>INDEX('Default Prob'!$C$3:$C$13, _xlfn.IFNA(MATCH(F1451, 'Default Prob'!$B$3:$B$13, 1), 1))</f>
        <v>2.1100000000000001E-2</v>
      </c>
      <c r="K1451" s="26">
        <f t="shared" si="289"/>
        <v>0.89104149499934093</v>
      </c>
      <c r="L1451" s="27">
        <f t="shared" ca="1" si="290"/>
        <v>0</v>
      </c>
      <c r="M1451" s="27">
        <f t="shared" ca="1" si="291"/>
        <v>0</v>
      </c>
      <c r="N1451" s="28">
        <f t="shared" ca="1" si="292"/>
        <v>0</v>
      </c>
      <c r="O1451" s="29">
        <f t="shared" ca="1" si="293"/>
        <v>0</v>
      </c>
      <c r="P1451" s="30">
        <f t="shared" ca="1" si="294"/>
        <v>0</v>
      </c>
    </row>
    <row r="1452" spans="1:16" x14ac:dyDescent="0.25">
      <c r="A1452" s="3">
        <f t="shared" si="295"/>
        <v>48144</v>
      </c>
      <c r="B1452" s="21">
        <f t="shared" si="286"/>
        <v>36822</v>
      </c>
      <c r="C1452" s="21">
        <f t="shared" si="287"/>
        <v>36880</v>
      </c>
      <c r="D1452" s="1">
        <f t="shared" si="296"/>
        <v>0</v>
      </c>
      <c r="E1452" s="3">
        <f t="array" ref="E1452">INDEX($A$9:A1451, MAX(IF($D$9:D1451=1, ROW(D$9:$D1451)-ROW($D$9)+1, 0)))</f>
        <v>48113</v>
      </c>
      <c r="F1452" s="23">
        <f t="shared" si="288"/>
        <v>5.5277207392197125</v>
      </c>
      <c r="G1452" s="5">
        <f>INDEX('Default Prob'!$P$5:$P$14,MIN(1+_xlfn.IFNA(MATCH(F1452,'Default Prob'!$F$5:$F$14,1),0),COUNT('Default Prob'!$P$5:$P$14)))</f>
        <v>3.22895928960443E-2</v>
      </c>
      <c r="H1452" s="5">
        <f t="shared" si="297"/>
        <v>0.88266880939437797</v>
      </c>
      <c r="I1452" s="24">
        <f t="shared" si="298"/>
        <v>7.8034979760888135E-5</v>
      </c>
      <c r="J1452" s="25">
        <f>INDEX('Default Prob'!$C$3:$C$13, _xlfn.IFNA(MATCH(F1452, 'Default Prob'!$B$3:$B$13, 1), 1))</f>
        <v>2.1100000000000001E-2</v>
      </c>
      <c r="K1452" s="26">
        <f t="shared" si="289"/>
        <v>0.89099055772307489</v>
      </c>
      <c r="L1452" s="27">
        <f t="shared" ca="1" si="290"/>
        <v>0</v>
      </c>
      <c r="M1452" s="27">
        <f t="shared" ca="1" si="291"/>
        <v>0</v>
      </c>
      <c r="N1452" s="28">
        <f t="shared" ca="1" si="292"/>
        <v>0</v>
      </c>
      <c r="O1452" s="29">
        <f t="shared" ca="1" si="293"/>
        <v>0</v>
      </c>
      <c r="P1452" s="30">
        <f t="shared" ca="1" si="294"/>
        <v>0</v>
      </c>
    </row>
    <row r="1453" spans="1:16" x14ac:dyDescent="0.25">
      <c r="A1453" s="3">
        <f t="shared" si="295"/>
        <v>48145</v>
      </c>
      <c r="B1453" s="21">
        <f t="shared" si="286"/>
        <v>36823</v>
      </c>
      <c r="C1453" s="21">
        <f t="shared" si="287"/>
        <v>36880</v>
      </c>
      <c r="D1453" s="1">
        <f t="shared" si="296"/>
        <v>0</v>
      </c>
      <c r="E1453" s="3">
        <f t="array" ref="E1453">INDEX($A$9:A1452, MAX(IF($D$9:D1452=1, ROW(D$9:$D1452)-ROW($D$9)+1, 0)))</f>
        <v>48113</v>
      </c>
      <c r="F1453" s="23">
        <f t="shared" si="288"/>
        <v>5.5304585900068446</v>
      </c>
      <c r="G1453" s="5">
        <f>INDEX('Default Prob'!$P$5:$P$14,MIN(1+_xlfn.IFNA(MATCH(F1453,'Default Prob'!$F$5:$F$14,1),0),COUNT('Default Prob'!$P$5:$P$14)))</f>
        <v>3.22895928960443E-2</v>
      </c>
      <c r="H1453" s="5">
        <f t="shared" si="297"/>
        <v>0.88259078131292334</v>
      </c>
      <c r="I1453" s="24">
        <f t="shared" si="298"/>
        <v>7.8028081454628584E-5</v>
      </c>
      <c r="J1453" s="25">
        <f>INDEX('Default Prob'!$C$3:$C$13, _xlfn.IFNA(MATCH(F1453, 'Default Prob'!$B$3:$B$13, 1), 1))</f>
        <v>2.1100000000000001E-2</v>
      </c>
      <c r="K1453" s="26">
        <f t="shared" si="289"/>
        <v>0.89093962335868893</v>
      </c>
      <c r="L1453" s="27">
        <f t="shared" ca="1" si="290"/>
        <v>0</v>
      </c>
      <c r="M1453" s="27">
        <f t="shared" ca="1" si="291"/>
        <v>0</v>
      </c>
      <c r="N1453" s="28">
        <f t="shared" ca="1" si="292"/>
        <v>0</v>
      </c>
      <c r="O1453" s="29">
        <f t="shared" ca="1" si="293"/>
        <v>0</v>
      </c>
      <c r="P1453" s="30">
        <f t="shared" ca="1" si="294"/>
        <v>0</v>
      </c>
    </row>
    <row r="1454" spans="1:16" x14ac:dyDescent="0.25">
      <c r="A1454" s="3">
        <f t="shared" si="295"/>
        <v>48148</v>
      </c>
      <c r="B1454" s="21">
        <f t="shared" si="286"/>
        <v>36826</v>
      </c>
      <c r="C1454" s="21">
        <f t="shared" si="287"/>
        <v>36880</v>
      </c>
      <c r="D1454" s="1">
        <f t="shared" si="296"/>
        <v>0</v>
      </c>
      <c r="E1454" s="3">
        <f t="array" ref="E1454">INDEX($A$9:A1453, MAX(IF($D$9:D1453=1, ROW(D$9:$D1453)-ROW($D$9)+1, 0)))</f>
        <v>48113</v>
      </c>
      <c r="F1454" s="23">
        <f t="shared" si="288"/>
        <v>5.5386721423682408</v>
      </c>
      <c r="G1454" s="5">
        <f>INDEX('Default Prob'!$P$5:$P$14,MIN(1+_xlfn.IFNA(MATCH(F1454,'Default Prob'!$F$5:$F$14,1),0),COUNT('Default Prob'!$P$5:$P$14)))</f>
        <v>3.22895928960443E-2</v>
      </c>
      <c r="H1454" s="5">
        <f t="shared" si="297"/>
        <v>0.88235673845229889</v>
      </c>
      <c r="I1454" s="24">
        <f t="shared" si="298"/>
        <v>2.3404286062445046E-4</v>
      </c>
      <c r="J1454" s="25">
        <f>INDEX('Default Prob'!$C$3:$C$13, _xlfn.IFNA(MATCH(F1454, 'Default Prob'!$B$3:$B$13, 1), 1))</f>
        <v>2.1100000000000001E-2</v>
      </c>
      <c r="K1454" s="26">
        <f t="shared" si="289"/>
        <v>0.890786837735148</v>
      </c>
      <c r="L1454" s="27">
        <f t="shared" ca="1" si="290"/>
        <v>0</v>
      </c>
      <c r="M1454" s="27">
        <f t="shared" ca="1" si="291"/>
        <v>0</v>
      </c>
      <c r="N1454" s="28">
        <f t="shared" ca="1" si="292"/>
        <v>0</v>
      </c>
      <c r="O1454" s="29">
        <f t="shared" ca="1" si="293"/>
        <v>0</v>
      </c>
      <c r="P1454" s="30">
        <f t="shared" ca="1" si="294"/>
        <v>0</v>
      </c>
    </row>
    <row r="1455" spans="1:16" x14ac:dyDescent="0.25">
      <c r="A1455" s="3">
        <f t="shared" si="295"/>
        <v>48149</v>
      </c>
      <c r="B1455" s="21">
        <f t="shared" si="286"/>
        <v>36827</v>
      </c>
      <c r="C1455" s="21">
        <f t="shared" si="287"/>
        <v>36880</v>
      </c>
      <c r="D1455" s="1">
        <f t="shared" si="296"/>
        <v>0</v>
      </c>
      <c r="E1455" s="3">
        <f t="array" ref="E1455">INDEX($A$9:A1454, MAX(IF($D$9:D1454=1, ROW(D$9:$D1454)-ROW($D$9)+1, 0)))</f>
        <v>48113</v>
      </c>
      <c r="F1455" s="23">
        <f t="shared" si="288"/>
        <v>5.5414099931553729</v>
      </c>
      <c r="G1455" s="5">
        <f>INDEX('Default Prob'!$P$5:$P$14,MIN(1+_xlfn.IFNA(MATCH(F1455,'Default Prob'!$F$5:$F$14,1),0),COUNT('Default Prob'!$P$5:$P$14)))</f>
        <v>3.22895928960443E-2</v>
      </c>
      <c r="H1455" s="5">
        <f t="shared" si="297"/>
        <v>0.88227873795797163</v>
      </c>
      <c r="I1455" s="24">
        <f t="shared" si="298"/>
        <v>7.8000494327268299E-5</v>
      </c>
      <c r="J1455" s="25">
        <f>INDEX('Default Prob'!$C$3:$C$13, _xlfn.IFNA(MATCH(F1455, 'Default Prob'!$B$3:$B$13, 1), 1))</f>
        <v>2.1100000000000001E-2</v>
      </c>
      <c r="K1455" s="26">
        <f t="shared" si="289"/>
        <v>0.89073591501661842</v>
      </c>
      <c r="L1455" s="27">
        <f t="shared" ca="1" si="290"/>
        <v>0</v>
      </c>
      <c r="M1455" s="27">
        <f t="shared" ca="1" si="291"/>
        <v>0</v>
      </c>
      <c r="N1455" s="28">
        <f t="shared" ca="1" si="292"/>
        <v>0</v>
      </c>
      <c r="O1455" s="29">
        <f t="shared" ca="1" si="293"/>
        <v>0</v>
      </c>
      <c r="P1455" s="30">
        <f t="shared" ca="1" si="294"/>
        <v>0</v>
      </c>
    </row>
    <row r="1456" spans="1:16" x14ac:dyDescent="0.25">
      <c r="A1456" s="3">
        <f t="shared" si="295"/>
        <v>48150</v>
      </c>
      <c r="B1456" s="21">
        <f t="shared" si="286"/>
        <v>36828</v>
      </c>
      <c r="C1456" s="21">
        <f t="shared" si="287"/>
        <v>36880</v>
      </c>
      <c r="D1456" s="1">
        <f t="shared" si="296"/>
        <v>0</v>
      </c>
      <c r="E1456" s="3">
        <f t="array" ref="E1456">INDEX($A$9:A1455, MAX(IF($D$9:D1455=1, ROW(D$9:$D1455)-ROW($D$9)+1, 0)))</f>
        <v>48113</v>
      </c>
      <c r="F1456" s="23">
        <f t="shared" si="288"/>
        <v>5.5441478439425049</v>
      </c>
      <c r="G1456" s="5">
        <f>INDEX('Default Prob'!$P$5:$P$14,MIN(1+_xlfn.IFNA(MATCH(F1456,'Default Prob'!$F$5:$F$14,1),0),COUNT('Default Prob'!$P$5:$P$14)))</f>
        <v>3.22895928960443E-2</v>
      </c>
      <c r="H1456" s="5">
        <f t="shared" si="297"/>
        <v>0.88220074435890206</v>
      </c>
      <c r="I1456" s="24">
        <f t="shared" si="298"/>
        <v>7.7993599069570152E-5</v>
      </c>
      <c r="J1456" s="25">
        <f>INDEX('Default Prob'!$C$3:$C$13, _xlfn.IFNA(MATCH(F1456, 'Default Prob'!$B$3:$B$13, 1), 1))</f>
        <v>2.1100000000000001E-2</v>
      </c>
      <c r="K1456" s="26">
        <f t="shared" si="289"/>
        <v>0.89068499520913702</v>
      </c>
      <c r="L1456" s="27">
        <f t="shared" ca="1" si="290"/>
        <v>0</v>
      </c>
      <c r="M1456" s="27">
        <f t="shared" ca="1" si="291"/>
        <v>0</v>
      </c>
      <c r="N1456" s="28">
        <f t="shared" ca="1" si="292"/>
        <v>0</v>
      </c>
      <c r="O1456" s="29">
        <f t="shared" ca="1" si="293"/>
        <v>0</v>
      </c>
      <c r="P1456" s="30">
        <f t="shared" ca="1" si="294"/>
        <v>0</v>
      </c>
    </row>
    <row r="1457" spans="1:16" x14ac:dyDescent="0.25">
      <c r="A1457" s="3">
        <f t="shared" si="295"/>
        <v>48151</v>
      </c>
      <c r="B1457" s="21">
        <f t="shared" si="286"/>
        <v>36829</v>
      </c>
      <c r="C1457" s="21">
        <f t="shared" si="287"/>
        <v>36880</v>
      </c>
      <c r="D1457" s="1">
        <f t="shared" si="296"/>
        <v>0</v>
      </c>
      <c r="E1457" s="3">
        <f t="array" ref="E1457">INDEX($A$9:A1456, MAX(IF($D$9:D1456=1, ROW(D$9:$D1456)-ROW($D$9)+1, 0)))</f>
        <v>48113</v>
      </c>
      <c r="F1457" s="23">
        <f t="shared" si="288"/>
        <v>5.546885694729637</v>
      </c>
      <c r="G1457" s="5">
        <f>INDEX('Default Prob'!$P$5:$P$14,MIN(1+_xlfn.IFNA(MATCH(F1457,'Default Prob'!$F$5:$F$14,1),0),COUNT('Default Prob'!$P$5:$P$14)))</f>
        <v>3.22895928960443E-2</v>
      </c>
      <c r="H1457" s="5">
        <f t="shared" si="297"/>
        <v>0.88212275765448067</v>
      </c>
      <c r="I1457" s="24">
        <f t="shared" si="298"/>
        <v>7.7986704421384445E-5</v>
      </c>
      <c r="J1457" s="25">
        <f>INDEX('Default Prob'!$C$3:$C$13, _xlfn.IFNA(MATCH(F1457, 'Default Prob'!$B$3:$B$13, 1), 1))</f>
        <v>2.1100000000000001E-2</v>
      </c>
      <c r="K1457" s="26">
        <f t="shared" si="289"/>
        <v>0.89063407831253705</v>
      </c>
      <c r="L1457" s="27">
        <f t="shared" ca="1" si="290"/>
        <v>0</v>
      </c>
      <c r="M1457" s="27">
        <f t="shared" ca="1" si="291"/>
        <v>0</v>
      </c>
      <c r="N1457" s="28">
        <f t="shared" ca="1" si="292"/>
        <v>0</v>
      </c>
      <c r="O1457" s="29">
        <f t="shared" ca="1" si="293"/>
        <v>0</v>
      </c>
      <c r="P1457" s="30">
        <f t="shared" ca="1" si="294"/>
        <v>0</v>
      </c>
    </row>
    <row r="1458" spans="1:16" x14ac:dyDescent="0.25">
      <c r="A1458" s="3">
        <f t="shared" si="295"/>
        <v>48152</v>
      </c>
      <c r="B1458" s="21">
        <f t="shared" si="286"/>
        <v>36830</v>
      </c>
      <c r="C1458" s="21">
        <f t="shared" si="287"/>
        <v>36880</v>
      </c>
      <c r="D1458" s="1">
        <f t="shared" si="296"/>
        <v>0</v>
      </c>
      <c r="E1458" s="3">
        <f t="array" ref="E1458">INDEX($A$9:A1457, MAX(IF($D$9:D1457=1, ROW(D$9:$D1457)-ROW($D$9)+1, 0)))</f>
        <v>48113</v>
      </c>
      <c r="F1458" s="23">
        <f t="shared" si="288"/>
        <v>5.5496235455167691</v>
      </c>
      <c r="G1458" s="5">
        <f>INDEX('Default Prob'!$P$5:$P$14,MIN(1+_xlfn.IFNA(MATCH(F1458,'Default Prob'!$F$5:$F$14,1),0),COUNT('Default Prob'!$P$5:$P$14)))</f>
        <v>3.22895928960443E-2</v>
      </c>
      <c r="H1458" s="5">
        <f t="shared" si="297"/>
        <v>0.88204477784409796</v>
      </c>
      <c r="I1458" s="24">
        <f t="shared" si="298"/>
        <v>7.7979810382711179E-5</v>
      </c>
      <c r="J1458" s="25">
        <f>INDEX('Default Prob'!$C$3:$C$13, _xlfn.IFNA(MATCH(F1458, 'Default Prob'!$B$3:$B$13, 1), 1))</f>
        <v>2.1100000000000001E-2</v>
      </c>
      <c r="K1458" s="26">
        <f t="shared" si="289"/>
        <v>0.8905831643266523</v>
      </c>
      <c r="L1458" s="27">
        <f t="shared" ca="1" si="290"/>
        <v>0</v>
      </c>
      <c r="M1458" s="27">
        <f t="shared" ca="1" si="291"/>
        <v>0</v>
      </c>
      <c r="N1458" s="28">
        <f t="shared" ca="1" si="292"/>
        <v>0</v>
      </c>
      <c r="O1458" s="29">
        <f t="shared" ca="1" si="293"/>
        <v>0</v>
      </c>
      <c r="P1458" s="30">
        <f t="shared" ca="1" si="294"/>
        <v>0</v>
      </c>
    </row>
    <row r="1459" spans="1:16" x14ac:dyDescent="0.25">
      <c r="A1459" s="3">
        <f t="shared" si="295"/>
        <v>48155</v>
      </c>
      <c r="B1459" s="21">
        <f t="shared" si="286"/>
        <v>36833</v>
      </c>
      <c r="C1459" s="21">
        <f t="shared" si="287"/>
        <v>36880</v>
      </c>
      <c r="D1459" s="1">
        <f t="shared" si="296"/>
        <v>0</v>
      </c>
      <c r="E1459" s="3">
        <f t="array" ref="E1459">INDEX($A$9:A1458, MAX(IF($D$9:D1458=1, ROW(D$9:$D1458)-ROW($D$9)+1, 0)))</f>
        <v>48113</v>
      </c>
      <c r="F1459" s="23">
        <f t="shared" si="288"/>
        <v>5.5578370978781653</v>
      </c>
      <c r="G1459" s="5">
        <f>INDEX('Default Prob'!$P$5:$P$14,MIN(1+_xlfn.IFNA(MATCH(F1459,'Default Prob'!$F$5:$F$14,1),0),COUNT('Default Prob'!$P$5:$P$14)))</f>
        <v>3.22895928960443E-2</v>
      </c>
      <c r="H1459" s="5">
        <f t="shared" si="297"/>
        <v>0.88181087977108796</v>
      </c>
      <c r="I1459" s="24">
        <f t="shared" si="298"/>
        <v>2.338980730099971E-4</v>
      </c>
      <c r="J1459" s="25">
        <f>INDEX('Default Prob'!$C$3:$C$13, _xlfn.IFNA(MATCH(F1459, 'Default Prob'!$B$3:$B$13, 1), 1))</f>
        <v>2.1100000000000001E-2</v>
      </c>
      <c r="K1459" s="26">
        <f t="shared" si="289"/>
        <v>0.89043043983162562</v>
      </c>
      <c r="L1459" s="27">
        <f t="shared" ca="1" si="290"/>
        <v>0</v>
      </c>
      <c r="M1459" s="27">
        <f t="shared" ca="1" si="291"/>
        <v>0</v>
      </c>
      <c r="N1459" s="28">
        <f t="shared" ca="1" si="292"/>
        <v>0</v>
      </c>
      <c r="O1459" s="29">
        <f t="shared" ca="1" si="293"/>
        <v>0</v>
      </c>
      <c r="P1459" s="30">
        <f t="shared" ca="1" si="294"/>
        <v>0</v>
      </c>
    </row>
    <row r="1460" spans="1:16" x14ac:dyDescent="0.25">
      <c r="A1460" s="3">
        <f t="shared" si="295"/>
        <v>48156</v>
      </c>
      <c r="B1460" s="21">
        <f t="shared" si="286"/>
        <v>36834</v>
      </c>
      <c r="C1460" s="21">
        <f t="shared" si="287"/>
        <v>36880</v>
      </c>
      <c r="D1460" s="1">
        <f t="shared" si="296"/>
        <v>0</v>
      </c>
      <c r="E1460" s="3">
        <f t="array" ref="E1460">INDEX($A$9:A1459, MAX(IF($D$9:D1459=1, ROW(D$9:$D1459)-ROW($D$9)+1, 0)))</f>
        <v>48113</v>
      </c>
      <c r="F1460" s="23">
        <f t="shared" si="288"/>
        <v>5.5605749486652973</v>
      </c>
      <c r="G1460" s="5">
        <f>INDEX('Default Prob'!$P$5:$P$14,MIN(1+_xlfn.IFNA(MATCH(F1460,'Default Prob'!$F$5:$F$14,1),0),COUNT('Default Prob'!$P$5:$P$14)))</f>
        <v>3.22895928960443E-2</v>
      </c>
      <c r="H1460" s="5">
        <f t="shared" si="297"/>
        <v>0.88173292753076626</v>
      </c>
      <c r="I1460" s="24">
        <f t="shared" si="298"/>
        <v>7.7952240321699229E-5</v>
      </c>
      <c r="J1460" s="25">
        <f>INDEX('Default Prob'!$C$3:$C$13, _xlfn.IFNA(MATCH(F1460, 'Default Prob'!$B$3:$B$13, 1), 1))</f>
        <v>2.1100000000000001E-2</v>
      </c>
      <c r="K1460" s="26">
        <f t="shared" si="289"/>
        <v>0.89037953748693788</v>
      </c>
      <c r="L1460" s="27">
        <f t="shared" ca="1" si="290"/>
        <v>0</v>
      </c>
      <c r="M1460" s="27">
        <f t="shared" ca="1" si="291"/>
        <v>0</v>
      </c>
      <c r="N1460" s="28">
        <f t="shared" ca="1" si="292"/>
        <v>0</v>
      </c>
      <c r="O1460" s="29">
        <f t="shared" ca="1" si="293"/>
        <v>0</v>
      </c>
      <c r="P1460" s="30">
        <f t="shared" ca="1" si="294"/>
        <v>0</v>
      </c>
    </row>
    <row r="1461" spans="1:16" x14ac:dyDescent="0.25">
      <c r="A1461" s="3">
        <f t="shared" si="295"/>
        <v>48157</v>
      </c>
      <c r="B1461" s="21">
        <f t="shared" si="286"/>
        <v>36835</v>
      </c>
      <c r="C1461" s="21">
        <f t="shared" si="287"/>
        <v>36880</v>
      </c>
      <c r="D1461" s="1">
        <f t="shared" si="296"/>
        <v>0</v>
      </c>
      <c r="E1461" s="3">
        <f t="array" ref="E1461">INDEX($A$9:A1460, MAX(IF($D$9:D1460=1, ROW(D$9:$D1460)-ROW($D$9)+1, 0)))</f>
        <v>48113</v>
      </c>
      <c r="F1461" s="23">
        <f t="shared" si="288"/>
        <v>5.5633127994524294</v>
      </c>
      <c r="G1461" s="5">
        <f>INDEX('Default Prob'!$P$5:$P$14,MIN(1+_xlfn.IFNA(MATCH(F1461,'Default Prob'!$F$5:$F$14,1),0),COUNT('Default Prob'!$P$5:$P$14)))</f>
        <v>3.22895928960443E-2</v>
      </c>
      <c r="H1461" s="5">
        <f t="shared" si="297"/>
        <v>0.88165498218143667</v>
      </c>
      <c r="I1461" s="24">
        <f t="shared" si="298"/>
        <v>7.7945349329588964E-5</v>
      </c>
      <c r="J1461" s="25">
        <f>INDEX('Default Prob'!$C$3:$C$13, _xlfn.IFNA(MATCH(F1461, 'Default Prob'!$B$3:$B$13, 1), 1))</f>
        <v>2.1100000000000001E-2</v>
      </c>
      <c r="K1461" s="26">
        <f t="shared" si="289"/>
        <v>0.89032863805213369</v>
      </c>
      <c r="L1461" s="27">
        <f t="shared" ca="1" si="290"/>
        <v>0</v>
      </c>
      <c r="M1461" s="27">
        <f t="shared" ca="1" si="291"/>
        <v>0</v>
      </c>
      <c r="N1461" s="28">
        <f t="shared" ca="1" si="292"/>
        <v>0</v>
      </c>
      <c r="O1461" s="29">
        <f t="shared" ca="1" si="293"/>
        <v>0</v>
      </c>
      <c r="P1461" s="30">
        <f t="shared" ca="1" si="294"/>
        <v>0</v>
      </c>
    </row>
    <row r="1462" spans="1:16" x14ac:dyDescent="0.25">
      <c r="A1462" s="3">
        <f t="shared" si="295"/>
        <v>48158</v>
      </c>
      <c r="B1462" s="21">
        <f t="shared" si="286"/>
        <v>36836</v>
      </c>
      <c r="C1462" s="21">
        <f t="shared" si="287"/>
        <v>36880</v>
      </c>
      <c r="D1462" s="1">
        <f t="shared" si="296"/>
        <v>0</v>
      </c>
      <c r="E1462" s="3">
        <f t="array" ref="E1462">INDEX($A$9:A1461, MAX(IF($D$9:D1461=1, ROW(D$9:$D1461)-ROW($D$9)+1, 0)))</f>
        <v>48113</v>
      </c>
      <c r="F1462" s="23">
        <f t="shared" si="288"/>
        <v>5.5660506502395624</v>
      </c>
      <c r="G1462" s="5">
        <f>INDEX('Default Prob'!$P$5:$P$14,MIN(1+_xlfn.IFNA(MATCH(F1462,'Default Prob'!$F$5:$F$14,1),0),COUNT('Default Prob'!$P$5:$P$14)))</f>
        <v>3.22895928960443E-2</v>
      </c>
      <c r="H1462" s="5">
        <f t="shared" si="297"/>
        <v>0.88157704372248979</v>
      </c>
      <c r="I1462" s="24">
        <f t="shared" si="298"/>
        <v>7.7938458946880118E-5</v>
      </c>
      <c r="J1462" s="25">
        <f>INDEX('Default Prob'!$C$3:$C$13, _xlfn.IFNA(MATCH(F1462, 'Default Prob'!$B$3:$B$13, 1), 1))</f>
        <v>2.1100000000000001E-2</v>
      </c>
      <c r="K1462" s="26">
        <f t="shared" si="289"/>
        <v>0.8902777415270462</v>
      </c>
      <c r="L1462" s="27">
        <f t="shared" ca="1" si="290"/>
        <v>0</v>
      </c>
      <c r="M1462" s="27">
        <f t="shared" ca="1" si="291"/>
        <v>0</v>
      </c>
      <c r="N1462" s="28">
        <f t="shared" ca="1" si="292"/>
        <v>0</v>
      </c>
      <c r="O1462" s="29">
        <f t="shared" ca="1" si="293"/>
        <v>0</v>
      </c>
      <c r="P1462" s="30">
        <f t="shared" ca="1" si="294"/>
        <v>0</v>
      </c>
    </row>
    <row r="1463" spans="1:16" x14ac:dyDescent="0.25">
      <c r="A1463" s="3">
        <f t="shared" si="295"/>
        <v>48159</v>
      </c>
      <c r="B1463" s="21">
        <f t="shared" si="286"/>
        <v>36837</v>
      </c>
      <c r="C1463" s="21">
        <f t="shared" si="287"/>
        <v>36880</v>
      </c>
      <c r="D1463" s="1">
        <f t="shared" si="296"/>
        <v>0</v>
      </c>
      <c r="E1463" s="3">
        <f t="array" ref="E1463">INDEX($A$9:A1462, MAX(IF($D$9:D1462=1, ROW(D$9:$D1462)-ROW($D$9)+1, 0)))</f>
        <v>48113</v>
      </c>
      <c r="F1463" s="23">
        <f t="shared" si="288"/>
        <v>5.5687885010266944</v>
      </c>
      <c r="G1463" s="5">
        <f>INDEX('Default Prob'!$P$5:$P$14,MIN(1+_xlfn.IFNA(MATCH(F1463,'Default Prob'!$F$5:$F$14,1),0),COUNT('Default Prob'!$P$5:$P$14)))</f>
        <v>3.22895928960443E-2</v>
      </c>
      <c r="H1463" s="5">
        <f t="shared" si="297"/>
        <v>0.88149911215331689</v>
      </c>
      <c r="I1463" s="24">
        <f t="shared" si="298"/>
        <v>7.7931569172906556E-5</v>
      </c>
      <c r="J1463" s="25">
        <f>INDEX('Default Prob'!$C$3:$C$13, _xlfn.IFNA(MATCH(F1463, 'Default Prob'!$B$3:$B$13, 1), 1))</f>
        <v>2.1100000000000001E-2</v>
      </c>
      <c r="K1463" s="26">
        <f t="shared" si="289"/>
        <v>0.89022684791150941</v>
      </c>
      <c r="L1463" s="27">
        <f t="shared" ca="1" si="290"/>
        <v>0</v>
      </c>
      <c r="M1463" s="27">
        <f t="shared" ca="1" si="291"/>
        <v>0</v>
      </c>
      <c r="N1463" s="28">
        <f t="shared" ca="1" si="292"/>
        <v>0</v>
      </c>
      <c r="O1463" s="29">
        <f t="shared" ca="1" si="293"/>
        <v>0</v>
      </c>
      <c r="P1463" s="30">
        <f t="shared" ca="1" si="294"/>
        <v>0</v>
      </c>
    </row>
    <row r="1464" spans="1:16" x14ac:dyDescent="0.25">
      <c r="A1464" s="3">
        <f t="shared" si="295"/>
        <v>48162</v>
      </c>
      <c r="B1464" s="21">
        <f t="shared" si="286"/>
        <v>36840</v>
      </c>
      <c r="C1464" s="21">
        <f t="shared" si="287"/>
        <v>36880</v>
      </c>
      <c r="D1464" s="1">
        <f t="shared" si="296"/>
        <v>0</v>
      </c>
      <c r="E1464" s="3">
        <f t="array" ref="E1464">INDEX($A$9:A1463, MAX(IF($D$9:D1463=1, ROW(D$9:$D1463)-ROW($D$9)+1, 0)))</f>
        <v>48113</v>
      </c>
      <c r="F1464" s="23">
        <f t="shared" si="288"/>
        <v>5.5770020533880906</v>
      </c>
      <c r="G1464" s="5">
        <f>INDEX('Default Prob'!$P$5:$P$14,MIN(1+_xlfn.IFNA(MATCH(F1464,'Default Prob'!$F$5:$F$14,1),0),COUNT('Default Prob'!$P$5:$P$14)))</f>
        <v>3.22895928960443E-2</v>
      </c>
      <c r="H1464" s="5">
        <f t="shared" si="297"/>
        <v>0.88126535877835033</v>
      </c>
      <c r="I1464" s="24">
        <f t="shared" si="298"/>
        <v>2.3375337496656101E-4</v>
      </c>
      <c r="J1464" s="25">
        <f>INDEX('Default Prob'!$C$3:$C$13, _xlfn.IFNA(MATCH(F1464, 'Default Prob'!$B$3:$B$13, 1), 1))</f>
        <v>2.1100000000000001E-2</v>
      </c>
      <c r="K1464" s="26">
        <f t="shared" si="289"/>
        <v>0.89007418452053999</v>
      </c>
      <c r="L1464" s="27">
        <f t="shared" ca="1" si="290"/>
        <v>0</v>
      </c>
      <c r="M1464" s="27">
        <f t="shared" ca="1" si="291"/>
        <v>0</v>
      </c>
      <c r="N1464" s="28">
        <f t="shared" ca="1" si="292"/>
        <v>0</v>
      </c>
      <c r="O1464" s="29">
        <f t="shared" ca="1" si="293"/>
        <v>0</v>
      </c>
      <c r="P1464" s="30">
        <f t="shared" ca="1" si="294"/>
        <v>0</v>
      </c>
    </row>
    <row r="1465" spans="1:16" x14ac:dyDescent="0.25">
      <c r="A1465" s="3">
        <f t="shared" si="295"/>
        <v>48163</v>
      </c>
      <c r="B1465" s="21">
        <f t="shared" si="286"/>
        <v>36841</v>
      </c>
      <c r="C1465" s="21">
        <f t="shared" si="287"/>
        <v>36880</v>
      </c>
      <c r="D1465" s="1">
        <f t="shared" si="296"/>
        <v>0</v>
      </c>
      <c r="E1465" s="3">
        <f t="array" ref="E1465">INDEX($A$9:A1464, MAX(IF($D$9:D1464=1, ROW(D$9:$D1464)-ROW($D$9)+1, 0)))</f>
        <v>48113</v>
      </c>
      <c r="F1465" s="23">
        <f t="shared" si="288"/>
        <v>5.5797399041752227</v>
      </c>
      <c r="G1465" s="5">
        <f>INDEX('Default Prob'!$P$5:$P$14,MIN(1+_xlfn.IFNA(MATCH(F1465,'Default Prob'!$F$5:$F$14,1),0),COUNT('Default Prob'!$P$5:$P$14)))</f>
        <v>3.22895928960443E-2</v>
      </c>
      <c r="H1465" s="5">
        <f t="shared" si="297"/>
        <v>0.88118745476218252</v>
      </c>
      <c r="I1465" s="24">
        <f t="shared" si="298"/>
        <v>7.7904016167806844E-5</v>
      </c>
      <c r="J1465" s="25">
        <f>INDEX('Default Prob'!$C$3:$C$13, _xlfn.IFNA(MATCH(F1465, 'Default Prob'!$B$3:$B$13, 1), 1))</f>
        <v>2.1100000000000001E-2</v>
      </c>
      <c r="K1465" s="26">
        <f t="shared" si="289"/>
        <v>0.89002330254154249</v>
      </c>
      <c r="L1465" s="27">
        <f t="shared" ca="1" si="290"/>
        <v>0</v>
      </c>
      <c r="M1465" s="27">
        <f t="shared" ca="1" si="291"/>
        <v>0</v>
      </c>
      <c r="N1465" s="28">
        <f t="shared" ca="1" si="292"/>
        <v>0</v>
      </c>
      <c r="O1465" s="29">
        <f t="shared" ca="1" si="293"/>
        <v>0</v>
      </c>
      <c r="P1465" s="30">
        <f t="shared" ca="1" si="294"/>
        <v>0</v>
      </c>
    </row>
    <row r="1466" spans="1:16" x14ac:dyDescent="0.25">
      <c r="A1466" s="3">
        <f t="shared" si="295"/>
        <v>48164</v>
      </c>
      <c r="B1466" s="21">
        <f t="shared" si="286"/>
        <v>36842</v>
      </c>
      <c r="C1466" s="21">
        <f t="shared" si="287"/>
        <v>36880</v>
      </c>
      <c r="D1466" s="1">
        <f t="shared" si="296"/>
        <v>0</v>
      </c>
      <c r="E1466" s="3">
        <f t="array" ref="E1466">INDEX($A$9:A1465, MAX(IF($D$9:D1465=1, ROW(D$9:$D1465)-ROW($D$9)+1, 0)))</f>
        <v>48113</v>
      </c>
      <c r="F1466" s="23">
        <f t="shared" si="288"/>
        <v>5.5824777549623548</v>
      </c>
      <c r="G1466" s="5">
        <f>INDEX('Default Prob'!$P$5:$P$14,MIN(1+_xlfn.IFNA(MATCH(F1466,'Default Prob'!$F$5:$F$14,1),0),COUNT('Default Prob'!$P$5:$P$14)))</f>
        <v>3.22895928960443E-2</v>
      </c>
      <c r="H1466" s="5">
        <f t="shared" si="297"/>
        <v>0.88110955763274368</v>
      </c>
      <c r="I1466" s="24">
        <f t="shared" si="298"/>
        <v>7.7897129438841972E-5</v>
      </c>
      <c r="J1466" s="25">
        <f>INDEX('Default Prob'!$C$3:$C$13, _xlfn.IFNA(MATCH(F1466, 'Default Prob'!$B$3:$B$13, 1), 1))</f>
        <v>2.1100000000000001E-2</v>
      </c>
      <c r="K1466" s="26">
        <f t="shared" si="289"/>
        <v>0.88997242347126448</v>
      </c>
      <c r="L1466" s="27">
        <f t="shared" ca="1" si="290"/>
        <v>0</v>
      </c>
      <c r="M1466" s="27">
        <f t="shared" ca="1" si="291"/>
        <v>0</v>
      </c>
      <c r="N1466" s="28">
        <f t="shared" ca="1" si="292"/>
        <v>0</v>
      </c>
      <c r="O1466" s="29">
        <f t="shared" ca="1" si="293"/>
        <v>0</v>
      </c>
      <c r="P1466" s="30">
        <f t="shared" ca="1" si="294"/>
        <v>0</v>
      </c>
    </row>
    <row r="1467" spans="1:16" x14ac:dyDescent="0.25">
      <c r="A1467" s="3">
        <f t="shared" si="295"/>
        <v>48165</v>
      </c>
      <c r="B1467" s="21">
        <f t="shared" si="286"/>
        <v>36843</v>
      </c>
      <c r="C1467" s="21">
        <f t="shared" si="287"/>
        <v>36880</v>
      </c>
      <c r="D1467" s="1">
        <f t="shared" si="296"/>
        <v>0</v>
      </c>
      <c r="E1467" s="3">
        <f t="array" ref="E1467">INDEX($A$9:A1466, MAX(IF($D$9:D1466=1, ROW(D$9:$D1466)-ROW($D$9)+1, 0)))</f>
        <v>48113</v>
      </c>
      <c r="F1467" s="23">
        <f t="shared" si="288"/>
        <v>5.5852156057494868</v>
      </c>
      <c r="G1467" s="5">
        <f>INDEX('Default Prob'!$P$5:$P$14,MIN(1+_xlfn.IFNA(MATCH(F1467,'Default Prob'!$F$5:$F$14,1),0),COUNT('Default Prob'!$P$5:$P$14)))</f>
        <v>3.22895928960443E-2</v>
      </c>
      <c r="H1467" s="5">
        <f t="shared" si="297"/>
        <v>0.88103166738942507</v>
      </c>
      <c r="I1467" s="24">
        <f t="shared" si="298"/>
        <v>7.7890243318612384E-5</v>
      </c>
      <c r="J1467" s="25">
        <f>INDEX('Default Prob'!$C$3:$C$13, _xlfn.IFNA(MATCH(F1467, 'Default Prob'!$B$3:$B$13, 1), 1))</f>
        <v>2.1100000000000001E-2</v>
      </c>
      <c r="K1467" s="26">
        <f t="shared" si="289"/>
        <v>0.8899215473095391</v>
      </c>
      <c r="L1467" s="27">
        <f t="shared" ca="1" si="290"/>
        <v>0</v>
      </c>
      <c r="M1467" s="27">
        <f t="shared" ca="1" si="291"/>
        <v>0</v>
      </c>
      <c r="N1467" s="28">
        <f t="shared" ca="1" si="292"/>
        <v>0</v>
      </c>
      <c r="O1467" s="29">
        <f t="shared" ca="1" si="293"/>
        <v>0</v>
      </c>
      <c r="P1467" s="30">
        <f t="shared" ca="1" si="294"/>
        <v>0</v>
      </c>
    </row>
    <row r="1468" spans="1:16" x14ac:dyDescent="0.25">
      <c r="A1468" s="3">
        <f t="shared" si="295"/>
        <v>48166</v>
      </c>
      <c r="B1468" s="21">
        <f t="shared" si="286"/>
        <v>36844</v>
      </c>
      <c r="C1468" s="21">
        <f t="shared" si="287"/>
        <v>36880</v>
      </c>
      <c r="D1468" s="1">
        <f t="shared" si="296"/>
        <v>0</v>
      </c>
      <c r="E1468" s="3">
        <f t="array" ref="E1468">INDEX($A$9:A1467, MAX(IF($D$9:D1467=1, ROW(D$9:$D1467)-ROW($D$9)+1, 0)))</f>
        <v>48113</v>
      </c>
      <c r="F1468" s="23">
        <f t="shared" si="288"/>
        <v>5.5879534565366189</v>
      </c>
      <c r="G1468" s="5">
        <f>INDEX('Default Prob'!$P$5:$P$14,MIN(1+_xlfn.IFNA(MATCH(F1468,'Default Prob'!$F$5:$F$14,1),0),COUNT('Default Prob'!$P$5:$P$14)))</f>
        <v>3.22895928960443E-2</v>
      </c>
      <c r="H1468" s="5">
        <f t="shared" si="297"/>
        <v>0.88095378403161806</v>
      </c>
      <c r="I1468" s="24">
        <f t="shared" si="298"/>
        <v>7.7883357807007059E-5</v>
      </c>
      <c r="J1468" s="25">
        <f>INDEX('Default Prob'!$C$3:$C$13, _xlfn.IFNA(MATCH(F1468, 'Default Prob'!$B$3:$B$13, 1), 1))</f>
        <v>2.1100000000000001E-2</v>
      </c>
      <c r="K1468" s="26">
        <f t="shared" si="289"/>
        <v>0.88987067405620024</v>
      </c>
      <c r="L1468" s="27">
        <f t="shared" ca="1" si="290"/>
        <v>0</v>
      </c>
      <c r="M1468" s="27">
        <f t="shared" ca="1" si="291"/>
        <v>0</v>
      </c>
      <c r="N1468" s="28">
        <f t="shared" ca="1" si="292"/>
        <v>0</v>
      </c>
      <c r="O1468" s="29">
        <f t="shared" ca="1" si="293"/>
        <v>0</v>
      </c>
      <c r="P1468" s="30">
        <f t="shared" ca="1" si="294"/>
        <v>0</v>
      </c>
    </row>
    <row r="1469" spans="1:16" x14ac:dyDescent="0.25">
      <c r="A1469" s="3">
        <f t="shared" si="295"/>
        <v>48169</v>
      </c>
      <c r="B1469" s="21">
        <f t="shared" si="286"/>
        <v>36847</v>
      </c>
      <c r="C1469" s="21">
        <f t="shared" si="287"/>
        <v>36880</v>
      </c>
      <c r="D1469" s="1">
        <f t="shared" si="296"/>
        <v>0</v>
      </c>
      <c r="E1469" s="3">
        <f t="array" ref="E1469">INDEX($A$9:A1468, MAX(IF($D$9:D1468=1, ROW(D$9:$D1468)-ROW($D$9)+1, 0)))</f>
        <v>48113</v>
      </c>
      <c r="F1469" s="23">
        <f t="shared" si="288"/>
        <v>5.5961670088980151</v>
      </c>
      <c r="G1469" s="5">
        <f>INDEX('Default Prob'!$P$5:$P$14,MIN(1+_xlfn.IFNA(MATCH(F1469,'Default Prob'!$F$5:$F$14,1),0),COUNT('Default Prob'!$P$5:$P$14)))</f>
        <v>3.22895928960443E-2</v>
      </c>
      <c r="H1469" s="5">
        <f t="shared" si="297"/>
        <v>0.88072017526517932</v>
      </c>
      <c r="I1469" s="24">
        <f t="shared" si="298"/>
        <v>2.3360876643874207E-4</v>
      </c>
      <c r="J1469" s="25">
        <f>INDEX('Default Prob'!$C$3:$C$13, _xlfn.IFNA(MATCH(F1469, 'Default Prob'!$B$3:$B$13, 1), 1))</f>
        <v>2.1100000000000001E-2</v>
      </c>
      <c r="K1469" s="26">
        <f t="shared" si="289"/>
        <v>0.88971807174484041</v>
      </c>
      <c r="L1469" s="27">
        <f t="shared" ca="1" si="290"/>
        <v>0</v>
      </c>
      <c r="M1469" s="27">
        <f t="shared" ca="1" si="291"/>
        <v>0</v>
      </c>
      <c r="N1469" s="28">
        <f t="shared" ca="1" si="292"/>
        <v>0</v>
      </c>
      <c r="O1469" s="29">
        <f t="shared" ca="1" si="293"/>
        <v>0</v>
      </c>
      <c r="P1469" s="30">
        <f t="shared" ca="1" si="294"/>
        <v>0</v>
      </c>
    </row>
    <row r="1470" spans="1:16" x14ac:dyDescent="0.25">
      <c r="A1470" s="3">
        <f t="shared" si="295"/>
        <v>48170</v>
      </c>
      <c r="B1470" s="21">
        <f t="shared" si="286"/>
        <v>36848</v>
      </c>
      <c r="C1470" s="21">
        <f t="shared" si="287"/>
        <v>36880</v>
      </c>
      <c r="D1470" s="1">
        <f t="shared" si="296"/>
        <v>0</v>
      </c>
      <c r="E1470" s="3">
        <f t="array" ref="E1470">INDEX($A$9:A1469, MAX(IF($D$9:D1469=1, ROW(D$9:$D1469)-ROW($D$9)+1, 0)))</f>
        <v>48113</v>
      </c>
      <c r="F1470" s="23">
        <f t="shared" si="288"/>
        <v>5.5989048596851472</v>
      </c>
      <c r="G1470" s="5">
        <f>INDEX('Default Prob'!$P$5:$P$14,MIN(1+_xlfn.IFNA(MATCH(F1470,'Default Prob'!$F$5:$F$14,1),0),COUNT('Default Prob'!$P$5:$P$14)))</f>
        <v>3.22895928960443E-2</v>
      </c>
      <c r="H1470" s="5">
        <f t="shared" si="297"/>
        <v>0.88064231944333204</v>
      </c>
      <c r="I1470" s="24">
        <f t="shared" si="298"/>
        <v>7.7855821847272466E-5</v>
      </c>
      <c r="J1470" s="25">
        <f>INDEX('Default Prob'!$C$3:$C$13, _xlfn.IFNA(MATCH(F1470, 'Default Prob'!$B$3:$B$13, 1), 1))</f>
        <v>2.1100000000000001E-2</v>
      </c>
      <c r="K1470" s="26">
        <f t="shared" si="289"/>
        <v>0.88966721012338534</v>
      </c>
      <c r="L1470" s="27">
        <f t="shared" ca="1" si="290"/>
        <v>0</v>
      </c>
      <c r="M1470" s="27">
        <f t="shared" ca="1" si="291"/>
        <v>0</v>
      </c>
      <c r="N1470" s="28">
        <f t="shared" ca="1" si="292"/>
        <v>0</v>
      </c>
      <c r="O1470" s="29">
        <f t="shared" ca="1" si="293"/>
        <v>0</v>
      </c>
      <c r="P1470" s="30">
        <f t="shared" ca="1" si="294"/>
        <v>0</v>
      </c>
    </row>
    <row r="1471" spans="1:16" x14ac:dyDescent="0.25">
      <c r="A1471" s="3">
        <f t="shared" si="295"/>
        <v>48171</v>
      </c>
      <c r="B1471" s="21">
        <f t="shared" si="286"/>
        <v>36849</v>
      </c>
      <c r="C1471" s="21">
        <f t="shared" si="287"/>
        <v>36880</v>
      </c>
      <c r="D1471" s="1">
        <f t="shared" si="296"/>
        <v>0</v>
      </c>
      <c r="E1471" s="3">
        <f t="array" ref="E1471">INDEX($A$9:A1470, MAX(IF($D$9:D1470=1, ROW(D$9:$D1470)-ROW($D$9)+1, 0)))</f>
        <v>48113</v>
      </c>
      <c r="F1471" s="23">
        <f t="shared" si="288"/>
        <v>5.6016427104722792</v>
      </c>
      <c r="G1471" s="5">
        <f>INDEX('Default Prob'!$P$5:$P$14,MIN(1+_xlfn.IFNA(MATCH(F1471,'Default Prob'!$F$5:$F$14,1),0),COUNT('Default Prob'!$P$5:$P$14)))</f>
        <v>3.22895928960443E-2</v>
      </c>
      <c r="H1471" s="5">
        <f t="shared" si="297"/>
        <v>0.88056447050395348</v>
      </c>
      <c r="I1471" s="24">
        <f t="shared" si="298"/>
        <v>7.7848939378566406E-5</v>
      </c>
      <c r="J1471" s="25">
        <f>INDEX('Default Prob'!$C$3:$C$13, _xlfn.IFNA(MATCH(F1471, 'Default Prob'!$B$3:$B$13, 1), 1))</f>
        <v>2.1100000000000001E-2</v>
      </c>
      <c r="K1471" s="26">
        <f t="shared" si="289"/>
        <v>0.88961635140948558</v>
      </c>
      <c r="L1471" s="27">
        <f t="shared" ca="1" si="290"/>
        <v>0</v>
      </c>
      <c r="M1471" s="27">
        <f t="shared" ca="1" si="291"/>
        <v>0</v>
      </c>
      <c r="N1471" s="28">
        <f t="shared" ca="1" si="292"/>
        <v>0</v>
      </c>
      <c r="O1471" s="29">
        <f t="shared" ca="1" si="293"/>
        <v>0</v>
      </c>
      <c r="P1471" s="30">
        <f t="shared" ca="1" si="294"/>
        <v>0</v>
      </c>
    </row>
    <row r="1472" spans="1:16" x14ac:dyDescent="0.25">
      <c r="A1472" s="3">
        <f t="shared" si="295"/>
        <v>48172</v>
      </c>
      <c r="B1472" s="21">
        <f t="shared" si="286"/>
        <v>36850</v>
      </c>
      <c r="C1472" s="21">
        <f t="shared" si="287"/>
        <v>36880</v>
      </c>
      <c r="D1472" s="1">
        <f t="shared" si="296"/>
        <v>0</v>
      </c>
      <c r="E1472" s="3">
        <f t="array" ref="E1472">INDEX($A$9:A1471, MAX(IF($D$9:D1471=1, ROW(D$9:$D1471)-ROW($D$9)+1, 0)))</f>
        <v>48113</v>
      </c>
      <c r="F1472" s="23">
        <f t="shared" si="288"/>
        <v>5.6043805612594113</v>
      </c>
      <c r="G1472" s="5">
        <f>INDEX('Default Prob'!$P$5:$P$14,MIN(1+_xlfn.IFNA(MATCH(F1472,'Default Prob'!$F$5:$F$14,1),0),COUNT('Default Prob'!$P$5:$P$14)))</f>
        <v>3.22895928960443E-2</v>
      </c>
      <c r="H1472" s="5">
        <f t="shared" si="297"/>
        <v>0.8804866284464351</v>
      </c>
      <c r="I1472" s="24">
        <f t="shared" si="298"/>
        <v>7.7842057518373586E-5</v>
      </c>
      <c r="J1472" s="25">
        <f>INDEX('Default Prob'!$C$3:$C$13, _xlfn.IFNA(MATCH(F1472, 'Default Prob'!$B$3:$B$13, 1), 1))</f>
        <v>2.1100000000000001E-2</v>
      </c>
      <c r="K1472" s="26">
        <f t="shared" si="289"/>
        <v>0.88956549560297482</v>
      </c>
      <c r="L1472" s="27">
        <f t="shared" ca="1" si="290"/>
        <v>0</v>
      </c>
      <c r="M1472" s="27">
        <f t="shared" ca="1" si="291"/>
        <v>0</v>
      </c>
      <c r="N1472" s="28">
        <f t="shared" ca="1" si="292"/>
        <v>0</v>
      </c>
      <c r="O1472" s="29">
        <f t="shared" ca="1" si="293"/>
        <v>0</v>
      </c>
      <c r="P1472" s="30">
        <f t="shared" ca="1" si="294"/>
        <v>0</v>
      </c>
    </row>
    <row r="1473" spans="1:16" x14ac:dyDescent="0.25">
      <c r="A1473" s="3">
        <f t="shared" si="295"/>
        <v>48173</v>
      </c>
      <c r="B1473" s="21">
        <f t="shared" si="286"/>
        <v>36851</v>
      </c>
      <c r="C1473" s="21">
        <f t="shared" si="287"/>
        <v>36880</v>
      </c>
      <c r="D1473" s="1">
        <f t="shared" si="296"/>
        <v>0</v>
      </c>
      <c r="E1473" s="3">
        <f t="array" ref="E1473">INDEX($A$9:A1472, MAX(IF($D$9:D1472=1, ROW(D$9:$D1472)-ROW($D$9)+1, 0)))</f>
        <v>48113</v>
      </c>
      <c r="F1473" s="23">
        <f t="shared" si="288"/>
        <v>5.6071184120465434</v>
      </c>
      <c r="G1473" s="5">
        <f>INDEX('Default Prob'!$P$5:$P$14,MIN(1+_xlfn.IFNA(MATCH(F1473,'Default Prob'!$F$5:$F$14,1),0),COUNT('Default Prob'!$P$5:$P$14)))</f>
        <v>3.22895928960443E-2</v>
      </c>
      <c r="H1473" s="5">
        <f t="shared" si="297"/>
        <v>0.88040879327016863</v>
      </c>
      <c r="I1473" s="24">
        <f t="shared" si="298"/>
        <v>7.7835176266471962E-5</v>
      </c>
      <c r="J1473" s="25">
        <f>INDEX('Default Prob'!$C$3:$C$13, _xlfn.IFNA(MATCH(F1473, 'Default Prob'!$B$3:$B$13, 1), 1))</f>
        <v>2.1100000000000001E-2</v>
      </c>
      <c r="K1473" s="26">
        <f t="shared" si="289"/>
        <v>0.88951464270368719</v>
      </c>
      <c r="L1473" s="27">
        <f t="shared" ca="1" si="290"/>
        <v>0</v>
      </c>
      <c r="M1473" s="27">
        <f t="shared" ca="1" si="291"/>
        <v>0</v>
      </c>
      <c r="N1473" s="28">
        <f t="shared" ca="1" si="292"/>
        <v>0</v>
      </c>
      <c r="O1473" s="29">
        <f t="shared" ca="1" si="293"/>
        <v>0</v>
      </c>
      <c r="P1473" s="30">
        <f t="shared" ca="1" si="294"/>
        <v>0</v>
      </c>
    </row>
    <row r="1474" spans="1:16" x14ac:dyDescent="0.25">
      <c r="A1474" s="3">
        <f t="shared" si="295"/>
        <v>48176</v>
      </c>
      <c r="B1474" s="21">
        <f t="shared" si="286"/>
        <v>36854</v>
      </c>
      <c r="C1474" s="21">
        <f t="shared" si="287"/>
        <v>36880</v>
      </c>
      <c r="D1474" s="1">
        <f t="shared" si="296"/>
        <v>0</v>
      </c>
      <c r="E1474" s="3">
        <f t="array" ref="E1474">INDEX($A$9:A1473, MAX(IF($D$9:D1473=1, ROW(D$9:$D1473)-ROW($D$9)+1, 0)))</f>
        <v>48113</v>
      </c>
      <c r="F1474" s="23">
        <f t="shared" si="288"/>
        <v>5.6153319644079396</v>
      </c>
      <c r="G1474" s="5">
        <f>INDEX('Default Prob'!$P$5:$P$14,MIN(1+_xlfn.IFNA(MATCH(F1474,'Default Prob'!$F$5:$F$14,1),0),COUNT('Default Prob'!$P$5:$P$14)))</f>
        <v>3.22895928960443E-2</v>
      </c>
      <c r="H1474" s="5">
        <f t="shared" si="297"/>
        <v>0.8801753290227976</v>
      </c>
      <c r="I1474" s="24">
        <f t="shared" si="298"/>
        <v>2.3346424737102911E-4</v>
      </c>
      <c r="J1474" s="25">
        <f>INDEX('Default Prob'!$C$3:$C$13, _xlfn.IFNA(MATCH(F1474, 'Default Prob'!$B$3:$B$13, 1), 1))</f>
        <v>2.1100000000000001E-2</v>
      </c>
      <c r="K1474" s="26">
        <f t="shared" si="289"/>
        <v>0.88936210144749972</v>
      </c>
      <c r="L1474" s="27">
        <f t="shared" ca="1" si="290"/>
        <v>0</v>
      </c>
      <c r="M1474" s="27">
        <f t="shared" ca="1" si="291"/>
        <v>0</v>
      </c>
      <c r="N1474" s="28">
        <f t="shared" ca="1" si="292"/>
        <v>0</v>
      </c>
      <c r="O1474" s="29">
        <f t="shared" ca="1" si="293"/>
        <v>0</v>
      </c>
      <c r="P1474" s="30">
        <f t="shared" ca="1" si="294"/>
        <v>0</v>
      </c>
    </row>
    <row r="1475" spans="1:16" x14ac:dyDescent="0.25">
      <c r="A1475" s="3">
        <f t="shared" si="295"/>
        <v>48177</v>
      </c>
      <c r="B1475" s="21">
        <f t="shared" si="286"/>
        <v>36855</v>
      </c>
      <c r="C1475" s="21">
        <f t="shared" si="287"/>
        <v>36880</v>
      </c>
      <c r="D1475" s="1">
        <f t="shared" si="296"/>
        <v>0</v>
      </c>
      <c r="E1475" s="3">
        <f t="array" ref="E1475">INDEX($A$9:A1474, MAX(IF($D$9:D1474=1, ROW(D$9:$D1474)-ROW($D$9)+1, 0)))</f>
        <v>48113</v>
      </c>
      <c r="F1475" s="23">
        <f t="shared" si="288"/>
        <v>5.6180698151950716</v>
      </c>
      <c r="G1475" s="5">
        <f>INDEX('Default Prob'!$P$5:$P$14,MIN(1+_xlfn.IFNA(MATCH(F1475,'Default Prob'!$F$5:$F$14,1),0),COUNT('Default Prob'!$P$5:$P$14)))</f>
        <v>3.22895928960443E-2</v>
      </c>
      <c r="H1475" s="5">
        <f t="shared" si="297"/>
        <v>0.88009752136545616</v>
      </c>
      <c r="I1475" s="24">
        <f t="shared" si="298"/>
        <v>7.7807657341444347E-5</v>
      </c>
      <c r="J1475" s="25">
        <f>INDEX('Default Prob'!$C$3:$C$13, _xlfn.IFNA(MATCH(F1475, 'Default Prob'!$B$3:$B$13, 1), 1))</f>
        <v>2.1100000000000001E-2</v>
      </c>
      <c r="K1475" s="26">
        <f t="shared" si="289"/>
        <v>0.88931126017544193</v>
      </c>
      <c r="L1475" s="27">
        <f t="shared" ca="1" si="290"/>
        <v>0</v>
      </c>
      <c r="M1475" s="27">
        <f t="shared" ca="1" si="291"/>
        <v>0</v>
      </c>
      <c r="N1475" s="28">
        <f t="shared" ca="1" si="292"/>
        <v>0</v>
      </c>
      <c r="O1475" s="29">
        <f t="shared" ca="1" si="293"/>
        <v>0</v>
      </c>
      <c r="P1475" s="30">
        <f t="shared" ca="1" si="294"/>
        <v>0</v>
      </c>
    </row>
    <row r="1476" spans="1:16" x14ac:dyDescent="0.25">
      <c r="A1476" s="3">
        <f t="shared" si="295"/>
        <v>48178</v>
      </c>
      <c r="B1476" s="21">
        <f t="shared" si="286"/>
        <v>36856</v>
      </c>
      <c r="C1476" s="21">
        <f t="shared" si="287"/>
        <v>36880</v>
      </c>
      <c r="D1476" s="1">
        <f t="shared" si="296"/>
        <v>0</v>
      </c>
      <c r="E1476" s="3">
        <f t="array" ref="E1476">INDEX($A$9:A1475, MAX(IF($D$9:D1475=1, ROW(D$9:$D1475)-ROW($D$9)+1, 0)))</f>
        <v>48113</v>
      </c>
      <c r="F1476" s="23">
        <f t="shared" si="288"/>
        <v>5.6208076659822037</v>
      </c>
      <c r="G1476" s="5">
        <f>INDEX('Default Prob'!$P$5:$P$14,MIN(1+_xlfn.IFNA(MATCH(F1476,'Default Prob'!$F$5:$F$14,1),0),COUNT('Default Prob'!$P$5:$P$14)))</f>
        <v>3.22895928960443E-2</v>
      </c>
      <c r="H1476" s="5">
        <f t="shared" si="297"/>
        <v>0.8800197205863256</v>
      </c>
      <c r="I1476" s="24">
        <f t="shared" si="298"/>
        <v>7.7800779130554609E-5</v>
      </c>
      <c r="J1476" s="25">
        <f>INDEX('Default Prob'!$C$3:$C$13, _xlfn.IFNA(MATCH(F1476, 'Default Prob'!$B$3:$B$13, 1), 1))</f>
        <v>2.1100000000000001E-2</v>
      </c>
      <c r="K1476" s="26">
        <f t="shared" si="289"/>
        <v>0.88926042180977627</v>
      </c>
      <c r="L1476" s="27">
        <f t="shared" ca="1" si="290"/>
        <v>0</v>
      </c>
      <c r="M1476" s="27">
        <f t="shared" ca="1" si="291"/>
        <v>0</v>
      </c>
      <c r="N1476" s="28">
        <f t="shared" ca="1" si="292"/>
        <v>0</v>
      </c>
      <c r="O1476" s="29">
        <f t="shared" ca="1" si="293"/>
        <v>0</v>
      </c>
      <c r="P1476" s="30">
        <f t="shared" ca="1" si="294"/>
        <v>0</v>
      </c>
    </row>
    <row r="1477" spans="1:16" x14ac:dyDescent="0.25">
      <c r="A1477" s="3">
        <f t="shared" si="295"/>
        <v>48179</v>
      </c>
      <c r="B1477" s="21">
        <f t="shared" si="286"/>
        <v>36857</v>
      </c>
      <c r="C1477" s="21">
        <f t="shared" si="287"/>
        <v>36880</v>
      </c>
      <c r="D1477" s="1">
        <f t="shared" si="296"/>
        <v>0</v>
      </c>
      <c r="E1477" s="3">
        <f t="array" ref="E1477">INDEX($A$9:A1476, MAX(IF($D$9:D1476=1, ROW(D$9:$D1476)-ROW($D$9)+1, 0)))</f>
        <v>48113</v>
      </c>
      <c r="F1477" s="23">
        <f t="shared" si="288"/>
        <v>5.6235455167693358</v>
      </c>
      <c r="G1477" s="5">
        <f>INDEX('Default Prob'!$P$5:$P$14,MIN(1+_xlfn.IFNA(MATCH(F1477,'Default Prob'!$F$5:$F$14,1),0),COUNT('Default Prob'!$P$5:$P$14)))</f>
        <v>3.22895928960443E-2</v>
      </c>
      <c r="H1477" s="5">
        <f t="shared" si="297"/>
        <v>0.87994192668479787</v>
      </c>
      <c r="I1477" s="24">
        <f t="shared" si="298"/>
        <v>7.7793901527734022E-5</v>
      </c>
      <c r="J1477" s="25">
        <f>INDEX('Default Prob'!$C$3:$C$13, _xlfn.IFNA(MATCH(F1477, 'Default Prob'!$B$3:$B$13, 1), 1))</f>
        <v>2.1100000000000001E-2</v>
      </c>
      <c r="K1477" s="26">
        <f t="shared" si="289"/>
        <v>0.88920958635033631</v>
      </c>
      <c r="L1477" s="27">
        <f t="shared" ca="1" si="290"/>
        <v>0</v>
      </c>
      <c r="M1477" s="27">
        <f t="shared" ca="1" si="291"/>
        <v>0</v>
      </c>
      <c r="N1477" s="28">
        <f t="shared" ca="1" si="292"/>
        <v>0</v>
      </c>
      <c r="O1477" s="29">
        <f t="shared" ca="1" si="293"/>
        <v>0</v>
      </c>
      <c r="P1477" s="30">
        <f t="shared" ca="1" si="294"/>
        <v>0</v>
      </c>
    </row>
    <row r="1478" spans="1:16" x14ac:dyDescent="0.25">
      <c r="A1478" s="3">
        <f t="shared" si="295"/>
        <v>48180</v>
      </c>
      <c r="B1478" s="21">
        <f t="shared" si="286"/>
        <v>36858</v>
      </c>
      <c r="C1478" s="21">
        <f t="shared" si="287"/>
        <v>36880</v>
      </c>
      <c r="D1478" s="1">
        <f t="shared" si="296"/>
        <v>0</v>
      </c>
      <c r="E1478" s="3">
        <f t="array" ref="E1478">INDEX($A$9:A1477, MAX(IF($D$9:D1477=1, ROW(D$9:$D1477)-ROW($D$9)+1, 0)))</f>
        <v>48113</v>
      </c>
      <c r="F1478" s="23">
        <f t="shared" si="288"/>
        <v>5.6262833675564679</v>
      </c>
      <c r="G1478" s="5">
        <f>INDEX('Default Prob'!$P$5:$P$14,MIN(1+_xlfn.IFNA(MATCH(F1478,'Default Prob'!$F$5:$F$14,1),0),COUNT('Default Prob'!$P$5:$P$14)))</f>
        <v>3.22895928960443E-2</v>
      </c>
      <c r="H1478" s="5">
        <f t="shared" si="297"/>
        <v>0.879864139660265</v>
      </c>
      <c r="I1478" s="24">
        <f t="shared" si="298"/>
        <v>7.7787024532871563E-5</v>
      </c>
      <c r="J1478" s="25">
        <f>INDEX('Default Prob'!$C$3:$C$13, _xlfn.IFNA(MATCH(F1478, 'Default Prob'!$B$3:$B$13, 1), 1))</f>
        <v>2.1100000000000001E-2</v>
      </c>
      <c r="K1478" s="26">
        <f t="shared" si="289"/>
        <v>0.88915875379695619</v>
      </c>
      <c r="L1478" s="27">
        <f t="shared" ca="1" si="290"/>
        <v>0</v>
      </c>
      <c r="M1478" s="27">
        <f t="shared" ca="1" si="291"/>
        <v>0</v>
      </c>
      <c r="N1478" s="28">
        <f t="shared" ca="1" si="292"/>
        <v>0</v>
      </c>
      <c r="O1478" s="29">
        <f t="shared" ca="1" si="293"/>
        <v>0</v>
      </c>
      <c r="P1478" s="30">
        <f t="shared" ca="1" si="294"/>
        <v>0</v>
      </c>
    </row>
    <row r="1479" spans="1:16" x14ac:dyDescent="0.25">
      <c r="A1479" s="3">
        <f t="shared" si="295"/>
        <v>48183</v>
      </c>
      <c r="B1479" s="21">
        <f t="shared" si="286"/>
        <v>36861</v>
      </c>
      <c r="C1479" s="21">
        <f t="shared" si="287"/>
        <v>36880</v>
      </c>
      <c r="D1479" s="1">
        <f t="shared" si="296"/>
        <v>0</v>
      </c>
      <c r="E1479" s="3">
        <f t="array" ref="E1479">INDEX($A$9:A1478, MAX(IF($D$9:D1478=1, ROW(D$9:$D1478)-ROW($D$9)+1, 0)))</f>
        <v>48113</v>
      </c>
      <c r="F1479" s="23">
        <f t="shared" si="288"/>
        <v>5.6344969199178641</v>
      </c>
      <c r="G1479" s="5">
        <f>INDEX('Default Prob'!$P$5:$P$14,MIN(1+_xlfn.IFNA(MATCH(F1479,'Default Prob'!$F$5:$F$14,1),0),COUNT('Default Prob'!$P$5:$P$14)))</f>
        <v>3.22895928960443E-2</v>
      </c>
      <c r="H1479" s="5">
        <f t="shared" si="297"/>
        <v>0.87963081984255675</v>
      </c>
      <c r="I1479" s="24">
        <f t="shared" si="298"/>
        <v>2.3331981770824406E-4</v>
      </c>
      <c r="J1479" s="25">
        <f>INDEX('Default Prob'!$C$3:$C$13, _xlfn.IFNA(MATCH(F1479, 'Default Prob'!$B$3:$B$13, 1), 1))</f>
        <v>2.1100000000000001E-2</v>
      </c>
      <c r="K1479" s="26">
        <f t="shared" si="289"/>
        <v>0.88900627357151329</v>
      </c>
      <c r="L1479" s="27">
        <f t="shared" ca="1" si="290"/>
        <v>0</v>
      </c>
      <c r="M1479" s="27">
        <f t="shared" ca="1" si="291"/>
        <v>0</v>
      </c>
      <c r="N1479" s="28">
        <f t="shared" ca="1" si="292"/>
        <v>0</v>
      </c>
      <c r="O1479" s="29">
        <f t="shared" ca="1" si="293"/>
        <v>0</v>
      </c>
      <c r="P1479" s="30">
        <f t="shared" ca="1" si="294"/>
        <v>0</v>
      </c>
    </row>
    <row r="1480" spans="1:16" x14ac:dyDescent="0.25">
      <c r="A1480" s="3">
        <f t="shared" si="295"/>
        <v>48184</v>
      </c>
      <c r="B1480" s="21">
        <f t="shared" si="286"/>
        <v>36862</v>
      </c>
      <c r="C1480" s="21">
        <f t="shared" si="287"/>
        <v>36880</v>
      </c>
      <c r="D1480" s="1">
        <f t="shared" si="296"/>
        <v>0</v>
      </c>
      <c r="E1480" s="3">
        <f t="array" ref="E1480">INDEX($A$9:A1479, MAX(IF($D$9:D1479=1, ROW(D$9:$D1479)-ROW($D$9)+1, 0)))</f>
        <v>48113</v>
      </c>
      <c r="F1480" s="23">
        <f t="shared" si="288"/>
        <v>5.637234770704997</v>
      </c>
      <c r="G1480" s="5">
        <f>INDEX('Default Prob'!$P$5:$P$14,MIN(1+_xlfn.IFNA(MATCH(F1480,'Default Prob'!$F$5:$F$14,1),0),COUNT('Default Prob'!$P$5:$P$14)))</f>
        <v>3.22895928960443E-2</v>
      </c>
      <c r="H1480" s="5">
        <f t="shared" si="297"/>
        <v>0.87955306031992464</v>
      </c>
      <c r="I1480" s="24">
        <f t="shared" si="298"/>
        <v>7.775952263211483E-5</v>
      </c>
      <c r="J1480" s="25">
        <f>INDEX('Default Prob'!$C$3:$C$13, _xlfn.IFNA(MATCH(F1480, 'Default Prob'!$B$3:$B$13, 1), 1))</f>
        <v>2.1100000000000001E-2</v>
      </c>
      <c r="K1480" s="26">
        <f t="shared" si="289"/>
        <v>0.88895545264071107</v>
      </c>
      <c r="L1480" s="27">
        <f t="shared" ca="1" si="290"/>
        <v>0</v>
      </c>
      <c r="M1480" s="27">
        <f t="shared" ca="1" si="291"/>
        <v>0</v>
      </c>
      <c r="N1480" s="28">
        <f t="shared" ca="1" si="292"/>
        <v>0</v>
      </c>
      <c r="O1480" s="29">
        <f t="shared" ca="1" si="293"/>
        <v>0</v>
      </c>
      <c r="P1480" s="30">
        <f t="shared" ca="1" si="294"/>
        <v>0</v>
      </c>
    </row>
    <row r="1481" spans="1:16" x14ac:dyDescent="0.25">
      <c r="A1481" s="3">
        <f t="shared" si="295"/>
        <v>48185</v>
      </c>
      <c r="B1481" s="21">
        <f t="shared" ref="B1481:B1544" si="299">DATE(2000, MONTH(A1481), DAY(A1481))</f>
        <v>36863</v>
      </c>
      <c r="C1481" s="21">
        <f t="shared" ref="C1481:C1544" si="300">VLOOKUP(B1481, $R$9:$S$13, 2)</f>
        <v>36880</v>
      </c>
      <c r="D1481" s="1">
        <f t="shared" si="296"/>
        <v>0</v>
      </c>
      <c r="E1481" s="3">
        <f t="array" ref="E1481">INDEX($A$9:A1480, MAX(IF($D$9:D1480=1, ROW(D$9:$D1480)-ROW($D$9)+1, 0)))</f>
        <v>48113</v>
      </c>
      <c r="F1481" s="23">
        <f t="shared" ref="F1481:F1544" si="301">(A1481-$A$2)/365.25</f>
        <v>5.6399726214921291</v>
      </c>
      <c r="G1481" s="5">
        <f>INDEX('Default Prob'!$P$5:$P$14,MIN(1+_xlfn.IFNA(MATCH(F1481,'Default Prob'!$F$5:$F$14,1),0),COUNT('Default Prob'!$P$5:$P$14)))</f>
        <v>3.22895928960443E-2</v>
      </c>
      <c r="H1481" s="5">
        <f t="shared" si="297"/>
        <v>0.87947530767124837</v>
      </c>
      <c r="I1481" s="24">
        <f t="shared" si="298"/>
        <v>7.7752648676265856E-5</v>
      </c>
      <c r="J1481" s="25">
        <f>INDEX('Default Prob'!$C$3:$C$13, _xlfn.IFNA(MATCH(F1481, 'Default Prob'!$B$3:$B$13, 1), 1))</f>
        <v>2.1100000000000001E-2</v>
      </c>
      <c r="K1481" s="26">
        <f t="shared" ref="K1481:K1544" si="302">1/((1+J1481)^F1481)</f>
        <v>0.88890463461513802</v>
      </c>
      <c r="L1481" s="27">
        <f t="shared" ref="L1481:L1544" ca="1" si="303">IF(AND(D1481, A1481 &lt;= $G$2), $D$5*$D$2*(A1481-E1481)/365.25, 0)</f>
        <v>0</v>
      </c>
      <c r="M1481" s="27">
        <f t="shared" ref="M1481:M1544" ca="1" si="304">IF(A1481&lt;=$G$2, $D$5*$D$2*(A1481-E1481)/365.25, 0)</f>
        <v>0</v>
      </c>
      <c r="N1481" s="28">
        <f t="shared" ref="N1481:N1544" ca="1" si="305">(L1481*H1481 + M1481*I1481) * K1481</f>
        <v>0</v>
      </c>
      <c r="O1481" s="29">
        <f t="shared" ref="O1481:O1544" ca="1" si="306">IF(A1481&lt;=$G$2, $D$2*(1-$D$3), 0)</f>
        <v>0</v>
      </c>
      <c r="P1481" s="30">
        <f t="shared" ref="P1481:P1544" ca="1" si="307">O1481*I1481*K1481</f>
        <v>0</v>
      </c>
    </row>
    <row r="1482" spans="1:16" x14ac:dyDescent="0.25">
      <c r="A1482" s="3">
        <f t="shared" ref="A1482:A1545" si="308">WORKDAY(A1481, 1)</f>
        <v>48186</v>
      </c>
      <c r="B1482" s="21">
        <f t="shared" si="299"/>
        <v>36864</v>
      </c>
      <c r="C1482" s="21">
        <f t="shared" si="300"/>
        <v>36880</v>
      </c>
      <c r="D1482" s="1">
        <f t="shared" ref="D1482:D1545" si="309">IF(OR(C1482=B1482, AND(C1482&lt;&gt;C1481, C1481&gt;B1481)), 1, 0)</f>
        <v>0</v>
      </c>
      <c r="E1482" s="3">
        <f t="array" ref="E1482">INDEX($A$9:A1481, MAX(IF($D$9:D1481=1, ROW(D$9:$D1481)-ROW($D$9)+1, 0)))</f>
        <v>48113</v>
      </c>
      <c r="F1482" s="23">
        <f t="shared" si="301"/>
        <v>5.6427104722792611</v>
      </c>
      <c r="G1482" s="5">
        <f>INDEX('Default Prob'!$P$5:$P$14,MIN(1+_xlfn.IFNA(MATCH(F1482,'Default Prob'!$F$5:$F$14,1),0),COUNT('Default Prob'!$P$5:$P$14)))</f>
        <v>3.22895928960443E-2</v>
      </c>
      <c r="H1482" s="5">
        <f t="shared" ref="H1482:H1545" si="310">H1481*EXP(-G1481*(F1482-F1481))</f>
        <v>0.87939756189592022</v>
      </c>
      <c r="I1482" s="24">
        <f t="shared" ref="I1482:I1545" si="311">H1481-H1482</f>
        <v>7.7745775328152966E-5</v>
      </c>
      <c r="J1482" s="25">
        <f>INDEX('Default Prob'!$C$3:$C$13, _xlfn.IFNA(MATCH(F1482, 'Default Prob'!$B$3:$B$13, 1), 1))</f>
        <v>2.1100000000000001E-2</v>
      </c>
      <c r="K1482" s="26">
        <f t="shared" si="302"/>
        <v>0.88885381949462816</v>
      </c>
      <c r="L1482" s="27">
        <f t="shared" ca="1" si="303"/>
        <v>0</v>
      </c>
      <c r="M1482" s="27">
        <f t="shared" ca="1" si="304"/>
        <v>0</v>
      </c>
      <c r="N1482" s="28">
        <f t="shared" ca="1" si="305"/>
        <v>0</v>
      </c>
      <c r="O1482" s="29">
        <f t="shared" ca="1" si="306"/>
        <v>0</v>
      </c>
      <c r="P1482" s="30">
        <f t="shared" ca="1" si="307"/>
        <v>0</v>
      </c>
    </row>
    <row r="1483" spans="1:16" x14ac:dyDescent="0.25">
      <c r="A1483" s="3">
        <f t="shared" si="308"/>
        <v>48187</v>
      </c>
      <c r="B1483" s="21">
        <f t="shared" si="299"/>
        <v>36865</v>
      </c>
      <c r="C1483" s="21">
        <f t="shared" si="300"/>
        <v>36880</v>
      </c>
      <c r="D1483" s="1">
        <f t="shared" si="309"/>
        <v>0</v>
      </c>
      <c r="E1483" s="3">
        <f t="array" ref="E1483">INDEX($A$9:A1482, MAX(IF($D$9:D1482=1, ROW(D$9:$D1482)-ROW($D$9)+1, 0)))</f>
        <v>48113</v>
      </c>
      <c r="F1483" s="23">
        <f t="shared" si="301"/>
        <v>5.6454483230663932</v>
      </c>
      <c r="G1483" s="5">
        <f>INDEX('Default Prob'!$P$5:$P$14,MIN(1+_xlfn.IFNA(MATCH(F1483,'Default Prob'!$F$5:$F$14,1),0),COUNT('Default Prob'!$P$5:$P$14)))</f>
        <v>3.22895928960443E-2</v>
      </c>
      <c r="H1483" s="5">
        <f t="shared" si="310"/>
        <v>0.87931982299333256</v>
      </c>
      <c r="I1483" s="24">
        <f t="shared" si="311"/>
        <v>7.7738902587665137E-5</v>
      </c>
      <c r="J1483" s="25">
        <f>INDEX('Default Prob'!$C$3:$C$13, _xlfn.IFNA(MATCH(F1483, 'Default Prob'!$B$3:$B$13, 1), 1))</f>
        <v>2.1100000000000001E-2</v>
      </c>
      <c r="K1483" s="26">
        <f t="shared" si="302"/>
        <v>0.88880300727901551</v>
      </c>
      <c r="L1483" s="27">
        <f t="shared" ca="1" si="303"/>
        <v>0</v>
      </c>
      <c r="M1483" s="27">
        <f t="shared" ca="1" si="304"/>
        <v>0</v>
      </c>
      <c r="N1483" s="28">
        <f t="shared" ca="1" si="305"/>
        <v>0</v>
      </c>
      <c r="O1483" s="29">
        <f t="shared" ca="1" si="306"/>
        <v>0</v>
      </c>
      <c r="P1483" s="30">
        <f t="shared" ca="1" si="307"/>
        <v>0</v>
      </c>
    </row>
    <row r="1484" spans="1:16" x14ac:dyDescent="0.25">
      <c r="A1484" s="3">
        <f t="shared" si="308"/>
        <v>48190</v>
      </c>
      <c r="B1484" s="21">
        <f t="shared" si="299"/>
        <v>36868</v>
      </c>
      <c r="C1484" s="21">
        <f t="shared" si="300"/>
        <v>36880</v>
      </c>
      <c r="D1484" s="1">
        <f t="shared" si="309"/>
        <v>0</v>
      </c>
      <c r="E1484" s="3">
        <f t="array" ref="E1484">INDEX($A$9:A1483, MAX(IF($D$9:D1483=1, ROW(D$9:$D1483)-ROW($D$9)+1, 0)))</f>
        <v>48113</v>
      </c>
      <c r="F1484" s="23">
        <f t="shared" si="301"/>
        <v>5.6536618754277894</v>
      </c>
      <c r="G1484" s="5">
        <f>INDEX('Default Prob'!$P$5:$P$14,MIN(1+_xlfn.IFNA(MATCH(F1484,'Default Prob'!$F$5:$F$14,1),0),COUNT('Default Prob'!$P$5:$P$14)))</f>
        <v>3.22895928960443E-2</v>
      </c>
      <c r="H1484" s="5">
        <f t="shared" si="310"/>
        <v>0.87908664751593746</v>
      </c>
      <c r="I1484" s="24">
        <f t="shared" si="311"/>
        <v>2.3317547739509781E-4</v>
      </c>
      <c r="J1484" s="25">
        <f>INDEX('Default Prob'!$C$3:$C$13, _xlfn.IFNA(MATCH(F1484, 'Default Prob'!$B$3:$B$13, 1), 1))</f>
        <v>2.1100000000000001E-2</v>
      </c>
      <c r="K1484" s="26">
        <f t="shared" si="302"/>
        <v>0.88865058805989905</v>
      </c>
      <c r="L1484" s="27">
        <f t="shared" ca="1" si="303"/>
        <v>0</v>
      </c>
      <c r="M1484" s="27">
        <f t="shared" ca="1" si="304"/>
        <v>0</v>
      </c>
      <c r="N1484" s="28">
        <f t="shared" ca="1" si="305"/>
        <v>0</v>
      </c>
      <c r="O1484" s="29">
        <f t="shared" ca="1" si="306"/>
        <v>0</v>
      </c>
      <c r="P1484" s="30">
        <f t="shared" ca="1" si="307"/>
        <v>0</v>
      </c>
    </row>
    <row r="1485" spans="1:16" x14ac:dyDescent="0.25">
      <c r="A1485" s="3">
        <f t="shared" si="308"/>
        <v>48191</v>
      </c>
      <c r="B1485" s="21">
        <f t="shared" si="299"/>
        <v>36869</v>
      </c>
      <c r="C1485" s="21">
        <f t="shared" si="300"/>
        <v>36880</v>
      </c>
      <c r="D1485" s="1">
        <f t="shared" si="309"/>
        <v>0</v>
      </c>
      <c r="E1485" s="3">
        <f t="array" ref="E1485">INDEX($A$9:A1484, MAX(IF($D$9:D1484=1, ROW(D$9:$D1484)-ROW($D$9)+1, 0)))</f>
        <v>48113</v>
      </c>
      <c r="F1485" s="23">
        <f t="shared" si="301"/>
        <v>5.6563997262149215</v>
      </c>
      <c r="G1485" s="5">
        <f>INDEX('Default Prob'!$P$5:$P$14,MIN(1+_xlfn.IFNA(MATCH(F1485,'Default Prob'!$F$5:$F$14,1),0),COUNT('Default Prob'!$P$5:$P$14)))</f>
        <v>3.22895928960443E-2</v>
      </c>
      <c r="H1485" s="5">
        <f t="shared" si="310"/>
        <v>0.87900893609823694</v>
      </c>
      <c r="I1485" s="24">
        <f t="shared" si="311"/>
        <v>7.7711417700521146E-5</v>
      </c>
      <c r="J1485" s="25">
        <f>INDEX('Default Prob'!$C$3:$C$13, _xlfn.IFNA(MATCH(F1485, 'Default Prob'!$B$3:$B$13, 1), 1))</f>
        <v>2.1100000000000001E-2</v>
      </c>
      <c r="K1485" s="26">
        <f t="shared" si="302"/>
        <v>0.88859978746221402</v>
      </c>
      <c r="L1485" s="27">
        <f t="shared" ca="1" si="303"/>
        <v>0</v>
      </c>
      <c r="M1485" s="27">
        <f t="shared" ca="1" si="304"/>
        <v>0</v>
      </c>
      <c r="N1485" s="28">
        <f t="shared" ca="1" si="305"/>
        <v>0</v>
      </c>
      <c r="O1485" s="29">
        <f t="shared" ca="1" si="306"/>
        <v>0</v>
      </c>
      <c r="P1485" s="30">
        <f t="shared" ca="1" si="307"/>
        <v>0</v>
      </c>
    </row>
    <row r="1486" spans="1:16" x14ac:dyDescent="0.25">
      <c r="A1486" s="3">
        <f t="shared" si="308"/>
        <v>48192</v>
      </c>
      <c r="B1486" s="21">
        <f t="shared" si="299"/>
        <v>36870</v>
      </c>
      <c r="C1486" s="21">
        <f t="shared" si="300"/>
        <v>36880</v>
      </c>
      <c r="D1486" s="1">
        <f t="shared" si="309"/>
        <v>0</v>
      </c>
      <c r="E1486" s="3">
        <f t="array" ref="E1486">INDEX($A$9:A1485, MAX(IF($D$9:D1485=1, ROW(D$9:$D1485)-ROW($D$9)+1, 0)))</f>
        <v>48113</v>
      </c>
      <c r="F1486" s="23">
        <f t="shared" si="301"/>
        <v>5.6591375770020536</v>
      </c>
      <c r="G1486" s="5">
        <f>INDEX('Default Prob'!$P$5:$P$14,MIN(1+_xlfn.IFNA(MATCH(F1486,'Default Prob'!$F$5:$F$14,1),0),COUNT('Default Prob'!$P$5:$P$14)))</f>
        <v>3.22895928960443E-2</v>
      </c>
      <c r="H1486" s="5">
        <f t="shared" si="310"/>
        <v>0.87893123155023967</v>
      </c>
      <c r="I1486" s="24">
        <f t="shared" si="311"/>
        <v>7.7704547997270446E-5</v>
      </c>
      <c r="J1486" s="25">
        <f>INDEX('Default Prob'!$C$3:$C$13, _xlfn.IFNA(MATCH(F1486, 'Default Prob'!$B$3:$B$13, 1), 1))</f>
        <v>2.1100000000000001E-2</v>
      </c>
      <c r="K1486" s="26">
        <f t="shared" si="302"/>
        <v>0.88854898976859586</v>
      </c>
      <c r="L1486" s="27">
        <f t="shared" ca="1" si="303"/>
        <v>0</v>
      </c>
      <c r="M1486" s="27">
        <f t="shared" ca="1" si="304"/>
        <v>0</v>
      </c>
      <c r="N1486" s="28">
        <f t="shared" ca="1" si="305"/>
        <v>0</v>
      </c>
      <c r="O1486" s="29">
        <f t="shared" ca="1" si="306"/>
        <v>0</v>
      </c>
      <c r="P1486" s="30">
        <f t="shared" ca="1" si="307"/>
        <v>0</v>
      </c>
    </row>
    <row r="1487" spans="1:16" x14ac:dyDescent="0.25">
      <c r="A1487" s="3">
        <f t="shared" si="308"/>
        <v>48193</v>
      </c>
      <c r="B1487" s="21">
        <f t="shared" si="299"/>
        <v>36871</v>
      </c>
      <c r="C1487" s="21">
        <f t="shared" si="300"/>
        <v>36880</v>
      </c>
      <c r="D1487" s="1">
        <f t="shared" si="309"/>
        <v>0</v>
      </c>
      <c r="E1487" s="3">
        <f t="array" ref="E1487">INDEX($A$9:A1486, MAX(IF($D$9:D1486=1, ROW(D$9:$D1486)-ROW($D$9)+1, 0)))</f>
        <v>48113</v>
      </c>
      <c r="F1487" s="23">
        <f t="shared" si="301"/>
        <v>5.6618754277891856</v>
      </c>
      <c r="G1487" s="5">
        <f>INDEX('Default Prob'!$P$5:$P$14,MIN(1+_xlfn.IFNA(MATCH(F1487,'Default Prob'!$F$5:$F$14,1),0),COUNT('Default Prob'!$P$5:$P$14)))</f>
        <v>3.22895928960443E-2</v>
      </c>
      <c r="H1487" s="5">
        <f t="shared" si="310"/>
        <v>0.87885353387133847</v>
      </c>
      <c r="I1487" s="24">
        <f t="shared" si="311"/>
        <v>7.7697678901200717E-5</v>
      </c>
      <c r="J1487" s="25">
        <f>INDEX('Default Prob'!$C$3:$C$13, _xlfn.IFNA(MATCH(F1487, 'Default Prob'!$B$3:$B$13, 1), 1))</f>
        <v>2.1100000000000001E-2</v>
      </c>
      <c r="K1487" s="26">
        <f t="shared" si="302"/>
        <v>0.88849819497887861</v>
      </c>
      <c r="L1487" s="27">
        <f t="shared" ca="1" si="303"/>
        <v>0</v>
      </c>
      <c r="M1487" s="27">
        <f t="shared" ca="1" si="304"/>
        <v>0</v>
      </c>
      <c r="N1487" s="28">
        <f t="shared" ca="1" si="305"/>
        <v>0</v>
      </c>
      <c r="O1487" s="29">
        <f t="shared" ca="1" si="306"/>
        <v>0</v>
      </c>
      <c r="P1487" s="30">
        <f t="shared" ca="1" si="307"/>
        <v>0</v>
      </c>
    </row>
    <row r="1488" spans="1:16" x14ac:dyDescent="0.25">
      <c r="A1488" s="3">
        <f t="shared" si="308"/>
        <v>48194</v>
      </c>
      <c r="B1488" s="21">
        <f t="shared" si="299"/>
        <v>36872</v>
      </c>
      <c r="C1488" s="21">
        <f t="shared" si="300"/>
        <v>36880</v>
      </c>
      <c r="D1488" s="1">
        <f t="shared" si="309"/>
        <v>0</v>
      </c>
      <c r="E1488" s="3">
        <f t="array" ref="E1488">INDEX($A$9:A1487, MAX(IF($D$9:D1487=1, ROW(D$9:$D1487)-ROW($D$9)+1, 0)))</f>
        <v>48113</v>
      </c>
      <c r="F1488" s="23">
        <f t="shared" si="301"/>
        <v>5.6646132785763177</v>
      </c>
      <c r="G1488" s="5">
        <f>INDEX('Default Prob'!$P$5:$P$14,MIN(1+_xlfn.IFNA(MATCH(F1488,'Default Prob'!$F$5:$F$14,1),0),COUNT('Default Prob'!$P$5:$P$14)))</f>
        <v>3.22895928960443E-2</v>
      </c>
      <c r="H1488" s="5">
        <f t="shared" si="310"/>
        <v>0.87877584306092604</v>
      </c>
      <c r="I1488" s="24">
        <f t="shared" si="311"/>
        <v>7.7690810412422984E-5</v>
      </c>
      <c r="J1488" s="25">
        <f>INDEX('Default Prob'!$C$3:$C$13, _xlfn.IFNA(MATCH(F1488, 'Default Prob'!$B$3:$B$13, 1), 1))</f>
        <v>2.1100000000000001E-2</v>
      </c>
      <c r="K1488" s="26">
        <f t="shared" si="302"/>
        <v>0.88844740309289616</v>
      </c>
      <c r="L1488" s="27">
        <f t="shared" ca="1" si="303"/>
        <v>0</v>
      </c>
      <c r="M1488" s="27">
        <f t="shared" ca="1" si="304"/>
        <v>0</v>
      </c>
      <c r="N1488" s="28">
        <f t="shared" ca="1" si="305"/>
        <v>0</v>
      </c>
      <c r="O1488" s="29">
        <f t="shared" ca="1" si="306"/>
        <v>0</v>
      </c>
      <c r="P1488" s="30">
        <f t="shared" ca="1" si="307"/>
        <v>0</v>
      </c>
    </row>
    <row r="1489" spans="1:16" x14ac:dyDescent="0.25">
      <c r="A1489" s="3">
        <f t="shared" si="308"/>
        <v>48197</v>
      </c>
      <c r="B1489" s="21">
        <f t="shared" si="299"/>
        <v>36875</v>
      </c>
      <c r="C1489" s="21">
        <f t="shared" si="300"/>
        <v>36880</v>
      </c>
      <c r="D1489" s="1">
        <f t="shared" si="309"/>
        <v>0</v>
      </c>
      <c r="E1489" s="3">
        <f t="array" ref="E1489">INDEX($A$9:A1488, MAX(IF($D$9:D1488=1, ROW(D$9:$D1488)-ROW($D$9)+1, 0)))</f>
        <v>48113</v>
      </c>
      <c r="F1489" s="23">
        <f t="shared" si="301"/>
        <v>5.6728268309377139</v>
      </c>
      <c r="G1489" s="5">
        <f>INDEX('Default Prob'!$P$5:$P$14,MIN(1+_xlfn.IFNA(MATCH(F1489,'Default Prob'!$F$5:$F$14,1),0),COUNT('Default Prob'!$P$5:$P$14)))</f>
        <v>3.22895928960443E-2</v>
      </c>
      <c r="H1489" s="5">
        <f t="shared" si="310"/>
        <v>0.87854281183454985</v>
      </c>
      <c r="I1489" s="24">
        <f t="shared" si="311"/>
        <v>2.3303122637619023E-4</v>
      </c>
      <c r="J1489" s="25">
        <f>INDEX('Default Prob'!$C$3:$C$13, _xlfn.IFNA(MATCH(F1489, 'Default Prob'!$B$3:$B$13, 1), 1))</f>
        <v>2.1100000000000001E-2</v>
      </c>
      <c r="K1489" s="26">
        <f t="shared" si="302"/>
        <v>0.88829504485569799</v>
      </c>
      <c r="L1489" s="27">
        <f t="shared" ca="1" si="303"/>
        <v>0</v>
      </c>
      <c r="M1489" s="27">
        <f t="shared" ca="1" si="304"/>
        <v>0</v>
      </c>
      <c r="N1489" s="28">
        <f t="shared" ca="1" si="305"/>
        <v>0</v>
      </c>
      <c r="O1489" s="29">
        <f t="shared" ca="1" si="306"/>
        <v>0</v>
      </c>
      <c r="P1489" s="30">
        <f t="shared" ca="1" si="307"/>
        <v>0</v>
      </c>
    </row>
    <row r="1490" spans="1:16" x14ac:dyDescent="0.25">
      <c r="A1490" s="3">
        <f t="shared" si="308"/>
        <v>48198</v>
      </c>
      <c r="B1490" s="21">
        <f t="shared" si="299"/>
        <v>36876</v>
      </c>
      <c r="C1490" s="21">
        <f t="shared" si="300"/>
        <v>36880</v>
      </c>
      <c r="D1490" s="1">
        <f t="shared" si="309"/>
        <v>0</v>
      </c>
      <c r="E1490" s="3">
        <f t="array" ref="E1490">INDEX($A$9:A1489, MAX(IF($D$9:D1489=1, ROW(D$9:$D1489)-ROW($D$9)+1, 0)))</f>
        <v>48113</v>
      </c>
      <c r="F1490" s="23">
        <f t="shared" si="301"/>
        <v>5.675564681724846</v>
      </c>
      <c r="G1490" s="5">
        <f>INDEX('Default Prob'!$P$5:$P$14,MIN(1+_xlfn.IFNA(MATCH(F1490,'Default Prob'!$F$5:$F$14,1),0),COUNT('Default Prob'!$P$5:$P$14)))</f>
        <v>3.22895928960443E-2</v>
      </c>
      <c r="H1490" s="5">
        <f t="shared" si="310"/>
        <v>0.8784651484920214</v>
      </c>
      <c r="I1490" s="24">
        <f t="shared" si="311"/>
        <v>7.7663342528455637E-5</v>
      </c>
      <c r="J1490" s="25">
        <f>INDEX('Default Prob'!$C$3:$C$13, _xlfn.IFNA(MATCH(F1490, 'Default Prob'!$B$3:$B$13, 1), 1))</f>
        <v>2.1100000000000001E-2</v>
      </c>
      <c r="K1490" s="26">
        <f t="shared" si="302"/>
        <v>0.88824426458299521</v>
      </c>
      <c r="L1490" s="27">
        <f t="shared" ca="1" si="303"/>
        <v>0</v>
      </c>
      <c r="M1490" s="27">
        <f t="shared" ca="1" si="304"/>
        <v>0</v>
      </c>
      <c r="N1490" s="28">
        <f t="shared" ca="1" si="305"/>
        <v>0</v>
      </c>
      <c r="O1490" s="29">
        <f t="shared" ca="1" si="306"/>
        <v>0</v>
      </c>
      <c r="P1490" s="30">
        <f t="shared" ca="1" si="307"/>
        <v>0</v>
      </c>
    </row>
    <row r="1491" spans="1:16" x14ac:dyDescent="0.25">
      <c r="A1491" s="3">
        <f t="shared" si="308"/>
        <v>48199</v>
      </c>
      <c r="B1491" s="21">
        <f t="shared" si="299"/>
        <v>36877</v>
      </c>
      <c r="C1491" s="21">
        <f t="shared" si="300"/>
        <v>36880</v>
      </c>
      <c r="D1491" s="1">
        <f t="shared" si="309"/>
        <v>0</v>
      </c>
      <c r="E1491" s="3">
        <f t="array" ref="E1491">INDEX($A$9:A1490, MAX(IF($D$9:D1490=1, ROW(D$9:$D1490)-ROW($D$9)+1, 0)))</f>
        <v>48113</v>
      </c>
      <c r="F1491" s="23">
        <f t="shared" si="301"/>
        <v>5.678302532511978</v>
      </c>
      <c r="G1491" s="5">
        <f>INDEX('Default Prob'!$P$5:$P$14,MIN(1+_xlfn.IFNA(MATCH(F1491,'Default Prob'!$F$5:$F$14,1),0),COUNT('Default Prob'!$P$5:$P$14)))</f>
        <v>3.22895928960443E-2</v>
      </c>
      <c r="H1491" s="5">
        <f t="shared" si="310"/>
        <v>0.87838749201494637</v>
      </c>
      <c r="I1491" s="24">
        <f t="shared" si="311"/>
        <v>7.7656477075027652E-5</v>
      </c>
      <c r="J1491" s="25">
        <f>INDEX('Default Prob'!$C$3:$C$13, _xlfn.IFNA(MATCH(F1491, 'Default Prob'!$B$3:$B$13, 1), 1))</f>
        <v>2.1100000000000001E-2</v>
      </c>
      <c r="K1491" s="26">
        <f t="shared" si="302"/>
        <v>0.88819348721319724</v>
      </c>
      <c r="L1491" s="27">
        <f t="shared" ca="1" si="303"/>
        <v>0</v>
      </c>
      <c r="M1491" s="27">
        <f t="shared" ca="1" si="304"/>
        <v>0</v>
      </c>
      <c r="N1491" s="28">
        <f t="shared" ca="1" si="305"/>
        <v>0</v>
      </c>
      <c r="O1491" s="29">
        <f t="shared" ca="1" si="306"/>
        <v>0</v>
      </c>
      <c r="P1491" s="30">
        <f t="shared" ca="1" si="307"/>
        <v>0</v>
      </c>
    </row>
    <row r="1492" spans="1:16" x14ac:dyDescent="0.25">
      <c r="A1492" s="3">
        <f t="shared" si="308"/>
        <v>48200</v>
      </c>
      <c r="B1492" s="21">
        <f t="shared" si="299"/>
        <v>36878</v>
      </c>
      <c r="C1492" s="21">
        <f t="shared" si="300"/>
        <v>36880</v>
      </c>
      <c r="D1492" s="1">
        <f t="shared" si="309"/>
        <v>0</v>
      </c>
      <c r="E1492" s="3">
        <f t="array" ref="E1492">INDEX($A$9:A1491, MAX(IF($D$9:D1491=1, ROW(D$9:$D1491)-ROW($D$9)+1, 0)))</f>
        <v>48113</v>
      </c>
      <c r="F1492" s="23">
        <f t="shared" si="301"/>
        <v>5.6810403832991101</v>
      </c>
      <c r="G1492" s="5">
        <f>INDEX('Default Prob'!$P$5:$P$14,MIN(1+_xlfn.IFNA(MATCH(F1492,'Default Prob'!$F$5:$F$14,1),0),COUNT('Default Prob'!$P$5:$P$14)))</f>
        <v>3.22895928960443E-2</v>
      </c>
      <c r="H1492" s="5">
        <f t="shared" si="310"/>
        <v>0.87830984240271781</v>
      </c>
      <c r="I1492" s="24">
        <f t="shared" si="311"/>
        <v>7.7649612228558595E-5</v>
      </c>
      <c r="J1492" s="25">
        <f>INDEX('Default Prob'!$C$3:$C$13, _xlfn.IFNA(MATCH(F1492, 'Default Prob'!$B$3:$B$13, 1), 1))</f>
        <v>2.1100000000000001E-2</v>
      </c>
      <c r="K1492" s="26">
        <f t="shared" si="302"/>
        <v>0.88814271274613832</v>
      </c>
      <c r="L1492" s="27">
        <f t="shared" ca="1" si="303"/>
        <v>0</v>
      </c>
      <c r="M1492" s="27">
        <f t="shared" ca="1" si="304"/>
        <v>0</v>
      </c>
      <c r="N1492" s="28">
        <f t="shared" ca="1" si="305"/>
        <v>0</v>
      </c>
      <c r="O1492" s="29">
        <f t="shared" ca="1" si="306"/>
        <v>0</v>
      </c>
      <c r="P1492" s="30">
        <f t="shared" ca="1" si="307"/>
        <v>0</v>
      </c>
    </row>
    <row r="1493" spans="1:16" x14ac:dyDescent="0.25">
      <c r="A1493" s="3">
        <f t="shared" si="308"/>
        <v>48201</v>
      </c>
      <c r="B1493" s="21">
        <f t="shared" si="299"/>
        <v>36879</v>
      </c>
      <c r="C1493" s="21">
        <f t="shared" si="300"/>
        <v>36880</v>
      </c>
      <c r="D1493" s="1">
        <f t="shared" si="309"/>
        <v>0</v>
      </c>
      <c r="E1493" s="3">
        <f t="array" ref="E1493">INDEX($A$9:A1492, MAX(IF($D$9:D1492=1, ROW(D$9:$D1492)-ROW($D$9)+1, 0)))</f>
        <v>48113</v>
      </c>
      <c r="F1493" s="23">
        <f t="shared" si="301"/>
        <v>5.6837782340862422</v>
      </c>
      <c r="G1493" s="5">
        <f>INDEX('Default Prob'!$P$5:$P$14,MIN(1+_xlfn.IFNA(MATCH(F1493,'Default Prob'!$F$5:$F$14,1),0),COUNT('Default Prob'!$P$5:$P$14)))</f>
        <v>3.22895928960443E-2</v>
      </c>
      <c r="H1493" s="5">
        <f t="shared" si="310"/>
        <v>0.87823219965472898</v>
      </c>
      <c r="I1493" s="24">
        <f t="shared" si="311"/>
        <v>7.7642747988826422E-5</v>
      </c>
      <c r="J1493" s="25">
        <f>INDEX('Default Prob'!$C$3:$C$13, _xlfn.IFNA(MATCH(F1493, 'Default Prob'!$B$3:$B$13, 1), 1))</f>
        <v>2.1100000000000001E-2</v>
      </c>
      <c r="K1493" s="26">
        <f t="shared" si="302"/>
        <v>0.88809194118165247</v>
      </c>
      <c r="L1493" s="27">
        <f t="shared" ca="1" si="303"/>
        <v>0</v>
      </c>
      <c r="M1493" s="27">
        <f t="shared" ca="1" si="304"/>
        <v>0</v>
      </c>
      <c r="N1493" s="28">
        <f t="shared" ca="1" si="305"/>
        <v>0</v>
      </c>
      <c r="O1493" s="29">
        <f t="shared" ca="1" si="306"/>
        <v>0</v>
      </c>
      <c r="P1493" s="30">
        <f t="shared" ca="1" si="307"/>
        <v>0</v>
      </c>
    </row>
    <row r="1494" spans="1:16" x14ac:dyDescent="0.25">
      <c r="A1494" s="3">
        <f t="shared" si="308"/>
        <v>48204</v>
      </c>
      <c r="B1494" s="21">
        <f t="shared" si="299"/>
        <v>36882</v>
      </c>
      <c r="C1494" s="21">
        <f t="shared" si="300"/>
        <v>36605</v>
      </c>
      <c r="D1494" s="1">
        <f t="shared" si="309"/>
        <v>1</v>
      </c>
      <c r="E1494" s="3">
        <f t="array" ref="E1494">INDEX($A$9:A1493, MAX(IF($D$9:D1493=1, ROW(D$9:$D1493)-ROW($D$9)+1, 0)))</f>
        <v>48113</v>
      </c>
      <c r="F1494" s="23">
        <f t="shared" si="301"/>
        <v>5.6919917864476384</v>
      </c>
      <c r="G1494" s="5">
        <f>INDEX('Default Prob'!$P$5:$P$14,MIN(1+_xlfn.IFNA(MATCH(F1494,'Default Prob'!$F$5:$F$14,1),0),COUNT('Default Prob'!$P$5:$P$14)))</f>
        <v>3.22895928960443E-2</v>
      </c>
      <c r="H1494" s="5">
        <f t="shared" si="310"/>
        <v>0.87799931259013275</v>
      </c>
      <c r="I1494" s="24">
        <f t="shared" si="311"/>
        <v>2.3288706459623221E-4</v>
      </c>
      <c r="J1494" s="25">
        <f>INDEX('Default Prob'!$C$3:$C$13, _xlfn.IFNA(MATCH(F1494, 'Default Prob'!$B$3:$B$13, 1), 1))</f>
        <v>2.1100000000000001E-2</v>
      </c>
      <c r="K1494" s="26">
        <f t="shared" si="302"/>
        <v>0.88793964390197411</v>
      </c>
      <c r="L1494" s="27">
        <f t="shared" ca="1" si="303"/>
        <v>0</v>
      </c>
      <c r="M1494" s="27">
        <f t="shared" ca="1" si="304"/>
        <v>0</v>
      </c>
      <c r="N1494" s="28">
        <f t="shared" ca="1" si="305"/>
        <v>0</v>
      </c>
      <c r="O1494" s="29">
        <f t="shared" ca="1" si="306"/>
        <v>0</v>
      </c>
      <c r="P1494" s="30">
        <f t="shared" ca="1" si="307"/>
        <v>0</v>
      </c>
    </row>
    <row r="1495" spans="1:16" x14ac:dyDescent="0.25">
      <c r="A1495" s="3">
        <f t="shared" si="308"/>
        <v>48205</v>
      </c>
      <c r="B1495" s="21">
        <f t="shared" si="299"/>
        <v>36883</v>
      </c>
      <c r="C1495" s="21">
        <f t="shared" si="300"/>
        <v>36605</v>
      </c>
      <c r="D1495" s="1">
        <f t="shared" si="309"/>
        <v>0</v>
      </c>
      <c r="E1495" s="3">
        <f t="array" ref="E1495">INDEX($A$9:A1494, MAX(IF($D$9:D1494=1, ROW(D$9:$D1494)-ROW($D$9)+1, 0)))</f>
        <v>48204</v>
      </c>
      <c r="F1495" s="23">
        <f t="shared" si="301"/>
        <v>5.6947296372347704</v>
      </c>
      <c r="G1495" s="5">
        <f>INDEX('Default Prob'!$P$5:$P$14,MIN(1+_xlfn.IFNA(MATCH(F1495,'Default Prob'!$F$5:$F$14,1),0),COUNT('Default Prob'!$P$5:$P$14)))</f>
        <v>3.22895928960443E-2</v>
      </c>
      <c r="H1495" s="5">
        <f t="shared" si="310"/>
        <v>0.87792169729303515</v>
      </c>
      <c r="I1495" s="24">
        <f t="shared" si="311"/>
        <v>7.7615297097599623E-5</v>
      </c>
      <c r="J1495" s="25">
        <f>INDEX('Default Prob'!$C$3:$C$13, _xlfn.IFNA(MATCH(F1495, 'Default Prob'!$B$3:$B$13, 1), 1))</f>
        <v>2.1100000000000001E-2</v>
      </c>
      <c r="K1495" s="26">
        <f t="shared" si="302"/>
        <v>0.88788888394612142</v>
      </c>
      <c r="L1495" s="27">
        <f t="shared" ca="1" si="303"/>
        <v>0</v>
      </c>
      <c r="M1495" s="27">
        <f t="shared" ca="1" si="304"/>
        <v>0</v>
      </c>
      <c r="N1495" s="28">
        <f t="shared" ca="1" si="305"/>
        <v>0</v>
      </c>
      <c r="O1495" s="29">
        <f t="shared" ca="1" si="306"/>
        <v>0</v>
      </c>
      <c r="P1495" s="30">
        <f t="shared" ca="1" si="307"/>
        <v>0</v>
      </c>
    </row>
    <row r="1496" spans="1:16" x14ac:dyDescent="0.25">
      <c r="A1496" s="3">
        <f t="shared" si="308"/>
        <v>48206</v>
      </c>
      <c r="B1496" s="21">
        <f t="shared" si="299"/>
        <v>36884</v>
      </c>
      <c r="C1496" s="21">
        <f t="shared" si="300"/>
        <v>36605</v>
      </c>
      <c r="D1496" s="1">
        <f t="shared" si="309"/>
        <v>0</v>
      </c>
      <c r="E1496" s="3">
        <f t="array" ref="E1496">INDEX($A$9:A1495, MAX(IF($D$9:D1495=1, ROW(D$9:$D1495)-ROW($D$9)+1, 0)))</f>
        <v>48204</v>
      </c>
      <c r="F1496" s="23">
        <f t="shared" si="301"/>
        <v>5.6974674880219025</v>
      </c>
      <c r="G1496" s="5">
        <f>INDEX('Default Prob'!$P$5:$P$14,MIN(1+_xlfn.IFNA(MATCH(F1496,'Default Prob'!$F$5:$F$14,1),0),COUNT('Default Prob'!$P$5:$P$14)))</f>
        <v>3.22895928960443E-2</v>
      </c>
      <c r="H1496" s="5">
        <f t="shared" si="310"/>
        <v>0.87784408885714382</v>
      </c>
      <c r="I1496" s="24">
        <f t="shared" si="311"/>
        <v>7.7608435891329819E-5</v>
      </c>
      <c r="J1496" s="25">
        <f>INDEX('Default Prob'!$C$3:$C$13, _xlfn.IFNA(MATCH(F1496, 'Default Prob'!$B$3:$B$13, 1), 1))</f>
        <v>2.1100000000000001E-2</v>
      </c>
      <c r="K1496" s="26">
        <f t="shared" si="302"/>
        <v>0.88783812689201225</v>
      </c>
      <c r="L1496" s="27">
        <f t="shared" ca="1" si="303"/>
        <v>0</v>
      </c>
      <c r="M1496" s="27">
        <f t="shared" ca="1" si="304"/>
        <v>0</v>
      </c>
      <c r="N1496" s="28">
        <f t="shared" ca="1" si="305"/>
        <v>0</v>
      </c>
      <c r="O1496" s="29">
        <f t="shared" ca="1" si="306"/>
        <v>0</v>
      </c>
      <c r="P1496" s="30">
        <f t="shared" ca="1" si="307"/>
        <v>0</v>
      </c>
    </row>
    <row r="1497" spans="1:16" x14ac:dyDescent="0.25">
      <c r="A1497" s="3">
        <f t="shared" si="308"/>
        <v>48207</v>
      </c>
      <c r="B1497" s="21">
        <f t="shared" si="299"/>
        <v>36885</v>
      </c>
      <c r="C1497" s="21">
        <f t="shared" si="300"/>
        <v>36605</v>
      </c>
      <c r="D1497" s="1">
        <f t="shared" si="309"/>
        <v>0</v>
      </c>
      <c r="E1497" s="3">
        <f t="array" ref="E1497">INDEX($A$9:A1496, MAX(IF($D$9:D1496=1, ROW(D$9:$D1496)-ROW($D$9)+1, 0)))</f>
        <v>48204</v>
      </c>
      <c r="F1497" s="23">
        <f t="shared" si="301"/>
        <v>5.7002053388090346</v>
      </c>
      <c r="G1497" s="5">
        <f>INDEX('Default Prob'!$P$5:$P$14,MIN(1+_xlfn.IFNA(MATCH(F1497,'Default Prob'!$F$5:$F$14,1),0),COUNT('Default Prob'!$P$5:$P$14)))</f>
        <v>3.22895928960443E-2</v>
      </c>
      <c r="H1497" s="5">
        <f t="shared" si="310"/>
        <v>0.87776648728185214</v>
      </c>
      <c r="I1497" s="24">
        <f t="shared" si="311"/>
        <v>7.7601575291685876E-5</v>
      </c>
      <c r="J1497" s="25">
        <f>INDEX('Default Prob'!$C$3:$C$13, _xlfn.IFNA(MATCH(F1497, 'Default Prob'!$B$3:$B$13, 1), 1))</f>
        <v>2.1100000000000001E-2</v>
      </c>
      <c r="K1497" s="26">
        <f t="shared" si="302"/>
        <v>0.88778737273948061</v>
      </c>
      <c r="L1497" s="27">
        <f t="shared" ca="1" si="303"/>
        <v>0</v>
      </c>
      <c r="M1497" s="27">
        <f t="shared" ca="1" si="304"/>
        <v>0</v>
      </c>
      <c r="N1497" s="28">
        <f t="shared" ca="1" si="305"/>
        <v>0</v>
      </c>
      <c r="O1497" s="29">
        <f t="shared" ca="1" si="306"/>
        <v>0</v>
      </c>
      <c r="P1497" s="30">
        <f t="shared" ca="1" si="307"/>
        <v>0</v>
      </c>
    </row>
    <row r="1498" spans="1:16" x14ac:dyDescent="0.25">
      <c r="A1498" s="3">
        <f t="shared" si="308"/>
        <v>48208</v>
      </c>
      <c r="B1498" s="21">
        <f t="shared" si="299"/>
        <v>36886</v>
      </c>
      <c r="C1498" s="21">
        <f t="shared" si="300"/>
        <v>36605</v>
      </c>
      <c r="D1498" s="1">
        <f t="shared" si="309"/>
        <v>0</v>
      </c>
      <c r="E1498" s="3">
        <f t="array" ref="E1498">INDEX($A$9:A1497, MAX(IF($D$9:D1497=1, ROW(D$9:$D1497)-ROW($D$9)+1, 0)))</f>
        <v>48204</v>
      </c>
      <c r="F1498" s="23">
        <f t="shared" si="301"/>
        <v>5.7029431895961666</v>
      </c>
      <c r="G1498" s="5">
        <f>INDEX('Default Prob'!$P$5:$P$14,MIN(1+_xlfn.IFNA(MATCH(F1498,'Default Prob'!$F$5:$F$14,1),0),COUNT('Default Prob'!$P$5:$P$14)))</f>
        <v>3.22895928960443E-2</v>
      </c>
      <c r="H1498" s="5">
        <f t="shared" si="310"/>
        <v>0.87768889256655369</v>
      </c>
      <c r="I1498" s="24">
        <f t="shared" si="311"/>
        <v>7.7594715298445749E-5</v>
      </c>
      <c r="J1498" s="25">
        <f>INDEX('Default Prob'!$C$3:$C$13, _xlfn.IFNA(MATCH(F1498, 'Default Prob'!$B$3:$B$13, 1), 1))</f>
        <v>2.1100000000000001E-2</v>
      </c>
      <c r="K1498" s="26">
        <f t="shared" si="302"/>
        <v>0.88773662148836086</v>
      </c>
      <c r="L1498" s="27">
        <f t="shared" ca="1" si="303"/>
        <v>0</v>
      </c>
      <c r="M1498" s="27">
        <f t="shared" ca="1" si="304"/>
        <v>0</v>
      </c>
      <c r="N1498" s="28">
        <f t="shared" ca="1" si="305"/>
        <v>0</v>
      </c>
      <c r="O1498" s="29">
        <f t="shared" ca="1" si="306"/>
        <v>0</v>
      </c>
      <c r="P1498" s="30">
        <f t="shared" ca="1" si="307"/>
        <v>0</v>
      </c>
    </row>
    <row r="1499" spans="1:16" x14ac:dyDescent="0.25">
      <c r="A1499" s="3">
        <f t="shared" si="308"/>
        <v>48211</v>
      </c>
      <c r="B1499" s="21">
        <f t="shared" si="299"/>
        <v>36889</v>
      </c>
      <c r="C1499" s="21">
        <f t="shared" si="300"/>
        <v>36605</v>
      </c>
      <c r="D1499" s="1">
        <f t="shared" si="309"/>
        <v>0</v>
      </c>
      <c r="E1499" s="3">
        <f t="array" ref="E1499">INDEX($A$9:A1498, MAX(IF($D$9:D1498=1, ROW(D$9:$D1498)-ROW($D$9)+1, 0)))</f>
        <v>48204</v>
      </c>
      <c r="F1499" s="23">
        <f t="shared" si="301"/>
        <v>5.7111567419575637</v>
      </c>
      <c r="G1499" s="5">
        <f>INDEX('Default Prob'!$P$5:$P$14,MIN(1+_xlfn.IFNA(MATCH(F1499,'Default Prob'!$F$5:$F$14,1),0),COUNT('Default Prob'!$P$5:$P$14)))</f>
        <v>3.22895928960443E-2</v>
      </c>
      <c r="H1499" s="5">
        <f t="shared" si="310"/>
        <v>0.87745614957455342</v>
      </c>
      <c r="I1499" s="24">
        <f t="shared" si="311"/>
        <v>2.3274299200026771E-4</v>
      </c>
      <c r="J1499" s="25">
        <f>INDEX('Default Prob'!$C$3:$C$13, _xlfn.IFNA(MATCH(F1499, 'Default Prob'!$B$3:$B$13, 1), 1))</f>
        <v>2.1100000000000001E-2</v>
      </c>
      <c r="K1499" s="26">
        <f t="shared" si="302"/>
        <v>0.88758438514181381</v>
      </c>
      <c r="L1499" s="27">
        <f t="shared" ca="1" si="303"/>
        <v>0</v>
      </c>
      <c r="M1499" s="27">
        <f t="shared" ca="1" si="304"/>
        <v>0</v>
      </c>
      <c r="N1499" s="28">
        <f t="shared" ca="1" si="305"/>
        <v>0</v>
      </c>
      <c r="O1499" s="29">
        <f t="shared" ca="1" si="306"/>
        <v>0</v>
      </c>
      <c r="P1499" s="30">
        <f t="shared" ca="1" si="307"/>
        <v>0</v>
      </c>
    </row>
    <row r="1500" spans="1:16" x14ac:dyDescent="0.25">
      <c r="A1500" s="3">
        <f t="shared" si="308"/>
        <v>48212</v>
      </c>
      <c r="B1500" s="21">
        <f t="shared" si="299"/>
        <v>36890</v>
      </c>
      <c r="C1500" s="21">
        <f t="shared" si="300"/>
        <v>36605</v>
      </c>
      <c r="D1500" s="1">
        <f t="shared" si="309"/>
        <v>0</v>
      </c>
      <c r="E1500" s="3">
        <f t="array" ref="E1500">INDEX($A$9:A1499, MAX(IF($D$9:D1499=1, ROW(D$9:$D1499)-ROW($D$9)+1, 0)))</f>
        <v>48204</v>
      </c>
      <c r="F1500" s="23">
        <f t="shared" si="301"/>
        <v>5.7138945927446958</v>
      </c>
      <c r="G1500" s="5">
        <f>INDEX('Default Prob'!$P$5:$P$14,MIN(1+_xlfn.IFNA(MATCH(F1500,'Default Prob'!$F$5:$F$14,1),0),COUNT('Default Prob'!$P$5:$P$14)))</f>
        <v>3.22895928960443E-2</v>
      </c>
      <c r="H1500" s="5">
        <f t="shared" si="310"/>
        <v>0.87737858229316412</v>
      </c>
      <c r="I1500" s="24">
        <f t="shared" si="311"/>
        <v>7.7567281389301357E-5</v>
      </c>
      <c r="J1500" s="25">
        <f>INDEX('Default Prob'!$C$3:$C$13, _xlfn.IFNA(MATCH(F1500, 'Default Prob'!$B$3:$B$13, 1), 1))</f>
        <v>2.1100000000000001E-2</v>
      </c>
      <c r="K1500" s="26">
        <f t="shared" si="302"/>
        <v>0.88753364549468261</v>
      </c>
      <c r="L1500" s="27">
        <f t="shared" ca="1" si="303"/>
        <v>0</v>
      </c>
      <c r="M1500" s="27">
        <f t="shared" ca="1" si="304"/>
        <v>0</v>
      </c>
      <c r="N1500" s="28">
        <f t="shared" ca="1" si="305"/>
        <v>0</v>
      </c>
      <c r="O1500" s="29">
        <f t="shared" ca="1" si="306"/>
        <v>0</v>
      </c>
      <c r="P1500" s="30">
        <f t="shared" ca="1" si="307"/>
        <v>0</v>
      </c>
    </row>
    <row r="1501" spans="1:16" x14ac:dyDescent="0.25">
      <c r="A1501" s="3">
        <f t="shared" si="308"/>
        <v>48213</v>
      </c>
      <c r="B1501" s="21">
        <f t="shared" si="299"/>
        <v>36891</v>
      </c>
      <c r="C1501" s="21">
        <f t="shared" si="300"/>
        <v>36605</v>
      </c>
      <c r="D1501" s="1">
        <f t="shared" si="309"/>
        <v>0</v>
      </c>
      <c r="E1501" s="3">
        <f t="array" ref="E1501">INDEX($A$9:A1500, MAX(IF($D$9:D1500=1, ROW(D$9:$D1500)-ROW($D$9)+1, 0)))</f>
        <v>48204</v>
      </c>
      <c r="F1501" s="23">
        <f t="shared" si="301"/>
        <v>5.7166324435318279</v>
      </c>
      <c r="G1501" s="5">
        <f>INDEX('Default Prob'!$P$5:$P$14,MIN(1+_xlfn.IFNA(MATCH(F1501,'Default Prob'!$F$5:$F$14,1),0),COUNT('Default Prob'!$P$5:$P$14)))</f>
        <v>3.22895928960443E-2</v>
      </c>
      <c r="H1501" s="5">
        <f t="shared" si="310"/>
        <v>0.87730102186873637</v>
      </c>
      <c r="I1501" s="24">
        <f t="shared" si="311"/>
        <v>7.7560424427747243E-5</v>
      </c>
      <c r="J1501" s="25">
        <f>INDEX('Default Prob'!$C$3:$C$13, _xlfn.IFNA(MATCH(F1501, 'Default Prob'!$B$3:$B$13, 1), 1))</f>
        <v>2.1100000000000001E-2</v>
      </c>
      <c r="K1501" s="26">
        <f t="shared" si="302"/>
        <v>0.88748290874813385</v>
      </c>
      <c r="L1501" s="27">
        <f t="shared" ca="1" si="303"/>
        <v>0</v>
      </c>
      <c r="M1501" s="27">
        <f t="shared" ca="1" si="304"/>
        <v>0</v>
      </c>
      <c r="N1501" s="28">
        <f t="shared" ca="1" si="305"/>
        <v>0</v>
      </c>
      <c r="O1501" s="29">
        <f t="shared" ca="1" si="306"/>
        <v>0</v>
      </c>
      <c r="P1501" s="30">
        <f t="shared" ca="1" si="307"/>
        <v>0</v>
      </c>
    </row>
    <row r="1502" spans="1:16" x14ac:dyDescent="0.25">
      <c r="A1502" s="3">
        <f t="shared" si="308"/>
        <v>48214</v>
      </c>
      <c r="B1502" s="21">
        <f t="shared" si="299"/>
        <v>36526</v>
      </c>
      <c r="C1502" s="21">
        <f t="shared" si="300"/>
        <v>36605</v>
      </c>
      <c r="D1502" s="1">
        <f t="shared" si="309"/>
        <v>0</v>
      </c>
      <c r="E1502" s="3">
        <f t="array" ref="E1502">INDEX($A$9:A1501, MAX(IF($D$9:D1501=1, ROW(D$9:$D1501)-ROW($D$9)+1, 0)))</f>
        <v>48204</v>
      </c>
      <c r="F1502" s="23">
        <f t="shared" si="301"/>
        <v>5.7193702943189599</v>
      </c>
      <c r="G1502" s="5">
        <f>INDEX('Default Prob'!$P$5:$P$14,MIN(1+_xlfn.IFNA(MATCH(F1502,'Default Prob'!$F$5:$F$14,1),0),COUNT('Default Prob'!$P$5:$P$14)))</f>
        <v>3.22895928960443E-2</v>
      </c>
      <c r="H1502" s="5">
        <f t="shared" si="310"/>
        <v>0.87722346830066411</v>
      </c>
      <c r="I1502" s="24">
        <f t="shared" si="311"/>
        <v>7.7553568072263879E-5</v>
      </c>
      <c r="J1502" s="25">
        <f>INDEX('Default Prob'!$C$3:$C$13, _xlfn.IFNA(MATCH(F1502, 'Default Prob'!$B$3:$B$13, 1), 1))</f>
        <v>2.1100000000000001E-2</v>
      </c>
      <c r="K1502" s="26">
        <f t="shared" si="302"/>
        <v>0.8874321749020021</v>
      </c>
      <c r="L1502" s="27">
        <f t="shared" ca="1" si="303"/>
        <v>0</v>
      </c>
      <c r="M1502" s="27">
        <f t="shared" ca="1" si="304"/>
        <v>0</v>
      </c>
      <c r="N1502" s="28">
        <f t="shared" ca="1" si="305"/>
        <v>0</v>
      </c>
      <c r="O1502" s="29">
        <f t="shared" ca="1" si="306"/>
        <v>0</v>
      </c>
      <c r="P1502" s="30">
        <f t="shared" ca="1" si="307"/>
        <v>0</v>
      </c>
    </row>
    <row r="1503" spans="1:16" x14ac:dyDescent="0.25">
      <c r="A1503" s="3">
        <f t="shared" si="308"/>
        <v>48215</v>
      </c>
      <c r="B1503" s="21">
        <f t="shared" si="299"/>
        <v>36527</v>
      </c>
      <c r="C1503" s="21">
        <f t="shared" si="300"/>
        <v>36605</v>
      </c>
      <c r="D1503" s="1">
        <f t="shared" si="309"/>
        <v>0</v>
      </c>
      <c r="E1503" s="3">
        <f t="array" ref="E1503">INDEX($A$9:A1502, MAX(IF($D$9:D1502=1, ROW(D$9:$D1502)-ROW($D$9)+1, 0)))</f>
        <v>48204</v>
      </c>
      <c r="F1503" s="23">
        <f t="shared" si="301"/>
        <v>5.722108145106092</v>
      </c>
      <c r="G1503" s="5">
        <f>INDEX('Default Prob'!$P$5:$P$14,MIN(1+_xlfn.IFNA(MATCH(F1503,'Default Prob'!$F$5:$F$14,1),0),COUNT('Default Prob'!$P$5:$P$14)))</f>
        <v>3.22895928960443E-2</v>
      </c>
      <c r="H1503" s="5">
        <f t="shared" si="310"/>
        <v>0.87714592158834126</v>
      </c>
      <c r="I1503" s="24">
        <f t="shared" si="311"/>
        <v>7.7546712322851263E-5</v>
      </c>
      <c r="J1503" s="25">
        <f>INDEX('Default Prob'!$C$3:$C$13, _xlfn.IFNA(MATCH(F1503, 'Default Prob'!$B$3:$B$13, 1), 1))</f>
        <v>2.1100000000000001E-2</v>
      </c>
      <c r="K1503" s="26">
        <f t="shared" si="302"/>
        <v>0.88738144395612117</v>
      </c>
      <c r="L1503" s="27">
        <f t="shared" ca="1" si="303"/>
        <v>0</v>
      </c>
      <c r="M1503" s="27">
        <f t="shared" ca="1" si="304"/>
        <v>0</v>
      </c>
      <c r="N1503" s="28">
        <f t="shared" ca="1" si="305"/>
        <v>0</v>
      </c>
      <c r="O1503" s="29">
        <f t="shared" ca="1" si="306"/>
        <v>0</v>
      </c>
      <c r="P1503" s="30">
        <f t="shared" ca="1" si="307"/>
        <v>0</v>
      </c>
    </row>
    <row r="1504" spans="1:16" x14ac:dyDescent="0.25">
      <c r="A1504" s="3">
        <f t="shared" si="308"/>
        <v>48218</v>
      </c>
      <c r="B1504" s="21">
        <f t="shared" si="299"/>
        <v>36530</v>
      </c>
      <c r="C1504" s="21">
        <f t="shared" si="300"/>
        <v>36605</v>
      </c>
      <c r="D1504" s="1">
        <f t="shared" si="309"/>
        <v>0</v>
      </c>
      <c r="E1504" s="3">
        <f t="array" ref="E1504">INDEX($A$9:A1503, MAX(IF($D$9:D1503=1, ROW(D$9:$D1503)-ROW($D$9)+1, 0)))</f>
        <v>48204</v>
      </c>
      <c r="F1504" s="23">
        <f t="shared" si="301"/>
        <v>5.7303216974674882</v>
      </c>
      <c r="G1504" s="5">
        <f>INDEX('Default Prob'!$P$5:$P$14,MIN(1+_xlfn.IFNA(MATCH(F1504,'Default Prob'!$F$5:$F$14,1),0),COUNT('Default Prob'!$P$5:$P$14)))</f>
        <v>3.22895928960443E-2</v>
      </c>
      <c r="H1504" s="5">
        <f t="shared" si="310"/>
        <v>0.87691332257980847</v>
      </c>
      <c r="I1504" s="24">
        <f t="shared" si="311"/>
        <v>2.3259900853278559E-4</v>
      </c>
      <c r="J1504" s="25">
        <f>INDEX('Default Prob'!$C$3:$C$13, _xlfn.IFNA(MATCH(F1504, 'Default Prob'!$B$3:$B$13, 1), 1))</f>
        <v>2.1100000000000001E-2</v>
      </c>
      <c r="K1504" s="26">
        <f t="shared" si="302"/>
        <v>0.88722926851832618</v>
      </c>
      <c r="L1504" s="27">
        <f t="shared" ca="1" si="303"/>
        <v>0</v>
      </c>
      <c r="M1504" s="27">
        <f t="shared" ca="1" si="304"/>
        <v>0</v>
      </c>
      <c r="N1504" s="28">
        <f t="shared" ca="1" si="305"/>
        <v>0</v>
      </c>
      <c r="O1504" s="29">
        <f t="shared" ca="1" si="306"/>
        <v>0</v>
      </c>
      <c r="P1504" s="30">
        <f t="shared" ca="1" si="307"/>
        <v>0</v>
      </c>
    </row>
    <row r="1505" spans="1:16" x14ac:dyDescent="0.25">
      <c r="A1505" s="3">
        <f t="shared" si="308"/>
        <v>48219</v>
      </c>
      <c r="B1505" s="21">
        <f t="shared" si="299"/>
        <v>36531</v>
      </c>
      <c r="C1505" s="21">
        <f t="shared" si="300"/>
        <v>36605</v>
      </c>
      <c r="D1505" s="1">
        <f t="shared" si="309"/>
        <v>0</v>
      </c>
      <c r="E1505" s="3">
        <f t="array" ref="E1505">INDEX($A$9:A1504, MAX(IF($D$9:D1504=1, ROW(D$9:$D1504)-ROW($D$9)+1, 0)))</f>
        <v>48204</v>
      </c>
      <c r="F1505" s="23">
        <f t="shared" si="301"/>
        <v>5.7330595482546203</v>
      </c>
      <c r="G1505" s="5">
        <f>INDEX('Default Prob'!$P$5:$P$14,MIN(1+_xlfn.IFNA(MATCH(F1505,'Default Prob'!$F$5:$F$14,1),0),COUNT('Default Prob'!$P$5:$P$14)))</f>
        <v>3.22895928960443E-2</v>
      </c>
      <c r="H1505" s="5">
        <f t="shared" si="310"/>
        <v>0.87683580328442312</v>
      </c>
      <c r="I1505" s="24">
        <f t="shared" si="311"/>
        <v>7.7519295385353182E-5</v>
      </c>
      <c r="J1505" s="25">
        <f>INDEX('Default Prob'!$C$3:$C$13, _xlfn.IFNA(MATCH(F1505, 'Default Prob'!$B$3:$B$13, 1), 1))</f>
        <v>2.1100000000000001E-2</v>
      </c>
      <c r="K1505" s="26">
        <f t="shared" si="302"/>
        <v>0.88717854917179118</v>
      </c>
      <c r="L1505" s="27">
        <f t="shared" ca="1" si="303"/>
        <v>0</v>
      </c>
      <c r="M1505" s="27">
        <f t="shared" ca="1" si="304"/>
        <v>0</v>
      </c>
      <c r="N1505" s="28">
        <f t="shared" ca="1" si="305"/>
        <v>0</v>
      </c>
      <c r="O1505" s="29">
        <f t="shared" ca="1" si="306"/>
        <v>0</v>
      </c>
      <c r="P1505" s="30">
        <f t="shared" ca="1" si="307"/>
        <v>0</v>
      </c>
    </row>
    <row r="1506" spans="1:16" x14ac:dyDescent="0.25">
      <c r="A1506" s="3">
        <f t="shared" si="308"/>
        <v>48220</v>
      </c>
      <c r="B1506" s="21">
        <f t="shared" si="299"/>
        <v>36532</v>
      </c>
      <c r="C1506" s="21">
        <f t="shared" si="300"/>
        <v>36605</v>
      </c>
      <c r="D1506" s="1">
        <f t="shared" si="309"/>
        <v>0</v>
      </c>
      <c r="E1506" s="3">
        <f t="array" ref="E1506">INDEX($A$9:A1505, MAX(IF($D$9:D1505=1, ROW(D$9:$D1505)-ROW($D$9)+1, 0)))</f>
        <v>48204</v>
      </c>
      <c r="F1506" s="23">
        <f t="shared" si="301"/>
        <v>5.7357973990417523</v>
      </c>
      <c r="G1506" s="5">
        <f>INDEX('Default Prob'!$P$5:$P$14,MIN(1+_xlfn.IFNA(MATCH(F1506,'Default Prob'!$F$5:$F$14,1),0),COUNT('Default Prob'!$P$5:$P$14)))</f>
        <v>3.22895928960443E-2</v>
      </c>
      <c r="H1506" s="5">
        <f t="shared" si="310"/>
        <v>0.87675829084175738</v>
      </c>
      <c r="I1506" s="24">
        <f t="shared" si="311"/>
        <v>7.7512442665739201E-5</v>
      </c>
      <c r="J1506" s="25">
        <f>INDEX('Default Prob'!$C$3:$C$13, _xlfn.IFNA(MATCH(F1506, 'Default Prob'!$B$3:$B$13, 1), 1))</f>
        <v>2.1100000000000001E-2</v>
      </c>
      <c r="K1506" s="26">
        <f t="shared" si="302"/>
        <v>0.88712783272467832</v>
      </c>
      <c r="L1506" s="27">
        <f t="shared" ca="1" si="303"/>
        <v>0</v>
      </c>
      <c r="M1506" s="27">
        <f t="shared" ca="1" si="304"/>
        <v>0</v>
      </c>
      <c r="N1506" s="28">
        <f t="shared" ca="1" si="305"/>
        <v>0</v>
      </c>
      <c r="O1506" s="29">
        <f t="shared" ca="1" si="306"/>
        <v>0</v>
      </c>
      <c r="P1506" s="30">
        <f t="shared" ca="1" si="307"/>
        <v>0</v>
      </c>
    </row>
    <row r="1507" spans="1:16" x14ac:dyDescent="0.25">
      <c r="A1507" s="3">
        <f t="shared" si="308"/>
        <v>48221</v>
      </c>
      <c r="B1507" s="21">
        <f t="shared" si="299"/>
        <v>36533</v>
      </c>
      <c r="C1507" s="21">
        <f t="shared" si="300"/>
        <v>36605</v>
      </c>
      <c r="D1507" s="1">
        <f t="shared" si="309"/>
        <v>0</v>
      </c>
      <c r="E1507" s="3">
        <f t="array" ref="E1507">INDEX($A$9:A1506, MAX(IF($D$9:D1506=1, ROW(D$9:$D1506)-ROW($D$9)+1, 0)))</f>
        <v>48204</v>
      </c>
      <c r="F1507" s="23">
        <f t="shared" si="301"/>
        <v>5.7385352498288844</v>
      </c>
      <c r="G1507" s="5">
        <f>INDEX('Default Prob'!$P$5:$P$14,MIN(1+_xlfn.IFNA(MATCH(F1507,'Default Prob'!$F$5:$F$14,1),0),COUNT('Default Prob'!$P$5:$P$14)))</f>
        <v>3.22895928960443E-2</v>
      </c>
      <c r="H1507" s="5">
        <f t="shared" si="310"/>
        <v>0.87668078525120552</v>
      </c>
      <c r="I1507" s="24">
        <f t="shared" si="311"/>
        <v>7.7505590551862902E-5</v>
      </c>
      <c r="J1507" s="25">
        <f>INDEX('Default Prob'!$C$3:$C$13, _xlfn.IFNA(MATCH(F1507, 'Default Prob'!$B$3:$B$13, 1), 1))</f>
        <v>2.1100000000000001E-2</v>
      </c>
      <c r="K1507" s="26">
        <f t="shared" si="302"/>
        <v>0.88707711917682153</v>
      </c>
      <c r="L1507" s="27">
        <f t="shared" ca="1" si="303"/>
        <v>0</v>
      </c>
      <c r="M1507" s="27">
        <f t="shared" ca="1" si="304"/>
        <v>0</v>
      </c>
      <c r="N1507" s="28">
        <f t="shared" ca="1" si="305"/>
        <v>0</v>
      </c>
      <c r="O1507" s="29">
        <f t="shared" ca="1" si="306"/>
        <v>0</v>
      </c>
      <c r="P1507" s="30">
        <f t="shared" ca="1" si="307"/>
        <v>0</v>
      </c>
    </row>
    <row r="1508" spans="1:16" x14ac:dyDescent="0.25">
      <c r="A1508" s="3">
        <f t="shared" si="308"/>
        <v>48222</v>
      </c>
      <c r="B1508" s="21">
        <f t="shared" si="299"/>
        <v>36534</v>
      </c>
      <c r="C1508" s="21">
        <f t="shared" si="300"/>
        <v>36605</v>
      </c>
      <c r="D1508" s="1">
        <f t="shared" si="309"/>
        <v>0</v>
      </c>
      <c r="E1508" s="3">
        <f t="array" ref="E1508">INDEX($A$9:A1507, MAX(IF($D$9:D1507=1, ROW(D$9:$D1507)-ROW($D$9)+1, 0)))</f>
        <v>48204</v>
      </c>
      <c r="F1508" s="23">
        <f t="shared" si="301"/>
        <v>5.7412731006160165</v>
      </c>
      <c r="G1508" s="5">
        <f>INDEX('Default Prob'!$P$5:$P$14,MIN(1+_xlfn.IFNA(MATCH(F1508,'Default Prob'!$F$5:$F$14,1),0),COUNT('Default Prob'!$P$5:$P$14)))</f>
        <v>3.22895928960443E-2</v>
      </c>
      <c r="H1508" s="5">
        <f t="shared" si="310"/>
        <v>0.87660328651216179</v>
      </c>
      <c r="I1508" s="24">
        <f t="shared" si="311"/>
        <v>7.7498739043724285E-5</v>
      </c>
      <c r="J1508" s="25">
        <f>INDEX('Default Prob'!$C$3:$C$13, _xlfn.IFNA(MATCH(F1508, 'Default Prob'!$B$3:$B$13, 1), 1))</f>
        <v>2.1100000000000001E-2</v>
      </c>
      <c r="K1508" s="26">
        <f t="shared" si="302"/>
        <v>0.88702640852805548</v>
      </c>
      <c r="L1508" s="27">
        <f t="shared" ca="1" si="303"/>
        <v>0</v>
      </c>
      <c r="M1508" s="27">
        <f t="shared" ca="1" si="304"/>
        <v>0</v>
      </c>
      <c r="N1508" s="28">
        <f t="shared" ca="1" si="305"/>
        <v>0</v>
      </c>
      <c r="O1508" s="29">
        <f t="shared" ca="1" si="306"/>
        <v>0</v>
      </c>
      <c r="P1508" s="30">
        <f t="shared" ca="1" si="307"/>
        <v>0</v>
      </c>
    </row>
    <row r="1509" spans="1:16" x14ac:dyDescent="0.25">
      <c r="A1509" s="3">
        <f t="shared" si="308"/>
        <v>48225</v>
      </c>
      <c r="B1509" s="21">
        <f t="shared" si="299"/>
        <v>36537</v>
      </c>
      <c r="C1509" s="21">
        <f t="shared" si="300"/>
        <v>36605</v>
      </c>
      <c r="D1509" s="1">
        <f t="shared" si="309"/>
        <v>0</v>
      </c>
      <c r="E1509" s="3">
        <f t="array" ref="E1509">INDEX($A$9:A1508, MAX(IF($D$9:D1508=1, ROW(D$9:$D1508)-ROW($D$9)+1, 0)))</f>
        <v>48204</v>
      </c>
      <c r="F1509" s="23">
        <f t="shared" si="301"/>
        <v>5.7494866529774127</v>
      </c>
      <c r="G1509" s="5">
        <f>INDEX('Default Prob'!$P$5:$P$14,MIN(1+_xlfn.IFNA(MATCH(F1509,'Default Prob'!$F$5:$F$14,1),0),COUNT('Default Prob'!$P$5:$P$14)))</f>
        <v>3.22895928960443E-2</v>
      </c>
      <c r="H1509" s="5">
        <f t="shared" si="310"/>
        <v>0.87637083139802285</v>
      </c>
      <c r="I1509" s="24">
        <f t="shared" si="311"/>
        <v>2.3245511413894082E-4</v>
      </c>
      <c r="J1509" s="25">
        <f>INDEX('Default Prob'!$C$3:$C$13, _xlfn.IFNA(MATCH(F1509, 'Default Prob'!$B$3:$B$13, 1), 1))</f>
        <v>2.1100000000000001E-2</v>
      </c>
      <c r="K1509" s="26">
        <f t="shared" si="302"/>
        <v>0.88687429397464357</v>
      </c>
      <c r="L1509" s="27">
        <f t="shared" ca="1" si="303"/>
        <v>0</v>
      </c>
      <c r="M1509" s="27">
        <f t="shared" ca="1" si="304"/>
        <v>0</v>
      </c>
      <c r="N1509" s="28">
        <f t="shared" ca="1" si="305"/>
        <v>0</v>
      </c>
      <c r="O1509" s="29">
        <f t="shared" ca="1" si="306"/>
        <v>0</v>
      </c>
      <c r="P1509" s="30">
        <f t="shared" ca="1" si="307"/>
        <v>0</v>
      </c>
    </row>
    <row r="1510" spans="1:16" x14ac:dyDescent="0.25">
      <c r="A1510" s="3">
        <f t="shared" si="308"/>
        <v>48226</v>
      </c>
      <c r="B1510" s="21">
        <f t="shared" si="299"/>
        <v>36538</v>
      </c>
      <c r="C1510" s="21">
        <f t="shared" si="300"/>
        <v>36605</v>
      </c>
      <c r="D1510" s="1">
        <f t="shared" si="309"/>
        <v>0</v>
      </c>
      <c r="E1510" s="3">
        <f t="array" ref="E1510">INDEX($A$9:A1509, MAX(IF($D$9:D1509=1, ROW(D$9:$D1509)-ROW($D$9)+1, 0)))</f>
        <v>48204</v>
      </c>
      <c r="F1510" s="23">
        <f t="shared" si="301"/>
        <v>5.7522245037645447</v>
      </c>
      <c r="G1510" s="5">
        <f>INDEX('Default Prob'!$P$5:$P$14,MIN(1+_xlfn.IFNA(MATCH(F1510,'Default Prob'!$F$5:$F$14,1),0),COUNT('Default Prob'!$P$5:$P$14)))</f>
        <v>3.22895928960443E-2</v>
      </c>
      <c r="H1510" s="5">
        <f t="shared" si="310"/>
        <v>0.87629336005895542</v>
      </c>
      <c r="I1510" s="24">
        <f t="shared" si="311"/>
        <v>7.7471339067436418E-5</v>
      </c>
      <c r="J1510" s="25">
        <f>INDEX('Default Prob'!$C$3:$C$13, _xlfn.IFNA(MATCH(F1510, 'Default Prob'!$B$3:$B$13, 1), 1))</f>
        <v>2.1100000000000001E-2</v>
      </c>
      <c r="K1510" s="26">
        <f t="shared" si="302"/>
        <v>0.88682359492058249</v>
      </c>
      <c r="L1510" s="27">
        <f t="shared" ca="1" si="303"/>
        <v>0</v>
      </c>
      <c r="M1510" s="27">
        <f t="shared" ca="1" si="304"/>
        <v>0</v>
      </c>
      <c r="N1510" s="28">
        <f t="shared" ca="1" si="305"/>
        <v>0</v>
      </c>
      <c r="O1510" s="29">
        <f t="shared" ca="1" si="306"/>
        <v>0</v>
      </c>
      <c r="P1510" s="30">
        <f t="shared" ca="1" si="307"/>
        <v>0</v>
      </c>
    </row>
    <row r="1511" spans="1:16" x14ac:dyDescent="0.25">
      <c r="A1511" s="3">
        <f t="shared" si="308"/>
        <v>48227</v>
      </c>
      <c r="B1511" s="21">
        <f t="shared" si="299"/>
        <v>36539</v>
      </c>
      <c r="C1511" s="21">
        <f t="shared" si="300"/>
        <v>36605</v>
      </c>
      <c r="D1511" s="1">
        <f t="shared" si="309"/>
        <v>0</v>
      </c>
      <c r="E1511" s="3">
        <f t="array" ref="E1511">INDEX($A$9:A1510, MAX(IF($D$9:D1510=1, ROW(D$9:$D1510)-ROW($D$9)+1, 0)))</f>
        <v>48204</v>
      </c>
      <c r="F1511" s="23">
        <f t="shared" si="301"/>
        <v>5.7549623545516768</v>
      </c>
      <c r="G1511" s="5">
        <f>INDEX('Default Prob'!$P$5:$P$14,MIN(1+_xlfn.IFNA(MATCH(F1511,'Default Prob'!$F$5:$F$14,1),0),COUNT('Default Prob'!$P$5:$P$14)))</f>
        <v>3.22895928960443E-2</v>
      </c>
      <c r="H1511" s="5">
        <f t="shared" si="310"/>
        <v>0.87621589556836832</v>
      </c>
      <c r="I1511" s="24">
        <f t="shared" si="311"/>
        <v>7.7464490587098034E-5</v>
      </c>
      <c r="J1511" s="25">
        <f>INDEX('Default Prob'!$C$3:$C$13, _xlfn.IFNA(MATCH(F1511, 'Default Prob'!$B$3:$B$13, 1), 1))</f>
        <v>2.1100000000000001E-2</v>
      </c>
      <c r="K1511" s="26">
        <f t="shared" si="302"/>
        <v>0.88677289876478371</v>
      </c>
      <c r="L1511" s="27">
        <f t="shared" ca="1" si="303"/>
        <v>0</v>
      </c>
      <c r="M1511" s="27">
        <f t="shared" ca="1" si="304"/>
        <v>0</v>
      </c>
      <c r="N1511" s="28">
        <f t="shared" ca="1" si="305"/>
        <v>0</v>
      </c>
      <c r="O1511" s="29">
        <f t="shared" ca="1" si="306"/>
        <v>0</v>
      </c>
      <c r="P1511" s="30">
        <f t="shared" ca="1" si="307"/>
        <v>0</v>
      </c>
    </row>
    <row r="1512" spans="1:16" x14ac:dyDescent="0.25">
      <c r="A1512" s="3">
        <f t="shared" si="308"/>
        <v>48228</v>
      </c>
      <c r="B1512" s="21">
        <f t="shared" si="299"/>
        <v>36540</v>
      </c>
      <c r="C1512" s="21">
        <f t="shared" si="300"/>
        <v>36605</v>
      </c>
      <c r="D1512" s="1">
        <f t="shared" si="309"/>
        <v>0</v>
      </c>
      <c r="E1512" s="3">
        <f t="array" ref="E1512">INDEX($A$9:A1511, MAX(IF($D$9:D1511=1, ROW(D$9:$D1511)-ROW($D$9)+1, 0)))</f>
        <v>48204</v>
      </c>
      <c r="F1512" s="23">
        <f t="shared" si="301"/>
        <v>5.7577002053388089</v>
      </c>
      <c r="G1512" s="5">
        <f>INDEX('Default Prob'!$P$5:$P$14,MIN(1+_xlfn.IFNA(MATCH(F1512,'Default Prob'!$F$5:$F$14,1),0),COUNT('Default Prob'!$P$5:$P$14)))</f>
        <v>3.22895928960443E-2</v>
      </c>
      <c r="H1512" s="5">
        <f t="shared" si="310"/>
        <v>0.87613843792565615</v>
      </c>
      <c r="I1512" s="24">
        <f t="shared" si="311"/>
        <v>7.7457642712164265E-5</v>
      </c>
      <c r="J1512" s="25">
        <f>INDEX('Default Prob'!$C$3:$C$13, _xlfn.IFNA(MATCH(F1512, 'Default Prob'!$B$3:$B$13, 1), 1))</f>
        <v>2.1100000000000001E-2</v>
      </c>
      <c r="K1512" s="26">
        <f t="shared" si="302"/>
        <v>0.88672220550708114</v>
      </c>
      <c r="L1512" s="27">
        <f t="shared" ca="1" si="303"/>
        <v>0</v>
      </c>
      <c r="M1512" s="27">
        <f t="shared" ca="1" si="304"/>
        <v>0</v>
      </c>
      <c r="N1512" s="28">
        <f t="shared" ca="1" si="305"/>
        <v>0</v>
      </c>
      <c r="O1512" s="29">
        <f t="shared" ca="1" si="306"/>
        <v>0</v>
      </c>
      <c r="P1512" s="30">
        <f t="shared" ca="1" si="307"/>
        <v>0</v>
      </c>
    </row>
    <row r="1513" spans="1:16" x14ac:dyDescent="0.25">
      <c r="A1513" s="3">
        <f t="shared" si="308"/>
        <v>48229</v>
      </c>
      <c r="B1513" s="21">
        <f t="shared" si="299"/>
        <v>36541</v>
      </c>
      <c r="C1513" s="21">
        <f t="shared" si="300"/>
        <v>36605</v>
      </c>
      <c r="D1513" s="1">
        <f t="shared" si="309"/>
        <v>0</v>
      </c>
      <c r="E1513" s="3">
        <f t="array" ref="E1513">INDEX($A$9:A1512, MAX(IF($D$9:D1512=1, ROW(D$9:$D1512)-ROW($D$9)+1, 0)))</f>
        <v>48204</v>
      </c>
      <c r="F1513" s="23">
        <f t="shared" si="301"/>
        <v>5.760438056125941</v>
      </c>
      <c r="G1513" s="5">
        <f>INDEX('Default Prob'!$P$5:$P$14,MIN(1+_xlfn.IFNA(MATCH(F1513,'Default Prob'!$F$5:$F$14,1),0),COUNT('Default Prob'!$P$5:$P$14)))</f>
        <v>3.22895928960443E-2</v>
      </c>
      <c r="H1513" s="5">
        <f t="shared" si="310"/>
        <v>0.87606098713021352</v>
      </c>
      <c r="I1513" s="24">
        <f t="shared" si="311"/>
        <v>7.7450795442635112E-5</v>
      </c>
      <c r="J1513" s="25">
        <f>INDEX('Default Prob'!$C$3:$C$13, _xlfn.IFNA(MATCH(F1513, 'Default Prob'!$B$3:$B$13, 1), 1))</f>
        <v>2.1100000000000001E-2</v>
      </c>
      <c r="K1513" s="26">
        <f t="shared" si="302"/>
        <v>0.88667151514730913</v>
      </c>
      <c r="L1513" s="27">
        <f t="shared" ca="1" si="303"/>
        <v>0</v>
      </c>
      <c r="M1513" s="27">
        <f t="shared" ca="1" si="304"/>
        <v>0</v>
      </c>
      <c r="N1513" s="28">
        <f t="shared" ca="1" si="305"/>
        <v>0</v>
      </c>
      <c r="O1513" s="29">
        <f t="shared" ca="1" si="306"/>
        <v>0</v>
      </c>
      <c r="P1513" s="30">
        <f t="shared" ca="1" si="307"/>
        <v>0</v>
      </c>
    </row>
    <row r="1514" spans="1:16" x14ac:dyDescent="0.25">
      <c r="A1514" s="3">
        <f t="shared" si="308"/>
        <v>48232</v>
      </c>
      <c r="B1514" s="21">
        <f t="shared" si="299"/>
        <v>36544</v>
      </c>
      <c r="C1514" s="21">
        <f t="shared" si="300"/>
        <v>36605</v>
      </c>
      <c r="D1514" s="1">
        <f t="shared" si="309"/>
        <v>0</v>
      </c>
      <c r="E1514" s="3">
        <f t="array" ref="E1514">INDEX($A$9:A1513, MAX(IF($D$9:D1513=1, ROW(D$9:$D1513)-ROW($D$9)+1, 0)))</f>
        <v>48204</v>
      </c>
      <c r="F1514" s="23">
        <f t="shared" si="301"/>
        <v>5.7686516084873372</v>
      </c>
      <c r="G1514" s="5">
        <f>INDEX('Default Prob'!$P$5:$P$14,MIN(1+_xlfn.IFNA(MATCH(F1514,'Default Prob'!$F$5:$F$14,1),0),COUNT('Default Prob'!$P$5:$P$14)))</f>
        <v>3.22895928960443E-2</v>
      </c>
      <c r="H1514" s="5">
        <f t="shared" si="310"/>
        <v>0.87582867582144996</v>
      </c>
      <c r="I1514" s="24">
        <f t="shared" si="311"/>
        <v>2.3231130876355532E-4</v>
      </c>
      <c r="J1514" s="25">
        <f>INDEX('Default Prob'!$C$3:$C$13, _xlfn.IFNA(MATCH(F1514, 'Default Prob'!$B$3:$B$13, 1), 1))</f>
        <v>2.1100000000000001E-2</v>
      </c>
      <c r="K1514" s="26">
        <f t="shared" si="302"/>
        <v>0.88651946145392069</v>
      </c>
      <c r="L1514" s="27">
        <f t="shared" ca="1" si="303"/>
        <v>0</v>
      </c>
      <c r="M1514" s="27">
        <f t="shared" ca="1" si="304"/>
        <v>0</v>
      </c>
      <c r="N1514" s="28">
        <f t="shared" ca="1" si="305"/>
        <v>0</v>
      </c>
      <c r="O1514" s="29">
        <f t="shared" ca="1" si="306"/>
        <v>0</v>
      </c>
      <c r="P1514" s="30">
        <f t="shared" ca="1" si="307"/>
        <v>0</v>
      </c>
    </row>
    <row r="1515" spans="1:16" x14ac:dyDescent="0.25">
      <c r="A1515" s="3">
        <f t="shared" si="308"/>
        <v>48233</v>
      </c>
      <c r="B1515" s="21">
        <f t="shared" si="299"/>
        <v>36545</v>
      </c>
      <c r="C1515" s="21">
        <f t="shared" si="300"/>
        <v>36605</v>
      </c>
      <c r="D1515" s="1">
        <f t="shared" si="309"/>
        <v>0</v>
      </c>
      <c r="E1515" s="3">
        <f t="array" ref="E1515">INDEX($A$9:A1514, MAX(IF($D$9:D1514=1, ROW(D$9:$D1514)-ROW($D$9)+1, 0)))</f>
        <v>48204</v>
      </c>
      <c r="F1515" s="23">
        <f t="shared" si="301"/>
        <v>5.7713894592744692</v>
      </c>
      <c r="G1515" s="5">
        <f>INDEX('Default Prob'!$P$5:$P$14,MIN(1+_xlfn.IFNA(MATCH(F1515,'Default Prob'!$F$5:$F$14,1),0),COUNT('Default Prob'!$P$5:$P$14)))</f>
        <v>3.22895928960443E-2</v>
      </c>
      <c r="H1515" s="5">
        <f t="shared" si="310"/>
        <v>0.87575125240903307</v>
      </c>
      <c r="I1515" s="24">
        <f t="shared" si="311"/>
        <v>7.7423412416899318E-5</v>
      </c>
      <c r="J1515" s="25">
        <f>INDEX('Default Prob'!$C$3:$C$13, _xlfn.IFNA(MATCH(F1515, 'Default Prob'!$B$3:$B$13, 1), 1))</f>
        <v>2.1100000000000001E-2</v>
      </c>
      <c r="K1515" s="26">
        <f t="shared" si="302"/>
        <v>0.88646878268421481</v>
      </c>
      <c r="L1515" s="27">
        <f t="shared" ca="1" si="303"/>
        <v>0</v>
      </c>
      <c r="M1515" s="27">
        <f t="shared" ca="1" si="304"/>
        <v>0</v>
      </c>
      <c r="N1515" s="28">
        <f t="shared" ca="1" si="305"/>
        <v>0</v>
      </c>
      <c r="O1515" s="29">
        <f t="shared" ca="1" si="306"/>
        <v>0</v>
      </c>
      <c r="P1515" s="30">
        <f t="shared" ca="1" si="307"/>
        <v>0</v>
      </c>
    </row>
    <row r="1516" spans="1:16" x14ac:dyDescent="0.25">
      <c r="A1516" s="3">
        <f t="shared" si="308"/>
        <v>48234</v>
      </c>
      <c r="B1516" s="21">
        <f t="shared" si="299"/>
        <v>36546</v>
      </c>
      <c r="C1516" s="21">
        <f t="shared" si="300"/>
        <v>36605</v>
      </c>
      <c r="D1516" s="1">
        <f t="shared" si="309"/>
        <v>0</v>
      </c>
      <c r="E1516" s="3">
        <f t="array" ref="E1516">INDEX($A$9:A1515, MAX(IF($D$9:D1515=1, ROW(D$9:$D1515)-ROW($D$9)+1, 0)))</f>
        <v>48204</v>
      </c>
      <c r="F1516" s="23">
        <f t="shared" si="301"/>
        <v>5.7741273100616013</v>
      </c>
      <c r="G1516" s="5">
        <f>INDEX('Default Prob'!$P$5:$P$14,MIN(1+_xlfn.IFNA(MATCH(F1516,'Default Prob'!$F$5:$F$14,1),0),COUNT('Default Prob'!$P$5:$P$14)))</f>
        <v>3.22895928960443E-2</v>
      </c>
      <c r="H1516" s="5">
        <f t="shared" si="310"/>
        <v>0.87567383584085967</v>
      </c>
      <c r="I1516" s="24">
        <f t="shared" si="311"/>
        <v>7.741656817339404E-5</v>
      </c>
      <c r="J1516" s="25">
        <f>INDEX('Default Prob'!$C$3:$C$13, _xlfn.IFNA(MATCH(F1516, 'Default Prob'!$B$3:$B$13, 1), 1))</f>
        <v>2.1100000000000001E-2</v>
      </c>
      <c r="K1516" s="26">
        <f t="shared" si="302"/>
        <v>0.88641810681161137</v>
      </c>
      <c r="L1516" s="27">
        <f t="shared" ca="1" si="303"/>
        <v>0</v>
      </c>
      <c r="M1516" s="27">
        <f t="shared" ca="1" si="304"/>
        <v>0</v>
      </c>
      <c r="N1516" s="28">
        <f t="shared" ca="1" si="305"/>
        <v>0</v>
      </c>
      <c r="O1516" s="29">
        <f t="shared" ca="1" si="306"/>
        <v>0</v>
      </c>
      <c r="P1516" s="30">
        <f t="shared" ca="1" si="307"/>
        <v>0</v>
      </c>
    </row>
    <row r="1517" spans="1:16" x14ac:dyDescent="0.25">
      <c r="A1517" s="3">
        <f t="shared" si="308"/>
        <v>48235</v>
      </c>
      <c r="B1517" s="21">
        <f t="shared" si="299"/>
        <v>36547</v>
      </c>
      <c r="C1517" s="21">
        <f t="shared" si="300"/>
        <v>36605</v>
      </c>
      <c r="D1517" s="1">
        <f t="shared" si="309"/>
        <v>0</v>
      </c>
      <c r="E1517" s="3">
        <f t="array" ref="E1517">INDEX($A$9:A1516, MAX(IF($D$9:D1516=1, ROW(D$9:$D1516)-ROW($D$9)+1, 0)))</f>
        <v>48204</v>
      </c>
      <c r="F1517" s="23">
        <f t="shared" si="301"/>
        <v>5.7768651608487334</v>
      </c>
      <c r="G1517" s="5">
        <f>INDEX('Default Prob'!$P$5:$P$14,MIN(1+_xlfn.IFNA(MATCH(F1517,'Default Prob'!$F$5:$F$14,1),0),COUNT('Default Prob'!$P$5:$P$14)))</f>
        <v>3.22895928960443E-2</v>
      </c>
      <c r="H1517" s="5">
        <f t="shared" si="310"/>
        <v>0.87559642611632482</v>
      </c>
      <c r="I1517" s="24">
        <f t="shared" si="311"/>
        <v>7.7409724534849289E-5</v>
      </c>
      <c r="J1517" s="25">
        <f>INDEX('Default Prob'!$C$3:$C$13, _xlfn.IFNA(MATCH(F1517, 'Default Prob'!$B$3:$B$13, 1), 1))</f>
        <v>2.1100000000000001E-2</v>
      </c>
      <c r="K1517" s="26">
        <f t="shared" si="302"/>
        <v>0.88636743383594485</v>
      </c>
      <c r="L1517" s="27">
        <f t="shared" ca="1" si="303"/>
        <v>0</v>
      </c>
      <c r="M1517" s="27">
        <f t="shared" ca="1" si="304"/>
        <v>0</v>
      </c>
      <c r="N1517" s="28">
        <f t="shared" ca="1" si="305"/>
        <v>0</v>
      </c>
      <c r="O1517" s="29">
        <f t="shared" ca="1" si="306"/>
        <v>0</v>
      </c>
      <c r="P1517" s="30">
        <f t="shared" ca="1" si="307"/>
        <v>0</v>
      </c>
    </row>
    <row r="1518" spans="1:16" x14ac:dyDescent="0.25">
      <c r="A1518" s="3">
        <f t="shared" si="308"/>
        <v>48236</v>
      </c>
      <c r="B1518" s="21">
        <f t="shared" si="299"/>
        <v>36548</v>
      </c>
      <c r="C1518" s="21">
        <f t="shared" si="300"/>
        <v>36605</v>
      </c>
      <c r="D1518" s="1">
        <f t="shared" si="309"/>
        <v>0</v>
      </c>
      <c r="E1518" s="3">
        <f t="array" ref="E1518">INDEX($A$9:A1517, MAX(IF($D$9:D1517=1, ROW(D$9:$D1517)-ROW($D$9)+1, 0)))</f>
        <v>48204</v>
      </c>
      <c r="F1518" s="23">
        <f t="shared" si="301"/>
        <v>5.7796030116358654</v>
      </c>
      <c r="G1518" s="5">
        <f>INDEX('Default Prob'!$P$5:$P$14,MIN(1+_xlfn.IFNA(MATCH(F1518,'Default Prob'!$F$5:$F$14,1),0),COUNT('Default Prob'!$P$5:$P$14)))</f>
        <v>3.22895928960443E-2</v>
      </c>
      <c r="H1518" s="5">
        <f t="shared" si="310"/>
        <v>0.87551902323482356</v>
      </c>
      <c r="I1518" s="24">
        <f t="shared" si="311"/>
        <v>7.7402881501265064E-5</v>
      </c>
      <c r="J1518" s="25">
        <f>INDEX('Default Prob'!$C$3:$C$13, _xlfn.IFNA(MATCH(F1518, 'Default Prob'!$B$3:$B$13, 1), 1))</f>
        <v>2.1100000000000001E-2</v>
      </c>
      <c r="K1518" s="26">
        <f t="shared" si="302"/>
        <v>0.88631676375704949</v>
      </c>
      <c r="L1518" s="27">
        <f t="shared" ca="1" si="303"/>
        <v>0</v>
      </c>
      <c r="M1518" s="27">
        <f t="shared" ca="1" si="304"/>
        <v>0</v>
      </c>
      <c r="N1518" s="28">
        <f t="shared" ca="1" si="305"/>
        <v>0</v>
      </c>
      <c r="O1518" s="29">
        <f t="shared" ca="1" si="306"/>
        <v>0</v>
      </c>
      <c r="P1518" s="30">
        <f t="shared" ca="1" si="307"/>
        <v>0</v>
      </c>
    </row>
    <row r="1519" spans="1:16" x14ac:dyDescent="0.25">
      <c r="A1519" s="3">
        <f t="shared" si="308"/>
        <v>48239</v>
      </c>
      <c r="B1519" s="21">
        <f t="shared" si="299"/>
        <v>36551</v>
      </c>
      <c r="C1519" s="21">
        <f t="shared" si="300"/>
        <v>36605</v>
      </c>
      <c r="D1519" s="1">
        <f t="shared" si="309"/>
        <v>0</v>
      </c>
      <c r="E1519" s="3">
        <f t="array" ref="E1519">INDEX($A$9:A1518, MAX(IF($D$9:D1518=1, ROW(D$9:$D1518)-ROW($D$9)+1, 0)))</f>
        <v>48204</v>
      </c>
      <c r="F1519" s="23">
        <f t="shared" si="301"/>
        <v>5.7878165639972625</v>
      </c>
      <c r="G1519" s="5">
        <f>INDEX('Default Prob'!$P$5:$P$14,MIN(1+_xlfn.IFNA(MATCH(F1519,'Default Prob'!$F$5:$F$14,1),0),COUNT('Default Prob'!$P$5:$P$14)))</f>
        <v>3.22895928960443E-2</v>
      </c>
      <c r="H1519" s="5">
        <f t="shared" si="310"/>
        <v>0.87528685564247199</v>
      </c>
      <c r="I1519" s="24">
        <f t="shared" si="311"/>
        <v>2.3216759235156204E-4</v>
      </c>
      <c r="J1519" s="25">
        <f>INDEX('Default Prob'!$C$3:$C$13, _xlfn.IFNA(MATCH(F1519, 'Default Prob'!$B$3:$B$13, 1), 1))</f>
        <v>2.1100000000000001E-2</v>
      </c>
      <c r="K1519" s="26">
        <f t="shared" si="302"/>
        <v>0.88616477089933499</v>
      </c>
      <c r="L1519" s="27">
        <f t="shared" ca="1" si="303"/>
        <v>0</v>
      </c>
      <c r="M1519" s="27">
        <f t="shared" ca="1" si="304"/>
        <v>0</v>
      </c>
      <c r="N1519" s="28">
        <f t="shared" ca="1" si="305"/>
        <v>0</v>
      </c>
      <c r="O1519" s="29">
        <f t="shared" ca="1" si="306"/>
        <v>0</v>
      </c>
      <c r="P1519" s="30">
        <f t="shared" ca="1" si="307"/>
        <v>0</v>
      </c>
    </row>
    <row r="1520" spans="1:16" x14ac:dyDescent="0.25">
      <c r="A1520" s="3">
        <f t="shared" si="308"/>
        <v>48240</v>
      </c>
      <c r="B1520" s="21">
        <f t="shared" si="299"/>
        <v>36552</v>
      </c>
      <c r="C1520" s="21">
        <f t="shared" si="300"/>
        <v>36605</v>
      </c>
      <c r="D1520" s="1">
        <f t="shared" si="309"/>
        <v>0</v>
      </c>
      <c r="E1520" s="3">
        <f t="array" ref="E1520">INDEX($A$9:A1519, MAX(IF($D$9:D1519=1, ROW(D$9:$D1519)-ROW($D$9)+1, 0)))</f>
        <v>48204</v>
      </c>
      <c r="F1520" s="23">
        <f t="shared" si="301"/>
        <v>5.7905544147843946</v>
      </c>
      <c r="G1520" s="5">
        <f>INDEX('Default Prob'!$P$5:$P$14,MIN(1+_xlfn.IFNA(MATCH(F1520,'Default Prob'!$F$5:$F$14,1),0),COUNT('Default Prob'!$P$5:$P$14)))</f>
        <v>3.22895928960443E-2</v>
      </c>
      <c r="H1520" s="5">
        <f t="shared" si="310"/>
        <v>0.87520948012705624</v>
      </c>
      <c r="I1520" s="24">
        <f t="shared" si="311"/>
        <v>7.7375515415756269E-5</v>
      </c>
      <c r="J1520" s="25">
        <f>INDEX('Default Prob'!$C$3:$C$13, _xlfn.IFNA(MATCH(F1520, 'Default Prob'!$B$3:$B$13, 1), 1))</f>
        <v>2.1100000000000001E-2</v>
      </c>
      <c r="K1520" s="26">
        <f t="shared" si="302"/>
        <v>0.88611411240586868</v>
      </c>
      <c r="L1520" s="27">
        <f t="shared" ca="1" si="303"/>
        <v>0</v>
      </c>
      <c r="M1520" s="27">
        <f t="shared" ca="1" si="304"/>
        <v>0</v>
      </c>
      <c r="N1520" s="28">
        <f t="shared" ca="1" si="305"/>
        <v>0</v>
      </c>
      <c r="O1520" s="29">
        <f t="shared" ca="1" si="306"/>
        <v>0</v>
      </c>
      <c r="P1520" s="30">
        <f t="shared" ca="1" si="307"/>
        <v>0</v>
      </c>
    </row>
    <row r="1521" spans="1:16" x14ac:dyDescent="0.25">
      <c r="A1521" s="3">
        <f t="shared" si="308"/>
        <v>48241</v>
      </c>
      <c r="B1521" s="21">
        <f t="shared" si="299"/>
        <v>36553</v>
      </c>
      <c r="C1521" s="21">
        <f t="shared" si="300"/>
        <v>36605</v>
      </c>
      <c r="D1521" s="1">
        <f t="shared" si="309"/>
        <v>0</v>
      </c>
      <c r="E1521" s="3">
        <f t="array" ref="E1521">INDEX($A$9:A1520, MAX(IF($D$9:D1520=1, ROW(D$9:$D1520)-ROW($D$9)+1, 0)))</f>
        <v>48204</v>
      </c>
      <c r="F1521" s="23">
        <f t="shared" si="301"/>
        <v>5.7932922655715267</v>
      </c>
      <c r="G1521" s="5">
        <f>INDEX('Default Prob'!$P$5:$P$14,MIN(1+_xlfn.IFNA(MATCH(F1521,'Default Prob'!$F$5:$F$14,1),0),COUNT('Default Prob'!$P$5:$P$14)))</f>
        <v>3.22895928960443E-2</v>
      </c>
      <c r="H1521" s="5">
        <f t="shared" si="310"/>
        <v>0.87513211145165004</v>
      </c>
      <c r="I1521" s="24">
        <f t="shared" si="311"/>
        <v>7.7368675406197518E-5</v>
      </c>
      <c r="J1521" s="25">
        <f>INDEX('Default Prob'!$C$3:$C$13, _xlfn.IFNA(MATCH(F1521, 'Default Prob'!$B$3:$B$13, 1), 1))</f>
        <v>2.1100000000000001E-2</v>
      </c>
      <c r="K1521" s="26">
        <f t="shared" si="302"/>
        <v>0.88606345680834575</v>
      </c>
      <c r="L1521" s="27">
        <f t="shared" ca="1" si="303"/>
        <v>0</v>
      </c>
      <c r="M1521" s="27">
        <f t="shared" ca="1" si="304"/>
        <v>0</v>
      </c>
      <c r="N1521" s="28">
        <f t="shared" ca="1" si="305"/>
        <v>0</v>
      </c>
      <c r="O1521" s="29">
        <f t="shared" ca="1" si="306"/>
        <v>0</v>
      </c>
      <c r="P1521" s="30">
        <f t="shared" ca="1" si="307"/>
        <v>0</v>
      </c>
    </row>
    <row r="1522" spans="1:16" x14ac:dyDescent="0.25">
      <c r="A1522" s="3">
        <f t="shared" si="308"/>
        <v>48242</v>
      </c>
      <c r="B1522" s="21">
        <f t="shared" si="299"/>
        <v>36554</v>
      </c>
      <c r="C1522" s="21">
        <f t="shared" si="300"/>
        <v>36605</v>
      </c>
      <c r="D1522" s="1">
        <f t="shared" si="309"/>
        <v>0</v>
      </c>
      <c r="E1522" s="3">
        <f t="array" ref="E1522">INDEX($A$9:A1521, MAX(IF($D$9:D1521=1, ROW(D$9:$D1521)-ROW($D$9)+1, 0)))</f>
        <v>48204</v>
      </c>
      <c r="F1522" s="23">
        <f t="shared" si="301"/>
        <v>5.7960301163586587</v>
      </c>
      <c r="G1522" s="5">
        <f>INDEX('Default Prob'!$P$5:$P$14,MIN(1+_xlfn.IFNA(MATCH(F1522,'Default Prob'!$F$5:$F$14,1),0),COUNT('Default Prob'!$P$5:$P$14)))</f>
        <v>3.22895928960443E-2</v>
      </c>
      <c r="H1522" s="5">
        <f t="shared" si="310"/>
        <v>0.87505474961564866</v>
      </c>
      <c r="I1522" s="24">
        <f t="shared" si="311"/>
        <v>7.7361836001377249E-5</v>
      </c>
      <c r="J1522" s="25">
        <f>INDEX('Default Prob'!$C$3:$C$13, _xlfn.IFNA(MATCH(F1522, 'Default Prob'!$B$3:$B$13, 1), 1))</f>
        <v>2.1100000000000001E-2</v>
      </c>
      <c r="K1522" s="26">
        <f t="shared" si="302"/>
        <v>0.88601280410660044</v>
      </c>
      <c r="L1522" s="27">
        <f t="shared" ca="1" si="303"/>
        <v>0</v>
      </c>
      <c r="M1522" s="27">
        <f t="shared" ca="1" si="304"/>
        <v>0</v>
      </c>
      <c r="N1522" s="28">
        <f t="shared" ca="1" si="305"/>
        <v>0</v>
      </c>
      <c r="O1522" s="29">
        <f t="shared" ca="1" si="306"/>
        <v>0</v>
      </c>
      <c r="P1522" s="30">
        <f t="shared" ca="1" si="307"/>
        <v>0</v>
      </c>
    </row>
    <row r="1523" spans="1:16" x14ac:dyDescent="0.25">
      <c r="A1523" s="3">
        <f t="shared" si="308"/>
        <v>48243</v>
      </c>
      <c r="B1523" s="21">
        <f t="shared" si="299"/>
        <v>36555</v>
      </c>
      <c r="C1523" s="21">
        <f t="shared" si="300"/>
        <v>36605</v>
      </c>
      <c r="D1523" s="1">
        <f t="shared" si="309"/>
        <v>0</v>
      </c>
      <c r="E1523" s="3">
        <f t="array" ref="E1523">INDEX($A$9:A1522, MAX(IF($D$9:D1522=1, ROW(D$9:$D1522)-ROW($D$9)+1, 0)))</f>
        <v>48204</v>
      </c>
      <c r="F1523" s="23">
        <f t="shared" si="301"/>
        <v>5.7987679671457908</v>
      </c>
      <c r="G1523" s="5">
        <f>INDEX('Default Prob'!$P$5:$P$14,MIN(1+_xlfn.IFNA(MATCH(F1523,'Default Prob'!$F$5:$F$14,1),0),COUNT('Default Prob'!$P$5:$P$14)))</f>
        <v>3.22895928960443E-2</v>
      </c>
      <c r="H1523" s="5">
        <f t="shared" si="310"/>
        <v>0.87497739461844748</v>
      </c>
      <c r="I1523" s="24">
        <f t="shared" si="311"/>
        <v>7.7354997201184439E-5</v>
      </c>
      <c r="J1523" s="25">
        <f>INDEX('Default Prob'!$C$3:$C$13, _xlfn.IFNA(MATCH(F1523, 'Default Prob'!$B$3:$B$13, 1), 1))</f>
        <v>2.1100000000000001E-2</v>
      </c>
      <c r="K1523" s="26">
        <f t="shared" si="302"/>
        <v>0.88596215430046754</v>
      </c>
      <c r="L1523" s="27">
        <f t="shared" ca="1" si="303"/>
        <v>0</v>
      </c>
      <c r="M1523" s="27">
        <f t="shared" ca="1" si="304"/>
        <v>0</v>
      </c>
      <c r="N1523" s="28">
        <f t="shared" ca="1" si="305"/>
        <v>0</v>
      </c>
      <c r="O1523" s="29">
        <f t="shared" ca="1" si="306"/>
        <v>0</v>
      </c>
      <c r="P1523" s="30">
        <f t="shared" ca="1" si="307"/>
        <v>0</v>
      </c>
    </row>
    <row r="1524" spans="1:16" x14ac:dyDescent="0.25">
      <c r="A1524" s="3">
        <f t="shared" si="308"/>
        <v>48246</v>
      </c>
      <c r="B1524" s="21">
        <f t="shared" si="299"/>
        <v>36558</v>
      </c>
      <c r="C1524" s="21">
        <f t="shared" si="300"/>
        <v>36605</v>
      </c>
      <c r="D1524" s="1">
        <f t="shared" si="309"/>
        <v>0</v>
      </c>
      <c r="E1524" s="3">
        <f t="array" ref="E1524">INDEX($A$9:A1523, MAX(IF($D$9:D1523=1, ROW(D$9:$D1523)-ROW($D$9)+1, 0)))</f>
        <v>48204</v>
      </c>
      <c r="F1524" s="23">
        <f t="shared" si="301"/>
        <v>5.806981519507187</v>
      </c>
      <c r="G1524" s="5">
        <f>INDEX('Default Prob'!$P$5:$P$14,MIN(1+_xlfn.IFNA(MATCH(F1524,'Default Prob'!$F$5:$F$14,1),0),COUNT('Default Prob'!$P$5:$P$14)))</f>
        <v>3.22895928960443E-2</v>
      </c>
      <c r="H1524" s="5">
        <f t="shared" si="310"/>
        <v>0.87474537065359981</v>
      </c>
      <c r="I1524" s="24">
        <f t="shared" si="311"/>
        <v>2.3202396484767185E-4</v>
      </c>
      <c r="J1524" s="25">
        <f>INDEX('Default Prob'!$C$3:$C$13, _xlfn.IFNA(MATCH(F1524, 'Default Prob'!$B$3:$B$13, 1), 1))</f>
        <v>2.1100000000000001E-2</v>
      </c>
      <c r="K1524" s="26">
        <f t="shared" si="302"/>
        <v>0.8858102222540869</v>
      </c>
      <c r="L1524" s="27">
        <f t="shared" ca="1" si="303"/>
        <v>0</v>
      </c>
      <c r="M1524" s="27">
        <f t="shared" ca="1" si="304"/>
        <v>0</v>
      </c>
      <c r="N1524" s="28">
        <f t="shared" ca="1" si="305"/>
        <v>0</v>
      </c>
      <c r="O1524" s="29">
        <f t="shared" ca="1" si="306"/>
        <v>0</v>
      </c>
      <c r="P1524" s="30">
        <f t="shared" ca="1" si="307"/>
        <v>0</v>
      </c>
    </row>
    <row r="1525" spans="1:16" x14ac:dyDescent="0.25">
      <c r="A1525" s="3">
        <f t="shared" si="308"/>
        <v>48247</v>
      </c>
      <c r="B1525" s="21">
        <f t="shared" si="299"/>
        <v>36559</v>
      </c>
      <c r="C1525" s="21">
        <f t="shared" si="300"/>
        <v>36605</v>
      </c>
      <c r="D1525" s="1">
        <f t="shared" si="309"/>
        <v>0</v>
      </c>
      <c r="E1525" s="3">
        <f t="array" ref="E1525">INDEX($A$9:A1524, MAX(IF($D$9:D1524=1, ROW(D$9:$D1524)-ROW($D$9)+1, 0)))</f>
        <v>48204</v>
      </c>
      <c r="F1525" s="23">
        <f t="shared" si="301"/>
        <v>5.8097193702943191</v>
      </c>
      <c r="G1525" s="5">
        <f>INDEX('Default Prob'!$P$5:$P$14,MIN(1+_xlfn.IFNA(MATCH(F1525,'Default Prob'!$F$5:$F$14,1),0),COUNT('Default Prob'!$P$5:$P$14)))</f>
        <v>3.22895928960443E-2</v>
      </c>
      <c r="H1525" s="5">
        <f t="shared" si="310"/>
        <v>0.87466804300555445</v>
      </c>
      <c r="I1525" s="24">
        <f t="shared" si="311"/>
        <v>7.7327648045355524E-5</v>
      </c>
      <c r="J1525" s="25">
        <f>INDEX('Default Prob'!$C$3:$C$13, _xlfn.IFNA(MATCH(F1525, 'Default Prob'!$B$3:$B$13, 1), 1))</f>
        <v>2.1100000000000001E-2</v>
      </c>
      <c r="K1525" s="26">
        <f t="shared" si="302"/>
        <v>0.88575958402874777</v>
      </c>
      <c r="L1525" s="27">
        <f t="shared" ca="1" si="303"/>
        <v>0</v>
      </c>
      <c r="M1525" s="27">
        <f t="shared" ca="1" si="304"/>
        <v>0</v>
      </c>
      <c r="N1525" s="28">
        <f t="shared" ca="1" si="305"/>
        <v>0</v>
      </c>
      <c r="O1525" s="29">
        <f t="shared" ca="1" si="306"/>
        <v>0</v>
      </c>
      <c r="P1525" s="30">
        <f t="shared" ca="1" si="307"/>
        <v>0</v>
      </c>
    </row>
    <row r="1526" spans="1:16" x14ac:dyDescent="0.25">
      <c r="A1526" s="3">
        <f t="shared" si="308"/>
        <v>48248</v>
      </c>
      <c r="B1526" s="21">
        <f t="shared" si="299"/>
        <v>36560</v>
      </c>
      <c r="C1526" s="21">
        <f t="shared" si="300"/>
        <v>36605</v>
      </c>
      <c r="D1526" s="1">
        <f t="shared" si="309"/>
        <v>0</v>
      </c>
      <c r="E1526" s="3">
        <f t="array" ref="E1526">INDEX($A$9:A1525, MAX(IF($D$9:D1525=1, ROW(D$9:$D1525)-ROW($D$9)+1, 0)))</f>
        <v>48204</v>
      </c>
      <c r="F1526" s="23">
        <f t="shared" si="301"/>
        <v>5.8124572210814511</v>
      </c>
      <c r="G1526" s="5">
        <f>INDEX('Default Prob'!$P$5:$P$14,MIN(1+_xlfn.IFNA(MATCH(F1526,'Default Prob'!$F$5:$F$14,1),0),COUNT('Default Prob'!$P$5:$P$14)))</f>
        <v>3.22895928960443E-2</v>
      </c>
      <c r="H1526" s="5">
        <f t="shared" si="310"/>
        <v>0.87459072219328715</v>
      </c>
      <c r="I1526" s="24">
        <f t="shared" si="311"/>
        <v>7.7320812267300809E-5</v>
      </c>
      <c r="J1526" s="25">
        <f>INDEX('Default Prob'!$C$3:$C$13, _xlfn.IFNA(MATCH(F1526, 'Default Prob'!$B$3:$B$13, 1), 1))</f>
        <v>2.1100000000000001E-2</v>
      </c>
      <c r="K1526" s="26">
        <f t="shared" si="302"/>
        <v>0.88570894869819317</v>
      </c>
      <c r="L1526" s="27">
        <f t="shared" ca="1" si="303"/>
        <v>0</v>
      </c>
      <c r="M1526" s="27">
        <f t="shared" ca="1" si="304"/>
        <v>0</v>
      </c>
      <c r="N1526" s="28">
        <f t="shared" ca="1" si="305"/>
        <v>0</v>
      </c>
      <c r="O1526" s="29">
        <f t="shared" ca="1" si="306"/>
        <v>0</v>
      </c>
      <c r="P1526" s="30">
        <f t="shared" ca="1" si="307"/>
        <v>0</v>
      </c>
    </row>
    <row r="1527" spans="1:16" x14ac:dyDescent="0.25">
      <c r="A1527" s="3">
        <f t="shared" si="308"/>
        <v>48249</v>
      </c>
      <c r="B1527" s="21">
        <f t="shared" si="299"/>
        <v>36561</v>
      </c>
      <c r="C1527" s="21">
        <f t="shared" si="300"/>
        <v>36605</v>
      </c>
      <c r="D1527" s="1">
        <f t="shared" si="309"/>
        <v>0</v>
      </c>
      <c r="E1527" s="3">
        <f t="array" ref="E1527">INDEX($A$9:A1526, MAX(IF($D$9:D1526=1, ROW(D$9:$D1526)-ROW($D$9)+1, 0)))</f>
        <v>48204</v>
      </c>
      <c r="F1527" s="23">
        <f t="shared" si="301"/>
        <v>5.8151950718685832</v>
      </c>
      <c r="G1527" s="5">
        <f>INDEX('Default Prob'!$P$5:$P$14,MIN(1+_xlfn.IFNA(MATCH(F1527,'Default Prob'!$F$5:$F$14,1),0),COUNT('Default Prob'!$P$5:$P$14)))</f>
        <v>3.22895928960443E-2</v>
      </c>
      <c r="H1527" s="5">
        <f t="shared" si="310"/>
        <v>0.8745134082161935</v>
      </c>
      <c r="I1527" s="24">
        <f t="shared" si="311"/>
        <v>7.7313977093651509E-5</v>
      </c>
      <c r="J1527" s="25">
        <f>INDEX('Default Prob'!$C$3:$C$13, _xlfn.IFNA(MATCH(F1527, 'Default Prob'!$B$3:$B$13, 1), 1))</f>
        <v>2.1100000000000001E-2</v>
      </c>
      <c r="K1527" s="26">
        <f t="shared" si="302"/>
        <v>0.88565831626225799</v>
      </c>
      <c r="L1527" s="27">
        <f t="shared" ca="1" si="303"/>
        <v>0</v>
      </c>
      <c r="M1527" s="27">
        <f t="shared" ca="1" si="304"/>
        <v>0</v>
      </c>
      <c r="N1527" s="28">
        <f t="shared" ca="1" si="305"/>
        <v>0</v>
      </c>
      <c r="O1527" s="29">
        <f t="shared" ca="1" si="306"/>
        <v>0</v>
      </c>
      <c r="P1527" s="30">
        <f t="shared" ca="1" si="307"/>
        <v>0</v>
      </c>
    </row>
    <row r="1528" spans="1:16" x14ac:dyDescent="0.25">
      <c r="A1528" s="3">
        <f t="shared" si="308"/>
        <v>48250</v>
      </c>
      <c r="B1528" s="21">
        <f t="shared" si="299"/>
        <v>36562</v>
      </c>
      <c r="C1528" s="21">
        <f t="shared" si="300"/>
        <v>36605</v>
      </c>
      <c r="D1528" s="1">
        <f t="shared" si="309"/>
        <v>0</v>
      </c>
      <c r="E1528" s="3">
        <f t="array" ref="E1528">INDEX($A$9:A1527, MAX(IF($D$9:D1527=1, ROW(D$9:$D1527)-ROW($D$9)+1, 0)))</f>
        <v>48204</v>
      </c>
      <c r="F1528" s="23">
        <f t="shared" si="301"/>
        <v>5.8179329226557153</v>
      </c>
      <c r="G1528" s="5">
        <f>INDEX('Default Prob'!$P$5:$P$14,MIN(1+_xlfn.IFNA(MATCH(F1528,'Default Prob'!$F$5:$F$14,1),0),COUNT('Default Prob'!$P$5:$P$14)))</f>
        <v>3.22895928960443E-2</v>
      </c>
      <c r="H1528" s="5">
        <f t="shared" si="310"/>
        <v>0.87443610107366931</v>
      </c>
      <c r="I1528" s="24">
        <f t="shared" si="311"/>
        <v>7.7307142524185579E-5</v>
      </c>
      <c r="J1528" s="25">
        <f>INDEX('Default Prob'!$C$3:$C$13, _xlfn.IFNA(MATCH(F1528, 'Default Prob'!$B$3:$B$13, 1), 1))</f>
        <v>2.1100000000000001E-2</v>
      </c>
      <c r="K1528" s="26">
        <f t="shared" si="302"/>
        <v>0.88560768672077628</v>
      </c>
      <c r="L1528" s="27">
        <f t="shared" ca="1" si="303"/>
        <v>0</v>
      </c>
      <c r="M1528" s="27">
        <f t="shared" ca="1" si="304"/>
        <v>0</v>
      </c>
      <c r="N1528" s="28">
        <f t="shared" ca="1" si="305"/>
        <v>0</v>
      </c>
      <c r="O1528" s="29">
        <f t="shared" ca="1" si="306"/>
        <v>0</v>
      </c>
      <c r="P1528" s="30">
        <f t="shared" ca="1" si="307"/>
        <v>0</v>
      </c>
    </row>
    <row r="1529" spans="1:16" x14ac:dyDescent="0.25">
      <c r="A1529" s="3">
        <f t="shared" si="308"/>
        <v>48253</v>
      </c>
      <c r="B1529" s="21">
        <f t="shared" si="299"/>
        <v>36565</v>
      </c>
      <c r="C1529" s="21">
        <f t="shared" si="300"/>
        <v>36605</v>
      </c>
      <c r="D1529" s="1">
        <f t="shared" si="309"/>
        <v>0</v>
      </c>
      <c r="E1529" s="3">
        <f t="array" ref="E1529">INDEX($A$9:A1528, MAX(IF($D$9:D1528=1, ROW(D$9:$D1528)-ROW($D$9)+1, 0)))</f>
        <v>48204</v>
      </c>
      <c r="F1529" s="23">
        <f t="shared" si="301"/>
        <v>5.8261464750171115</v>
      </c>
      <c r="G1529" s="5">
        <f>INDEX('Default Prob'!$P$5:$P$14,MIN(1+_xlfn.IFNA(MATCH(F1529,'Default Prob'!$F$5:$F$14,1),0),COUNT('Default Prob'!$P$5:$P$14)))</f>
        <v>3.22895928960443E-2</v>
      </c>
      <c r="H1529" s="5">
        <f t="shared" si="310"/>
        <v>0.87420422064747216</v>
      </c>
      <c r="I1529" s="24">
        <f t="shared" si="311"/>
        <v>2.3188042619715077E-4</v>
      </c>
      <c r="J1529" s="25">
        <f>INDEX('Default Prob'!$C$3:$C$13, _xlfn.IFNA(MATCH(F1529, 'Default Prob'!$B$3:$B$13, 1), 1))</f>
        <v>2.1100000000000001E-2</v>
      </c>
      <c r="K1529" s="26">
        <f t="shared" si="302"/>
        <v>0.8854558154613994</v>
      </c>
      <c r="L1529" s="27">
        <f t="shared" ca="1" si="303"/>
        <v>0</v>
      </c>
      <c r="M1529" s="27">
        <f t="shared" ca="1" si="304"/>
        <v>0</v>
      </c>
      <c r="N1529" s="28">
        <f t="shared" ca="1" si="305"/>
        <v>0</v>
      </c>
      <c r="O1529" s="29">
        <f t="shared" ca="1" si="306"/>
        <v>0</v>
      </c>
      <c r="P1529" s="30">
        <f t="shared" ca="1" si="307"/>
        <v>0</v>
      </c>
    </row>
    <row r="1530" spans="1:16" x14ac:dyDescent="0.25">
      <c r="A1530" s="3">
        <f t="shared" si="308"/>
        <v>48254</v>
      </c>
      <c r="B1530" s="21">
        <f t="shared" si="299"/>
        <v>36566</v>
      </c>
      <c r="C1530" s="21">
        <f t="shared" si="300"/>
        <v>36605</v>
      </c>
      <c r="D1530" s="1">
        <f t="shared" si="309"/>
        <v>0</v>
      </c>
      <c r="E1530" s="3">
        <f t="array" ref="E1530">INDEX($A$9:A1529, MAX(IF($D$9:D1529=1, ROW(D$9:$D1529)-ROW($D$9)+1, 0)))</f>
        <v>48204</v>
      </c>
      <c r="F1530" s="23">
        <f t="shared" si="301"/>
        <v>5.8288843258042435</v>
      </c>
      <c r="G1530" s="5">
        <f>INDEX('Default Prob'!$P$5:$P$14,MIN(1+_xlfn.IFNA(MATCH(F1530,'Default Prob'!$F$5:$F$14,1),0),COUNT('Default Prob'!$P$5:$P$14)))</f>
        <v>3.22895928960443E-2</v>
      </c>
      <c r="H1530" s="5">
        <f t="shared" si="310"/>
        <v>0.87412694083718467</v>
      </c>
      <c r="I1530" s="24">
        <f t="shared" si="311"/>
        <v>7.7279810287489425E-5</v>
      </c>
      <c r="J1530" s="25">
        <f>INDEX('Default Prob'!$C$3:$C$13, _xlfn.IFNA(MATCH(F1530, 'Default Prob'!$B$3:$B$13, 1), 1))</f>
        <v>2.1100000000000001E-2</v>
      </c>
      <c r="K1530" s="26">
        <f t="shared" si="302"/>
        <v>0.88540519749607827</v>
      </c>
      <c r="L1530" s="27">
        <f t="shared" ca="1" si="303"/>
        <v>0</v>
      </c>
      <c r="M1530" s="27">
        <f t="shared" ca="1" si="304"/>
        <v>0</v>
      </c>
      <c r="N1530" s="28">
        <f t="shared" ca="1" si="305"/>
        <v>0</v>
      </c>
      <c r="O1530" s="29">
        <f t="shared" ca="1" si="306"/>
        <v>0</v>
      </c>
      <c r="P1530" s="30">
        <f t="shared" ca="1" si="307"/>
        <v>0</v>
      </c>
    </row>
    <row r="1531" spans="1:16" x14ac:dyDescent="0.25">
      <c r="A1531" s="3">
        <f t="shared" si="308"/>
        <v>48255</v>
      </c>
      <c r="B1531" s="21">
        <f t="shared" si="299"/>
        <v>36567</v>
      </c>
      <c r="C1531" s="21">
        <f t="shared" si="300"/>
        <v>36605</v>
      </c>
      <c r="D1531" s="1">
        <f t="shared" si="309"/>
        <v>0</v>
      </c>
      <c r="E1531" s="3">
        <f t="array" ref="E1531">INDEX($A$9:A1530, MAX(IF($D$9:D1530=1, ROW(D$9:$D1530)-ROW($D$9)+1, 0)))</f>
        <v>48204</v>
      </c>
      <c r="F1531" s="23">
        <f t="shared" si="301"/>
        <v>5.8316221765913756</v>
      </c>
      <c r="G1531" s="5">
        <f>INDEX('Default Prob'!$P$5:$P$14,MIN(1+_xlfn.IFNA(MATCH(F1531,'Default Prob'!$F$5:$F$14,1),0),COUNT('Default Prob'!$P$5:$P$14)))</f>
        <v>3.22895928960443E-2</v>
      </c>
      <c r="H1531" s="5">
        <f t="shared" si="310"/>
        <v>0.87404966785844629</v>
      </c>
      <c r="I1531" s="24">
        <f t="shared" si="311"/>
        <v>7.7272978738385234E-5</v>
      </c>
      <c r="J1531" s="25">
        <f>INDEX('Default Prob'!$C$3:$C$13, _xlfn.IFNA(MATCH(F1531, 'Default Prob'!$B$3:$B$13, 1), 1))</f>
        <v>2.1100000000000001E-2</v>
      </c>
      <c r="K1531" s="26">
        <f t="shared" si="302"/>
        <v>0.88535458242438347</v>
      </c>
      <c r="L1531" s="27">
        <f t="shared" ca="1" si="303"/>
        <v>0</v>
      </c>
      <c r="M1531" s="27">
        <f t="shared" ca="1" si="304"/>
        <v>0</v>
      </c>
      <c r="N1531" s="28">
        <f t="shared" ca="1" si="305"/>
        <v>0</v>
      </c>
      <c r="O1531" s="29">
        <f t="shared" ca="1" si="306"/>
        <v>0</v>
      </c>
      <c r="P1531" s="30">
        <f t="shared" ca="1" si="307"/>
        <v>0</v>
      </c>
    </row>
    <row r="1532" spans="1:16" x14ac:dyDescent="0.25">
      <c r="A1532" s="3">
        <f t="shared" si="308"/>
        <v>48256</v>
      </c>
      <c r="B1532" s="21">
        <f t="shared" si="299"/>
        <v>36568</v>
      </c>
      <c r="C1532" s="21">
        <f t="shared" si="300"/>
        <v>36605</v>
      </c>
      <c r="D1532" s="1">
        <f t="shared" si="309"/>
        <v>0</v>
      </c>
      <c r="E1532" s="3">
        <f t="array" ref="E1532">INDEX($A$9:A1531, MAX(IF($D$9:D1531=1, ROW(D$9:$D1531)-ROW($D$9)+1, 0)))</f>
        <v>48204</v>
      </c>
      <c r="F1532" s="23">
        <f t="shared" si="301"/>
        <v>5.8343600273785077</v>
      </c>
      <c r="G1532" s="5">
        <f>INDEX('Default Prob'!$P$5:$P$14,MIN(1+_xlfn.IFNA(MATCH(F1532,'Default Prob'!$F$5:$F$14,1),0),COUNT('Default Prob'!$P$5:$P$14)))</f>
        <v>3.22895928960443E-2</v>
      </c>
      <c r="H1532" s="5">
        <f t="shared" si="310"/>
        <v>0.87397240171065316</v>
      </c>
      <c r="I1532" s="24">
        <f t="shared" si="311"/>
        <v>7.7266147793131346E-5</v>
      </c>
      <c r="J1532" s="25">
        <f>INDEX('Default Prob'!$C$3:$C$13, _xlfn.IFNA(MATCH(F1532, 'Default Prob'!$B$3:$B$13, 1), 1))</f>
        <v>2.1100000000000001E-2</v>
      </c>
      <c r="K1532" s="26">
        <f t="shared" si="302"/>
        <v>0.88530397024614993</v>
      </c>
      <c r="L1532" s="27">
        <f t="shared" ca="1" si="303"/>
        <v>0</v>
      </c>
      <c r="M1532" s="27">
        <f t="shared" ca="1" si="304"/>
        <v>0</v>
      </c>
      <c r="N1532" s="28">
        <f t="shared" ca="1" si="305"/>
        <v>0</v>
      </c>
      <c r="O1532" s="29">
        <f t="shared" ca="1" si="306"/>
        <v>0</v>
      </c>
      <c r="P1532" s="30">
        <f t="shared" ca="1" si="307"/>
        <v>0</v>
      </c>
    </row>
    <row r="1533" spans="1:16" x14ac:dyDescent="0.25">
      <c r="A1533" s="3">
        <f t="shared" si="308"/>
        <v>48257</v>
      </c>
      <c r="B1533" s="21">
        <f t="shared" si="299"/>
        <v>36569</v>
      </c>
      <c r="C1533" s="21">
        <f t="shared" si="300"/>
        <v>36605</v>
      </c>
      <c r="D1533" s="1">
        <f t="shared" si="309"/>
        <v>0</v>
      </c>
      <c r="E1533" s="3">
        <f t="array" ref="E1533">INDEX($A$9:A1532, MAX(IF($D$9:D1532=1, ROW(D$9:$D1532)-ROW($D$9)+1, 0)))</f>
        <v>48204</v>
      </c>
      <c r="F1533" s="23">
        <f t="shared" si="301"/>
        <v>5.8370978781656397</v>
      </c>
      <c r="G1533" s="5">
        <f>INDEX('Default Prob'!$P$5:$P$14,MIN(1+_xlfn.IFNA(MATCH(F1533,'Default Prob'!$F$5:$F$14,1),0),COUNT('Default Prob'!$P$5:$P$14)))</f>
        <v>3.22895928960443E-2</v>
      </c>
      <c r="H1533" s="5">
        <f t="shared" si="310"/>
        <v>0.87389514239320132</v>
      </c>
      <c r="I1533" s="24">
        <f t="shared" si="311"/>
        <v>7.7259317451838783E-5</v>
      </c>
      <c r="J1533" s="25">
        <f>INDEX('Default Prob'!$C$3:$C$13, _xlfn.IFNA(MATCH(F1533, 'Default Prob'!$B$3:$B$13, 1), 1))</f>
        <v>2.1100000000000001E-2</v>
      </c>
      <c r="K1533" s="26">
        <f t="shared" si="302"/>
        <v>0.88525336096121188</v>
      </c>
      <c r="L1533" s="27">
        <f t="shared" ca="1" si="303"/>
        <v>0</v>
      </c>
      <c r="M1533" s="27">
        <f t="shared" ca="1" si="304"/>
        <v>0</v>
      </c>
      <c r="N1533" s="28">
        <f t="shared" ca="1" si="305"/>
        <v>0</v>
      </c>
      <c r="O1533" s="29">
        <f t="shared" ca="1" si="306"/>
        <v>0</v>
      </c>
      <c r="P1533" s="30">
        <f t="shared" ca="1" si="307"/>
        <v>0</v>
      </c>
    </row>
    <row r="1534" spans="1:16" x14ac:dyDescent="0.25">
      <c r="A1534" s="3">
        <f t="shared" si="308"/>
        <v>48260</v>
      </c>
      <c r="B1534" s="21">
        <f t="shared" si="299"/>
        <v>36572</v>
      </c>
      <c r="C1534" s="21">
        <f t="shared" si="300"/>
        <v>36605</v>
      </c>
      <c r="D1534" s="1">
        <f t="shared" si="309"/>
        <v>0</v>
      </c>
      <c r="E1534" s="3">
        <f t="array" ref="E1534">INDEX($A$9:A1533, MAX(IF($D$9:D1533=1, ROW(D$9:$D1533)-ROW($D$9)+1, 0)))</f>
        <v>48204</v>
      </c>
      <c r="F1534" s="23">
        <f t="shared" si="301"/>
        <v>5.8453114305270359</v>
      </c>
      <c r="G1534" s="5">
        <f>INDEX('Default Prob'!$P$5:$P$14,MIN(1+_xlfn.IFNA(MATCH(F1534,'Default Prob'!$F$5:$F$14,1),0),COUNT('Default Prob'!$P$5:$P$14)))</f>
        <v>3.22895928960443E-2</v>
      </c>
      <c r="H1534" s="5">
        <f t="shared" si="310"/>
        <v>0.87366340541685628</v>
      </c>
      <c r="I1534" s="24">
        <f t="shared" si="311"/>
        <v>2.3173697634504276E-4</v>
      </c>
      <c r="J1534" s="25">
        <f>INDEX('Default Prob'!$C$3:$C$13, _xlfn.IFNA(MATCH(F1534, 'Default Prob'!$B$3:$B$13, 1), 1))</f>
        <v>2.1100000000000001E-2</v>
      </c>
      <c r="K1534" s="26">
        <f t="shared" si="302"/>
        <v>0.88510155046451822</v>
      </c>
      <c r="L1534" s="27">
        <f t="shared" ca="1" si="303"/>
        <v>0</v>
      </c>
      <c r="M1534" s="27">
        <f t="shared" ca="1" si="304"/>
        <v>0</v>
      </c>
      <c r="N1534" s="28">
        <f t="shared" ca="1" si="305"/>
        <v>0</v>
      </c>
      <c r="O1534" s="29">
        <f t="shared" ca="1" si="306"/>
        <v>0</v>
      </c>
      <c r="P1534" s="30">
        <f t="shared" ca="1" si="307"/>
        <v>0</v>
      </c>
    </row>
    <row r="1535" spans="1:16" x14ac:dyDescent="0.25">
      <c r="A1535" s="3">
        <f t="shared" si="308"/>
        <v>48261</v>
      </c>
      <c r="B1535" s="21">
        <f t="shared" si="299"/>
        <v>36573</v>
      </c>
      <c r="C1535" s="21">
        <f t="shared" si="300"/>
        <v>36605</v>
      </c>
      <c r="D1535" s="1">
        <f t="shared" si="309"/>
        <v>0</v>
      </c>
      <c r="E1535" s="3">
        <f t="array" ref="E1535">INDEX($A$9:A1534, MAX(IF($D$9:D1534=1, ROW(D$9:$D1534)-ROW($D$9)+1, 0)))</f>
        <v>48204</v>
      </c>
      <c r="F1535" s="23">
        <f t="shared" si="301"/>
        <v>5.848049281314168</v>
      </c>
      <c r="G1535" s="5">
        <f>INDEX('Default Prob'!$P$5:$P$14,MIN(1+_xlfn.IFNA(MATCH(F1535,'Default Prob'!$F$5:$F$14,1),0),COUNT('Default Prob'!$P$5:$P$14)))</f>
        <v>3.22895928960443E-2</v>
      </c>
      <c r="H1535" s="5">
        <f t="shared" si="310"/>
        <v>0.87358617341473244</v>
      </c>
      <c r="I1535" s="24">
        <f t="shared" si="311"/>
        <v>7.7232002123839294E-5</v>
      </c>
      <c r="J1535" s="25">
        <f>INDEX('Default Prob'!$C$3:$C$13, _xlfn.IFNA(MATCH(F1535, 'Default Prob'!$B$3:$B$13, 1), 1))</f>
        <v>2.1100000000000001E-2</v>
      </c>
      <c r="K1535" s="26">
        <f t="shared" si="302"/>
        <v>0.88505095275110901</v>
      </c>
      <c r="L1535" s="27">
        <f t="shared" ca="1" si="303"/>
        <v>0</v>
      </c>
      <c r="M1535" s="27">
        <f t="shared" ca="1" si="304"/>
        <v>0</v>
      </c>
      <c r="N1535" s="28">
        <f t="shared" ca="1" si="305"/>
        <v>0</v>
      </c>
      <c r="O1535" s="29">
        <f t="shared" ca="1" si="306"/>
        <v>0</v>
      </c>
      <c r="P1535" s="30">
        <f t="shared" ca="1" si="307"/>
        <v>0</v>
      </c>
    </row>
    <row r="1536" spans="1:16" x14ac:dyDescent="0.25">
      <c r="A1536" s="3">
        <f t="shared" si="308"/>
        <v>48262</v>
      </c>
      <c r="B1536" s="21">
        <f t="shared" si="299"/>
        <v>36574</v>
      </c>
      <c r="C1536" s="21">
        <f t="shared" si="300"/>
        <v>36605</v>
      </c>
      <c r="D1536" s="1">
        <f t="shared" si="309"/>
        <v>0</v>
      </c>
      <c r="E1536" s="3">
        <f t="array" ref="E1536">INDEX($A$9:A1535, MAX(IF($D$9:D1535=1, ROW(D$9:$D1535)-ROW($D$9)+1, 0)))</f>
        <v>48204</v>
      </c>
      <c r="F1536" s="23">
        <f t="shared" si="301"/>
        <v>5.8507871321013001</v>
      </c>
      <c r="G1536" s="5">
        <f>INDEX('Default Prob'!$P$5:$P$14,MIN(1+_xlfn.IFNA(MATCH(F1536,'Default Prob'!$F$5:$F$14,1),0),COUNT('Default Prob'!$P$5:$P$14)))</f>
        <v>3.22895928960443E-2</v>
      </c>
      <c r="H1536" s="5">
        <f t="shared" si="310"/>
        <v>0.87350894823993142</v>
      </c>
      <c r="I1536" s="24">
        <f t="shared" si="311"/>
        <v>7.722517480102109E-5</v>
      </c>
      <c r="J1536" s="25">
        <f>INDEX('Default Prob'!$C$3:$C$13, _xlfn.IFNA(MATCH(F1536, 'Default Prob'!$B$3:$B$13, 1), 1))</f>
        <v>2.1100000000000001E-2</v>
      </c>
      <c r="K1536" s="26">
        <f t="shared" si="302"/>
        <v>0.88500035793016885</v>
      </c>
      <c r="L1536" s="27">
        <f t="shared" ca="1" si="303"/>
        <v>0</v>
      </c>
      <c r="M1536" s="27">
        <f t="shared" ca="1" si="304"/>
        <v>0</v>
      </c>
      <c r="N1536" s="28">
        <f t="shared" ca="1" si="305"/>
        <v>0</v>
      </c>
      <c r="O1536" s="29">
        <f t="shared" ca="1" si="306"/>
        <v>0</v>
      </c>
      <c r="P1536" s="30">
        <f t="shared" ca="1" si="307"/>
        <v>0</v>
      </c>
    </row>
    <row r="1537" spans="1:16" x14ac:dyDescent="0.25">
      <c r="A1537" s="3">
        <f t="shared" si="308"/>
        <v>48263</v>
      </c>
      <c r="B1537" s="21">
        <f t="shared" si="299"/>
        <v>36575</v>
      </c>
      <c r="C1537" s="21">
        <f t="shared" si="300"/>
        <v>36605</v>
      </c>
      <c r="D1537" s="1">
        <f t="shared" si="309"/>
        <v>0</v>
      </c>
      <c r="E1537" s="3">
        <f t="array" ref="E1537">INDEX($A$9:A1536, MAX(IF($D$9:D1536=1, ROW(D$9:$D1536)-ROW($D$9)+1, 0)))</f>
        <v>48204</v>
      </c>
      <c r="F1537" s="23">
        <f t="shared" si="301"/>
        <v>5.8535249828884321</v>
      </c>
      <c r="G1537" s="5">
        <f>INDEX('Default Prob'!$P$5:$P$14,MIN(1+_xlfn.IFNA(MATCH(F1537,'Default Prob'!$F$5:$F$14,1),0),COUNT('Default Prob'!$P$5:$P$14)))</f>
        <v>3.22895928960443E-2</v>
      </c>
      <c r="H1537" s="5">
        <f t="shared" si="310"/>
        <v>0.87343172989184981</v>
      </c>
      <c r="I1537" s="24">
        <f t="shared" si="311"/>
        <v>7.7218348081609101E-5</v>
      </c>
      <c r="J1537" s="25">
        <f>INDEX('Default Prob'!$C$3:$C$13, _xlfn.IFNA(MATCH(F1537, 'Default Prob'!$B$3:$B$13, 1), 1))</f>
        <v>2.1100000000000001E-2</v>
      </c>
      <c r="K1537" s="26">
        <f t="shared" si="302"/>
        <v>0.88494976600153175</v>
      </c>
      <c r="L1537" s="27">
        <f t="shared" ca="1" si="303"/>
        <v>0</v>
      </c>
      <c r="M1537" s="27">
        <f t="shared" ca="1" si="304"/>
        <v>0</v>
      </c>
      <c r="N1537" s="28">
        <f t="shared" ca="1" si="305"/>
        <v>0</v>
      </c>
      <c r="O1537" s="29">
        <f t="shared" ca="1" si="306"/>
        <v>0</v>
      </c>
      <c r="P1537" s="30">
        <f t="shared" ca="1" si="307"/>
        <v>0</v>
      </c>
    </row>
    <row r="1538" spans="1:16" x14ac:dyDescent="0.25">
      <c r="A1538" s="3">
        <f t="shared" si="308"/>
        <v>48264</v>
      </c>
      <c r="B1538" s="21">
        <f t="shared" si="299"/>
        <v>36576</v>
      </c>
      <c r="C1538" s="21">
        <f t="shared" si="300"/>
        <v>36605</v>
      </c>
      <c r="D1538" s="1">
        <f t="shared" si="309"/>
        <v>0</v>
      </c>
      <c r="E1538" s="3">
        <f t="array" ref="E1538">INDEX($A$9:A1537, MAX(IF($D$9:D1537=1, ROW(D$9:$D1537)-ROW($D$9)+1, 0)))</f>
        <v>48204</v>
      </c>
      <c r="F1538" s="23">
        <f t="shared" si="301"/>
        <v>5.8562628336755651</v>
      </c>
      <c r="G1538" s="5">
        <f>INDEX('Default Prob'!$P$5:$P$14,MIN(1+_xlfn.IFNA(MATCH(F1538,'Default Prob'!$F$5:$F$14,1),0),COUNT('Default Prob'!$P$5:$P$14)))</f>
        <v>3.22895928960443E-2</v>
      </c>
      <c r="H1538" s="5">
        <f t="shared" si="310"/>
        <v>0.87335451836988387</v>
      </c>
      <c r="I1538" s="24">
        <f t="shared" si="311"/>
        <v>7.7211521965936392E-5</v>
      </c>
      <c r="J1538" s="25">
        <f>INDEX('Default Prob'!$C$3:$C$13, _xlfn.IFNA(MATCH(F1538, 'Default Prob'!$B$3:$B$13, 1), 1))</f>
        <v>2.1100000000000001E-2</v>
      </c>
      <c r="K1538" s="26">
        <f t="shared" si="302"/>
        <v>0.88489917696503306</v>
      </c>
      <c r="L1538" s="27">
        <f t="shared" ca="1" si="303"/>
        <v>0</v>
      </c>
      <c r="M1538" s="27">
        <f t="shared" ca="1" si="304"/>
        <v>0</v>
      </c>
      <c r="N1538" s="28">
        <f t="shared" ca="1" si="305"/>
        <v>0</v>
      </c>
      <c r="O1538" s="29">
        <f t="shared" ca="1" si="306"/>
        <v>0</v>
      </c>
      <c r="P1538" s="30">
        <f t="shared" ca="1" si="307"/>
        <v>0</v>
      </c>
    </row>
    <row r="1539" spans="1:16" x14ac:dyDescent="0.25">
      <c r="A1539" s="3">
        <f t="shared" si="308"/>
        <v>48267</v>
      </c>
      <c r="B1539" s="21">
        <f t="shared" si="299"/>
        <v>36579</v>
      </c>
      <c r="C1539" s="21">
        <f t="shared" si="300"/>
        <v>36605</v>
      </c>
      <c r="D1539" s="1">
        <f t="shared" si="309"/>
        <v>0</v>
      </c>
      <c r="E1539" s="3">
        <f t="array" ref="E1539">INDEX($A$9:A1538, MAX(IF($D$9:D1538=1, ROW(D$9:$D1538)-ROW($D$9)+1, 0)))</f>
        <v>48204</v>
      </c>
      <c r="F1539" s="23">
        <f t="shared" si="301"/>
        <v>5.8644763860369613</v>
      </c>
      <c r="G1539" s="5">
        <f>INDEX('Default Prob'!$P$5:$P$14,MIN(1+_xlfn.IFNA(MATCH(F1539,'Default Prob'!$F$5:$F$14,1),0),COUNT('Default Prob'!$P$5:$P$14)))</f>
        <v>3.22895928960443E-2</v>
      </c>
      <c r="H1539" s="5">
        <f t="shared" si="310"/>
        <v>0.87312292475464748</v>
      </c>
      <c r="I1539" s="24">
        <f t="shared" si="311"/>
        <v>2.3159361523639177E-4</v>
      </c>
      <c r="J1539" s="25">
        <f>INDEX('Default Prob'!$C$3:$C$13, _xlfn.IFNA(MATCH(F1539, 'Default Prob'!$B$3:$B$13, 1), 1))</f>
        <v>2.1100000000000001E-2</v>
      </c>
      <c r="K1539" s="26">
        <f t="shared" si="302"/>
        <v>0.88474742720671185</v>
      </c>
      <c r="L1539" s="27">
        <f t="shared" ca="1" si="303"/>
        <v>0</v>
      </c>
      <c r="M1539" s="27">
        <f t="shared" ca="1" si="304"/>
        <v>0</v>
      </c>
      <c r="N1539" s="28">
        <f t="shared" ca="1" si="305"/>
        <v>0</v>
      </c>
      <c r="O1539" s="29">
        <f t="shared" ca="1" si="306"/>
        <v>0</v>
      </c>
      <c r="P1539" s="30">
        <f t="shared" ca="1" si="307"/>
        <v>0</v>
      </c>
    </row>
    <row r="1540" spans="1:16" x14ac:dyDescent="0.25">
      <c r="A1540" s="3">
        <f t="shared" si="308"/>
        <v>48268</v>
      </c>
      <c r="B1540" s="21">
        <f t="shared" si="299"/>
        <v>36580</v>
      </c>
      <c r="C1540" s="21">
        <f t="shared" si="300"/>
        <v>36605</v>
      </c>
      <c r="D1540" s="1">
        <f t="shared" si="309"/>
        <v>0</v>
      </c>
      <c r="E1540" s="3">
        <f t="array" ref="E1540">INDEX($A$9:A1539, MAX(IF($D$9:D1539=1, ROW(D$9:$D1539)-ROW($D$9)+1, 0)))</f>
        <v>48204</v>
      </c>
      <c r="F1540" s="23">
        <f t="shared" si="301"/>
        <v>5.8672142368240934</v>
      </c>
      <c r="G1540" s="5">
        <f>INDEX('Default Prob'!$P$5:$P$14,MIN(1+_xlfn.IFNA(MATCH(F1540,'Default Prob'!$F$5:$F$14,1),0),COUNT('Default Prob'!$P$5:$P$14)))</f>
        <v>3.22895928960443E-2</v>
      </c>
      <c r="H1540" s="5">
        <f t="shared" si="310"/>
        <v>0.87304574053111128</v>
      </c>
      <c r="I1540" s="24">
        <f t="shared" si="311"/>
        <v>7.7184223536197472E-5</v>
      </c>
      <c r="J1540" s="25">
        <f>INDEX('Default Prob'!$C$3:$C$13, _xlfn.IFNA(MATCH(F1540, 'Default Prob'!$B$3:$B$13, 1), 1))</f>
        <v>2.1100000000000001E-2</v>
      </c>
      <c r="K1540" s="26">
        <f t="shared" si="302"/>
        <v>0.88469684973711193</v>
      </c>
      <c r="L1540" s="27">
        <f t="shared" ca="1" si="303"/>
        <v>0</v>
      </c>
      <c r="M1540" s="27">
        <f t="shared" ca="1" si="304"/>
        <v>0</v>
      </c>
      <c r="N1540" s="28">
        <f t="shared" ca="1" si="305"/>
        <v>0</v>
      </c>
      <c r="O1540" s="29">
        <f t="shared" ca="1" si="306"/>
        <v>0</v>
      </c>
      <c r="P1540" s="30">
        <f t="shared" ca="1" si="307"/>
        <v>0</v>
      </c>
    </row>
    <row r="1541" spans="1:16" x14ac:dyDescent="0.25">
      <c r="A1541" s="3">
        <f t="shared" si="308"/>
        <v>48269</v>
      </c>
      <c r="B1541" s="21">
        <f t="shared" si="299"/>
        <v>36581</v>
      </c>
      <c r="C1541" s="21">
        <f t="shared" si="300"/>
        <v>36605</v>
      </c>
      <c r="D1541" s="1">
        <f t="shared" si="309"/>
        <v>0</v>
      </c>
      <c r="E1541" s="3">
        <f t="array" ref="E1541">INDEX($A$9:A1540, MAX(IF($D$9:D1540=1, ROW(D$9:$D1540)-ROW($D$9)+1, 0)))</f>
        <v>48204</v>
      </c>
      <c r="F1541" s="23">
        <f t="shared" si="301"/>
        <v>5.8699520876112254</v>
      </c>
      <c r="G1541" s="5">
        <f>INDEX('Default Prob'!$P$5:$P$14,MIN(1+_xlfn.IFNA(MATCH(F1541,'Default Prob'!$F$5:$F$14,1),0),COUNT('Default Prob'!$P$5:$P$14)))</f>
        <v>3.22895928960443E-2</v>
      </c>
      <c r="H1541" s="5">
        <f t="shared" si="310"/>
        <v>0.87296856313067439</v>
      </c>
      <c r="I1541" s="24">
        <f t="shared" si="311"/>
        <v>7.7177400436889698E-5</v>
      </c>
      <c r="J1541" s="25">
        <f>INDEX('Default Prob'!$C$3:$C$13, _xlfn.IFNA(MATCH(F1541, 'Default Prob'!$B$3:$B$13, 1), 1))</f>
        <v>2.1100000000000001E-2</v>
      </c>
      <c r="K1541" s="26">
        <f t="shared" si="302"/>
        <v>0.88464627515882377</v>
      </c>
      <c r="L1541" s="27">
        <f t="shared" ca="1" si="303"/>
        <v>0</v>
      </c>
      <c r="M1541" s="27">
        <f t="shared" ca="1" si="304"/>
        <v>0</v>
      </c>
      <c r="N1541" s="28">
        <f t="shared" ca="1" si="305"/>
        <v>0</v>
      </c>
      <c r="O1541" s="29">
        <f t="shared" ca="1" si="306"/>
        <v>0</v>
      </c>
      <c r="P1541" s="30">
        <f t="shared" ca="1" si="307"/>
        <v>0</v>
      </c>
    </row>
    <row r="1542" spans="1:16" x14ac:dyDescent="0.25">
      <c r="A1542" s="3">
        <f t="shared" si="308"/>
        <v>48270</v>
      </c>
      <c r="B1542" s="21">
        <f t="shared" si="299"/>
        <v>36582</v>
      </c>
      <c r="C1542" s="21">
        <f t="shared" si="300"/>
        <v>36605</v>
      </c>
      <c r="D1542" s="1">
        <f t="shared" si="309"/>
        <v>0</v>
      </c>
      <c r="E1542" s="3">
        <f t="array" ref="E1542">INDEX($A$9:A1541, MAX(IF($D$9:D1541=1, ROW(D$9:$D1541)-ROW($D$9)+1, 0)))</f>
        <v>48204</v>
      </c>
      <c r="F1542" s="23">
        <f t="shared" si="301"/>
        <v>5.8726899383983575</v>
      </c>
      <c r="G1542" s="5">
        <f>INDEX('Default Prob'!$P$5:$P$14,MIN(1+_xlfn.IFNA(MATCH(F1542,'Default Prob'!$F$5:$F$14,1),0),COUNT('Default Prob'!$P$5:$P$14)))</f>
        <v>3.22895928960443E-2</v>
      </c>
      <c r="H1542" s="5">
        <f t="shared" si="310"/>
        <v>0.87289139255273351</v>
      </c>
      <c r="I1542" s="24">
        <f t="shared" si="311"/>
        <v>7.7170577940877116E-5</v>
      </c>
      <c r="J1542" s="25">
        <f>INDEX('Default Prob'!$C$3:$C$13, _xlfn.IFNA(MATCH(F1542, 'Default Prob'!$B$3:$B$13, 1), 1))</f>
        <v>2.1100000000000001E-2</v>
      </c>
      <c r="K1542" s="26">
        <f t="shared" si="302"/>
        <v>0.88459570347168193</v>
      </c>
      <c r="L1542" s="27">
        <f t="shared" ca="1" si="303"/>
        <v>0</v>
      </c>
      <c r="M1542" s="27">
        <f t="shared" ca="1" si="304"/>
        <v>0</v>
      </c>
      <c r="N1542" s="28">
        <f t="shared" ca="1" si="305"/>
        <v>0</v>
      </c>
      <c r="O1542" s="29">
        <f t="shared" ca="1" si="306"/>
        <v>0</v>
      </c>
      <c r="P1542" s="30">
        <f t="shared" ca="1" si="307"/>
        <v>0</v>
      </c>
    </row>
    <row r="1543" spans="1:16" x14ac:dyDescent="0.25">
      <c r="A1543" s="3">
        <f t="shared" si="308"/>
        <v>48271</v>
      </c>
      <c r="B1543" s="21">
        <f t="shared" si="299"/>
        <v>36583</v>
      </c>
      <c r="C1543" s="21">
        <f t="shared" si="300"/>
        <v>36605</v>
      </c>
      <c r="D1543" s="1">
        <f t="shared" si="309"/>
        <v>0</v>
      </c>
      <c r="E1543" s="3">
        <f t="array" ref="E1543">INDEX($A$9:A1542, MAX(IF($D$9:D1542=1, ROW(D$9:$D1542)-ROW($D$9)+1, 0)))</f>
        <v>48204</v>
      </c>
      <c r="F1543" s="23">
        <f t="shared" si="301"/>
        <v>5.8754277891854896</v>
      </c>
      <c r="G1543" s="5">
        <f>INDEX('Default Prob'!$P$5:$P$14,MIN(1+_xlfn.IFNA(MATCH(F1543,'Default Prob'!$F$5:$F$14,1),0),COUNT('Default Prob'!$P$5:$P$14)))</f>
        <v>3.22895928960443E-2</v>
      </c>
      <c r="H1543" s="5">
        <f t="shared" si="310"/>
        <v>0.87281422879668569</v>
      </c>
      <c r="I1543" s="24">
        <f t="shared" si="311"/>
        <v>7.7163756047826659E-5</v>
      </c>
      <c r="J1543" s="25">
        <f>INDEX('Default Prob'!$C$3:$C$13, _xlfn.IFNA(MATCH(F1543, 'Default Prob'!$B$3:$B$13, 1), 1))</f>
        <v>2.1100000000000001E-2</v>
      </c>
      <c r="K1543" s="26">
        <f t="shared" si="302"/>
        <v>0.88454513467552087</v>
      </c>
      <c r="L1543" s="27">
        <f t="shared" ca="1" si="303"/>
        <v>0</v>
      </c>
      <c r="M1543" s="27">
        <f t="shared" ca="1" si="304"/>
        <v>0</v>
      </c>
      <c r="N1543" s="28">
        <f t="shared" ca="1" si="305"/>
        <v>0</v>
      </c>
      <c r="O1543" s="29">
        <f t="shared" ca="1" si="306"/>
        <v>0</v>
      </c>
      <c r="P1543" s="30">
        <f t="shared" ca="1" si="307"/>
        <v>0</v>
      </c>
    </row>
    <row r="1544" spans="1:16" x14ac:dyDescent="0.25">
      <c r="A1544" s="3">
        <f t="shared" si="308"/>
        <v>48274</v>
      </c>
      <c r="B1544" s="21">
        <f t="shared" si="299"/>
        <v>36586</v>
      </c>
      <c r="C1544" s="21">
        <f t="shared" si="300"/>
        <v>36605</v>
      </c>
      <c r="D1544" s="1">
        <f t="shared" si="309"/>
        <v>0</v>
      </c>
      <c r="E1544" s="3">
        <f t="array" ref="E1544">INDEX($A$9:A1543, MAX(IF($D$9:D1543=1, ROW(D$9:$D1543)-ROW($D$9)+1, 0)))</f>
        <v>48204</v>
      </c>
      <c r="F1544" s="23">
        <f t="shared" si="301"/>
        <v>5.8836413415468858</v>
      </c>
      <c r="G1544" s="5">
        <f>INDEX('Default Prob'!$P$5:$P$14,MIN(1+_xlfn.IFNA(MATCH(F1544,'Default Prob'!$F$5:$F$14,1),0),COUNT('Default Prob'!$P$5:$P$14)))</f>
        <v>3.22895928960443E-2</v>
      </c>
      <c r="H1544" s="5">
        <f t="shared" si="310"/>
        <v>0.87258277845386945</v>
      </c>
      <c r="I1544" s="24">
        <f t="shared" si="311"/>
        <v>2.3145034281624177E-4</v>
      </c>
      <c r="J1544" s="25">
        <f>INDEX('Default Prob'!$C$3:$C$13, _xlfn.IFNA(MATCH(F1544, 'Default Prob'!$B$3:$B$13, 1), 1))</f>
        <v>2.1100000000000001E-2</v>
      </c>
      <c r="K1544" s="26">
        <f t="shared" si="302"/>
        <v>0.88439344563127109</v>
      </c>
      <c r="L1544" s="27">
        <f t="shared" ca="1" si="303"/>
        <v>0</v>
      </c>
      <c r="M1544" s="27">
        <f t="shared" ca="1" si="304"/>
        <v>0</v>
      </c>
      <c r="N1544" s="28">
        <f t="shared" ca="1" si="305"/>
        <v>0</v>
      </c>
      <c r="O1544" s="29">
        <f t="shared" ca="1" si="306"/>
        <v>0</v>
      </c>
      <c r="P1544" s="30">
        <f t="shared" ca="1" si="307"/>
        <v>0</v>
      </c>
    </row>
    <row r="1545" spans="1:16" x14ac:dyDescent="0.25">
      <c r="A1545" s="3">
        <f t="shared" si="308"/>
        <v>48275</v>
      </c>
      <c r="B1545" s="21">
        <f t="shared" ref="B1545:B1608" si="312">DATE(2000, MONTH(A1545), DAY(A1545))</f>
        <v>36587</v>
      </c>
      <c r="C1545" s="21">
        <f t="shared" ref="C1545:C1608" si="313">VLOOKUP(B1545, $R$9:$S$13, 2)</f>
        <v>36605</v>
      </c>
      <c r="D1545" s="1">
        <f t="shared" si="309"/>
        <v>0</v>
      </c>
      <c r="E1545" s="3">
        <f t="array" ref="E1545">INDEX($A$9:A1544, MAX(IF($D$9:D1544=1, ROW(D$9:$D1544)-ROW($D$9)+1, 0)))</f>
        <v>48204</v>
      </c>
      <c r="F1545" s="23">
        <f t="shared" ref="F1545:F1608" si="314">(A1545-$A$2)/365.25</f>
        <v>5.8863791923340179</v>
      </c>
      <c r="G1545" s="5">
        <f>INDEX('Default Prob'!$P$5:$P$14,MIN(1+_xlfn.IFNA(MATCH(F1545,'Default Prob'!$F$5:$F$14,1),0),COUNT('Default Prob'!$P$5:$P$14)))</f>
        <v>3.22895928960443E-2</v>
      </c>
      <c r="H1545" s="5">
        <f t="shared" si="310"/>
        <v>0.87250564197936342</v>
      </c>
      <c r="I1545" s="24">
        <f t="shared" si="311"/>
        <v>7.7136474506023234E-5</v>
      </c>
      <c r="J1545" s="25">
        <f>INDEX('Default Prob'!$C$3:$C$13, _xlfn.IFNA(MATCH(F1545, 'Default Prob'!$B$3:$B$13, 1), 1))</f>
        <v>2.1100000000000001E-2</v>
      </c>
      <c r="K1545" s="26">
        <f t="shared" ref="K1545:K1608" si="315">1/((1+J1545)^F1545)</f>
        <v>0.8843428883973814</v>
      </c>
      <c r="L1545" s="27">
        <f t="shared" ref="L1545:L1608" ca="1" si="316">IF(AND(D1545, A1545 &lt;= $G$2), $D$5*$D$2*(A1545-E1545)/365.25, 0)</f>
        <v>0</v>
      </c>
      <c r="M1545" s="27">
        <f t="shared" ref="M1545:M1608" ca="1" si="317">IF(A1545&lt;=$G$2, $D$5*$D$2*(A1545-E1545)/365.25, 0)</f>
        <v>0</v>
      </c>
      <c r="N1545" s="28">
        <f t="shared" ref="N1545:N1608" ca="1" si="318">(L1545*H1545 + M1545*I1545) * K1545</f>
        <v>0</v>
      </c>
      <c r="O1545" s="29">
        <f t="shared" ref="O1545:O1608" ca="1" si="319">IF(A1545&lt;=$G$2, $D$2*(1-$D$3), 0)</f>
        <v>0</v>
      </c>
      <c r="P1545" s="30">
        <f t="shared" ref="P1545:P1608" ca="1" si="320">O1545*I1545*K1545</f>
        <v>0</v>
      </c>
    </row>
    <row r="1546" spans="1:16" x14ac:dyDescent="0.25">
      <c r="A1546" s="3">
        <f t="shared" ref="A1546:A1609" si="321">WORKDAY(A1545, 1)</f>
        <v>48276</v>
      </c>
      <c r="B1546" s="21">
        <f t="shared" si="312"/>
        <v>36588</v>
      </c>
      <c r="C1546" s="21">
        <f t="shared" si="313"/>
        <v>36605</v>
      </c>
      <c r="D1546" s="1">
        <f t="shared" ref="D1546:D1609" si="322">IF(OR(C1546=B1546, AND(C1546&lt;&gt;C1545, C1545&gt;B1545)), 1, 0)</f>
        <v>0</v>
      </c>
      <c r="E1546" s="3">
        <f t="array" ref="E1546">INDEX($A$9:A1545, MAX(IF($D$9:D1545=1, ROW(D$9:$D1545)-ROW($D$9)+1, 0)))</f>
        <v>48204</v>
      </c>
      <c r="F1546" s="23">
        <f t="shared" si="314"/>
        <v>5.8891170431211499</v>
      </c>
      <c r="G1546" s="5">
        <f>INDEX('Default Prob'!$P$5:$P$14,MIN(1+_xlfn.IFNA(MATCH(F1546,'Default Prob'!$F$5:$F$14,1),0),COUNT('Default Prob'!$P$5:$P$14)))</f>
        <v>3.22895928960443E-2</v>
      </c>
      <c r="H1546" s="5">
        <f t="shared" ref="H1546:H1609" si="323">H1545*EXP(-G1545*(F1546-F1545))</f>
        <v>0.87242851232373564</v>
      </c>
      <c r="I1546" s="24">
        <f t="shared" ref="I1546:I1609" si="324">H1545-H1546</f>
        <v>7.71296556277834E-5</v>
      </c>
      <c r="J1546" s="25">
        <f>INDEX('Default Prob'!$C$3:$C$13, _xlfn.IFNA(MATCH(F1546, 'Default Prob'!$B$3:$B$13, 1), 1))</f>
        <v>2.1100000000000001E-2</v>
      </c>
      <c r="K1546" s="26">
        <f t="shared" si="315"/>
        <v>0.88429233405364649</v>
      </c>
      <c r="L1546" s="27">
        <f t="shared" ca="1" si="316"/>
        <v>0</v>
      </c>
      <c r="M1546" s="27">
        <f t="shared" ca="1" si="317"/>
        <v>0</v>
      </c>
      <c r="N1546" s="28">
        <f t="shared" ca="1" si="318"/>
        <v>0</v>
      </c>
      <c r="O1546" s="29">
        <f t="shared" ca="1" si="319"/>
        <v>0</v>
      </c>
      <c r="P1546" s="30">
        <f t="shared" ca="1" si="320"/>
        <v>0</v>
      </c>
    </row>
    <row r="1547" spans="1:16" x14ac:dyDescent="0.25">
      <c r="A1547" s="3">
        <f t="shared" si="321"/>
        <v>48277</v>
      </c>
      <c r="B1547" s="21">
        <f t="shared" si="312"/>
        <v>36589</v>
      </c>
      <c r="C1547" s="21">
        <f t="shared" si="313"/>
        <v>36605</v>
      </c>
      <c r="D1547" s="1">
        <f t="shared" si="322"/>
        <v>0</v>
      </c>
      <c r="E1547" s="3">
        <f t="array" ref="E1547">INDEX($A$9:A1546, MAX(IF($D$9:D1546=1, ROW(D$9:$D1546)-ROW($D$9)+1, 0)))</f>
        <v>48204</v>
      </c>
      <c r="F1547" s="23">
        <f t="shared" si="314"/>
        <v>5.891854893908282</v>
      </c>
      <c r="G1547" s="5">
        <f>INDEX('Default Prob'!$P$5:$P$14,MIN(1+_xlfn.IFNA(MATCH(F1547,'Default Prob'!$F$5:$F$14,1),0),COUNT('Default Prob'!$P$5:$P$14)))</f>
        <v>3.22895928960443E-2</v>
      </c>
      <c r="H1547" s="5">
        <f t="shared" si="323"/>
        <v>0.87235138948638324</v>
      </c>
      <c r="I1547" s="24">
        <f t="shared" si="324"/>
        <v>7.7122837352394669E-5</v>
      </c>
      <c r="J1547" s="25">
        <f>INDEX('Default Prob'!$C$3:$C$13, _xlfn.IFNA(MATCH(F1547, 'Default Prob'!$B$3:$B$13, 1), 1))</f>
        <v>2.1100000000000001E-2</v>
      </c>
      <c r="K1547" s="26">
        <f t="shared" si="315"/>
        <v>0.88424178259990105</v>
      </c>
      <c r="L1547" s="27">
        <f t="shared" ca="1" si="316"/>
        <v>0</v>
      </c>
      <c r="M1547" s="27">
        <f t="shared" ca="1" si="317"/>
        <v>0</v>
      </c>
      <c r="N1547" s="28">
        <f t="shared" ca="1" si="318"/>
        <v>0</v>
      </c>
      <c r="O1547" s="29">
        <f t="shared" ca="1" si="319"/>
        <v>0</v>
      </c>
      <c r="P1547" s="30">
        <f t="shared" ca="1" si="320"/>
        <v>0</v>
      </c>
    </row>
    <row r="1548" spans="1:16" x14ac:dyDescent="0.25">
      <c r="A1548" s="3">
        <f t="shared" si="321"/>
        <v>48278</v>
      </c>
      <c r="B1548" s="21">
        <f t="shared" si="312"/>
        <v>36590</v>
      </c>
      <c r="C1548" s="21">
        <f t="shared" si="313"/>
        <v>36605</v>
      </c>
      <c r="D1548" s="1">
        <f t="shared" si="322"/>
        <v>0</v>
      </c>
      <c r="E1548" s="3">
        <f t="array" ref="E1548">INDEX($A$9:A1547, MAX(IF($D$9:D1547=1, ROW(D$9:$D1547)-ROW($D$9)+1, 0)))</f>
        <v>48204</v>
      </c>
      <c r="F1548" s="23">
        <f t="shared" si="314"/>
        <v>5.8945927446954141</v>
      </c>
      <c r="G1548" s="5">
        <f>INDEX('Default Prob'!$P$5:$P$14,MIN(1+_xlfn.IFNA(MATCH(F1548,'Default Prob'!$F$5:$F$14,1),0),COUNT('Default Prob'!$P$5:$P$14)))</f>
        <v>3.22895928960443E-2</v>
      </c>
      <c r="H1548" s="5">
        <f t="shared" si="323"/>
        <v>0.8722742734667035</v>
      </c>
      <c r="I1548" s="24">
        <f t="shared" si="324"/>
        <v>7.7116019679746017E-5</v>
      </c>
      <c r="J1548" s="25">
        <f>INDEX('Default Prob'!$C$3:$C$13, _xlfn.IFNA(MATCH(F1548, 'Default Prob'!$B$3:$B$13, 1), 1))</f>
        <v>2.1100000000000001E-2</v>
      </c>
      <c r="K1548" s="26">
        <f t="shared" si="315"/>
        <v>0.88419123403597999</v>
      </c>
      <c r="L1548" s="27">
        <f t="shared" ca="1" si="316"/>
        <v>0</v>
      </c>
      <c r="M1548" s="27">
        <f t="shared" ca="1" si="317"/>
        <v>0</v>
      </c>
      <c r="N1548" s="28">
        <f t="shared" ca="1" si="318"/>
        <v>0</v>
      </c>
      <c r="O1548" s="29">
        <f t="shared" ca="1" si="319"/>
        <v>0</v>
      </c>
      <c r="P1548" s="30">
        <f t="shared" ca="1" si="320"/>
        <v>0</v>
      </c>
    </row>
    <row r="1549" spans="1:16" x14ac:dyDescent="0.25">
      <c r="A1549" s="3">
        <f t="shared" si="321"/>
        <v>48281</v>
      </c>
      <c r="B1549" s="21">
        <f t="shared" si="312"/>
        <v>36593</v>
      </c>
      <c r="C1549" s="21">
        <f t="shared" si="313"/>
        <v>36605</v>
      </c>
      <c r="D1549" s="1">
        <f t="shared" si="322"/>
        <v>0</v>
      </c>
      <c r="E1549" s="3">
        <f t="array" ref="E1549">INDEX($A$9:A1548, MAX(IF($D$9:D1548=1, ROW(D$9:$D1548)-ROW($D$9)+1, 0)))</f>
        <v>48204</v>
      </c>
      <c r="F1549" s="23">
        <f t="shared" si="314"/>
        <v>5.9028062970568103</v>
      </c>
      <c r="G1549" s="5">
        <f>INDEX('Default Prob'!$P$5:$P$14,MIN(1+_xlfn.IFNA(MATCH(F1549,'Default Prob'!$F$5:$F$14,1),0),COUNT('Default Prob'!$P$5:$P$14)))</f>
        <v>3.22895928960443E-2</v>
      </c>
      <c r="H1549" s="5">
        <f t="shared" si="323"/>
        <v>0.87204296630767386</v>
      </c>
      <c r="I1549" s="24">
        <f t="shared" si="324"/>
        <v>2.3130715902963672E-4</v>
      </c>
      <c r="J1549" s="25">
        <f>INDEX('Default Prob'!$C$3:$C$13, _xlfn.IFNA(MATCH(F1549, 'Default Prob'!$B$3:$B$13, 1), 1))</f>
        <v>2.1100000000000001E-2</v>
      </c>
      <c r="K1549" s="26">
        <f t="shared" si="315"/>
        <v>0.88403960568151041</v>
      </c>
      <c r="L1549" s="27">
        <f t="shared" ca="1" si="316"/>
        <v>0</v>
      </c>
      <c r="M1549" s="27">
        <f t="shared" ca="1" si="317"/>
        <v>0</v>
      </c>
      <c r="N1549" s="28">
        <f t="shared" ca="1" si="318"/>
        <v>0</v>
      </c>
      <c r="O1549" s="29">
        <f t="shared" ca="1" si="319"/>
        <v>0</v>
      </c>
      <c r="P1549" s="30">
        <f t="shared" ca="1" si="320"/>
        <v>0</v>
      </c>
    </row>
    <row r="1550" spans="1:16" x14ac:dyDescent="0.25">
      <c r="A1550" s="3">
        <f t="shared" si="321"/>
        <v>48282</v>
      </c>
      <c r="B1550" s="21">
        <f t="shared" si="312"/>
        <v>36594</v>
      </c>
      <c r="C1550" s="21">
        <f t="shared" si="313"/>
        <v>36605</v>
      </c>
      <c r="D1550" s="1">
        <f t="shared" si="322"/>
        <v>0</v>
      </c>
      <c r="E1550" s="3">
        <f t="array" ref="E1550">INDEX($A$9:A1549, MAX(IF($D$9:D1549=1, ROW(D$9:$D1549)-ROW($D$9)+1, 0)))</f>
        <v>48204</v>
      </c>
      <c r="F1550" s="23">
        <f t="shared" si="314"/>
        <v>5.9055441478439423</v>
      </c>
      <c r="G1550" s="5">
        <f>INDEX('Default Prob'!$P$5:$P$14,MIN(1+_xlfn.IFNA(MATCH(F1550,'Default Prob'!$F$5:$F$14,1),0),COUNT('Default Prob'!$P$5:$P$14)))</f>
        <v>3.22895928960443E-2</v>
      </c>
      <c r="H1550" s="5">
        <f t="shared" si="323"/>
        <v>0.87196587755265864</v>
      </c>
      <c r="I1550" s="24">
        <f t="shared" si="324"/>
        <v>7.7088755015219945E-5</v>
      </c>
      <c r="J1550" s="25">
        <f>INDEX('Default Prob'!$C$3:$C$13, _xlfn.IFNA(MATCH(F1550, 'Default Prob'!$B$3:$B$13, 1), 1))</f>
        <v>2.1100000000000001E-2</v>
      </c>
      <c r="K1550" s="26">
        <f t="shared" si="315"/>
        <v>0.88398906867523452</v>
      </c>
      <c r="L1550" s="27">
        <f t="shared" ca="1" si="316"/>
        <v>0</v>
      </c>
      <c r="M1550" s="27">
        <f t="shared" ca="1" si="317"/>
        <v>0</v>
      </c>
      <c r="N1550" s="28">
        <f t="shared" ca="1" si="318"/>
        <v>0</v>
      </c>
      <c r="O1550" s="29">
        <f t="shared" ca="1" si="319"/>
        <v>0</v>
      </c>
      <c r="P1550" s="30">
        <f t="shared" ca="1" si="320"/>
        <v>0</v>
      </c>
    </row>
    <row r="1551" spans="1:16" x14ac:dyDescent="0.25">
      <c r="A1551" s="3">
        <f t="shared" si="321"/>
        <v>48283</v>
      </c>
      <c r="B1551" s="21">
        <f t="shared" si="312"/>
        <v>36595</v>
      </c>
      <c r="C1551" s="21">
        <f t="shared" si="313"/>
        <v>36605</v>
      </c>
      <c r="D1551" s="1">
        <f t="shared" si="322"/>
        <v>0</v>
      </c>
      <c r="E1551" s="3">
        <f t="array" ref="E1551">INDEX($A$9:A1550, MAX(IF($D$9:D1550=1, ROW(D$9:$D1550)-ROW($D$9)+1, 0)))</f>
        <v>48204</v>
      </c>
      <c r="F1551" s="23">
        <f t="shared" si="314"/>
        <v>5.9082819986310744</v>
      </c>
      <c r="G1551" s="5">
        <f>INDEX('Default Prob'!$P$5:$P$14,MIN(1+_xlfn.IFNA(MATCH(F1551,'Default Prob'!$F$5:$F$14,1),0),COUNT('Default Prob'!$P$5:$P$14)))</f>
        <v>3.22895928960443E-2</v>
      </c>
      <c r="H1551" s="5">
        <f t="shared" si="323"/>
        <v>0.87188879561230315</v>
      </c>
      <c r="I1551" s="24">
        <f t="shared" si="324"/>
        <v>7.7081940355494538E-5</v>
      </c>
      <c r="J1551" s="25">
        <f>INDEX('Default Prob'!$C$3:$C$13, _xlfn.IFNA(MATCH(F1551, 'Default Prob'!$B$3:$B$13, 1), 1))</f>
        <v>2.1100000000000001E-2</v>
      </c>
      <c r="K1551" s="26">
        <f t="shared" si="315"/>
        <v>0.88393853455795712</v>
      </c>
      <c r="L1551" s="27">
        <f t="shared" ca="1" si="316"/>
        <v>0</v>
      </c>
      <c r="M1551" s="27">
        <f t="shared" ca="1" si="317"/>
        <v>0</v>
      </c>
      <c r="N1551" s="28">
        <f t="shared" ca="1" si="318"/>
        <v>0</v>
      </c>
      <c r="O1551" s="29">
        <f t="shared" ca="1" si="319"/>
        <v>0</v>
      </c>
      <c r="P1551" s="30">
        <f t="shared" ca="1" si="320"/>
        <v>0</v>
      </c>
    </row>
    <row r="1552" spans="1:16" x14ac:dyDescent="0.25">
      <c r="A1552" s="3">
        <f t="shared" si="321"/>
        <v>48284</v>
      </c>
      <c r="B1552" s="21">
        <f t="shared" si="312"/>
        <v>36596</v>
      </c>
      <c r="C1552" s="21">
        <f t="shared" si="313"/>
        <v>36605</v>
      </c>
      <c r="D1552" s="1">
        <f t="shared" si="322"/>
        <v>0</v>
      </c>
      <c r="E1552" s="3">
        <f t="array" ref="E1552">INDEX($A$9:A1551, MAX(IF($D$9:D1551=1, ROW(D$9:$D1551)-ROW($D$9)+1, 0)))</f>
        <v>48204</v>
      </c>
      <c r="F1552" s="23">
        <f t="shared" si="314"/>
        <v>5.9110198494182065</v>
      </c>
      <c r="G1552" s="5">
        <f>INDEX('Default Prob'!$P$5:$P$14,MIN(1+_xlfn.IFNA(MATCH(F1552,'Default Prob'!$F$5:$F$14,1),0),COUNT('Default Prob'!$P$5:$P$14)))</f>
        <v>3.22895928960443E-2</v>
      </c>
      <c r="H1552" s="5">
        <f t="shared" si="323"/>
        <v>0.87181172048600508</v>
      </c>
      <c r="I1552" s="24">
        <f t="shared" si="324"/>
        <v>7.7075126298065122E-5</v>
      </c>
      <c r="J1552" s="25">
        <f>INDEX('Default Prob'!$C$3:$C$13, _xlfn.IFNA(MATCH(F1552, 'Default Prob'!$B$3:$B$13, 1), 1))</f>
        <v>2.1100000000000001E-2</v>
      </c>
      <c r="K1552" s="26">
        <f t="shared" si="315"/>
        <v>0.88388800332951289</v>
      </c>
      <c r="L1552" s="27">
        <f t="shared" ca="1" si="316"/>
        <v>0</v>
      </c>
      <c r="M1552" s="27">
        <f t="shared" ca="1" si="317"/>
        <v>0</v>
      </c>
      <c r="N1552" s="28">
        <f t="shared" ca="1" si="318"/>
        <v>0</v>
      </c>
      <c r="O1552" s="29">
        <f t="shared" ca="1" si="319"/>
        <v>0</v>
      </c>
      <c r="P1552" s="30">
        <f t="shared" ca="1" si="320"/>
        <v>0</v>
      </c>
    </row>
    <row r="1553" spans="1:16" x14ac:dyDescent="0.25">
      <c r="A1553" s="3">
        <f t="shared" si="321"/>
        <v>48285</v>
      </c>
      <c r="B1553" s="21">
        <f t="shared" si="312"/>
        <v>36597</v>
      </c>
      <c r="C1553" s="21">
        <f t="shared" si="313"/>
        <v>36605</v>
      </c>
      <c r="D1553" s="1">
        <f t="shared" si="322"/>
        <v>0</v>
      </c>
      <c r="E1553" s="3">
        <f t="array" ref="E1553">INDEX($A$9:A1552, MAX(IF($D$9:D1552=1, ROW(D$9:$D1552)-ROW($D$9)+1, 0)))</f>
        <v>48204</v>
      </c>
      <c r="F1553" s="23">
        <f t="shared" si="314"/>
        <v>5.9137577002053385</v>
      </c>
      <c r="G1553" s="5">
        <f>INDEX('Default Prob'!$P$5:$P$14,MIN(1+_xlfn.IFNA(MATCH(F1553,'Default Prob'!$F$5:$F$14,1),0),COUNT('Default Prob'!$P$5:$P$14)))</f>
        <v>3.22895928960443E-2</v>
      </c>
      <c r="H1553" s="5">
        <f t="shared" si="323"/>
        <v>0.87173465217316204</v>
      </c>
      <c r="I1553" s="24">
        <f t="shared" si="324"/>
        <v>7.7068312843042719E-5</v>
      </c>
      <c r="J1553" s="25">
        <f>INDEX('Default Prob'!$C$3:$C$13, _xlfn.IFNA(MATCH(F1553, 'Default Prob'!$B$3:$B$13, 1), 1))</f>
        <v>2.1100000000000001E-2</v>
      </c>
      <c r="K1553" s="26">
        <f t="shared" si="315"/>
        <v>0.88383747498973675</v>
      </c>
      <c r="L1553" s="27">
        <f t="shared" ca="1" si="316"/>
        <v>0</v>
      </c>
      <c r="M1553" s="27">
        <f t="shared" ca="1" si="317"/>
        <v>0</v>
      </c>
      <c r="N1553" s="28">
        <f t="shared" ca="1" si="318"/>
        <v>0</v>
      </c>
      <c r="O1553" s="29">
        <f t="shared" ca="1" si="319"/>
        <v>0</v>
      </c>
      <c r="P1553" s="30">
        <f t="shared" ca="1" si="320"/>
        <v>0</v>
      </c>
    </row>
    <row r="1554" spans="1:16" x14ac:dyDescent="0.25">
      <c r="A1554" s="3">
        <f t="shared" si="321"/>
        <v>48288</v>
      </c>
      <c r="B1554" s="21">
        <f t="shared" si="312"/>
        <v>36600</v>
      </c>
      <c r="C1554" s="21">
        <f t="shared" si="313"/>
        <v>36605</v>
      </c>
      <c r="D1554" s="1">
        <f t="shared" si="322"/>
        <v>0</v>
      </c>
      <c r="E1554" s="3">
        <f t="array" ref="E1554">INDEX($A$9:A1553, MAX(IF($D$9:D1553=1, ROW(D$9:$D1553)-ROW($D$9)+1, 0)))</f>
        <v>48204</v>
      </c>
      <c r="F1554" s="23">
        <f t="shared" si="314"/>
        <v>5.9219712525667347</v>
      </c>
      <c r="G1554" s="5">
        <f>INDEX('Default Prob'!$P$5:$P$14,MIN(1+_xlfn.IFNA(MATCH(F1554,'Default Prob'!$F$5:$F$14,1),0),COUNT('Default Prob'!$P$5:$P$14)))</f>
        <v>3.22895928960443E-2</v>
      </c>
      <c r="H1554" s="5">
        <f t="shared" si="323"/>
        <v>0.87150348810934009</v>
      </c>
      <c r="I1554" s="24">
        <f t="shared" si="324"/>
        <v>2.3116406382195365E-4</v>
      </c>
      <c r="J1554" s="25">
        <f>INDEX('Default Prob'!$C$3:$C$13, _xlfn.IFNA(MATCH(F1554, 'Default Prob'!$B$3:$B$13, 1), 1))</f>
        <v>2.1100000000000001E-2</v>
      </c>
      <c r="K1554" s="26">
        <f t="shared" si="315"/>
        <v>0.88368590730076568</v>
      </c>
      <c r="L1554" s="27">
        <f t="shared" ca="1" si="316"/>
        <v>0</v>
      </c>
      <c r="M1554" s="27">
        <f t="shared" ca="1" si="317"/>
        <v>0</v>
      </c>
      <c r="N1554" s="28">
        <f t="shared" ca="1" si="318"/>
        <v>0</v>
      </c>
      <c r="O1554" s="29">
        <f t="shared" ca="1" si="319"/>
        <v>0</v>
      </c>
      <c r="P1554" s="30">
        <f t="shared" ca="1" si="320"/>
        <v>0</v>
      </c>
    </row>
    <row r="1555" spans="1:16" x14ac:dyDescent="0.25">
      <c r="A1555" s="3">
        <f t="shared" si="321"/>
        <v>48289</v>
      </c>
      <c r="B1555" s="21">
        <f t="shared" si="312"/>
        <v>36601</v>
      </c>
      <c r="C1555" s="21">
        <f t="shared" si="313"/>
        <v>36605</v>
      </c>
      <c r="D1555" s="1">
        <f t="shared" si="322"/>
        <v>0</v>
      </c>
      <c r="E1555" s="3">
        <f t="array" ref="E1555">INDEX($A$9:A1554, MAX(IF($D$9:D1554=1, ROW(D$9:$D1554)-ROW($D$9)+1, 0)))</f>
        <v>48204</v>
      </c>
      <c r="F1555" s="23">
        <f t="shared" si="314"/>
        <v>5.9247091033538668</v>
      </c>
      <c r="G1555" s="5">
        <f>INDEX('Default Prob'!$P$5:$P$14,MIN(1+_xlfn.IFNA(MATCH(F1555,'Default Prob'!$F$5:$F$14,1),0),COUNT('Default Prob'!$P$5:$P$14)))</f>
        <v>3.22895928960443E-2</v>
      </c>
      <c r="H1555" s="5">
        <f t="shared" si="323"/>
        <v>0.87142644704429451</v>
      </c>
      <c r="I1555" s="24">
        <f t="shared" si="324"/>
        <v>7.7041065045579948E-5</v>
      </c>
      <c r="J1555" s="25">
        <f>INDEX('Default Prob'!$C$3:$C$13, _xlfn.IFNA(MATCH(F1555, 'Default Prob'!$B$3:$B$13, 1), 1))</f>
        <v>2.1100000000000001E-2</v>
      </c>
      <c r="K1555" s="26">
        <f t="shared" si="315"/>
        <v>0.88363539051401085</v>
      </c>
      <c r="L1555" s="27">
        <f t="shared" ca="1" si="316"/>
        <v>0</v>
      </c>
      <c r="M1555" s="27">
        <f t="shared" ca="1" si="317"/>
        <v>0</v>
      </c>
      <c r="N1555" s="28">
        <f t="shared" ca="1" si="318"/>
        <v>0</v>
      </c>
      <c r="O1555" s="29">
        <f t="shared" ca="1" si="319"/>
        <v>0</v>
      </c>
      <c r="P1555" s="30">
        <f t="shared" ca="1" si="320"/>
        <v>0</v>
      </c>
    </row>
    <row r="1556" spans="1:16" x14ac:dyDescent="0.25">
      <c r="A1556" s="3">
        <f t="shared" si="321"/>
        <v>48290</v>
      </c>
      <c r="B1556" s="21">
        <f t="shared" si="312"/>
        <v>36602</v>
      </c>
      <c r="C1556" s="21">
        <f t="shared" si="313"/>
        <v>36605</v>
      </c>
      <c r="D1556" s="1">
        <f t="shared" si="322"/>
        <v>0</v>
      </c>
      <c r="E1556" s="3">
        <f t="array" ref="E1556">INDEX($A$9:A1555, MAX(IF($D$9:D1555=1, ROW(D$9:$D1555)-ROW($D$9)+1, 0)))</f>
        <v>48204</v>
      </c>
      <c r="F1556" s="23">
        <f t="shared" si="314"/>
        <v>5.9274469541409998</v>
      </c>
      <c r="G1556" s="5">
        <f>INDEX('Default Prob'!$P$5:$P$14,MIN(1+_xlfn.IFNA(MATCH(F1556,'Default Prob'!$F$5:$F$14,1),0),COUNT('Default Prob'!$P$5:$P$14)))</f>
        <v>3.22895928960443E-2</v>
      </c>
      <c r="H1556" s="5">
        <f t="shared" si="323"/>
        <v>0.87134941278969291</v>
      </c>
      <c r="I1556" s="24">
        <f t="shared" si="324"/>
        <v>7.703425460159341E-5</v>
      </c>
      <c r="J1556" s="25">
        <f>INDEX('Default Prob'!$C$3:$C$13, _xlfn.IFNA(MATCH(F1556, 'Default Prob'!$B$3:$B$13, 1), 1))</f>
        <v>2.1100000000000001E-2</v>
      </c>
      <c r="K1556" s="26">
        <f t="shared" si="315"/>
        <v>0.88358487661509832</v>
      </c>
      <c r="L1556" s="27">
        <f t="shared" ca="1" si="316"/>
        <v>0</v>
      </c>
      <c r="M1556" s="27">
        <f t="shared" ca="1" si="317"/>
        <v>0</v>
      </c>
      <c r="N1556" s="28">
        <f t="shared" ca="1" si="318"/>
        <v>0</v>
      </c>
      <c r="O1556" s="29">
        <f t="shared" ca="1" si="319"/>
        <v>0</v>
      </c>
      <c r="P1556" s="30">
        <f t="shared" ca="1" si="320"/>
        <v>0</v>
      </c>
    </row>
    <row r="1557" spans="1:16" x14ac:dyDescent="0.25">
      <c r="A1557" s="3">
        <f t="shared" si="321"/>
        <v>48291</v>
      </c>
      <c r="B1557" s="21">
        <f t="shared" si="312"/>
        <v>36603</v>
      </c>
      <c r="C1557" s="21">
        <f t="shared" si="313"/>
        <v>36605</v>
      </c>
      <c r="D1557" s="1">
        <f t="shared" si="322"/>
        <v>0</v>
      </c>
      <c r="E1557" s="3">
        <f t="array" ref="E1557">INDEX($A$9:A1556, MAX(IF($D$9:D1556=1, ROW(D$9:$D1556)-ROW($D$9)+1, 0)))</f>
        <v>48204</v>
      </c>
      <c r="F1557" s="23">
        <f t="shared" si="314"/>
        <v>5.9301848049281318</v>
      </c>
      <c r="G1557" s="5">
        <f>INDEX('Default Prob'!$P$5:$P$14,MIN(1+_xlfn.IFNA(MATCH(F1557,'Default Prob'!$F$5:$F$14,1),0),COUNT('Default Prob'!$P$5:$P$14)))</f>
        <v>3.22895928960443E-2</v>
      </c>
      <c r="H1557" s="5">
        <f t="shared" si="323"/>
        <v>0.87127238534493334</v>
      </c>
      <c r="I1557" s="24">
        <f t="shared" si="324"/>
        <v>7.7027444759569796E-5</v>
      </c>
      <c r="J1557" s="25">
        <f>INDEX('Default Prob'!$C$3:$C$13, _xlfn.IFNA(MATCH(F1557, 'Default Prob'!$B$3:$B$13, 1), 1))</f>
        <v>2.1100000000000001E-2</v>
      </c>
      <c r="K1557" s="26">
        <f t="shared" si="315"/>
        <v>0.88353436560386334</v>
      </c>
      <c r="L1557" s="27">
        <f t="shared" ca="1" si="316"/>
        <v>0</v>
      </c>
      <c r="M1557" s="27">
        <f t="shared" ca="1" si="317"/>
        <v>0</v>
      </c>
      <c r="N1557" s="28">
        <f t="shared" ca="1" si="318"/>
        <v>0</v>
      </c>
      <c r="O1557" s="29">
        <f t="shared" ca="1" si="319"/>
        <v>0</v>
      </c>
      <c r="P1557" s="30">
        <f t="shared" ca="1" si="320"/>
        <v>0</v>
      </c>
    </row>
    <row r="1558" spans="1:16" x14ac:dyDescent="0.25">
      <c r="A1558" s="3">
        <f t="shared" si="321"/>
        <v>48292</v>
      </c>
      <c r="B1558" s="21">
        <f t="shared" si="312"/>
        <v>36604</v>
      </c>
      <c r="C1558" s="21">
        <f t="shared" si="313"/>
        <v>36605</v>
      </c>
      <c r="D1558" s="1">
        <f t="shared" si="322"/>
        <v>0</v>
      </c>
      <c r="E1558" s="3">
        <f t="array" ref="E1558">INDEX($A$9:A1557, MAX(IF($D$9:D1557=1, ROW(D$9:$D1557)-ROW($D$9)+1, 0)))</f>
        <v>48204</v>
      </c>
      <c r="F1558" s="23">
        <f t="shared" si="314"/>
        <v>5.9329226557152639</v>
      </c>
      <c r="G1558" s="5">
        <f>INDEX('Default Prob'!$P$5:$P$14,MIN(1+_xlfn.IFNA(MATCH(F1558,'Default Prob'!$F$5:$F$14,1),0),COUNT('Default Prob'!$P$5:$P$14)))</f>
        <v>3.22895928960443E-2</v>
      </c>
      <c r="H1558" s="5">
        <f t="shared" si="323"/>
        <v>0.87119536470941372</v>
      </c>
      <c r="I1558" s="24">
        <f t="shared" si="324"/>
        <v>7.7020635519620129E-5</v>
      </c>
      <c r="J1558" s="25">
        <f>INDEX('Default Prob'!$C$3:$C$13, _xlfn.IFNA(MATCH(F1558, 'Default Prob'!$B$3:$B$13, 1), 1))</f>
        <v>2.1100000000000001E-2</v>
      </c>
      <c r="K1558" s="26">
        <f t="shared" si="315"/>
        <v>0.8834838574801408</v>
      </c>
      <c r="L1558" s="27">
        <f t="shared" ca="1" si="316"/>
        <v>0</v>
      </c>
      <c r="M1558" s="27">
        <f t="shared" ca="1" si="317"/>
        <v>0</v>
      </c>
      <c r="N1558" s="28">
        <f t="shared" ca="1" si="318"/>
        <v>0</v>
      </c>
      <c r="O1558" s="29">
        <f t="shared" ca="1" si="319"/>
        <v>0</v>
      </c>
      <c r="P1558" s="30">
        <f t="shared" ca="1" si="320"/>
        <v>0</v>
      </c>
    </row>
    <row r="1559" spans="1:16" x14ac:dyDescent="0.25">
      <c r="A1559" s="3">
        <f t="shared" si="321"/>
        <v>48295</v>
      </c>
      <c r="B1559" s="21">
        <f t="shared" si="312"/>
        <v>36607</v>
      </c>
      <c r="C1559" s="21">
        <f t="shared" si="313"/>
        <v>36697</v>
      </c>
      <c r="D1559" s="1">
        <f t="shared" si="322"/>
        <v>1</v>
      </c>
      <c r="E1559" s="3">
        <f t="array" ref="E1559">INDEX($A$9:A1558, MAX(IF($D$9:D1558=1, ROW(D$9:$D1558)-ROW($D$9)+1, 0)))</f>
        <v>48204</v>
      </c>
      <c r="F1559" s="23">
        <f t="shared" si="314"/>
        <v>5.9411362080766601</v>
      </c>
      <c r="G1559" s="5">
        <f>INDEX('Default Prob'!$P$5:$P$14,MIN(1+_xlfn.IFNA(MATCH(F1559,'Default Prob'!$F$5:$F$14,1),0),COUNT('Default Prob'!$P$5:$P$14)))</f>
        <v>3.22895928960443E-2</v>
      </c>
      <c r="H1559" s="5">
        <f t="shared" si="323"/>
        <v>0.87096434365227549</v>
      </c>
      <c r="I1559" s="24">
        <f t="shared" si="324"/>
        <v>2.3102105713823651E-4</v>
      </c>
      <c r="J1559" s="25">
        <f>INDEX('Default Prob'!$C$3:$C$13, _xlfn.IFNA(MATCH(F1559, 'Default Prob'!$B$3:$B$13, 1), 1))</f>
        <v>2.1100000000000001E-2</v>
      </c>
      <c r="K1559" s="26">
        <f t="shared" si="315"/>
        <v>0.88333235043239644</v>
      </c>
      <c r="L1559" s="27">
        <f t="shared" ca="1" si="316"/>
        <v>0</v>
      </c>
      <c r="M1559" s="27">
        <f t="shared" ca="1" si="317"/>
        <v>0</v>
      </c>
      <c r="N1559" s="28">
        <f t="shared" ca="1" si="318"/>
        <v>0</v>
      </c>
      <c r="O1559" s="29">
        <f t="shared" ca="1" si="319"/>
        <v>0</v>
      </c>
      <c r="P1559" s="30">
        <f t="shared" ca="1" si="320"/>
        <v>0</v>
      </c>
    </row>
    <row r="1560" spans="1:16" x14ac:dyDescent="0.25">
      <c r="A1560" s="3">
        <f t="shared" si="321"/>
        <v>48296</v>
      </c>
      <c r="B1560" s="21">
        <f t="shared" si="312"/>
        <v>36608</v>
      </c>
      <c r="C1560" s="21">
        <f t="shared" si="313"/>
        <v>36697</v>
      </c>
      <c r="D1560" s="1">
        <f t="shared" si="322"/>
        <v>0</v>
      </c>
      <c r="E1560" s="3">
        <f t="array" ref="E1560">INDEX($A$9:A1559, MAX(IF($D$9:D1559=1, ROW(D$9:$D1559)-ROW($D$9)+1, 0)))</f>
        <v>48295</v>
      </c>
      <c r="F1560" s="23">
        <f t="shared" si="314"/>
        <v>5.9438740588637922</v>
      </c>
      <c r="G1560" s="5">
        <f>INDEX('Default Prob'!$P$5:$P$14,MIN(1+_xlfn.IFNA(MATCH(F1560,'Default Prob'!$F$5:$F$14,1),0),COUNT('Default Prob'!$P$5:$P$14)))</f>
        <v>3.22895928960443E-2</v>
      </c>
      <c r="H1560" s="5">
        <f t="shared" si="323"/>
        <v>0.87088735024769692</v>
      </c>
      <c r="I1560" s="24">
        <f t="shared" si="324"/>
        <v>7.6993404578562519E-5</v>
      </c>
      <c r="J1560" s="25">
        <f>INDEX('Default Prob'!$C$3:$C$13, _xlfn.IFNA(MATCH(F1560, 'Default Prob'!$B$3:$B$13, 1), 1))</f>
        <v>2.1100000000000001E-2</v>
      </c>
      <c r="K1560" s="26">
        <f t="shared" si="315"/>
        <v>0.8832818538570727</v>
      </c>
      <c r="L1560" s="27">
        <f t="shared" ca="1" si="316"/>
        <v>0</v>
      </c>
      <c r="M1560" s="27">
        <f t="shared" ca="1" si="317"/>
        <v>0</v>
      </c>
      <c r="N1560" s="28">
        <f t="shared" ca="1" si="318"/>
        <v>0</v>
      </c>
      <c r="O1560" s="29">
        <f t="shared" ca="1" si="319"/>
        <v>0</v>
      </c>
      <c r="P1560" s="30">
        <f t="shared" ca="1" si="320"/>
        <v>0</v>
      </c>
    </row>
    <row r="1561" spans="1:16" x14ac:dyDescent="0.25">
      <c r="A1561" s="3">
        <f t="shared" si="321"/>
        <v>48297</v>
      </c>
      <c r="B1561" s="21">
        <f t="shared" si="312"/>
        <v>36609</v>
      </c>
      <c r="C1561" s="21">
        <f t="shared" si="313"/>
        <v>36697</v>
      </c>
      <c r="D1561" s="1">
        <f t="shared" si="322"/>
        <v>0</v>
      </c>
      <c r="E1561" s="3">
        <f t="array" ref="E1561">INDEX($A$9:A1560, MAX(IF($D$9:D1560=1, ROW(D$9:$D1560)-ROW($D$9)+1, 0)))</f>
        <v>48295</v>
      </c>
      <c r="F1561" s="23">
        <f t="shared" si="314"/>
        <v>5.9466119096509242</v>
      </c>
      <c r="G1561" s="5">
        <f>INDEX('Default Prob'!$P$5:$P$14,MIN(1+_xlfn.IFNA(MATCH(F1561,'Default Prob'!$F$5:$F$14,1),0),COUNT('Default Prob'!$P$5:$P$14)))</f>
        <v>3.22895928960443E-2</v>
      </c>
      <c r="H1561" s="5">
        <f t="shared" si="323"/>
        <v>0.87081036364934916</v>
      </c>
      <c r="I1561" s="24">
        <f t="shared" si="324"/>
        <v>7.6986598347761337E-5</v>
      </c>
      <c r="J1561" s="25">
        <f>INDEX('Default Prob'!$C$3:$C$13, _xlfn.IFNA(MATCH(F1561, 'Default Prob'!$B$3:$B$13, 1), 1))</f>
        <v>2.1100000000000001E-2</v>
      </c>
      <c r="K1561" s="26">
        <f t="shared" si="315"/>
        <v>0.88323136016843606</v>
      </c>
      <c r="L1561" s="27">
        <f t="shared" ca="1" si="316"/>
        <v>0</v>
      </c>
      <c r="M1561" s="27">
        <f t="shared" ca="1" si="317"/>
        <v>0</v>
      </c>
      <c r="N1561" s="28">
        <f t="shared" ca="1" si="318"/>
        <v>0</v>
      </c>
      <c r="O1561" s="29">
        <f t="shared" ca="1" si="319"/>
        <v>0</v>
      </c>
      <c r="P1561" s="30">
        <f t="shared" ca="1" si="320"/>
        <v>0</v>
      </c>
    </row>
    <row r="1562" spans="1:16" x14ac:dyDescent="0.25">
      <c r="A1562" s="3">
        <f t="shared" si="321"/>
        <v>48298</v>
      </c>
      <c r="B1562" s="21">
        <f t="shared" si="312"/>
        <v>36610</v>
      </c>
      <c r="C1562" s="21">
        <f t="shared" si="313"/>
        <v>36697</v>
      </c>
      <c r="D1562" s="1">
        <f t="shared" si="322"/>
        <v>0</v>
      </c>
      <c r="E1562" s="3">
        <f t="array" ref="E1562">INDEX($A$9:A1561, MAX(IF($D$9:D1561=1, ROW(D$9:$D1561)-ROW($D$9)+1, 0)))</f>
        <v>48295</v>
      </c>
      <c r="F1562" s="23">
        <f t="shared" si="314"/>
        <v>5.9493497604380563</v>
      </c>
      <c r="G1562" s="5">
        <f>INDEX('Default Prob'!$P$5:$P$14,MIN(1+_xlfn.IFNA(MATCH(F1562,'Default Prob'!$F$5:$F$14,1),0),COUNT('Default Prob'!$P$5:$P$14)))</f>
        <v>3.22895928960443E-2</v>
      </c>
      <c r="H1562" s="5">
        <f t="shared" si="323"/>
        <v>0.87073338385663057</v>
      </c>
      <c r="I1562" s="24">
        <f t="shared" si="324"/>
        <v>7.6979792718590012E-5</v>
      </c>
      <c r="J1562" s="25">
        <f>INDEX('Default Prob'!$C$3:$C$13, _xlfn.IFNA(MATCH(F1562, 'Default Prob'!$B$3:$B$13, 1), 1))</f>
        <v>2.1100000000000001E-2</v>
      </c>
      <c r="K1562" s="26">
        <f t="shared" si="315"/>
        <v>0.88318086936632167</v>
      </c>
      <c r="L1562" s="27">
        <f t="shared" ca="1" si="316"/>
        <v>0</v>
      </c>
      <c r="M1562" s="27">
        <f t="shared" ca="1" si="317"/>
        <v>0</v>
      </c>
      <c r="N1562" s="28">
        <f t="shared" ca="1" si="318"/>
        <v>0</v>
      </c>
      <c r="O1562" s="29">
        <f t="shared" ca="1" si="319"/>
        <v>0</v>
      </c>
      <c r="P1562" s="30">
        <f t="shared" ca="1" si="320"/>
        <v>0</v>
      </c>
    </row>
    <row r="1563" spans="1:16" x14ac:dyDescent="0.25">
      <c r="A1563" s="3">
        <f t="shared" si="321"/>
        <v>48299</v>
      </c>
      <c r="B1563" s="21">
        <f t="shared" si="312"/>
        <v>36611</v>
      </c>
      <c r="C1563" s="21">
        <f t="shared" si="313"/>
        <v>36697</v>
      </c>
      <c r="D1563" s="1">
        <f t="shared" si="322"/>
        <v>0</v>
      </c>
      <c r="E1563" s="3">
        <f t="array" ref="E1563">INDEX($A$9:A1562, MAX(IF($D$9:D1562=1, ROW(D$9:$D1562)-ROW($D$9)+1, 0)))</f>
        <v>48295</v>
      </c>
      <c r="F1563" s="23">
        <f t="shared" si="314"/>
        <v>5.9520876112251884</v>
      </c>
      <c r="G1563" s="5">
        <f>INDEX('Default Prob'!$P$5:$P$14,MIN(1+_xlfn.IFNA(MATCH(F1563,'Default Prob'!$F$5:$F$14,1),0),COUNT('Default Prob'!$P$5:$P$14)))</f>
        <v>3.22895928960443E-2</v>
      </c>
      <c r="H1563" s="5">
        <f t="shared" si="323"/>
        <v>0.87065641086893941</v>
      </c>
      <c r="I1563" s="24">
        <f t="shared" si="324"/>
        <v>7.6972987691159567E-5</v>
      </c>
      <c r="J1563" s="25">
        <f>INDEX('Default Prob'!$C$3:$C$13, _xlfn.IFNA(MATCH(F1563, 'Default Prob'!$B$3:$B$13, 1), 1))</f>
        <v>2.1100000000000001E-2</v>
      </c>
      <c r="K1563" s="26">
        <f t="shared" si="315"/>
        <v>0.88313038145056411</v>
      </c>
      <c r="L1563" s="27">
        <f t="shared" ca="1" si="316"/>
        <v>0</v>
      </c>
      <c r="M1563" s="27">
        <f t="shared" ca="1" si="317"/>
        <v>0</v>
      </c>
      <c r="N1563" s="28">
        <f t="shared" ca="1" si="318"/>
        <v>0</v>
      </c>
      <c r="O1563" s="29">
        <f t="shared" ca="1" si="319"/>
        <v>0</v>
      </c>
      <c r="P1563" s="30">
        <f t="shared" ca="1" si="320"/>
        <v>0</v>
      </c>
    </row>
    <row r="1564" spans="1:16" x14ac:dyDescent="0.25">
      <c r="A1564" s="3">
        <f t="shared" si="321"/>
        <v>48302</v>
      </c>
      <c r="B1564" s="21">
        <f t="shared" si="312"/>
        <v>36614</v>
      </c>
      <c r="C1564" s="21">
        <f t="shared" si="313"/>
        <v>36697</v>
      </c>
      <c r="D1564" s="1">
        <f t="shared" si="322"/>
        <v>0</v>
      </c>
      <c r="E1564" s="3">
        <f t="array" ref="E1564">INDEX($A$9:A1563, MAX(IF($D$9:D1563=1, ROW(D$9:$D1563)-ROW($D$9)+1, 0)))</f>
        <v>48295</v>
      </c>
      <c r="F1564" s="23">
        <f t="shared" si="314"/>
        <v>5.9603011635865846</v>
      </c>
      <c r="G1564" s="5">
        <f>INDEX('Default Prob'!$P$5:$P$14,MIN(1+_xlfn.IFNA(MATCH(F1564,'Default Prob'!$F$5:$F$14,1),0),COUNT('Default Prob'!$P$5:$P$14)))</f>
        <v>3.22895928960443E-2</v>
      </c>
      <c r="H1564" s="5">
        <f t="shared" si="323"/>
        <v>0.87042553273001566</v>
      </c>
      <c r="I1564" s="24">
        <f t="shared" si="324"/>
        <v>2.3087813892375131E-4</v>
      </c>
      <c r="J1564" s="25">
        <f>INDEX('Default Prob'!$C$3:$C$13, _xlfn.IFNA(MATCH(F1564, 'Default Prob'!$B$3:$B$13, 1), 1))</f>
        <v>2.1100000000000001E-2</v>
      </c>
      <c r="K1564" s="26">
        <f t="shared" si="315"/>
        <v>0.88297893501978442</v>
      </c>
      <c r="L1564" s="27">
        <f t="shared" ca="1" si="316"/>
        <v>0</v>
      </c>
      <c r="M1564" s="27">
        <f t="shared" ca="1" si="317"/>
        <v>0</v>
      </c>
      <c r="N1564" s="28">
        <f t="shared" ca="1" si="318"/>
        <v>0</v>
      </c>
      <c r="O1564" s="29">
        <f t="shared" ca="1" si="319"/>
        <v>0</v>
      </c>
      <c r="P1564" s="30">
        <f t="shared" ca="1" si="320"/>
        <v>0</v>
      </c>
    </row>
    <row r="1565" spans="1:16" x14ac:dyDescent="0.25">
      <c r="A1565" s="3">
        <f t="shared" si="321"/>
        <v>48303</v>
      </c>
      <c r="B1565" s="21">
        <f t="shared" si="312"/>
        <v>36615</v>
      </c>
      <c r="C1565" s="21">
        <f t="shared" si="313"/>
        <v>36697</v>
      </c>
      <c r="D1565" s="1">
        <f t="shared" si="322"/>
        <v>0</v>
      </c>
      <c r="E1565" s="3">
        <f t="array" ref="E1565">INDEX($A$9:A1564, MAX(IF($D$9:D1564=1, ROW(D$9:$D1564)-ROW($D$9)+1, 0)))</f>
        <v>48295</v>
      </c>
      <c r="F1565" s="23">
        <f t="shared" si="314"/>
        <v>5.9630390143737166</v>
      </c>
      <c r="G1565" s="5">
        <f>INDEX('Default Prob'!$P$5:$P$14,MIN(1+_xlfn.IFNA(MATCH(F1565,'Default Prob'!$F$5:$F$14,1),0),COUNT('Default Prob'!$P$5:$P$14)))</f>
        <v>3.22895928960443E-2</v>
      </c>
      <c r="H1565" s="5">
        <f t="shared" si="323"/>
        <v>0.87034858695641948</v>
      </c>
      <c r="I1565" s="24">
        <f t="shared" si="324"/>
        <v>7.6945773596182043E-5</v>
      </c>
      <c r="J1565" s="25">
        <f>INDEX('Default Prob'!$C$3:$C$13, _xlfn.IFNA(MATCH(F1565, 'Default Prob'!$B$3:$B$13, 1), 1))</f>
        <v>2.1100000000000001E-2</v>
      </c>
      <c r="K1565" s="26">
        <f t="shared" si="315"/>
        <v>0.88292845864780545</v>
      </c>
      <c r="L1565" s="27">
        <f t="shared" ca="1" si="316"/>
        <v>0</v>
      </c>
      <c r="M1565" s="27">
        <f t="shared" ca="1" si="317"/>
        <v>0</v>
      </c>
      <c r="N1565" s="28">
        <f t="shared" ca="1" si="318"/>
        <v>0</v>
      </c>
      <c r="O1565" s="29">
        <f t="shared" ca="1" si="319"/>
        <v>0</v>
      </c>
      <c r="P1565" s="30">
        <f t="shared" ca="1" si="320"/>
        <v>0</v>
      </c>
    </row>
    <row r="1566" spans="1:16" x14ac:dyDescent="0.25">
      <c r="A1566" s="3">
        <f t="shared" si="321"/>
        <v>48304</v>
      </c>
      <c r="B1566" s="21">
        <f t="shared" si="312"/>
        <v>36616</v>
      </c>
      <c r="C1566" s="21">
        <f t="shared" si="313"/>
        <v>36697</v>
      </c>
      <c r="D1566" s="1">
        <f t="shared" si="322"/>
        <v>0</v>
      </c>
      <c r="E1566" s="3">
        <f t="array" ref="E1566">INDEX($A$9:A1565, MAX(IF($D$9:D1565=1, ROW(D$9:$D1565)-ROW($D$9)+1, 0)))</f>
        <v>48295</v>
      </c>
      <c r="F1566" s="23">
        <f t="shared" si="314"/>
        <v>5.9657768651608487</v>
      </c>
      <c r="G1566" s="5">
        <f>INDEX('Default Prob'!$P$5:$P$14,MIN(1+_xlfn.IFNA(MATCH(F1566,'Default Prob'!$F$5:$F$14,1),0),COUNT('Default Prob'!$P$5:$P$14)))</f>
        <v>3.22895928960443E-2</v>
      </c>
      <c r="H1566" s="5">
        <f t="shared" si="323"/>
        <v>0.87027164798484347</v>
      </c>
      <c r="I1566" s="24">
        <f t="shared" si="324"/>
        <v>7.6938971576012705E-5</v>
      </c>
      <c r="J1566" s="25">
        <f>INDEX('Default Prob'!$C$3:$C$13, _xlfn.IFNA(MATCH(F1566, 'Default Prob'!$B$3:$B$13, 1), 1))</f>
        <v>2.1100000000000001E-2</v>
      </c>
      <c r="K1566" s="26">
        <f t="shared" si="315"/>
        <v>0.88287798516135862</v>
      </c>
      <c r="L1566" s="27">
        <f t="shared" ca="1" si="316"/>
        <v>0</v>
      </c>
      <c r="M1566" s="27">
        <f t="shared" ca="1" si="317"/>
        <v>0</v>
      </c>
      <c r="N1566" s="28">
        <f t="shared" ca="1" si="318"/>
        <v>0</v>
      </c>
      <c r="O1566" s="29">
        <f t="shared" ca="1" si="319"/>
        <v>0</v>
      </c>
      <c r="P1566" s="30">
        <f t="shared" ca="1" si="320"/>
        <v>0</v>
      </c>
    </row>
    <row r="1567" spans="1:16" x14ac:dyDescent="0.25">
      <c r="A1567" s="3">
        <f t="shared" si="321"/>
        <v>48305</v>
      </c>
      <c r="B1567" s="21">
        <f t="shared" si="312"/>
        <v>36617</v>
      </c>
      <c r="C1567" s="21">
        <f t="shared" si="313"/>
        <v>36697</v>
      </c>
      <c r="D1567" s="1">
        <f t="shared" si="322"/>
        <v>0</v>
      </c>
      <c r="E1567" s="3">
        <f t="array" ref="E1567">INDEX($A$9:A1566, MAX(IF($D$9:D1566=1, ROW(D$9:$D1566)-ROW($D$9)+1, 0)))</f>
        <v>48295</v>
      </c>
      <c r="F1567" s="23">
        <f t="shared" si="314"/>
        <v>5.9685147159479808</v>
      </c>
      <c r="G1567" s="5">
        <f>INDEX('Default Prob'!$P$5:$P$14,MIN(1+_xlfn.IFNA(MATCH(F1567,'Default Prob'!$F$5:$F$14,1),0),COUNT('Default Prob'!$P$5:$P$14)))</f>
        <v>3.22895928960443E-2</v>
      </c>
      <c r="H1567" s="5">
        <f t="shared" si="323"/>
        <v>0.87019471581468644</v>
      </c>
      <c r="I1567" s="24">
        <f t="shared" si="324"/>
        <v>7.6932170157029134E-5</v>
      </c>
      <c r="J1567" s="25">
        <f>INDEX('Default Prob'!$C$3:$C$13, _xlfn.IFNA(MATCH(F1567, 'Default Prob'!$B$3:$B$13, 1), 1))</f>
        <v>2.1100000000000001E-2</v>
      </c>
      <c r="K1567" s="26">
        <f t="shared" si="315"/>
        <v>0.88282751456027908</v>
      </c>
      <c r="L1567" s="27">
        <f t="shared" ca="1" si="316"/>
        <v>0</v>
      </c>
      <c r="M1567" s="27">
        <f t="shared" ca="1" si="317"/>
        <v>0</v>
      </c>
      <c r="N1567" s="28">
        <f t="shared" ca="1" si="318"/>
        <v>0</v>
      </c>
      <c r="O1567" s="29">
        <f t="shared" ca="1" si="319"/>
        <v>0</v>
      </c>
      <c r="P1567" s="30">
        <f t="shared" ca="1" si="320"/>
        <v>0</v>
      </c>
    </row>
    <row r="1568" spans="1:16" x14ac:dyDescent="0.25">
      <c r="A1568" s="3">
        <f t="shared" si="321"/>
        <v>48306</v>
      </c>
      <c r="B1568" s="21">
        <f t="shared" si="312"/>
        <v>36618</v>
      </c>
      <c r="C1568" s="21">
        <f t="shared" si="313"/>
        <v>36697</v>
      </c>
      <c r="D1568" s="1">
        <f t="shared" si="322"/>
        <v>0</v>
      </c>
      <c r="E1568" s="3">
        <f t="array" ref="E1568">INDEX($A$9:A1567, MAX(IF($D$9:D1567=1, ROW(D$9:$D1567)-ROW($D$9)+1, 0)))</f>
        <v>48295</v>
      </c>
      <c r="F1568" s="23">
        <f t="shared" si="314"/>
        <v>5.9712525667351128</v>
      </c>
      <c r="G1568" s="5">
        <f>INDEX('Default Prob'!$P$5:$P$14,MIN(1+_xlfn.IFNA(MATCH(F1568,'Default Prob'!$F$5:$F$14,1),0),COUNT('Default Prob'!$P$5:$P$14)))</f>
        <v>3.22895928960443E-2</v>
      </c>
      <c r="H1568" s="5">
        <f t="shared" si="323"/>
        <v>0.87011779044534709</v>
      </c>
      <c r="I1568" s="24">
        <f t="shared" si="324"/>
        <v>7.6925369339342353E-5</v>
      </c>
      <c r="J1568" s="25">
        <f>INDEX('Default Prob'!$C$3:$C$13, _xlfn.IFNA(MATCH(F1568, 'Default Prob'!$B$3:$B$13, 1), 1))</f>
        <v>2.1100000000000001E-2</v>
      </c>
      <c r="K1568" s="26">
        <f t="shared" si="315"/>
        <v>0.88277704684440184</v>
      </c>
      <c r="L1568" s="27">
        <f t="shared" ca="1" si="316"/>
        <v>0</v>
      </c>
      <c r="M1568" s="27">
        <f t="shared" ca="1" si="317"/>
        <v>0</v>
      </c>
      <c r="N1568" s="28">
        <f t="shared" ca="1" si="318"/>
        <v>0</v>
      </c>
      <c r="O1568" s="29">
        <f t="shared" ca="1" si="319"/>
        <v>0</v>
      </c>
      <c r="P1568" s="30">
        <f t="shared" ca="1" si="320"/>
        <v>0</v>
      </c>
    </row>
    <row r="1569" spans="1:16" x14ac:dyDescent="0.25">
      <c r="A1569" s="3">
        <f t="shared" si="321"/>
        <v>48309</v>
      </c>
      <c r="B1569" s="21">
        <f t="shared" si="312"/>
        <v>36621</v>
      </c>
      <c r="C1569" s="21">
        <f t="shared" si="313"/>
        <v>36697</v>
      </c>
      <c r="D1569" s="1">
        <f t="shared" si="322"/>
        <v>0</v>
      </c>
      <c r="E1569" s="3">
        <f t="array" ref="E1569">INDEX($A$9:A1568, MAX(IF($D$9:D1568=1, ROW(D$9:$D1568)-ROW($D$9)+1, 0)))</f>
        <v>48295</v>
      </c>
      <c r="F1569" s="23">
        <f t="shared" si="314"/>
        <v>5.979466119096509</v>
      </c>
      <c r="G1569" s="5">
        <f>INDEX('Default Prob'!$P$5:$P$14,MIN(1+_xlfn.IFNA(MATCH(F1569,'Default Prob'!$F$5:$F$14,1),0),COUNT('Default Prob'!$P$5:$P$14)))</f>
        <v>3.22895928960443E-2</v>
      </c>
      <c r="H1569" s="5">
        <f t="shared" si="323"/>
        <v>0.86988705513622333</v>
      </c>
      <c r="I1569" s="24">
        <f t="shared" si="324"/>
        <v>2.3073530912376405E-4</v>
      </c>
      <c r="J1569" s="25">
        <f>INDEX('Default Prob'!$C$3:$C$13, _xlfn.IFNA(MATCH(F1569, 'Default Prob'!$B$3:$B$13, 1), 1))</f>
        <v>2.1100000000000001E-2</v>
      </c>
      <c r="K1569" s="26">
        <f t="shared" si="315"/>
        <v>0.88262566100633422</v>
      </c>
      <c r="L1569" s="27">
        <f t="shared" ca="1" si="316"/>
        <v>0</v>
      </c>
      <c r="M1569" s="27">
        <f t="shared" ca="1" si="317"/>
        <v>0</v>
      </c>
      <c r="N1569" s="28">
        <f t="shared" ca="1" si="318"/>
        <v>0</v>
      </c>
      <c r="O1569" s="29">
        <f t="shared" ca="1" si="319"/>
        <v>0</v>
      </c>
      <c r="P1569" s="30">
        <f t="shared" ca="1" si="320"/>
        <v>0</v>
      </c>
    </row>
    <row r="1570" spans="1:16" x14ac:dyDescent="0.25">
      <c r="A1570" s="3">
        <f t="shared" si="321"/>
        <v>48310</v>
      </c>
      <c r="B1570" s="21">
        <f t="shared" si="312"/>
        <v>36622</v>
      </c>
      <c r="C1570" s="21">
        <f t="shared" si="313"/>
        <v>36697</v>
      </c>
      <c r="D1570" s="1">
        <f t="shared" si="322"/>
        <v>0</v>
      </c>
      <c r="E1570" s="3">
        <f t="array" ref="E1570">INDEX($A$9:A1569, MAX(IF($D$9:D1569=1, ROW(D$9:$D1569)-ROW($D$9)+1, 0)))</f>
        <v>48295</v>
      </c>
      <c r="F1570" s="23">
        <f t="shared" si="314"/>
        <v>5.9822039698836411</v>
      </c>
      <c r="G1570" s="5">
        <f>INDEX('Default Prob'!$P$5:$P$14,MIN(1+_xlfn.IFNA(MATCH(F1570,'Default Prob'!$F$5:$F$14,1),0),COUNT('Default Prob'!$P$5:$P$14)))</f>
        <v>3.22895928960443E-2</v>
      </c>
      <c r="H1570" s="5">
        <f t="shared" si="323"/>
        <v>0.86981015696414321</v>
      </c>
      <c r="I1570" s="24">
        <f t="shared" si="324"/>
        <v>7.6898172080119842E-5</v>
      </c>
      <c r="J1570" s="25">
        <f>INDEX('Default Prob'!$C$3:$C$13, _xlfn.IFNA(MATCH(F1570, 'Default Prob'!$B$3:$B$13, 1), 1))</f>
        <v>2.1100000000000001E-2</v>
      </c>
      <c r="K1570" s="26">
        <f t="shared" si="315"/>
        <v>0.88257520482961671</v>
      </c>
      <c r="L1570" s="27">
        <f t="shared" ca="1" si="316"/>
        <v>0</v>
      </c>
      <c r="M1570" s="27">
        <f t="shared" ca="1" si="317"/>
        <v>0</v>
      </c>
      <c r="N1570" s="28">
        <f t="shared" ca="1" si="318"/>
        <v>0</v>
      </c>
      <c r="O1570" s="29">
        <f t="shared" ca="1" si="319"/>
        <v>0</v>
      </c>
      <c r="P1570" s="30">
        <f t="shared" ca="1" si="320"/>
        <v>0</v>
      </c>
    </row>
    <row r="1571" spans="1:16" x14ac:dyDescent="0.25">
      <c r="A1571" s="3">
        <f t="shared" si="321"/>
        <v>48311</v>
      </c>
      <c r="B1571" s="21">
        <f t="shared" si="312"/>
        <v>36623</v>
      </c>
      <c r="C1571" s="21">
        <f t="shared" si="313"/>
        <v>36697</v>
      </c>
      <c r="D1571" s="1">
        <f t="shared" si="322"/>
        <v>0</v>
      </c>
      <c r="E1571" s="3">
        <f t="array" ref="E1571">INDEX($A$9:A1570, MAX(IF($D$9:D1570=1, ROW(D$9:$D1570)-ROW($D$9)+1, 0)))</f>
        <v>48295</v>
      </c>
      <c r="F1571" s="23">
        <f t="shared" si="314"/>
        <v>5.9849418206707732</v>
      </c>
      <c r="G1571" s="5">
        <f>INDEX('Default Prob'!$P$5:$P$14,MIN(1+_xlfn.IFNA(MATCH(F1571,'Default Prob'!$F$5:$F$14,1),0),COUNT('Default Prob'!$P$5:$P$14)))</f>
        <v>3.22895928960443E-2</v>
      </c>
      <c r="H1571" s="5">
        <f t="shared" si="323"/>
        <v>0.8697332655898754</v>
      </c>
      <c r="I1571" s="24">
        <f t="shared" si="324"/>
        <v>7.6891374267806789E-5</v>
      </c>
      <c r="J1571" s="25">
        <f>INDEX('Default Prob'!$C$3:$C$13, _xlfn.IFNA(MATCH(F1571, 'Default Prob'!$B$3:$B$13, 1), 1))</f>
        <v>2.1100000000000001E-2</v>
      </c>
      <c r="K1571" s="26">
        <f t="shared" si="315"/>
        <v>0.88252475153727694</v>
      </c>
      <c r="L1571" s="27">
        <f t="shared" ca="1" si="316"/>
        <v>0</v>
      </c>
      <c r="M1571" s="27">
        <f t="shared" ca="1" si="317"/>
        <v>0</v>
      </c>
      <c r="N1571" s="28">
        <f t="shared" ca="1" si="318"/>
        <v>0</v>
      </c>
      <c r="O1571" s="29">
        <f t="shared" ca="1" si="319"/>
        <v>0</v>
      </c>
      <c r="P1571" s="30">
        <f t="shared" ca="1" si="320"/>
        <v>0</v>
      </c>
    </row>
    <row r="1572" spans="1:16" x14ac:dyDescent="0.25">
      <c r="A1572" s="3">
        <f t="shared" si="321"/>
        <v>48312</v>
      </c>
      <c r="B1572" s="21">
        <f t="shared" si="312"/>
        <v>36624</v>
      </c>
      <c r="C1572" s="21">
        <f t="shared" si="313"/>
        <v>36697</v>
      </c>
      <c r="D1572" s="1">
        <f t="shared" si="322"/>
        <v>0</v>
      </c>
      <c r="E1572" s="3">
        <f t="array" ref="E1572">INDEX($A$9:A1571, MAX(IF($D$9:D1571=1, ROW(D$9:$D1571)-ROW($D$9)+1, 0)))</f>
        <v>48295</v>
      </c>
      <c r="F1572" s="23">
        <f t="shared" si="314"/>
        <v>5.9876796714579053</v>
      </c>
      <c r="G1572" s="5">
        <f>INDEX('Default Prob'!$P$5:$P$14,MIN(1+_xlfn.IFNA(MATCH(F1572,'Default Prob'!$F$5:$F$14,1),0),COUNT('Default Prob'!$P$5:$P$14)))</f>
        <v>3.22895928960443E-2</v>
      </c>
      <c r="H1572" s="5">
        <f t="shared" si="323"/>
        <v>0.86965638101281884</v>
      </c>
      <c r="I1572" s="24">
        <f t="shared" si="324"/>
        <v>7.6884577056568482E-5</v>
      </c>
      <c r="J1572" s="25">
        <f>INDEX('Default Prob'!$C$3:$C$13, _xlfn.IFNA(MATCH(F1572, 'Default Prob'!$B$3:$B$13, 1), 1))</f>
        <v>2.1100000000000001E-2</v>
      </c>
      <c r="K1572" s="26">
        <f t="shared" si="315"/>
        <v>0.88247430112915004</v>
      </c>
      <c r="L1572" s="27">
        <f t="shared" ca="1" si="316"/>
        <v>0</v>
      </c>
      <c r="M1572" s="27">
        <f t="shared" ca="1" si="317"/>
        <v>0</v>
      </c>
      <c r="N1572" s="28">
        <f t="shared" ca="1" si="318"/>
        <v>0</v>
      </c>
      <c r="O1572" s="29">
        <f t="shared" ca="1" si="319"/>
        <v>0</v>
      </c>
      <c r="P1572" s="30">
        <f t="shared" ca="1" si="320"/>
        <v>0</v>
      </c>
    </row>
    <row r="1573" spans="1:16" x14ac:dyDescent="0.25">
      <c r="A1573" s="3">
        <f t="shared" si="321"/>
        <v>48313</v>
      </c>
      <c r="B1573" s="21">
        <f t="shared" si="312"/>
        <v>36625</v>
      </c>
      <c r="C1573" s="21">
        <f t="shared" si="313"/>
        <v>36697</v>
      </c>
      <c r="D1573" s="1">
        <f t="shared" si="322"/>
        <v>0</v>
      </c>
      <c r="E1573" s="3">
        <f t="array" ref="E1573">INDEX($A$9:A1572, MAX(IF($D$9:D1572=1, ROW(D$9:$D1572)-ROW($D$9)+1, 0)))</f>
        <v>48295</v>
      </c>
      <c r="F1573" s="23">
        <f t="shared" si="314"/>
        <v>5.9904175222450373</v>
      </c>
      <c r="G1573" s="5">
        <f>INDEX('Default Prob'!$P$5:$P$14,MIN(1+_xlfn.IFNA(MATCH(F1573,'Default Prob'!$F$5:$F$14,1),0),COUNT('Default Prob'!$P$5:$P$14)))</f>
        <v>3.22895928960443E-2</v>
      </c>
      <c r="H1573" s="5">
        <f t="shared" si="323"/>
        <v>0.86957950323237276</v>
      </c>
      <c r="I1573" s="24">
        <f t="shared" si="324"/>
        <v>7.6877780446071853E-5</v>
      </c>
      <c r="J1573" s="25">
        <f>INDEX('Default Prob'!$C$3:$C$13, _xlfn.IFNA(MATCH(F1573, 'Default Prob'!$B$3:$B$13, 1), 1))</f>
        <v>2.1100000000000001E-2</v>
      </c>
      <c r="K1573" s="26">
        <f t="shared" si="315"/>
        <v>0.88242385360507103</v>
      </c>
      <c r="L1573" s="27">
        <f t="shared" ca="1" si="316"/>
        <v>0</v>
      </c>
      <c r="M1573" s="27">
        <f t="shared" ca="1" si="317"/>
        <v>0</v>
      </c>
      <c r="N1573" s="28">
        <f t="shared" ca="1" si="318"/>
        <v>0</v>
      </c>
      <c r="O1573" s="29">
        <f t="shared" ca="1" si="319"/>
        <v>0</v>
      </c>
      <c r="P1573" s="30">
        <f t="shared" ca="1" si="320"/>
        <v>0</v>
      </c>
    </row>
    <row r="1574" spans="1:16" x14ac:dyDescent="0.25">
      <c r="A1574" s="3">
        <f t="shared" si="321"/>
        <v>48316</v>
      </c>
      <c r="B1574" s="21">
        <f t="shared" si="312"/>
        <v>36628</v>
      </c>
      <c r="C1574" s="21">
        <f t="shared" si="313"/>
        <v>36697</v>
      </c>
      <c r="D1574" s="1">
        <f t="shared" si="322"/>
        <v>0</v>
      </c>
      <c r="E1574" s="3">
        <f t="array" ref="E1574">INDEX($A$9:A1573, MAX(IF($D$9:D1573=1, ROW(D$9:$D1573)-ROW($D$9)+1, 0)))</f>
        <v>48295</v>
      </c>
      <c r="F1574" s="23">
        <f t="shared" si="314"/>
        <v>5.9986310746064335</v>
      </c>
      <c r="G1574" s="5">
        <f>INDEX('Default Prob'!$P$5:$P$14,MIN(1+_xlfn.IFNA(MATCH(F1574,'Default Prob'!$F$5:$F$14,1),0),COUNT('Default Prob'!$P$5:$P$14)))</f>
        <v>3.22895928960443E-2</v>
      </c>
      <c r="H1574" s="5">
        <f t="shared" si="323"/>
        <v>0.86934891066468911</v>
      </c>
      <c r="I1574" s="24">
        <f t="shared" si="324"/>
        <v>2.3059256768365177E-4</v>
      </c>
      <c r="J1574" s="25">
        <f>INDEX('Default Prob'!$C$3:$C$13, _xlfn.IFNA(MATCH(F1574, 'Default Prob'!$B$3:$B$13, 1), 1))</f>
        <v>2.1100000000000001E-2</v>
      </c>
      <c r="K1574" s="26">
        <f t="shared" si="315"/>
        <v>0.88227252833547276</v>
      </c>
      <c r="L1574" s="27">
        <f t="shared" ca="1" si="316"/>
        <v>0</v>
      </c>
      <c r="M1574" s="27">
        <f t="shared" ca="1" si="317"/>
        <v>0</v>
      </c>
      <c r="N1574" s="28">
        <f t="shared" ca="1" si="318"/>
        <v>0</v>
      </c>
      <c r="O1574" s="29">
        <f t="shared" ca="1" si="319"/>
        <v>0</v>
      </c>
      <c r="P1574" s="30">
        <f t="shared" ca="1" si="320"/>
        <v>0</v>
      </c>
    </row>
    <row r="1575" spans="1:16" x14ac:dyDescent="0.25">
      <c r="A1575" s="3">
        <f t="shared" si="321"/>
        <v>48317</v>
      </c>
      <c r="B1575" s="21">
        <f t="shared" si="312"/>
        <v>36629</v>
      </c>
      <c r="C1575" s="21">
        <f t="shared" si="313"/>
        <v>36697</v>
      </c>
      <c r="D1575" s="1">
        <f t="shared" si="322"/>
        <v>0</v>
      </c>
      <c r="E1575" s="3">
        <f t="array" ref="E1575">INDEX($A$9:A1574, MAX(IF($D$9:D1574=1, ROW(D$9:$D1574)-ROW($D$9)+1, 0)))</f>
        <v>48295</v>
      </c>
      <c r="F1575" s="23">
        <f t="shared" si="314"/>
        <v>6.0013689253935665</v>
      </c>
      <c r="G1575" s="5">
        <f>INDEX('Default Prob'!$P$5:$P$14,MIN(1+_xlfn.IFNA(MATCH(F1575,'Default Prob'!$F$5:$F$14,1),0),COUNT('Default Prob'!$P$5:$P$14)))</f>
        <v>3.363522017633732E-2</v>
      </c>
      <c r="H1575" s="5">
        <f t="shared" si="323"/>
        <v>0.86927206006467694</v>
      </c>
      <c r="I1575" s="24">
        <f t="shared" si="324"/>
        <v>7.6850600012168258E-5</v>
      </c>
      <c r="J1575" s="25">
        <f>INDEX('Default Prob'!$C$3:$C$13, _xlfn.IFNA(MATCH(F1575, 'Default Prob'!$B$3:$B$13, 1), 1))</f>
        <v>2.1700000000000001E-2</v>
      </c>
      <c r="K1575" s="26">
        <f t="shared" si="315"/>
        <v>0.87911740149172268</v>
      </c>
      <c r="L1575" s="27">
        <f t="shared" ca="1" si="316"/>
        <v>0</v>
      </c>
      <c r="M1575" s="27">
        <f t="shared" ca="1" si="317"/>
        <v>0</v>
      </c>
      <c r="N1575" s="28">
        <f t="shared" ca="1" si="318"/>
        <v>0</v>
      </c>
      <c r="O1575" s="29">
        <f t="shared" ca="1" si="319"/>
        <v>0</v>
      </c>
      <c r="P1575" s="30">
        <f t="shared" ca="1" si="320"/>
        <v>0</v>
      </c>
    </row>
    <row r="1576" spans="1:16" x14ac:dyDescent="0.25">
      <c r="A1576" s="3">
        <f t="shared" si="321"/>
        <v>48318</v>
      </c>
      <c r="B1576" s="21">
        <f t="shared" si="312"/>
        <v>36630</v>
      </c>
      <c r="C1576" s="21">
        <f t="shared" si="313"/>
        <v>36697</v>
      </c>
      <c r="D1576" s="1">
        <f t="shared" si="322"/>
        <v>0</v>
      </c>
      <c r="E1576" s="3">
        <f t="array" ref="E1576">INDEX($A$9:A1575, MAX(IF($D$9:D1575=1, ROW(D$9:$D1575)-ROW($D$9)+1, 0)))</f>
        <v>48295</v>
      </c>
      <c r="F1576" s="23">
        <f t="shared" si="314"/>
        <v>6.0041067761806985</v>
      </c>
      <c r="G1576" s="5">
        <f>INDEX('Default Prob'!$P$5:$P$14,MIN(1+_xlfn.IFNA(MATCH(F1576,'Default Prob'!$F$5:$F$14,1),0),COUNT('Default Prob'!$P$5:$P$14)))</f>
        <v>3.363522017633732E-2</v>
      </c>
      <c r="H1576" s="5">
        <f t="shared" si="323"/>
        <v>0.86919201403885926</v>
      </c>
      <c r="I1576" s="24">
        <f t="shared" si="324"/>
        <v>8.004602581768161E-5</v>
      </c>
      <c r="J1576" s="25">
        <f>INDEX('Default Prob'!$C$3:$C$13, _xlfn.IFNA(MATCH(F1576, 'Default Prob'!$B$3:$B$13, 1), 1))</f>
        <v>2.1700000000000001E-2</v>
      </c>
      <c r="K1576" s="26">
        <f t="shared" si="315"/>
        <v>0.87906573207171845</v>
      </c>
      <c r="L1576" s="27">
        <f t="shared" ca="1" si="316"/>
        <v>0</v>
      </c>
      <c r="M1576" s="27">
        <f t="shared" ca="1" si="317"/>
        <v>0</v>
      </c>
      <c r="N1576" s="28">
        <f t="shared" ca="1" si="318"/>
        <v>0</v>
      </c>
      <c r="O1576" s="29">
        <f t="shared" ca="1" si="319"/>
        <v>0</v>
      </c>
      <c r="P1576" s="30">
        <f t="shared" ca="1" si="320"/>
        <v>0</v>
      </c>
    </row>
    <row r="1577" spans="1:16" x14ac:dyDescent="0.25">
      <c r="A1577" s="3">
        <f t="shared" si="321"/>
        <v>48319</v>
      </c>
      <c r="B1577" s="21">
        <f t="shared" si="312"/>
        <v>36631</v>
      </c>
      <c r="C1577" s="21">
        <f t="shared" si="313"/>
        <v>36697</v>
      </c>
      <c r="D1577" s="1">
        <f t="shared" si="322"/>
        <v>0</v>
      </c>
      <c r="E1577" s="3">
        <f t="array" ref="E1577">INDEX($A$9:A1576, MAX(IF($D$9:D1576=1, ROW(D$9:$D1576)-ROW($D$9)+1, 0)))</f>
        <v>48295</v>
      </c>
      <c r="F1577" s="23">
        <f t="shared" si="314"/>
        <v>6.0068446269678306</v>
      </c>
      <c r="G1577" s="5">
        <f>INDEX('Default Prob'!$P$5:$P$14,MIN(1+_xlfn.IFNA(MATCH(F1577,'Default Prob'!$F$5:$F$14,1),0),COUNT('Default Prob'!$P$5:$P$14)))</f>
        <v>3.363522017633732E-2</v>
      </c>
      <c r="H1577" s="5">
        <f t="shared" si="323"/>
        <v>0.86911197538399776</v>
      </c>
      <c r="I1577" s="24">
        <f t="shared" si="324"/>
        <v>8.0038654861502856E-5</v>
      </c>
      <c r="J1577" s="25">
        <f>INDEX('Default Prob'!$C$3:$C$13, _xlfn.IFNA(MATCH(F1577, 'Default Prob'!$B$3:$B$13, 1), 1))</f>
        <v>2.1700000000000001E-2</v>
      </c>
      <c r="K1577" s="26">
        <f t="shared" si="315"/>
        <v>0.87901406568854323</v>
      </c>
      <c r="L1577" s="27">
        <f t="shared" ca="1" si="316"/>
        <v>0</v>
      </c>
      <c r="M1577" s="27">
        <f t="shared" ca="1" si="317"/>
        <v>0</v>
      </c>
      <c r="N1577" s="28">
        <f t="shared" ca="1" si="318"/>
        <v>0</v>
      </c>
      <c r="O1577" s="29">
        <f t="shared" ca="1" si="319"/>
        <v>0</v>
      </c>
      <c r="P1577" s="30">
        <f t="shared" ca="1" si="320"/>
        <v>0</v>
      </c>
    </row>
    <row r="1578" spans="1:16" x14ac:dyDescent="0.25">
      <c r="A1578" s="3">
        <f t="shared" si="321"/>
        <v>48320</v>
      </c>
      <c r="B1578" s="21">
        <f t="shared" si="312"/>
        <v>36632</v>
      </c>
      <c r="C1578" s="21">
        <f t="shared" si="313"/>
        <v>36697</v>
      </c>
      <c r="D1578" s="1">
        <f t="shared" si="322"/>
        <v>0</v>
      </c>
      <c r="E1578" s="3">
        <f t="array" ref="E1578">INDEX($A$9:A1577, MAX(IF($D$9:D1577=1, ROW(D$9:$D1577)-ROW($D$9)+1, 0)))</f>
        <v>48295</v>
      </c>
      <c r="F1578" s="23">
        <f t="shared" si="314"/>
        <v>6.0095824777549627</v>
      </c>
      <c r="G1578" s="5">
        <f>INDEX('Default Prob'!$P$5:$P$14,MIN(1+_xlfn.IFNA(MATCH(F1578,'Default Prob'!$F$5:$F$14,1),0),COUNT('Default Prob'!$P$5:$P$14)))</f>
        <v>3.363522017633732E-2</v>
      </c>
      <c r="H1578" s="5">
        <f t="shared" si="323"/>
        <v>0.86903194409941364</v>
      </c>
      <c r="I1578" s="24">
        <f t="shared" si="324"/>
        <v>8.0031284584114459E-5</v>
      </c>
      <c r="J1578" s="25">
        <f>INDEX('Default Prob'!$C$3:$C$13, _xlfn.IFNA(MATCH(F1578, 'Default Prob'!$B$3:$B$13, 1), 1))</f>
        <v>2.1700000000000001E-2</v>
      </c>
      <c r="K1578" s="26">
        <f t="shared" si="315"/>
        <v>0.87896240234201795</v>
      </c>
      <c r="L1578" s="27">
        <f t="shared" ca="1" si="316"/>
        <v>0</v>
      </c>
      <c r="M1578" s="27">
        <f t="shared" ca="1" si="317"/>
        <v>0</v>
      </c>
      <c r="N1578" s="28">
        <f t="shared" ca="1" si="318"/>
        <v>0</v>
      </c>
      <c r="O1578" s="29">
        <f t="shared" ca="1" si="319"/>
        <v>0</v>
      </c>
      <c r="P1578" s="30">
        <f t="shared" ca="1" si="320"/>
        <v>0</v>
      </c>
    </row>
    <row r="1579" spans="1:16" x14ac:dyDescent="0.25">
      <c r="A1579" s="3">
        <f t="shared" si="321"/>
        <v>48323</v>
      </c>
      <c r="B1579" s="21">
        <f t="shared" si="312"/>
        <v>36635</v>
      </c>
      <c r="C1579" s="21">
        <f t="shared" si="313"/>
        <v>36697</v>
      </c>
      <c r="D1579" s="1">
        <f t="shared" si="322"/>
        <v>0</v>
      </c>
      <c r="E1579" s="3">
        <f t="array" ref="E1579">INDEX($A$9:A1578, MAX(IF($D$9:D1578=1, ROW(D$9:$D1578)-ROW($D$9)+1, 0)))</f>
        <v>48295</v>
      </c>
      <c r="F1579" s="23">
        <f t="shared" si="314"/>
        <v>6.0177960301163589</v>
      </c>
      <c r="G1579" s="5">
        <f>INDEX('Default Prob'!$P$5:$P$14,MIN(1+_xlfn.IFNA(MATCH(F1579,'Default Prob'!$F$5:$F$14,1),0),COUNT('Default Prob'!$P$5:$P$14)))</f>
        <v>3.363522017633732E-2</v>
      </c>
      <c r="H1579" s="5">
        <f t="shared" si="323"/>
        <v>0.86879189446053939</v>
      </c>
      <c r="I1579" s="24">
        <f t="shared" si="324"/>
        <v>2.4004963887425124E-4</v>
      </c>
      <c r="J1579" s="25">
        <f>INDEX('Default Prob'!$C$3:$C$13, _xlfn.IFNA(MATCH(F1579, 'Default Prob'!$B$3:$B$13, 1), 1))</f>
        <v>2.1700000000000001E-2</v>
      </c>
      <c r="K1579" s="26">
        <f t="shared" si="315"/>
        <v>0.87880743052055932</v>
      </c>
      <c r="L1579" s="27">
        <f t="shared" ca="1" si="316"/>
        <v>0</v>
      </c>
      <c r="M1579" s="27">
        <f t="shared" ca="1" si="317"/>
        <v>0</v>
      </c>
      <c r="N1579" s="28">
        <f t="shared" ca="1" si="318"/>
        <v>0</v>
      </c>
      <c r="O1579" s="29">
        <f t="shared" ca="1" si="319"/>
        <v>0</v>
      </c>
      <c r="P1579" s="30">
        <f t="shared" ca="1" si="320"/>
        <v>0</v>
      </c>
    </row>
    <row r="1580" spans="1:16" x14ac:dyDescent="0.25">
      <c r="A1580" s="3">
        <f t="shared" si="321"/>
        <v>48324</v>
      </c>
      <c r="B1580" s="21">
        <f t="shared" si="312"/>
        <v>36636</v>
      </c>
      <c r="C1580" s="21">
        <f t="shared" si="313"/>
        <v>36697</v>
      </c>
      <c r="D1580" s="1">
        <f t="shared" si="322"/>
        <v>0</v>
      </c>
      <c r="E1580" s="3">
        <f t="array" ref="E1580">INDEX($A$9:A1579, MAX(IF($D$9:D1579=1, ROW(D$9:$D1579)-ROW($D$9)+1, 0)))</f>
        <v>48295</v>
      </c>
      <c r="F1580" s="23">
        <f t="shared" si="314"/>
        <v>6.020533880903491</v>
      </c>
      <c r="G1580" s="5">
        <f>INDEX('Default Prob'!$P$5:$P$14,MIN(1+_xlfn.IFNA(MATCH(F1580,'Default Prob'!$F$5:$F$14,1),0),COUNT('Default Prob'!$P$5:$P$14)))</f>
        <v>3.363522017633732E-2</v>
      </c>
      <c r="H1580" s="5">
        <f t="shared" si="323"/>
        <v>0.86871189265027882</v>
      </c>
      <c r="I1580" s="24">
        <f t="shared" si="324"/>
        <v>8.0001810260577066E-5</v>
      </c>
      <c r="J1580" s="25">
        <f>INDEX('Default Prob'!$C$3:$C$13, _xlfn.IFNA(MATCH(F1580, 'Default Prob'!$B$3:$B$13, 1), 1))</f>
        <v>2.1700000000000001E-2</v>
      </c>
      <c r="K1580" s="26">
        <f t="shared" si="315"/>
        <v>0.87875577931885041</v>
      </c>
      <c r="L1580" s="27">
        <f t="shared" ca="1" si="316"/>
        <v>0</v>
      </c>
      <c r="M1580" s="27">
        <f t="shared" ca="1" si="317"/>
        <v>0</v>
      </c>
      <c r="N1580" s="28">
        <f t="shared" ca="1" si="318"/>
        <v>0</v>
      </c>
      <c r="O1580" s="29">
        <f t="shared" ca="1" si="319"/>
        <v>0</v>
      </c>
      <c r="P1580" s="30">
        <f t="shared" ca="1" si="320"/>
        <v>0</v>
      </c>
    </row>
    <row r="1581" spans="1:16" x14ac:dyDescent="0.25">
      <c r="A1581" s="3">
        <f t="shared" si="321"/>
        <v>48325</v>
      </c>
      <c r="B1581" s="21">
        <f t="shared" si="312"/>
        <v>36637</v>
      </c>
      <c r="C1581" s="21">
        <f t="shared" si="313"/>
        <v>36697</v>
      </c>
      <c r="D1581" s="1">
        <f t="shared" si="322"/>
        <v>0</v>
      </c>
      <c r="E1581" s="3">
        <f t="array" ref="E1581">INDEX($A$9:A1580, MAX(IF($D$9:D1580=1, ROW(D$9:$D1580)-ROW($D$9)+1, 0)))</f>
        <v>48295</v>
      </c>
      <c r="F1581" s="23">
        <f t="shared" si="314"/>
        <v>6.023271731690623</v>
      </c>
      <c r="G1581" s="5">
        <f>INDEX('Default Prob'!$P$5:$P$14,MIN(1+_xlfn.IFNA(MATCH(F1581,'Default Prob'!$F$5:$F$14,1),0),COUNT('Default Prob'!$P$5:$P$14)))</f>
        <v>3.363522017633732E-2</v>
      </c>
      <c r="H1581" s="5">
        <f t="shared" si="323"/>
        <v>0.86863189820690279</v>
      </c>
      <c r="I1581" s="24">
        <f t="shared" si="324"/>
        <v>7.9994443376030233E-5</v>
      </c>
      <c r="J1581" s="25">
        <f>INDEX('Default Prob'!$C$3:$C$13, _xlfn.IFNA(MATCH(F1581, 'Default Prob'!$B$3:$B$13, 1), 1))</f>
        <v>2.1700000000000001E-2</v>
      </c>
      <c r="K1581" s="26">
        <f t="shared" si="315"/>
        <v>0.87870413115289958</v>
      </c>
      <c r="L1581" s="27">
        <f t="shared" ca="1" si="316"/>
        <v>0</v>
      </c>
      <c r="M1581" s="27">
        <f t="shared" ca="1" si="317"/>
        <v>0</v>
      </c>
      <c r="N1581" s="28">
        <f t="shared" ca="1" si="318"/>
        <v>0</v>
      </c>
      <c r="O1581" s="29">
        <f t="shared" ca="1" si="319"/>
        <v>0</v>
      </c>
      <c r="P1581" s="30">
        <f t="shared" ca="1" si="320"/>
        <v>0</v>
      </c>
    </row>
    <row r="1582" spans="1:16" x14ac:dyDescent="0.25">
      <c r="A1582" s="3">
        <f t="shared" si="321"/>
        <v>48326</v>
      </c>
      <c r="B1582" s="21">
        <f t="shared" si="312"/>
        <v>36638</v>
      </c>
      <c r="C1582" s="21">
        <f t="shared" si="313"/>
        <v>36697</v>
      </c>
      <c r="D1582" s="1">
        <f t="shared" si="322"/>
        <v>0</v>
      </c>
      <c r="E1582" s="3">
        <f t="array" ref="E1582">INDEX($A$9:A1581, MAX(IF($D$9:D1581=1, ROW(D$9:$D1581)-ROW($D$9)+1, 0)))</f>
        <v>48295</v>
      </c>
      <c r="F1582" s="23">
        <f t="shared" si="314"/>
        <v>6.0260095824777551</v>
      </c>
      <c r="G1582" s="5">
        <f>INDEX('Default Prob'!$P$5:$P$14,MIN(1+_xlfn.IFNA(MATCH(F1582,'Default Prob'!$F$5:$F$14,1),0),COUNT('Default Prob'!$P$5:$P$14)))</f>
        <v>3.363522017633732E-2</v>
      </c>
      <c r="H1582" s="5">
        <f t="shared" si="323"/>
        <v>0.86855191112973307</v>
      </c>
      <c r="I1582" s="24">
        <f t="shared" si="324"/>
        <v>7.9987077169718646E-5</v>
      </c>
      <c r="J1582" s="25">
        <f>INDEX('Default Prob'!$C$3:$C$13, _xlfn.IFNA(MATCH(F1582, 'Default Prob'!$B$3:$B$13, 1), 1))</f>
        <v>2.1700000000000001E-2</v>
      </c>
      <c r="K1582" s="26">
        <f t="shared" si="315"/>
        <v>0.8786524860225281</v>
      </c>
      <c r="L1582" s="27">
        <f t="shared" ca="1" si="316"/>
        <v>0</v>
      </c>
      <c r="M1582" s="27">
        <f t="shared" ca="1" si="317"/>
        <v>0</v>
      </c>
      <c r="N1582" s="28">
        <f t="shared" ca="1" si="318"/>
        <v>0</v>
      </c>
      <c r="O1582" s="29">
        <f t="shared" ca="1" si="319"/>
        <v>0</v>
      </c>
      <c r="P1582" s="30">
        <f t="shared" ca="1" si="320"/>
        <v>0</v>
      </c>
    </row>
    <row r="1583" spans="1:16" x14ac:dyDescent="0.25">
      <c r="A1583" s="3">
        <f t="shared" si="321"/>
        <v>48327</v>
      </c>
      <c r="B1583" s="21">
        <f t="shared" si="312"/>
        <v>36639</v>
      </c>
      <c r="C1583" s="21">
        <f t="shared" si="313"/>
        <v>36697</v>
      </c>
      <c r="D1583" s="1">
        <f t="shared" si="322"/>
        <v>0</v>
      </c>
      <c r="E1583" s="3">
        <f t="array" ref="E1583">INDEX($A$9:A1582, MAX(IF($D$9:D1582=1, ROW(D$9:$D1582)-ROW($D$9)+1, 0)))</f>
        <v>48295</v>
      </c>
      <c r="F1583" s="23">
        <f t="shared" si="314"/>
        <v>6.0287474332648872</v>
      </c>
      <c r="G1583" s="5">
        <f>INDEX('Default Prob'!$P$5:$P$14,MIN(1+_xlfn.IFNA(MATCH(F1583,'Default Prob'!$F$5:$F$14,1),0),COUNT('Default Prob'!$P$5:$P$14)))</f>
        <v>3.363522017633732E-2</v>
      </c>
      <c r="H1583" s="5">
        <f t="shared" si="323"/>
        <v>0.8684719314180912</v>
      </c>
      <c r="I1583" s="24">
        <f t="shared" si="324"/>
        <v>7.9979711641864348E-5</v>
      </c>
      <c r="J1583" s="25">
        <f>INDEX('Default Prob'!$C$3:$C$13, _xlfn.IFNA(MATCH(F1583, 'Default Prob'!$B$3:$B$13, 1), 1))</f>
        <v>2.1700000000000001E-2</v>
      </c>
      <c r="K1583" s="26">
        <f t="shared" si="315"/>
        <v>0.87860084392755777</v>
      </c>
      <c r="L1583" s="27">
        <f t="shared" ca="1" si="316"/>
        <v>0</v>
      </c>
      <c r="M1583" s="27">
        <f t="shared" ca="1" si="317"/>
        <v>0</v>
      </c>
      <c r="N1583" s="28">
        <f t="shared" ca="1" si="318"/>
        <v>0</v>
      </c>
      <c r="O1583" s="29">
        <f t="shared" ca="1" si="319"/>
        <v>0</v>
      </c>
      <c r="P1583" s="30">
        <f t="shared" ca="1" si="320"/>
        <v>0</v>
      </c>
    </row>
    <row r="1584" spans="1:16" x14ac:dyDescent="0.25">
      <c r="A1584" s="3">
        <f t="shared" si="321"/>
        <v>48330</v>
      </c>
      <c r="B1584" s="21">
        <f t="shared" si="312"/>
        <v>36642</v>
      </c>
      <c r="C1584" s="21">
        <f t="shared" si="313"/>
        <v>36697</v>
      </c>
      <c r="D1584" s="1">
        <f t="shared" si="322"/>
        <v>0</v>
      </c>
      <c r="E1584" s="3">
        <f t="array" ref="E1584">INDEX($A$9:A1583, MAX(IF($D$9:D1583=1, ROW(D$9:$D1583)-ROW($D$9)+1, 0)))</f>
        <v>48295</v>
      </c>
      <c r="F1584" s="23">
        <f t="shared" si="314"/>
        <v>6.0369609856262834</v>
      </c>
      <c r="G1584" s="5">
        <f>INDEX('Default Prob'!$P$5:$P$14,MIN(1+_xlfn.IFNA(MATCH(F1584,'Default Prob'!$F$5:$F$14,1),0),COUNT('Default Prob'!$P$5:$P$14)))</f>
        <v>3.363522017633732E-2</v>
      </c>
      <c r="H1584" s="5">
        <f t="shared" si="323"/>
        <v>0.86823203646955116</v>
      </c>
      <c r="I1584" s="24">
        <f t="shared" si="324"/>
        <v>2.3989494854004256E-4</v>
      </c>
      <c r="J1584" s="25">
        <f>INDEX('Default Prob'!$C$3:$C$13, _xlfn.IFNA(MATCH(F1584, 'Default Prob'!$B$3:$B$13, 1), 1))</f>
        <v>2.1700000000000001E-2</v>
      </c>
      <c r="K1584" s="26">
        <f t="shared" si="315"/>
        <v>0.87844593585326936</v>
      </c>
      <c r="L1584" s="27">
        <f t="shared" ca="1" si="316"/>
        <v>0</v>
      </c>
      <c r="M1584" s="27">
        <f t="shared" ca="1" si="317"/>
        <v>0</v>
      </c>
      <c r="N1584" s="28">
        <f t="shared" ca="1" si="318"/>
        <v>0</v>
      </c>
      <c r="O1584" s="29">
        <f t="shared" ca="1" si="319"/>
        <v>0</v>
      </c>
      <c r="P1584" s="30">
        <f t="shared" ca="1" si="320"/>
        <v>0</v>
      </c>
    </row>
    <row r="1585" spans="1:16" x14ac:dyDescent="0.25">
      <c r="A1585" s="3">
        <f t="shared" si="321"/>
        <v>48331</v>
      </c>
      <c r="B1585" s="21">
        <f t="shared" si="312"/>
        <v>36643</v>
      </c>
      <c r="C1585" s="21">
        <f t="shared" si="313"/>
        <v>36697</v>
      </c>
      <c r="D1585" s="1">
        <f t="shared" si="322"/>
        <v>0</v>
      </c>
      <c r="E1585" s="3">
        <f t="array" ref="E1585">INDEX($A$9:A1584, MAX(IF($D$9:D1584=1, ROW(D$9:$D1584)-ROW($D$9)+1, 0)))</f>
        <v>48295</v>
      </c>
      <c r="F1585" s="23">
        <f t="shared" si="314"/>
        <v>6.0396988364134154</v>
      </c>
      <c r="G1585" s="5">
        <f>INDEX('Default Prob'!$P$5:$P$14,MIN(1+_xlfn.IFNA(MATCH(F1585,'Default Prob'!$F$5:$F$14,1),0),COUNT('Default Prob'!$P$5:$P$14)))</f>
        <v>3.363522017633732E-2</v>
      </c>
      <c r="H1585" s="5">
        <f t="shared" si="323"/>
        <v>0.86815208621323925</v>
      </c>
      <c r="I1585" s="24">
        <f t="shared" si="324"/>
        <v>7.9950256311911438E-5</v>
      </c>
      <c r="J1585" s="25">
        <f>INDEX('Default Prob'!$C$3:$C$13, _xlfn.IFNA(MATCH(F1585, 'Default Prob'!$B$3:$B$13, 1), 1))</f>
        <v>2.1700000000000001E-2</v>
      </c>
      <c r="K1585" s="26">
        <f t="shared" si="315"/>
        <v>0.87839430589811951</v>
      </c>
      <c r="L1585" s="27">
        <f t="shared" ca="1" si="316"/>
        <v>0</v>
      </c>
      <c r="M1585" s="27">
        <f t="shared" ca="1" si="317"/>
        <v>0</v>
      </c>
      <c r="N1585" s="28">
        <f t="shared" ca="1" si="318"/>
        <v>0</v>
      </c>
      <c r="O1585" s="29">
        <f t="shared" ca="1" si="319"/>
        <v>0</v>
      </c>
      <c r="P1585" s="30">
        <f t="shared" ca="1" si="320"/>
        <v>0</v>
      </c>
    </row>
    <row r="1586" spans="1:16" x14ac:dyDescent="0.25">
      <c r="A1586" s="3">
        <f t="shared" si="321"/>
        <v>48332</v>
      </c>
      <c r="B1586" s="21">
        <f t="shared" si="312"/>
        <v>36644</v>
      </c>
      <c r="C1586" s="21">
        <f t="shared" si="313"/>
        <v>36697</v>
      </c>
      <c r="D1586" s="1">
        <f t="shared" si="322"/>
        <v>0</v>
      </c>
      <c r="E1586" s="3">
        <f t="array" ref="E1586">INDEX($A$9:A1585, MAX(IF($D$9:D1585=1, ROW(D$9:$D1585)-ROW($D$9)+1, 0)))</f>
        <v>48295</v>
      </c>
      <c r="F1586" s="23">
        <f t="shared" si="314"/>
        <v>6.0424366872005475</v>
      </c>
      <c r="G1586" s="5">
        <f>INDEX('Default Prob'!$P$5:$P$14,MIN(1+_xlfn.IFNA(MATCH(F1586,'Default Prob'!$F$5:$F$14,1),0),COUNT('Default Prob'!$P$5:$P$14)))</f>
        <v>3.363522017633732E-2</v>
      </c>
      <c r="H1586" s="5">
        <f t="shared" si="323"/>
        <v>0.86807214331906468</v>
      </c>
      <c r="I1586" s="24">
        <f t="shared" si="324"/>
        <v>7.9942894174567236E-5</v>
      </c>
      <c r="J1586" s="25">
        <f>INDEX('Default Prob'!$C$3:$C$13, _xlfn.IFNA(MATCH(F1586, 'Default Prob'!$B$3:$B$13, 1), 1))</f>
        <v>2.1700000000000001E-2</v>
      </c>
      <c r="K1586" s="26">
        <f t="shared" si="315"/>
        <v>0.87834267897747886</v>
      </c>
      <c r="L1586" s="27">
        <f t="shared" ca="1" si="316"/>
        <v>0</v>
      </c>
      <c r="M1586" s="27">
        <f t="shared" ca="1" si="317"/>
        <v>0</v>
      </c>
      <c r="N1586" s="28">
        <f t="shared" ca="1" si="318"/>
        <v>0</v>
      </c>
      <c r="O1586" s="29">
        <f t="shared" ca="1" si="319"/>
        <v>0</v>
      </c>
      <c r="P1586" s="30">
        <f t="shared" ca="1" si="320"/>
        <v>0</v>
      </c>
    </row>
    <row r="1587" spans="1:16" x14ac:dyDescent="0.25">
      <c r="A1587" s="3">
        <f t="shared" si="321"/>
        <v>48333</v>
      </c>
      <c r="B1587" s="21">
        <f t="shared" si="312"/>
        <v>36645</v>
      </c>
      <c r="C1587" s="21">
        <f t="shared" si="313"/>
        <v>36697</v>
      </c>
      <c r="D1587" s="1">
        <f t="shared" si="322"/>
        <v>0</v>
      </c>
      <c r="E1587" s="3">
        <f t="array" ref="E1587">INDEX($A$9:A1586, MAX(IF($D$9:D1586=1, ROW(D$9:$D1586)-ROW($D$9)+1, 0)))</f>
        <v>48295</v>
      </c>
      <c r="F1587" s="23">
        <f t="shared" si="314"/>
        <v>6.0451745379876796</v>
      </c>
      <c r="G1587" s="5">
        <f>INDEX('Default Prob'!$P$5:$P$14,MIN(1+_xlfn.IFNA(MATCH(F1587,'Default Prob'!$F$5:$F$14,1),0),COUNT('Default Prob'!$P$5:$P$14)))</f>
        <v>3.363522017633732E-2</v>
      </c>
      <c r="H1587" s="5">
        <f t="shared" si="323"/>
        <v>0.86799220778634945</v>
      </c>
      <c r="I1587" s="24">
        <f t="shared" si="324"/>
        <v>7.9935532715236235E-5</v>
      </c>
      <c r="J1587" s="25">
        <f>INDEX('Default Prob'!$C$3:$C$13, _xlfn.IFNA(MATCH(F1587, 'Default Prob'!$B$3:$B$13, 1), 1))</f>
        <v>2.1700000000000001E-2</v>
      </c>
      <c r="K1587" s="26">
        <f t="shared" si="315"/>
        <v>0.878291055091169</v>
      </c>
      <c r="L1587" s="27">
        <f t="shared" ca="1" si="316"/>
        <v>0</v>
      </c>
      <c r="M1587" s="27">
        <f t="shared" ca="1" si="317"/>
        <v>0</v>
      </c>
      <c r="N1587" s="28">
        <f t="shared" ca="1" si="318"/>
        <v>0</v>
      </c>
      <c r="O1587" s="29">
        <f t="shared" ca="1" si="319"/>
        <v>0</v>
      </c>
      <c r="P1587" s="30">
        <f t="shared" ca="1" si="320"/>
        <v>0</v>
      </c>
    </row>
    <row r="1588" spans="1:16" x14ac:dyDescent="0.25">
      <c r="A1588" s="3">
        <f t="shared" si="321"/>
        <v>48334</v>
      </c>
      <c r="B1588" s="21">
        <f t="shared" si="312"/>
        <v>36646</v>
      </c>
      <c r="C1588" s="21">
        <f t="shared" si="313"/>
        <v>36697</v>
      </c>
      <c r="D1588" s="1">
        <f t="shared" si="322"/>
        <v>0</v>
      </c>
      <c r="E1588" s="3">
        <f t="array" ref="E1588">INDEX($A$9:A1587, MAX(IF($D$9:D1587=1, ROW(D$9:$D1587)-ROW($D$9)+1, 0)))</f>
        <v>48295</v>
      </c>
      <c r="F1588" s="23">
        <f t="shared" si="314"/>
        <v>6.0479123887748116</v>
      </c>
      <c r="G1588" s="5">
        <f>INDEX('Default Prob'!$P$5:$P$14,MIN(1+_xlfn.IFNA(MATCH(F1588,'Default Prob'!$F$5:$F$14,1),0),COUNT('Default Prob'!$P$5:$P$14)))</f>
        <v>3.363522017633732E-2</v>
      </c>
      <c r="H1588" s="5">
        <f t="shared" si="323"/>
        <v>0.86791227961441575</v>
      </c>
      <c r="I1588" s="24">
        <f t="shared" si="324"/>
        <v>7.992817193369639E-5</v>
      </c>
      <c r="J1588" s="25">
        <f>INDEX('Default Prob'!$C$3:$C$13, _xlfn.IFNA(MATCH(F1588, 'Default Prob'!$B$3:$B$13, 1), 1))</f>
        <v>2.1700000000000001E-2</v>
      </c>
      <c r="K1588" s="26">
        <f t="shared" si="315"/>
        <v>0.87823943423901174</v>
      </c>
      <c r="L1588" s="27">
        <f t="shared" ca="1" si="316"/>
        <v>0</v>
      </c>
      <c r="M1588" s="27">
        <f t="shared" ca="1" si="317"/>
        <v>0</v>
      </c>
      <c r="N1588" s="28">
        <f t="shared" ca="1" si="318"/>
        <v>0</v>
      </c>
      <c r="O1588" s="29">
        <f t="shared" ca="1" si="319"/>
        <v>0</v>
      </c>
      <c r="P1588" s="30">
        <f t="shared" ca="1" si="320"/>
        <v>0</v>
      </c>
    </row>
    <row r="1589" spans="1:16" x14ac:dyDescent="0.25">
      <c r="A1589" s="3">
        <f t="shared" si="321"/>
        <v>48337</v>
      </c>
      <c r="B1589" s="21">
        <f t="shared" si="312"/>
        <v>36649</v>
      </c>
      <c r="C1589" s="21">
        <f t="shared" si="313"/>
        <v>36697</v>
      </c>
      <c r="D1589" s="1">
        <f t="shared" si="322"/>
        <v>0</v>
      </c>
      <c r="E1589" s="3">
        <f t="array" ref="E1589">INDEX($A$9:A1588, MAX(IF($D$9:D1588=1, ROW(D$9:$D1588)-ROW($D$9)+1, 0)))</f>
        <v>48295</v>
      </c>
      <c r="F1589" s="23">
        <f t="shared" si="314"/>
        <v>6.0561259411362078</v>
      </c>
      <c r="G1589" s="5">
        <f>INDEX('Default Prob'!$P$5:$P$14,MIN(1+_xlfn.IFNA(MATCH(F1589,'Default Prob'!$F$5:$F$14,1),0),COUNT('Default Prob'!$P$5:$P$14)))</f>
        <v>3.363522017633732E-2</v>
      </c>
      <c r="H1589" s="5">
        <f t="shared" si="323"/>
        <v>0.86767253925652599</v>
      </c>
      <c r="I1589" s="24">
        <f t="shared" si="324"/>
        <v>2.3974035788976167E-4</v>
      </c>
      <c r="J1589" s="25">
        <f>INDEX('Default Prob'!$C$3:$C$13, _xlfn.IFNA(MATCH(F1589, 'Default Prob'!$B$3:$B$13, 1), 1))</f>
        <v>2.1700000000000001E-2</v>
      </c>
      <c r="K1589" s="26">
        <f t="shared" si="315"/>
        <v>0.87808458988567162</v>
      </c>
      <c r="L1589" s="27">
        <f t="shared" ca="1" si="316"/>
        <v>0</v>
      </c>
      <c r="M1589" s="27">
        <f t="shared" ca="1" si="317"/>
        <v>0</v>
      </c>
      <c r="N1589" s="28">
        <f t="shared" ca="1" si="318"/>
        <v>0</v>
      </c>
      <c r="O1589" s="29">
        <f t="shared" ca="1" si="319"/>
        <v>0</v>
      </c>
      <c r="P1589" s="30">
        <f t="shared" ca="1" si="320"/>
        <v>0</v>
      </c>
    </row>
    <row r="1590" spans="1:16" x14ac:dyDescent="0.25">
      <c r="A1590" s="3">
        <f t="shared" si="321"/>
        <v>48338</v>
      </c>
      <c r="B1590" s="21">
        <f t="shared" si="312"/>
        <v>36650</v>
      </c>
      <c r="C1590" s="21">
        <f t="shared" si="313"/>
        <v>36697</v>
      </c>
      <c r="D1590" s="1">
        <f t="shared" si="322"/>
        <v>0</v>
      </c>
      <c r="E1590" s="3">
        <f t="array" ref="E1590">INDEX($A$9:A1589, MAX(IF($D$9:D1589=1, ROW(D$9:$D1589)-ROW($D$9)+1, 0)))</f>
        <v>48295</v>
      </c>
      <c r="F1590" s="23">
        <f t="shared" si="314"/>
        <v>6.0588637919233399</v>
      </c>
      <c r="G1590" s="5">
        <f>INDEX('Default Prob'!$P$5:$P$14,MIN(1+_xlfn.IFNA(MATCH(F1590,'Default Prob'!$F$5:$F$14,1),0),COUNT('Default Prob'!$P$5:$P$14)))</f>
        <v>3.363522017633732E-2</v>
      </c>
      <c r="H1590" s="5">
        <f t="shared" si="323"/>
        <v>0.86759264052094087</v>
      </c>
      <c r="I1590" s="24">
        <f t="shared" si="324"/>
        <v>7.989873558511551E-5</v>
      </c>
      <c r="J1590" s="25">
        <f>INDEX('Default Prob'!$C$3:$C$13, _xlfn.IFNA(MATCH(F1590, 'Default Prob'!$B$3:$B$13, 1), 1))</f>
        <v>2.1700000000000001E-2</v>
      </c>
      <c r="K1590" s="26">
        <f t="shared" si="315"/>
        <v>0.87803298116834116</v>
      </c>
      <c r="L1590" s="27">
        <f t="shared" ca="1" si="316"/>
        <v>0</v>
      </c>
      <c r="M1590" s="27">
        <f t="shared" ca="1" si="317"/>
        <v>0</v>
      </c>
      <c r="N1590" s="28">
        <f t="shared" ca="1" si="318"/>
        <v>0</v>
      </c>
      <c r="O1590" s="29">
        <f t="shared" ca="1" si="319"/>
        <v>0</v>
      </c>
      <c r="P1590" s="30">
        <f t="shared" ca="1" si="320"/>
        <v>0</v>
      </c>
    </row>
    <row r="1591" spans="1:16" x14ac:dyDescent="0.25">
      <c r="A1591" s="3">
        <f t="shared" si="321"/>
        <v>48339</v>
      </c>
      <c r="B1591" s="21">
        <f t="shared" si="312"/>
        <v>36651</v>
      </c>
      <c r="C1591" s="21">
        <f t="shared" si="313"/>
        <v>36697</v>
      </c>
      <c r="D1591" s="1">
        <f t="shared" si="322"/>
        <v>0</v>
      </c>
      <c r="E1591" s="3">
        <f t="array" ref="E1591">INDEX($A$9:A1590, MAX(IF($D$9:D1590=1, ROW(D$9:$D1590)-ROW($D$9)+1, 0)))</f>
        <v>48295</v>
      </c>
      <c r="F1591" s="23">
        <f t="shared" si="314"/>
        <v>6.061601642710472</v>
      </c>
      <c r="G1591" s="5">
        <f>INDEX('Default Prob'!$P$5:$P$14,MIN(1+_xlfn.IFNA(MATCH(F1591,'Default Prob'!$F$5:$F$14,1),0),COUNT('Default Prob'!$P$5:$P$14)))</f>
        <v>3.363522017633732E-2</v>
      </c>
      <c r="H1591" s="5">
        <f t="shared" si="323"/>
        <v>0.8675127491427489</v>
      </c>
      <c r="I1591" s="24">
        <f t="shared" si="324"/>
        <v>7.9891378191976337E-5</v>
      </c>
      <c r="J1591" s="25">
        <f>INDEX('Default Prob'!$C$3:$C$13, _xlfn.IFNA(MATCH(F1591, 'Default Prob'!$B$3:$B$13, 1), 1))</f>
        <v>2.1700000000000001E-2</v>
      </c>
      <c r="K1591" s="26">
        <f t="shared" si="315"/>
        <v>0.87798137548427169</v>
      </c>
      <c r="L1591" s="27">
        <f t="shared" ca="1" si="316"/>
        <v>0</v>
      </c>
      <c r="M1591" s="27">
        <f t="shared" ca="1" si="317"/>
        <v>0</v>
      </c>
      <c r="N1591" s="28">
        <f t="shared" ca="1" si="318"/>
        <v>0</v>
      </c>
      <c r="O1591" s="29">
        <f t="shared" ca="1" si="319"/>
        <v>0</v>
      </c>
      <c r="P1591" s="30">
        <f t="shared" ca="1" si="320"/>
        <v>0</v>
      </c>
    </row>
    <row r="1592" spans="1:16" x14ac:dyDescent="0.25">
      <c r="A1592" s="3">
        <f t="shared" si="321"/>
        <v>48340</v>
      </c>
      <c r="B1592" s="21">
        <f t="shared" si="312"/>
        <v>36652</v>
      </c>
      <c r="C1592" s="21">
        <f t="shared" si="313"/>
        <v>36697</v>
      </c>
      <c r="D1592" s="1">
        <f t="shared" si="322"/>
        <v>0</v>
      </c>
      <c r="E1592" s="3">
        <f t="array" ref="E1592">INDEX($A$9:A1591, MAX(IF($D$9:D1591=1, ROW(D$9:$D1591)-ROW($D$9)+1, 0)))</f>
        <v>48295</v>
      </c>
      <c r="F1592" s="23">
        <f t="shared" si="314"/>
        <v>6.064339493497604</v>
      </c>
      <c r="G1592" s="5">
        <f>INDEX('Default Prob'!$P$5:$P$14,MIN(1+_xlfn.IFNA(MATCH(F1592,'Default Prob'!$F$5:$F$14,1),0),COUNT('Default Prob'!$P$5:$P$14)))</f>
        <v>3.363522017633732E-2</v>
      </c>
      <c r="H1592" s="5">
        <f t="shared" si="323"/>
        <v>0.86743286512127249</v>
      </c>
      <c r="I1592" s="24">
        <f t="shared" si="324"/>
        <v>7.9884021476406275E-5</v>
      </c>
      <c r="J1592" s="25">
        <f>INDEX('Default Prob'!$C$3:$C$13, _xlfn.IFNA(MATCH(F1592, 'Default Prob'!$B$3:$B$13, 1), 1))</f>
        <v>2.1700000000000001E-2</v>
      </c>
      <c r="K1592" s="26">
        <f t="shared" si="315"/>
        <v>0.87792977283328488</v>
      </c>
      <c r="L1592" s="27">
        <f t="shared" ca="1" si="316"/>
        <v>0</v>
      </c>
      <c r="M1592" s="27">
        <f t="shared" ca="1" si="317"/>
        <v>0</v>
      </c>
      <c r="N1592" s="28">
        <f t="shared" ca="1" si="318"/>
        <v>0</v>
      </c>
      <c r="O1592" s="29">
        <f t="shared" ca="1" si="319"/>
        <v>0</v>
      </c>
      <c r="P1592" s="30">
        <f t="shared" ca="1" si="320"/>
        <v>0</v>
      </c>
    </row>
    <row r="1593" spans="1:16" x14ac:dyDescent="0.25">
      <c r="A1593" s="3">
        <f t="shared" si="321"/>
        <v>48341</v>
      </c>
      <c r="B1593" s="21">
        <f t="shared" si="312"/>
        <v>36653</v>
      </c>
      <c r="C1593" s="21">
        <f t="shared" si="313"/>
        <v>36697</v>
      </c>
      <c r="D1593" s="1">
        <f t="shared" si="322"/>
        <v>0</v>
      </c>
      <c r="E1593" s="3">
        <f t="array" ref="E1593">INDEX($A$9:A1592, MAX(IF($D$9:D1592=1, ROW(D$9:$D1592)-ROW($D$9)+1, 0)))</f>
        <v>48295</v>
      </c>
      <c r="F1593" s="23">
        <f t="shared" si="314"/>
        <v>6.0670773442847361</v>
      </c>
      <c r="G1593" s="5">
        <f>INDEX('Default Prob'!$P$5:$P$14,MIN(1+_xlfn.IFNA(MATCH(F1593,'Default Prob'!$F$5:$F$14,1),0),COUNT('Default Prob'!$P$5:$P$14)))</f>
        <v>3.363522017633732E-2</v>
      </c>
      <c r="H1593" s="5">
        <f t="shared" si="323"/>
        <v>0.86735298845583431</v>
      </c>
      <c r="I1593" s="24">
        <f t="shared" si="324"/>
        <v>7.9876665438183281E-5</v>
      </c>
      <c r="J1593" s="25">
        <f>INDEX('Default Prob'!$C$3:$C$13, _xlfn.IFNA(MATCH(F1593, 'Default Prob'!$B$3:$B$13, 1), 1))</f>
        <v>2.1700000000000001E-2</v>
      </c>
      <c r="K1593" s="26">
        <f t="shared" si="315"/>
        <v>0.87787817321520234</v>
      </c>
      <c r="L1593" s="27">
        <f t="shared" ca="1" si="316"/>
        <v>0</v>
      </c>
      <c r="M1593" s="27">
        <f t="shared" ca="1" si="317"/>
        <v>0</v>
      </c>
      <c r="N1593" s="28">
        <f t="shared" ca="1" si="318"/>
        <v>0</v>
      </c>
      <c r="O1593" s="29">
        <f t="shared" ca="1" si="319"/>
        <v>0</v>
      </c>
      <c r="P1593" s="30">
        <f t="shared" ca="1" si="320"/>
        <v>0</v>
      </c>
    </row>
    <row r="1594" spans="1:16" x14ac:dyDescent="0.25">
      <c r="A1594" s="3">
        <f t="shared" si="321"/>
        <v>48344</v>
      </c>
      <c r="B1594" s="21">
        <f t="shared" si="312"/>
        <v>36656</v>
      </c>
      <c r="C1594" s="21">
        <f t="shared" si="313"/>
        <v>36697</v>
      </c>
      <c r="D1594" s="1">
        <f t="shared" si="322"/>
        <v>0</v>
      </c>
      <c r="E1594" s="3">
        <f t="array" ref="E1594">INDEX($A$9:A1593, MAX(IF($D$9:D1593=1, ROW(D$9:$D1593)-ROW($D$9)+1, 0)))</f>
        <v>48295</v>
      </c>
      <c r="F1594" s="23">
        <f t="shared" si="314"/>
        <v>6.0752908966461332</v>
      </c>
      <c r="G1594" s="5">
        <f>INDEX('Default Prob'!$P$5:$P$14,MIN(1+_xlfn.IFNA(MATCH(F1594,'Default Prob'!$F$5:$F$14,1),0),COUNT('Default Prob'!$P$5:$P$14)))</f>
        <v>3.363522017633732E-2</v>
      </c>
      <c r="H1594" s="5">
        <f t="shared" si="323"/>
        <v>0.86711340258897518</v>
      </c>
      <c r="I1594" s="24">
        <f t="shared" si="324"/>
        <v>2.3958586685912664E-4</v>
      </c>
      <c r="J1594" s="25">
        <f>INDEX('Default Prob'!$C$3:$C$13, _xlfn.IFNA(MATCH(F1594, 'Default Prob'!$B$3:$B$13, 1), 1))</f>
        <v>2.1700000000000001E-2</v>
      </c>
      <c r="K1594" s="26">
        <f t="shared" si="315"/>
        <v>0.87772339255659892</v>
      </c>
      <c r="L1594" s="27">
        <f t="shared" ca="1" si="316"/>
        <v>0</v>
      </c>
      <c r="M1594" s="27">
        <f t="shared" ca="1" si="317"/>
        <v>0</v>
      </c>
      <c r="N1594" s="28">
        <f t="shared" ca="1" si="318"/>
        <v>0</v>
      </c>
      <c r="O1594" s="29">
        <f t="shared" ca="1" si="319"/>
        <v>0</v>
      </c>
      <c r="P1594" s="30">
        <f t="shared" ca="1" si="320"/>
        <v>0</v>
      </c>
    </row>
    <row r="1595" spans="1:16" x14ac:dyDescent="0.25">
      <c r="A1595" s="3">
        <f t="shared" si="321"/>
        <v>48345</v>
      </c>
      <c r="B1595" s="21">
        <f t="shared" si="312"/>
        <v>36657</v>
      </c>
      <c r="C1595" s="21">
        <f t="shared" si="313"/>
        <v>36697</v>
      </c>
      <c r="D1595" s="1">
        <f t="shared" si="322"/>
        <v>0</v>
      </c>
      <c r="E1595" s="3">
        <f t="array" ref="E1595">INDEX($A$9:A1594, MAX(IF($D$9:D1594=1, ROW(D$9:$D1594)-ROW($D$9)+1, 0)))</f>
        <v>48295</v>
      </c>
      <c r="F1595" s="23">
        <f t="shared" si="314"/>
        <v>6.0780287474332653</v>
      </c>
      <c r="G1595" s="5">
        <f>INDEX('Default Prob'!$P$5:$P$14,MIN(1+_xlfn.IFNA(MATCH(F1595,'Default Prob'!$F$5:$F$14,1),0),COUNT('Default Prob'!$P$5:$P$14)))</f>
        <v>3.363522017633732E-2</v>
      </c>
      <c r="H1595" s="5">
        <f t="shared" si="323"/>
        <v>0.86703355534091653</v>
      </c>
      <c r="I1595" s="24">
        <f t="shared" si="324"/>
        <v>7.9847248058650955E-5</v>
      </c>
      <c r="J1595" s="25">
        <f>INDEX('Default Prob'!$C$3:$C$13, _xlfn.IFNA(MATCH(F1595, 'Default Prob'!$B$3:$B$13, 1), 1))</f>
        <v>2.1700000000000001E-2</v>
      </c>
      <c r="K1595" s="26">
        <f t="shared" si="315"/>
        <v>0.87767180506835185</v>
      </c>
      <c r="L1595" s="27">
        <f t="shared" ca="1" si="316"/>
        <v>0</v>
      </c>
      <c r="M1595" s="27">
        <f t="shared" ca="1" si="317"/>
        <v>0</v>
      </c>
      <c r="N1595" s="28">
        <f t="shared" ca="1" si="318"/>
        <v>0</v>
      </c>
      <c r="O1595" s="29">
        <f t="shared" ca="1" si="319"/>
        <v>0</v>
      </c>
      <c r="P1595" s="30">
        <f t="shared" ca="1" si="320"/>
        <v>0</v>
      </c>
    </row>
    <row r="1596" spans="1:16" x14ac:dyDescent="0.25">
      <c r="A1596" s="3">
        <f t="shared" si="321"/>
        <v>48346</v>
      </c>
      <c r="B1596" s="21">
        <f t="shared" si="312"/>
        <v>36658</v>
      </c>
      <c r="C1596" s="21">
        <f t="shared" si="313"/>
        <v>36697</v>
      </c>
      <c r="D1596" s="1">
        <f t="shared" si="322"/>
        <v>0</v>
      </c>
      <c r="E1596" s="3">
        <f t="array" ref="E1596">INDEX($A$9:A1595, MAX(IF($D$9:D1595=1, ROW(D$9:$D1595)-ROW($D$9)+1, 0)))</f>
        <v>48295</v>
      </c>
      <c r="F1596" s="23">
        <f t="shared" si="314"/>
        <v>6.0807665982203973</v>
      </c>
      <c r="G1596" s="5">
        <f>INDEX('Default Prob'!$P$5:$P$14,MIN(1+_xlfn.IFNA(MATCH(F1596,'Default Prob'!$F$5:$F$14,1),0),COUNT('Default Prob'!$P$5:$P$14)))</f>
        <v>3.363522017633732E-2</v>
      </c>
      <c r="H1596" s="5">
        <f t="shared" si="323"/>
        <v>0.86695371544550981</v>
      </c>
      <c r="I1596" s="24">
        <f t="shared" si="324"/>
        <v>7.9839895406719208E-5</v>
      </c>
      <c r="J1596" s="25">
        <f>INDEX('Default Prob'!$C$3:$C$13, _xlfn.IFNA(MATCH(F1596, 'Default Prob'!$B$3:$B$13, 1), 1))</f>
        <v>2.1700000000000001E-2</v>
      </c>
      <c r="K1596" s="26">
        <f t="shared" si="315"/>
        <v>0.87762022061211775</v>
      </c>
      <c r="L1596" s="27">
        <f t="shared" ca="1" si="316"/>
        <v>0</v>
      </c>
      <c r="M1596" s="27">
        <f t="shared" ca="1" si="317"/>
        <v>0</v>
      </c>
      <c r="N1596" s="28">
        <f t="shared" ca="1" si="318"/>
        <v>0</v>
      </c>
      <c r="O1596" s="29">
        <f t="shared" ca="1" si="319"/>
        <v>0</v>
      </c>
      <c r="P1596" s="30">
        <f t="shared" ca="1" si="320"/>
        <v>0</v>
      </c>
    </row>
    <row r="1597" spans="1:16" x14ac:dyDescent="0.25">
      <c r="A1597" s="3">
        <f t="shared" si="321"/>
        <v>48347</v>
      </c>
      <c r="B1597" s="21">
        <f t="shared" si="312"/>
        <v>36659</v>
      </c>
      <c r="C1597" s="21">
        <f t="shared" si="313"/>
        <v>36697</v>
      </c>
      <c r="D1597" s="1">
        <f t="shared" si="322"/>
        <v>0</v>
      </c>
      <c r="E1597" s="3">
        <f t="array" ref="E1597">INDEX($A$9:A1596, MAX(IF($D$9:D1596=1, ROW(D$9:$D1596)-ROW($D$9)+1, 0)))</f>
        <v>48295</v>
      </c>
      <c r="F1597" s="23">
        <f t="shared" si="314"/>
        <v>6.0835044490075294</v>
      </c>
      <c r="G1597" s="5">
        <f>INDEX('Default Prob'!$P$5:$P$14,MIN(1+_xlfn.IFNA(MATCH(F1597,'Default Prob'!$F$5:$F$14,1),0),COUNT('Default Prob'!$P$5:$P$14)))</f>
        <v>3.363522017633732E-2</v>
      </c>
      <c r="H1597" s="5">
        <f t="shared" si="323"/>
        <v>0.8668738829020779</v>
      </c>
      <c r="I1597" s="24">
        <f t="shared" si="324"/>
        <v>7.9832543431912484E-5</v>
      </c>
      <c r="J1597" s="25">
        <f>INDEX('Default Prob'!$C$3:$C$13, _xlfn.IFNA(MATCH(F1597, 'Default Prob'!$B$3:$B$13, 1), 1))</f>
        <v>2.1700000000000001E-2</v>
      </c>
      <c r="K1597" s="26">
        <f t="shared" si="315"/>
        <v>0.87756863918771866</v>
      </c>
      <c r="L1597" s="27">
        <f t="shared" ca="1" si="316"/>
        <v>0</v>
      </c>
      <c r="M1597" s="27">
        <f t="shared" ca="1" si="317"/>
        <v>0</v>
      </c>
      <c r="N1597" s="28">
        <f t="shared" ca="1" si="318"/>
        <v>0</v>
      </c>
      <c r="O1597" s="29">
        <f t="shared" ca="1" si="319"/>
        <v>0</v>
      </c>
      <c r="P1597" s="30">
        <f t="shared" ca="1" si="320"/>
        <v>0</v>
      </c>
    </row>
    <row r="1598" spans="1:16" x14ac:dyDescent="0.25">
      <c r="A1598" s="3">
        <f t="shared" si="321"/>
        <v>48348</v>
      </c>
      <c r="B1598" s="21">
        <f t="shared" si="312"/>
        <v>36660</v>
      </c>
      <c r="C1598" s="21">
        <f t="shared" si="313"/>
        <v>36697</v>
      </c>
      <c r="D1598" s="1">
        <f t="shared" si="322"/>
        <v>0</v>
      </c>
      <c r="E1598" s="3">
        <f t="array" ref="E1598">INDEX($A$9:A1597, MAX(IF($D$9:D1597=1, ROW(D$9:$D1597)-ROW($D$9)+1, 0)))</f>
        <v>48295</v>
      </c>
      <c r="F1598" s="23">
        <f t="shared" si="314"/>
        <v>6.0862422997946615</v>
      </c>
      <c r="G1598" s="5">
        <f>INDEX('Default Prob'!$P$5:$P$14,MIN(1+_xlfn.IFNA(MATCH(F1598,'Default Prob'!$F$5:$F$14,1),0),COUNT('Default Prob'!$P$5:$P$14)))</f>
        <v>3.363522017633732E-2</v>
      </c>
      <c r="H1598" s="5">
        <f t="shared" si="323"/>
        <v>0.86679405770994389</v>
      </c>
      <c r="I1598" s="24">
        <f t="shared" si="324"/>
        <v>7.9825192134008738E-5</v>
      </c>
      <c r="J1598" s="25">
        <f>INDEX('Default Prob'!$C$3:$C$13, _xlfn.IFNA(MATCH(F1598, 'Default Prob'!$B$3:$B$13, 1), 1))</f>
        <v>2.1700000000000001E-2</v>
      </c>
      <c r="K1598" s="26">
        <f t="shared" si="315"/>
        <v>0.87751706079497671</v>
      </c>
      <c r="L1598" s="27">
        <f t="shared" ca="1" si="316"/>
        <v>0</v>
      </c>
      <c r="M1598" s="27">
        <f t="shared" ca="1" si="317"/>
        <v>0</v>
      </c>
      <c r="N1598" s="28">
        <f t="shared" ca="1" si="318"/>
        <v>0</v>
      </c>
      <c r="O1598" s="29">
        <f t="shared" ca="1" si="319"/>
        <v>0</v>
      </c>
      <c r="P1598" s="30">
        <f t="shared" ca="1" si="320"/>
        <v>0</v>
      </c>
    </row>
    <row r="1599" spans="1:16" x14ac:dyDescent="0.25">
      <c r="A1599" s="3">
        <f t="shared" si="321"/>
        <v>48351</v>
      </c>
      <c r="B1599" s="21">
        <f t="shared" si="312"/>
        <v>36663</v>
      </c>
      <c r="C1599" s="21">
        <f t="shared" si="313"/>
        <v>36697</v>
      </c>
      <c r="D1599" s="1">
        <f t="shared" si="322"/>
        <v>0</v>
      </c>
      <c r="E1599" s="3">
        <f t="array" ref="E1599">INDEX($A$9:A1598, MAX(IF($D$9:D1598=1, ROW(D$9:$D1598)-ROW($D$9)+1, 0)))</f>
        <v>48295</v>
      </c>
      <c r="F1599" s="23">
        <f t="shared" si="314"/>
        <v>6.0944558521560577</v>
      </c>
      <c r="G1599" s="5">
        <f>INDEX('Default Prob'!$P$5:$P$14,MIN(1+_xlfn.IFNA(MATCH(F1599,'Default Prob'!$F$5:$F$14,1),0),COUNT('Default Prob'!$P$5:$P$14)))</f>
        <v>3.363522017633732E-2</v>
      </c>
      <c r="H1599" s="5">
        <f t="shared" si="323"/>
        <v>0.86655462623455981</v>
      </c>
      <c r="I1599" s="24">
        <f t="shared" si="324"/>
        <v>2.3943147538407761E-4</v>
      </c>
      <c r="J1599" s="25">
        <f>INDEX('Default Prob'!$C$3:$C$13, _xlfn.IFNA(MATCH(F1599, 'Default Prob'!$B$3:$B$13, 1), 1))</f>
        <v>2.1700000000000001E-2</v>
      </c>
      <c r="K1599" s="26">
        <f t="shared" si="315"/>
        <v>0.87736234380490941</v>
      </c>
      <c r="L1599" s="27">
        <f t="shared" ca="1" si="316"/>
        <v>0</v>
      </c>
      <c r="M1599" s="27">
        <f t="shared" ca="1" si="317"/>
        <v>0</v>
      </c>
      <c r="N1599" s="28">
        <f t="shared" ca="1" si="318"/>
        <v>0</v>
      </c>
      <c r="O1599" s="29">
        <f t="shared" ca="1" si="319"/>
        <v>0</v>
      </c>
      <c r="P1599" s="30">
        <f t="shared" ca="1" si="320"/>
        <v>0</v>
      </c>
    </row>
    <row r="1600" spans="1:16" x14ac:dyDescent="0.25">
      <c r="A1600" s="3">
        <f t="shared" si="321"/>
        <v>48352</v>
      </c>
      <c r="B1600" s="21">
        <f t="shared" si="312"/>
        <v>36664</v>
      </c>
      <c r="C1600" s="21">
        <f t="shared" si="313"/>
        <v>36697</v>
      </c>
      <c r="D1600" s="1">
        <f t="shared" si="322"/>
        <v>0</v>
      </c>
      <c r="E1600" s="3">
        <f t="array" ref="E1600">INDEX($A$9:A1599, MAX(IF($D$9:D1599=1, ROW(D$9:$D1599)-ROW($D$9)+1, 0)))</f>
        <v>48295</v>
      </c>
      <c r="F1600" s="23">
        <f t="shared" si="314"/>
        <v>6.0971937029431897</v>
      </c>
      <c r="G1600" s="5">
        <f>INDEX('Default Prob'!$P$5:$P$14,MIN(1+_xlfn.IFNA(MATCH(F1600,'Default Prob'!$F$5:$F$14,1),0),COUNT('Default Prob'!$P$5:$P$14)))</f>
        <v>3.363522017633732E-2</v>
      </c>
      <c r="H1600" s="5">
        <f t="shared" si="323"/>
        <v>0.8664748304408485</v>
      </c>
      <c r="I1600" s="24">
        <f t="shared" si="324"/>
        <v>7.9795793711312513E-5</v>
      </c>
      <c r="J1600" s="25">
        <f>INDEX('Default Prob'!$C$3:$C$13, _xlfn.IFNA(MATCH(F1600, 'Default Prob'!$B$3:$B$13, 1), 1))</f>
        <v>2.1700000000000001E-2</v>
      </c>
      <c r="K1600" s="26">
        <f t="shared" si="315"/>
        <v>0.87731077753701303</v>
      </c>
      <c r="L1600" s="27">
        <f t="shared" ca="1" si="316"/>
        <v>0</v>
      </c>
      <c r="M1600" s="27">
        <f t="shared" ca="1" si="317"/>
        <v>0</v>
      </c>
      <c r="N1600" s="28">
        <f t="shared" ca="1" si="318"/>
        <v>0</v>
      </c>
      <c r="O1600" s="29">
        <f t="shared" ca="1" si="319"/>
        <v>0</v>
      </c>
      <c r="P1600" s="30">
        <f t="shared" ca="1" si="320"/>
        <v>0</v>
      </c>
    </row>
    <row r="1601" spans="1:16" x14ac:dyDescent="0.25">
      <c r="A1601" s="3">
        <f t="shared" si="321"/>
        <v>48353</v>
      </c>
      <c r="B1601" s="21">
        <f t="shared" si="312"/>
        <v>36665</v>
      </c>
      <c r="C1601" s="21">
        <f t="shared" si="313"/>
        <v>36697</v>
      </c>
      <c r="D1601" s="1">
        <f t="shared" si="322"/>
        <v>0</v>
      </c>
      <c r="E1601" s="3">
        <f t="array" ref="E1601">INDEX($A$9:A1600, MAX(IF($D$9:D1600=1, ROW(D$9:$D1600)-ROW($D$9)+1, 0)))</f>
        <v>48295</v>
      </c>
      <c r="F1601" s="23">
        <f t="shared" si="314"/>
        <v>6.0999315537303218</v>
      </c>
      <c r="G1601" s="5">
        <f>INDEX('Default Prob'!$P$5:$P$14,MIN(1+_xlfn.IFNA(MATCH(F1601,'Default Prob'!$F$5:$F$14,1),0),COUNT('Default Prob'!$P$5:$P$14)))</f>
        <v>3.363522017633732E-2</v>
      </c>
      <c r="H1601" s="5">
        <f t="shared" si="323"/>
        <v>0.86639504199505091</v>
      </c>
      <c r="I1601" s="24">
        <f t="shared" si="324"/>
        <v>7.978844579759059E-5</v>
      </c>
      <c r="J1601" s="25">
        <f>INDEX('Default Prob'!$C$3:$C$13, _xlfn.IFNA(MATCH(F1601, 'Default Prob'!$B$3:$B$13, 1), 1))</f>
        <v>2.1700000000000001E-2</v>
      </c>
      <c r="K1601" s="26">
        <f t="shared" si="315"/>
        <v>0.87725921429988252</v>
      </c>
      <c r="L1601" s="27">
        <f t="shared" ca="1" si="316"/>
        <v>0</v>
      </c>
      <c r="M1601" s="27">
        <f t="shared" ca="1" si="317"/>
        <v>0</v>
      </c>
      <c r="N1601" s="28">
        <f t="shared" ca="1" si="318"/>
        <v>0</v>
      </c>
      <c r="O1601" s="29">
        <f t="shared" ca="1" si="319"/>
        <v>0</v>
      </c>
      <c r="P1601" s="30">
        <f t="shared" ca="1" si="320"/>
        <v>0</v>
      </c>
    </row>
    <row r="1602" spans="1:16" x14ac:dyDescent="0.25">
      <c r="A1602" s="3">
        <f t="shared" si="321"/>
        <v>48354</v>
      </c>
      <c r="B1602" s="21">
        <f t="shared" si="312"/>
        <v>36666</v>
      </c>
      <c r="C1602" s="21">
        <f t="shared" si="313"/>
        <v>36697</v>
      </c>
      <c r="D1602" s="1">
        <f t="shared" si="322"/>
        <v>0</v>
      </c>
      <c r="E1602" s="3">
        <f t="array" ref="E1602">INDEX($A$9:A1601, MAX(IF($D$9:D1601=1, ROW(D$9:$D1601)-ROW($D$9)+1, 0)))</f>
        <v>48295</v>
      </c>
      <c r="F1602" s="23">
        <f t="shared" si="314"/>
        <v>6.1026694045174539</v>
      </c>
      <c r="G1602" s="5">
        <f>INDEX('Default Prob'!$P$5:$P$14,MIN(1+_xlfn.IFNA(MATCH(F1602,'Default Prob'!$F$5:$F$14,1),0),COUNT('Default Prob'!$P$5:$P$14)))</f>
        <v>3.363522017633732E-2</v>
      </c>
      <c r="H1602" s="5">
        <f t="shared" si="323"/>
        <v>0.86631526089649047</v>
      </c>
      <c r="I1602" s="24">
        <f t="shared" si="324"/>
        <v>7.9781098560438579E-5</v>
      </c>
      <c r="J1602" s="25">
        <f>INDEX('Default Prob'!$C$3:$C$13, _xlfn.IFNA(MATCH(F1602, 'Default Prob'!$B$3:$B$13, 1), 1))</f>
        <v>2.1700000000000001E-2</v>
      </c>
      <c r="K1602" s="26">
        <f t="shared" si="315"/>
        <v>0.87720765409333989</v>
      </c>
      <c r="L1602" s="27">
        <f t="shared" ca="1" si="316"/>
        <v>0</v>
      </c>
      <c r="M1602" s="27">
        <f t="shared" ca="1" si="317"/>
        <v>0</v>
      </c>
      <c r="N1602" s="28">
        <f t="shared" ca="1" si="318"/>
        <v>0</v>
      </c>
      <c r="O1602" s="29">
        <f t="shared" ca="1" si="319"/>
        <v>0</v>
      </c>
      <c r="P1602" s="30">
        <f t="shared" ca="1" si="320"/>
        <v>0</v>
      </c>
    </row>
    <row r="1603" spans="1:16" x14ac:dyDescent="0.25">
      <c r="A1603" s="3">
        <f t="shared" si="321"/>
        <v>48355</v>
      </c>
      <c r="B1603" s="21">
        <f t="shared" si="312"/>
        <v>36667</v>
      </c>
      <c r="C1603" s="21">
        <f t="shared" si="313"/>
        <v>36697</v>
      </c>
      <c r="D1603" s="1">
        <f t="shared" si="322"/>
        <v>0</v>
      </c>
      <c r="E1603" s="3">
        <f t="array" ref="E1603">INDEX($A$9:A1602, MAX(IF($D$9:D1602=1, ROW(D$9:$D1602)-ROW($D$9)+1, 0)))</f>
        <v>48295</v>
      </c>
      <c r="F1603" s="23">
        <f t="shared" si="314"/>
        <v>6.1054072553045859</v>
      </c>
      <c r="G1603" s="5">
        <f>INDEX('Default Prob'!$P$5:$P$14,MIN(1+_xlfn.IFNA(MATCH(F1603,'Default Prob'!$F$5:$F$14,1),0),COUNT('Default Prob'!$P$5:$P$14)))</f>
        <v>3.363522017633732E-2</v>
      </c>
      <c r="H1603" s="5">
        <f t="shared" si="323"/>
        <v>0.86623548714449072</v>
      </c>
      <c r="I1603" s="24">
        <f t="shared" si="324"/>
        <v>7.9773751999745457E-5</v>
      </c>
      <c r="J1603" s="25">
        <f>INDEX('Default Prob'!$C$3:$C$13, _xlfn.IFNA(MATCH(F1603, 'Default Prob'!$B$3:$B$13, 1), 1))</f>
        <v>2.1700000000000001E-2</v>
      </c>
      <c r="K1603" s="26">
        <f t="shared" si="315"/>
        <v>0.87715609691720708</v>
      </c>
      <c r="L1603" s="27">
        <f t="shared" ca="1" si="316"/>
        <v>0</v>
      </c>
      <c r="M1603" s="27">
        <f t="shared" ca="1" si="317"/>
        <v>0</v>
      </c>
      <c r="N1603" s="28">
        <f t="shared" ca="1" si="318"/>
        <v>0</v>
      </c>
      <c r="O1603" s="29">
        <f t="shared" ca="1" si="319"/>
        <v>0</v>
      </c>
      <c r="P1603" s="30">
        <f t="shared" ca="1" si="320"/>
        <v>0</v>
      </c>
    </row>
    <row r="1604" spans="1:16" x14ac:dyDescent="0.25">
      <c r="A1604" s="3">
        <f t="shared" si="321"/>
        <v>48358</v>
      </c>
      <c r="B1604" s="21">
        <f t="shared" si="312"/>
        <v>36670</v>
      </c>
      <c r="C1604" s="21">
        <f t="shared" si="313"/>
        <v>36697</v>
      </c>
      <c r="D1604" s="1">
        <f t="shared" si="322"/>
        <v>0</v>
      </c>
      <c r="E1604" s="3">
        <f t="array" ref="E1604">INDEX($A$9:A1603, MAX(IF($D$9:D1603=1, ROW(D$9:$D1603)-ROW($D$9)+1, 0)))</f>
        <v>48295</v>
      </c>
      <c r="F1604" s="23">
        <f t="shared" si="314"/>
        <v>6.1136208076659821</v>
      </c>
      <c r="G1604" s="5">
        <f>INDEX('Default Prob'!$P$5:$P$14,MIN(1+_xlfn.IFNA(MATCH(F1604,'Default Prob'!$F$5:$F$14,1),0),COUNT('Default Prob'!$P$5:$P$14)))</f>
        <v>3.363522017633732E-2</v>
      </c>
      <c r="H1604" s="5">
        <f t="shared" si="323"/>
        <v>0.86599620996109028</v>
      </c>
      <c r="I1604" s="24">
        <f t="shared" si="324"/>
        <v>2.3927718340044368E-4</v>
      </c>
      <c r="J1604" s="25">
        <f>INDEX('Default Prob'!$C$3:$C$13, _xlfn.IFNA(MATCH(F1604, 'Default Prob'!$B$3:$B$13, 1), 1))</f>
        <v>2.1700000000000001E-2</v>
      </c>
      <c r="K1604" s="26">
        <f t="shared" si="315"/>
        <v>0.87700144356948628</v>
      </c>
      <c r="L1604" s="27">
        <f t="shared" ca="1" si="316"/>
        <v>0</v>
      </c>
      <c r="M1604" s="27">
        <f t="shared" ca="1" si="317"/>
        <v>0</v>
      </c>
      <c r="N1604" s="28">
        <f t="shared" ca="1" si="318"/>
        <v>0</v>
      </c>
      <c r="O1604" s="29">
        <f t="shared" ca="1" si="319"/>
        <v>0</v>
      </c>
      <c r="P1604" s="30">
        <f t="shared" ca="1" si="320"/>
        <v>0</v>
      </c>
    </row>
    <row r="1605" spans="1:16" x14ac:dyDescent="0.25">
      <c r="A1605" s="3">
        <f t="shared" si="321"/>
        <v>48359</v>
      </c>
      <c r="B1605" s="21">
        <f t="shared" si="312"/>
        <v>36671</v>
      </c>
      <c r="C1605" s="21">
        <f t="shared" si="313"/>
        <v>36697</v>
      </c>
      <c r="D1605" s="1">
        <f t="shared" si="322"/>
        <v>0</v>
      </c>
      <c r="E1605" s="3">
        <f t="array" ref="E1605">INDEX($A$9:A1604, MAX(IF($D$9:D1604=1, ROW(D$9:$D1604)-ROW($D$9)+1, 0)))</f>
        <v>48295</v>
      </c>
      <c r="F1605" s="23">
        <f t="shared" si="314"/>
        <v>6.1163586584531142</v>
      </c>
      <c r="G1605" s="5">
        <f>INDEX('Default Prob'!$P$5:$P$14,MIN(1+_xlfn.IFNA(MATCH(F1605,'Default Prob'!$F$5:$F$14,1),0),COUNT('Default Prob'!$P$5:$P$14)))</f>
        <v>3.363522017633732E-2</v>
      </c>
      <c r="H1605" s="5">
        <f t="shared" si="323"/>
        <v>0.8659164655885685</v>
      </c>
      <c r="I1605" s="24">
        <f t="shared" si="324"/>
        <v>7.9744372521783902E-5</v>
      </c>
      <c r="J1605" s="25">
        <f>INDEX('Default Prob'!$C$3:$C$13, _xlfn.IFNA(MATCH(F1605, 'Default Prob'!$B$3:$B$13, 1), 1))</f>
        <v>2.1700000000000001E-2</v>
      </c>
      <c r="K1605" s="26">
        <f t="shared" si="315"/>
        <v>0.8769498985132117</v>
      </c>
      <c r="L1605" s="27">
        <f t="shared" ca="1" si="316"/>
        <v>0</v>
      </c>
      <c r="M1605" s="27">
        <f t="shared" ca="1" si="317"/>
        <v>0</v>
      </c>
      <c r="N1605" s="28">
        <f t="shared" ca="1" si="318"/>
        <v>0</v>
      </c>
      <c r="O1605" s="29">
        <f t="shared" ca="1" si="319"/>
        <v>0</v>
      </c>
      <c r="P1605" s="30">
        <f t="shared" ca="1" si="320"/>
        <v>0</v>
      </c>
    </row>
    <row r="1606" spans="1:16" x14ac:dyDescent="0.25">
      <c r="A1606" s="3">
        <f t="shared" si="321"/>
        <v>48360</v>
      </c>
      <c r="B1606" s="21">
        <f t="shared" si="312"/>
        <v>36672</v>
      </c>
      <c r="C1606" s="21">
        <f t="shared" si="313"/>
        <v>36697</v>
      </c>
      <c r="D1606" s="1">
        <f t="shared" si="322"/>
        <v>0</v>
      </c>
      <c r="E1606" s="3">
        <f t="array" ref="E1606">INDEX($A$9:A1605, MAX(IF($D$9:D1605=1, ROW(D$9:$D1605)-ROW($D$9)+1, 0)))</f>
        <v>48295</v>
      </c>
      <c r="F1606" s="23">
        <f t="shared" si="314"/>
        <v>6.1190965092402463</v>
      </c>
      <c r="G1606" s="5">
        <f>INDEX('Default Prob'!$P$5:$P$14,MIN(1+_xlfn.IFNA(MATCH(F1606,'Default Prob'!$F$5:$F$14,1),0),COUNT('Default Prob'!$P$5:$P$14)))</f>
        <v>3.363522017633732E-2</v>
      </c>
      <c r="H1606" s="5">
        <f t="shared" si="323"/>
        <v>0.86583672855922544</v>
      </c>
      <c r="I1606" s="24">
        <f t="shared" si="324"/>
        <v>7.9737029343052157E-5</v>
      </c>
      <c r="J1606" s="25">
        <f>INDEX('Default Prob'!$C$3:$C$13, _xlfn.IFNA(MATCH(F1606, 'Default Prob'!$B$3:$B$13, 1), 1))</f>
        <v>2.1700000000000001E-2</v>
      </c>
      <c r="K1606" s="26">
        <f t="shared" si="315"/>
        <v>0.87689835648645631</v>
      </c>
      <c r="L1606" s="27">
        <f t="shared" ca="1" si="316"/>
        <v>0</v>
      </c>
      <c r="M1606" s="27">
        <f t="shared" ca="1" si="317"/>
        <v>0</v>
      </c>
      <c r="N1606" s="28">
        <f t="shared" ca="1" si="318"/>
        <v>0</v>
      </c>
      <c r="O1606" s="29">
        <f t="shared" ca="1" si="319"/>
        <v>0</v>
      </c>
      <c r="P1606" s="30">
        <f t="shared" ca="1" si="320"/>
        <v>0</v>
      </c>
    </row>
    <row r="1607" spans="1:16" x14ac:dyDescent="0.25">
      <c r="A1607" s="3">
        <f t="shared" si="321"/>
        <v>48361</v>
      </c>
      <c r="B1607" s="21">
        <f t="shared" si="312"/>
        <v>36673</v>
      </c>
      <c r="C1607" s="21">
        <f t="shared" si="313"/>
        <v>36697</v>
      </c>
      <c r="D1607" s="1">
        <f t="shared" si="322"/>
        <v>0</v>
      </c>
      <c r="E1607" s="3">
        <f t="array" ref="E1607">INDEX($A$9:A1606, MAX(IF($D$9:D1606=1, ROW(D$9:$D1606)-ROW($D$9)+1, 0)))</f>
        <v>48295</v>
      </c>
      <c r="F1607" s="23">
        <f t="shared" si="314"/>
        <v>6.1218343600273784</v>
      </c>
      <c r="G1607" s="5">
        <f>INDEX('Default Prob'!$P$5:$P$14,MIN(1+_xlfn.IFNA(MATCH(F1607,'Default Prob'!$F$5:$F$14,1),0),COUNT('Default Prob'!$P$5:$P$14)))</f>
        <v>3.363522017633732E-2</v>
      </c>
      <c r="H1607" s="5">
        <f t="shared" si="323"/>
        <v>0.865756998872385</v>
      </c>
      <c r="I1607" s="24">
        <f t="shared" si="324"/>
        <v>7.9729686840446234E-5</v>
      </c>
      <c r="J1607" s="25">
        <f>INDEX('Default Prob'!$C$3:$C$13, _xlfn.IFNA(MATCH(F1607, 'Default Prob'!$B$3:$B$13, 1), 1))</f>
        <v>2.1700000000000001E-2</v>
      </c>
      <c r="K1607" s="26">
        <f t="shared" si="315"/>
        <v>0.87684681748904214</v>
      </c>
      <c r="L1607" s="27">
        <f t="shared" ca="1" si="316"/>
        <v>0</v>
      </c>
      <c r="M1607" s="27">
        <f t="shared" ca="1" si="317"/>
        <v>0</v>
      </c>
      <c r="N1607" s="28">
        <f t="shared" ca="1" si="318"/>
        <v>0</v>
      </c>
      <c r="O1607" s="29">
        <f t="shared" ca="1" si="319"/>
        <v>0</v>
      </c>
      <c r="P1607" s="30">
        <f t="shared" ca="1" si="320"/>
        <v>0</v>
      </c>
    </row>
    <row r="1608" spans="1:16" x14ac:dyDescent="0.25">
      <c r="A1608" s="3">
        <f t="shared" si="321"/>
        <v>48362</v>
      </c>
      <c r="B1608" s="21">
        <f t="shared" si="312"/>
        <v>36674</v>
      </c>
      <c r="C1608" s="21">
        <f t="shared" si="313"/>
        <v>36697</v>
      </c>
      <c r="D1608" s="1">
        <f t="shared" si="322"/>
        <v>0</v>
      </c>
      <c r="E1608" s="3">
        <f t="array" ref="E1608">INDEX($A$9:A1607, MAX(IF($D$9:D1607=1, ROW(D$9:$D1607)-ROW($D$9)+1, 0)))</f>
        <v>48295</v>
      </c>
      <c r="F1608" s="23">
        <f t="shared" si="314"/>
        <v>6.1245722108145104</v>
      </c>
      <c r="G1608" s="5">
        <f>INDEX('Default Prob'!$P$5:$P$14,MIN(1+_xlfn.IFNA(MATCH(F1608,'Default Prob'!$F$5:$F$14,1),0),COUNT('Default Prob'!$P$5:$P$14)))</f>
        <v>3.363522017633732E-2</v>
      </c>
      <c r="H1608" s="5">
        <f t="shared" si="323"/>
        <v>0.86567727652737092</v>
      </c>
      <c r="I1608" s="24">
        <f t="shared" si="324"/>
        <v>7.9722345014077156E-5</v>
      </c>
      <c r="J1608" s="25">
        <f>INDEX('Default Prob'!$C$3:$C$13, _xlfn.IFNA(MATCH(F1608, 'Default Prob'!$B$3:$B$13, 1), 1))</f>
        <v>2.1700000000000001E-2</v>
      </c>
      <c r="K1608" s="26">
        <f t="shared" si="315"/>
        <v>0.87679528152079123</v>
      </c>
      <c r="L1608" s="27">
        <f t="shared" ca="1" si="316"/>
        <v>0</v>
      </c>
      <c r="M1608" s="27">
        <f t="shared" ca="1" si="317"/>
        <v>0</v>
      </c>
      <c r="N1608" s="28">
        <f t="shared" ca="1" si="318"/>
        <v>0</v>
      </c>
      <c r="O1608" s="29">
        <f t="shared" ca="1" si="319"/>
        <v>0</v>
      </c>
      <c r="P1608" s="30">
        <f t="shared" ca="1" si="320"/>
        <v>0</v>
      </c>
    </row>
    <row r="1609" spans="1:16" x14ac:dyDescent="0.25">
      <c r="A1609" s="3">
        <f t="shared" si="321"/>
        <v>48365</v>
      </c>
      <c r="B1609" s="21">
        <f t="shared" ref="B1609:B1672" si="325">DATE(2000, MONTH(A1609), DAY(A1609))</f>
        <v>36677</v>
      </c>
      <c r="C1609" s="21">
        <f t="shared" ref="C1609:C1672" si="326">VLOOKUP(B1609, $R$9:$S$13, 2)</f>
        <v>36697</v>
      </c>
      <c r="D1609" s="1">
        <f t="shared" si="322"/>
        <v>0</v>
      </c>
      <c r="E1609" s="3">
        <f t="array" ref="E1609">INDEX($A$9:A1608, MAX(IF($D$9:D1608=1, ROW(D$9:$D1608)-ROW($D$9)+1, 0)))</f>
        <v>48295</v>
      </c>
      <c r="F1609" s="23">
        <f t="shared" ref="F1609:F1672" si="327">(A1609-$A$2)/365.25</f>
        <v>6.1327857631759066</v>
      </c>
      <c r="G1609" s="5">
        <f>INDEX('Default Prob'!$P$5:$P$14,MIN(1+_xlfn.IFNA(MATCH(F1609,'Default Prob'!$F$5:$F$14,1),0),COUNT('Default Prob'!$P$5:$P$14)))</f>
        <v>3.363522017633732E-2</v>
      </c>
      <c r="H1609" s="5">
        <f t="shared" si="323"/>
        <v>0.86543815353652687</v>
      </c>
      <c r="I1609" s="24">
        <f t="shared" si="324"/>
        <v>2.3912299084405397E-4</v>
      </c>
      <c r="J1609" s="25">
        <f>INDEX('Default Prob'!$C$3:$C$13, _xlfn.IFNA(MATCH(F1609, 'Default Prob'!$B$3:$B$13, 1), 1))</f>
        <v>2.1700000000000001E-2</v>
      </c>
      <c r="K1609" s="26">
        <f t="shared" ref="K1609:K1672" si="328">1/((1+J1609)^F1609)</f>
        <v>0.87664069178923776</v>
      </c>
      <c r="L1609" s="27">
        <f t="shared" ref="L1609:L1672" ca="1" si="329">IF(AND(D1609, A1609 &lt;= $G$2), $D$5*$D$2*(A1609-E1609)/365.25, 0)</f>
        <v>0</v>
      </c>
      <c r="M1609" s="27">
        <f t="shared" ref="M1609:M1672" ca="1" si="330">IF(A1609&lt;=$G$2, $D$5*$D$2*(A1609-E1609)/365.25, 0)</f>
        <v>0</v>
      </c>
      <c r="N1609" s="28">
        <f t="shared" ref="N1609:N1672" ca="1" si="331">(L1609*H1609 + M1609*I1609) * K1609</f>
        <v>0</v>
      </c>
      <c r="O1609" s="29">
        <f t="shared" ref="O1609:O1672" ca="1" si="332">IF(A1609&lt;=$G$2, $D$2*(1-$D$3), 0)</f>
        <v>0</v>
      </c>
      <c r="P1609" s="30">
        <f t="shared" ref="P1609:P1672" ca="1" si="333">O1609*I1609*K1609</f>
        <v>0</v>
      </c>
    </row>
    <row r="1610" spans="1:16" x14ac:dyDescent="0.25">
      <c r="A1610" s="3">
        <f t="shared" ref="A1610:A1673" si="334">WORKDAY(A1609, 1)</f>
        <v>48366</v>
      </c>
      <c r="B1610" s="21">
        <f t="shared" si="325"/>
        <v>36678</v>
      </c>
      <c r="C1610" s="21">
        <f t="shared" si="326"/>
        <v>36697</v>
      </c>
      <c r="D1610" s="1">
        <f t="shared" ref="D1610:D1673" si="335">IF(OR(C1610=B1610, AND(C1610&lt;&gt;C1609, C1609&gt;B1609)), 1, 0)</f>
        <v>0</v>
      </c>
      <c r="E1610" s="3">
        <f t="array" ref="E1610">INDEX($A$9:A1609, MAX(IF($D$9:D1609=1, ROW(D$9:$D1609)-ROW($D$9)+1, 0)))</f>
        <v>48295</v>
      </c>
      <c r="F1610" s="23">
        <f t="shared" si="327"/>
        <v>6.1355236139630387</v>
      </c>
      <c r="G1610" s="5">
        <f>INDEX('Default Prob'!$P$5:$P$14,MIN(1+_xlfn.IFNA(MATCH(F1610,'Default Prob'!$F$5:$F$14,1),0),COUNT('Default Prob'!$P$5:$P$14)))</f>
        <v>3.363522017633732E-2</v>
      </c>
      <c r="H1610" s="5">
        <f t="shared" ref="H1610:H1673" si="336">H1609*EXP(-G1609*(F1610-F1609))</f>
        <v>0.86535846055205845</v>
      </c>
      <c r="I1610" s="24">
        <f t="shared" ref="I1610:I1673" si="337">H1609-H1610</f>
        <v>7.9692984468415773E-5</v>
      </c>
      <c r="J1610" s="25">
        <f>INDEX('Default Prob'!$C$3:$C$13, _xlfn.IFNA(MATCH(F1610, 'Default Prob'!$B$3:$B$13, 1), 1))</f>
        <v>2.1700000000000001E-2</v>
      </c>
      <c r="K1610" s="26">
        <f t="shared" si="328"/>
        <v>0.8765891679358595</v>
      </c>
      <c r="L1610" s="27">
        <f t="shared" ca="1" si="329"/>
        <v>0</v>
      </c>
      <c r="M1610" s="27">
        <f t="shared" ca="1" si="330"/>
        <v>0</v>
      </c>
      <c r="N1610" s="28">
        <f t="shared" ca="1" si="331"/>
        <v>0</v>
      </c>
      <c r="O1610" s="29">
        <f t="shared" ca="1" si="332"/>
        <v>0</v>
      </c>
      <c r="P1610" s="30">
        <f t="shared" ca="1" si="333"/>
        <v>0</v>
      </c>
    </row>
    <row r="1611" spans="1:16" x14ac:dyDescent="0.25">
      <c r="A1611" s="3">
        <f t="shared" si="334"/>
        <v>48367</v>
      </c>
      <c r="B1611" s="21">
        <f t="shared" si="325"/>
        <v>36679</v>
      </c>
      <c r="C1611" s="21">
        <f t="shared" si="326"/>
        <v>36697</v>
      </c>
      <c r="D1611" s="1">
        <f t="shared" si="335"/>
        <v>0</v>
      </c>
      <c r="E1611" s="3">
        <f t="array" ref="E1611">INDEX($A$9:A1610, MAX(IF($D$9:D1610=1, ROW(D$9:$D1610)-ROW($D$9)+1, 0)))</f>
        <v>48295</v>
      </c>
      <c r="F1611" s="23">
        <f t="shared" si="327"/>
        <v>6.1382614647501708</v>
      </c>
      <c r="G1611" s="5">
        <f>INDEX('Default Prob'!$P$5:$P$14,MIN(1+_xlfn.IFNA(MATCH(F1611,'Default Prob'!$F$5:$F$14,1),0),COUNT('Default Prob'!$P$5:$P$14)))</f>
        <v>3.363522017633732E-2</v>
      </c>
      <c r="H1611" s="5">
        <f t="shared" si="336"/>
        <v>0.86527877490603677</v>
      </c>
      <c r="I1611" s="24">
        <f t="shared" si="337"/>
        <v>7.9685646021676604E-5</v>
      </c>
      <c r="J1611" s="25">
        <f>INDEX('Default Prob'!$C$3:$C$13, _xlfn.IFNA(MATCH(F1611, 'Default Prob'!$B$3:$B$13, 1), 1))</f>
        <v>2.1700000000000001E-2</v>
      </c>
      <c r="K1611" s="26">
        <f t="shared" si="328"/>
        <v>0.87653764711075444</v>
      </c>
      <c r="L1611" s="27">
        <f t="shared" ca="1" si="329"/>
        <v>0</v>
      </c>
      <c r="M1611" s="27">
        <f t="shared" ca="1" si="330"/>
        <v>0</v>
      </c>
      <c r="N1611" s="28">
        <f t="shared" ca="1" si="331"/>
        <v>0</v>
      </c>
      <c r="O1611" s="29">
        <f t="shared" ca="1" si="332"/>
        <v>0</v>
      </c>
      <c r="P1611" s="30">
        <f t="shared" ca="1" si="333"/>
        <v>0</v>
      </c>
    </row>
    <row r="1612" spans="1:16" x14ac:dyDescent="0.25">
      <c r="A1612" s="3">
        <f t="shared" si="334"/>
        <v>48368</v>
      </c>
      <c r="B1612" s="21">
        <f t="shared" si="325"/>
        <v>36680</v>
      </c>
      <c r="C1612" s="21">
        <f t="shared" si="326"/>
        <v>36697</v>
      </c>
      <c r="D1612" s="1">
        <f t="shared" si="335"/>
        <v>0</v>
      </c>
      <c r="E1612" s="3">
        <f t="array" ref="E1612">INDEX($A$9:A1611, MAX(IF($D$9:D1611=1, ROW(D$9:$D1611)-ROW($D$9)+1, 0)))</f>
        <v>48295</v>
      </c>
      <c r="F1612" s="23">
        <f t="shared" si="327"/>
        <v>6.1409993155373028</v>
      </c>
      <c r="G1612" s="5">
        <f>INDEX('Default Prob'!$P$5:$P$14,MIN(1+_xlfn.IFNA(MATCH(F1612,'Default Prob'!$F$5:$F$14,1),0),COUNT('Default Prob'!$P$5:$P$14)))</f>
        <v>3.363522017633732E-2</v>
      </c>
      <c r="H1612" s="5">
        <f t="shared" si="336"/>
        <v>0.86519909659778604</v>
      </c>
      <c r="I1612" s="24">
        <f t="shared" si="337"/>
        <v>7.967830825073019E-5</v>
      </c>
      <c r="J1612" s="25">
        <f>INDEX('Default Prob'!$C$3:$C$13, _xlfn.IFNA(MATCH(F1612, 'Default Prob'!$B$3:$B$13, 1), 1))</f>
        <v>2.1700000000000001E-2</v>
      </c>
      <c r="K1612" s="26">
        <f t="shared" si="328"/>
        <v>0.87648612931374448</v>
      </c>
      <c r="L1612" s="27">
        <f t="shared" ca="1" si="329"/>
        <v>0</v>
      </c>
      <c r="M1612" s="27">
        <f t="shared" ca="1" si="330"/>
        <v>0</v>
      </c>
      <c r="N1612" s="28">
        <f t="shared" ca="1" si="331"/>
        <v>0</v>
      </c>
      <c r="O1612" s="29">
        <f t="shared" ca="1" si="332"/>
        <v>0</v>
      </c>
      <c r="P1612" s="30">
        <f t="shared" ca="1" si="333"/>
        <v>0</v>
      </c>
    </row>
    <row r="1613" spans="1:16" x14ac:dyDescent="0.25">
      <c r="A1613" s="3">
        <f t="shared" si="334"/>
        <v>48369</v>
      </c>
      <c r="B1613" s="21">
        <f t="shared" si="325"/>
        <v>36681</v>
      </c>
      <c r="C1613" s="21">
        <f t="shared" si="326"/>
        <v>36697</v>
      </c>
      <c r="D1613" s="1">
        <f t="shared" si="335"/>
        <v>0</v>
      </c>
      <c r="E1613" s="3">
        <f t="array" ref="E1613">INDEX($A$9:A1612, MAX(IF($D$9:D1612=1, ROW(D$9:$D1612)-ROW($D$9)+1, 0)))</f>
        <v>48295</v>
      </c>
      <c r="F1613" s="23">
        <f t="shared" si="327"/>
        <v>6.1437371663244349</v>
      </c>
      <c r="G1613" s="5">
        <f>INDEX('Default Prob'!$P$5:$P$14,MIN(1+_xlfn.IFNA(MATCH(F1613,'Default Prob'!$F$5:$F$14,1),0),COUNT('Default Prob'!$P$5:$P$14)))</f>
        <v>3.363522017633732E-2</v>
      </c>
      <c r="H1613" s="5">
        <f t="shared" si="336"/>
        <v>0.86511942562663058</v>
      </c>
      <c r="I1613" s="24">
        <f t="shared" si="337"/>
        <v>7.9670971155465509E-5</v>
      </c>
      <c r="J1613" s="25">
        <f>INDEX('Default Prob'!$C$3:$C$13, _xlfn.IFNA(MATCH(F1613, 'Default Prob'!$B$3:$B$13, 1), 1))</f>
        <v>2.1700000000000001E-2</v>
      </c>
      <c r="K1613" s="26">
        <f t="shared" si="328"/>
        <v>0.87643461454465166</v>
      </c>
      <c r="L1613" s="27">
        <f t="shared" ca="1" si="329"/>
        <v>0</v>
      </c>
      <c r="M1613" s="27">
        <f t="shared" ca="1" si="330"/>
        <v>0</v>
      </c>
      <c r="N1613" s="28">
        <f t="shared" ca="1" si="331"/>
        <v>0</v>
      </c>
      <c r="O1613" s="29">
        <f t="shared" ca="1" si="332"/>
        <v>0</v>
      </c>
      <c r="P1613" s="30">
        <f t="shared" ca="1" si="333"/>
        <v>0</v>
      </c>
    </row>
    <row r="1614" spans="1:16" x14ac:dyDescent="0.25">
      <c r="A1614" s="3">
        <f t="shared" si="334"/>
        <v>48372</v>
      </c>
      <c r="B1614" s="21">
        <f t="shared" si="325"/>
        <v>36684</v>
      </c>
      <c r="C1614" s="21">
        <f t="shared" si="326"/>
        <v>36697</v>
      </c>
      <c r="D1614" s="1">
        <f t="shared" si="335"/>
        <v>0</v>
      </c>
      <c r="E1614" s="3">
        <f t="array" ref="E1614">INDEX($A$9:A1613, MAX(IF($D$9:D1613=1, ROW(D$9:$D1613)-ROW($D$9)+1, 0)))</f>
        <v>48295</v>
      </c>
      <c r="F1614" s="23">
        <f t="shared" si="327"/>
        <v>6.151950718685832</v>
      </c>
      <c r="G1614" s="5">
        <f>INDEX('Default Prob'!$P$5:$P$14,MIN(1+_xlfn.IFNA(MATCH(F1614,'Default Prob'!$F$5:$F$14,1),0),COUNT('Default Prob'!$P$5:$P$14)))</f>
        <v>3.363522017633732E-2</v>
      </c>
      <c r="H1614" s="5">
        <f t="shared" si="336"/>
        <v>0.86488045672897973</v>
      </c>
      <c r="I1614" s="24">
        <f t="shared" si="337"/>
        <v>2.3896889765084861E-4</v>
      </c>
      <c r="J1614" s="25">
        <f>INDEX('Default Prob'!$C$3:$C$13, _xlfn.IFNA(MATCH(F1614, 'Default Prob'!$B$3:$B$13, 1), 1))</f>
        <v>2.1700000000000001E-2</v>
      </c>
      <c r="K1614" s="26">
        <f t="shared" si="328"/>
        <v>0.87628008840309723</v>
      </c>
      <c r="L1614" s="27">
        <f t="shared" ca="1" si="329"/>
        <v>0</v>
      </c>
      <c r="M1614" s="27">
        <f t="shared" ca="1" si="330"/>
        <v>0</v>
      </c>
      <c r="N1614" s="28">
        <f t="shared" ca="1" si="331"/>
        <v>0</v>
      </c>
      <c r="O1614" s="29">
        <f t="shared" ca="1" si="332"/>
        <v>0</v>
      </c>
      <c r="P1614" s="30">
        <f t="shared" ca="1" si="333"/>
        <v>0</v>
      </c>
    </row>
    <row r="1615" spans="1:16" x14ac:dyDescent="0.25">
      <c r="A1615" s="3">
        <f t="shared" si="334"/>
        <v>48373</v>
      </c>
      <c r="B1615" s="21">
        <f t="shared" si="325"/>
        <v>36685</v>
      </c>
      <c r="C1615" s="21">
        <f t="shared" si="326"/>
        <v>36697</v>
      </c>
      <c r="D1615" s="1">
        <f t="shared" si="335"/>
        <v>0</v>
      </c>
      <c r="E1615" s="3">
        <f t="array" ref="E1615">INDEX($A$9:A1614, MAX(IF($D$9:D1614=1, ROW(D$9:$D1614)-ROW($D$9)+1, 0)))</f>
        <v>48295</v>
      </c>
      <c r="F1615" s="23">
        <f t="shared" si="327"/>
        <v>6.1546885694729641</v>
      </c>
      <c r="G1615" s="5">
        <f>INDEX('Default Prob'!$P$5:$P$14,MIN(1+_xlfn.IFNA(MATCH(F1615,'Default Prob'!$F$5:$F$14,1),0),COUNT('Default Prob'!$P$5:$P$14)))</f>
        <v>3.363522017633732E-2</v>
      </c>
      <c r="H1615" s="5">
        <f t="shared" si="336"/>
        <v>0.86480081509944962</v>
      </c>
      <c r="I1615" s="24">
        <f t="shared" si="337"/>
        <v>7.9641629530113889E-5</v>
      </c>
      <c r="J1615" s="25">
        <f>INDEX('Default Prob'!$C$3:$C$13, _xlfn.IFNA(MATCH(F1615, 'Default Prob'!$B$3:$B$13, 1), 1))</f>
        <v>2.1700000000000001E-2</v>
      </c>
      <c r="K1615" s="26">
        <f t="shared" si="328"/>
        <v>0.87622858574389362</v>
      </c>
      <c r="L1615" s="27">
        <f t="shared" ca="1" si="329"/>
        <v>0</v>
      </c>
      <c r="M1615" s="27">
        <f t="shared" ca="1" si="330"/>
        <v>0</v>
      </c>
      <c r="N1615" s="28">
        <f t="shared" ca="1" si="331"/>
        <v>0</v>
      </c>
      <c r="O1615" s="29">
        <f t="shared" ca="1" si="332"/>
        <v>0</v>
      </c>
      <c r="P1615" s="30">
        <f t="shared" ca="1" si="333"/>
        <v>0</v>
      </c>
    </row>
    <row r="1616" spans="1:16" x14ac:dyDescent="0.25">
      <c r="A1616" s="3">
        <f t="shared" si="334"/>
        <v>48374</v>
      </c>
      <c r="B1616" s="21">
        <f t="shared" si="325"/>
        <v>36686</v>
      </c>
      <c r="C1616" s="21">
        <f t="shared" si="326"/>
        <v>36697</v>
      </c>
      <c r="D1616" s="1">
        <f t="shared" si="335"/>
        <v>0</v>
      </c>
      <c r="E1616" s="3">
        <f t="array" ref="E1616">INDEX($A$9:A1615, MAX(IF($D$9:D1615=1, ROW(D$9:$D1615)-ROW($D$9)+1, 0)))</f>
        <v>48295</v>
      </c>
      <c r="F1616" s="23">
        <f t="shared" si="327"/>
        <v>6.1574264202600961</v>
      </c>
      <c r="G1616" s="5">
        <f>INDEX('Default Prob'!$P$5:$P$14,MIN(1+_xlfn.IFNA(MATCH(F1616,'Default Prob'!$F$5:$F$14,1),0),COUNT('Default Prob'!$P$5:$P$14)))</f>
        <v>3.363522017633732E-2</v>
      </c>
      <c r="H1616" s="5">
        <f t="shared" si="336"/>
        <v>0.86472118080363725</v>
      </c>
      <c r="I1616" s="24">
        <f t="shared" si="337"/>
        <v>7.9634295812369693E-5</v>
      </c>
      <c r="J1616" s="25">
        <f>INDEX('Default Prob'!$C$3:$C$13, _xlfn.IFNA(MATCH(F1616, 'Default Prob'!$B$3:$B$13, 1), 1))</f>
        <v>2.1700000000000001E-2</v>
      </c>
      <c r="K1616" s="26">
        <f t="shared" si="328"/>
        <v>0.87617708611171763</v>
      </c>
      <c r="L1616" s="27">
        <f t="shared" ca="1" si="329"/>
        <v>0</v>
      </c>
      <c r="M1616" s="27">
        <f t="shared" ca="1" si="330"/>
        <v>0</v>
      </c>
      <c r="N1616" s="28">
        <f t="shared" ca="1" si="331"/>
        <v>0</v>
      </c>
      <c r="O1616" s="29">
        <f t="shared" ca="1" si="332"/>
        <v>0</v>
      </c>
      <c r="P1616" s="30">
        <f t="shared" ca="1" si="333"/>
        <v>0</v>
      </c>
    </row>
    <row r="1617" spans="1:16" x14ac:dyDescent="0.25">
      <c r="A1617" s="3">
        <f t="shared" si="334"/>
        <v>48375</v>
      </c>
      <c r="B1617" s="21">
        <f t="shared" si="325"/>
        <v>36687</v>
      </c>
      <c r="C1617" s="21">
        <f t="shared" si="326"/>
        <v>36697</v>
      </c>
      <c r="D1617" s="1">
        <f t="shared" si="335"/>
        <v>0</v>
      </c>
      <c r="E1617" s="3">
        <f t="array" ref="E1617">INDEX($A$9:A1616, MAX(IF($D$9:D1616=1, ROW(D$9:$D1616)-ROW($D$9)+1, 0)))</f>
        <v>48295</v>
      </c>
      <c r="F1617" s="23">
        <f t="shared" si="327"/>
        <v>6.1601642710472282</v>
      </c>
      <c r="G1617" s="5">
        <f>INDEX('Default Prob'!$P$5:$P$14,MIN(1+_xlfn.IFNA(MATCH(F1617,'Default Prob'!$F$5:$F$14,1),0),COUNT('Default Prob'!$P$5:$P$14)))</f>
        <v>3.363522017633732E-2</v>
      </c>
      <c r="H1617" s="5">
        <f t="shared" si="336"/>
        <v>0.86464155384086738</v>
      </c>
      <c r="I1617" s="24">
        <f t="shared" si="337"/>
        <v>7.9626962769863141E-5</v>
      </c>
      <c r="J1617" s="25">
        <f>INDEX('Default Prob'!$C$3:$C$13, _xlfn.IFNA(MATCH(F1617, 'Default Prob'!$B$3:$B$13, 1), 1))</f>
        <v>2.1700000000000001E-2</v>
      </c>
      <c r="K1617" s="26">
        <f t="shared" si="328"/>
        <v>0.87612558950639119</v>
      </c>
      <c r="L1617" s="27">
        <f t="shared" ca="1" si="329"/>
        <v>0</v>
      </c>
      <c r="M1617" s="27">
        <f t="shared" ca="1" si="330"/>
        <v>0</v>
      </c>
      <c r="N1617" s="28">
        <f t="shared" ca="1" si="331"/>
        <v>0</v>
      </c>
      <c r="O1617" s="29">
        <f t="shared" ca="1" si="332"/>
        <v>0</v>
      </c>
      <c r="P1617" s="30">
        <f t="shared" ca="1" si="333"/>
        <v>0</v>
      </c>
    </row>
    <row r="1618" spans="1:16" x14ac:dyDescent="0.25">
      <c r="A1618" s="3">
        <f t="shared" si="334"/>
        <v>48376</v>
      </c>
      <c r="B1618" s="21">
        <f t="shared" si="325"/>
        <v>36688</v>
      </c>
      <c r="C1618" s="21">
        <f t="shared" si="326"/>
        <v>36697</v>
      </c>
      <c r="D1618" s="1">
        <f t="shared" si="335"/>
        <v>0</v>
      </c>
      <c r="E1618" s="3">
        <f t="array" ref="E1618">INDEX($A$9:A1617, MAX(IF($D$9:D1617=1, ROW(D$9:$D1617)-ROW($D$9)+1, 0)))</f>
        <v>48295</v>
      </c>
      <c r="F1618" s="23">
        <f t="shared" si="327"/>
        <v>6.1629021218343603</v>
      </c>
      <c r="G1618" s="5">
        <f>INDEX('Default Prob'!$P$5:$P$14,MIN(1+_xlfn.IFNA(MATCH(F1618,'Default Prob'!$F$5:$F$14,1),0),COUNT('Default Prob'!$P$5:$P$14)))</f>
        <v>3.363522017633732E-2</v>
      </c>
      <c r="H1618" s="5">
        <f t="shared" si="336"/>
        <v>0.86456193421046468</v>
      </c>
      <c r="I1618" s="24">
        <f t="shared" si="337"/>
        <v>7.9619630402705255E-5</v>
      </c>
      <c r="J1618" s="25">
        <f>INDEX('Default Prob'!$C$3:$C$13, _xlfn.IFNA(MATCH(F1618, 'Default Prob'!$B$3:$B$13, 1), 1))</f>
        <v>2.1700000000000001E-2</v>
      </c>
      <c r="K1618" s="26">
        <f t="shared" si="328"/>
        <v>0.87607409592773644</v>
      </c>
      <c r="L1618" s="27">
        <f t="shared" ca="1" si="329"/>
        <v>0</v>
      </c>
      <c r="M1618" s="27">
        <f t="shared" ca="1" si="330"/>
        <v>0</v>
      </c>
      <c r="N1618" s="28">
        <f t="shared" ca="1" si="331"/>
        <v>0</v>
      </c>
      <c r="O1618" s="29">
        <f t="shared" ca="1" si="332"/>
        <v>0</v>
      </c>
      <c r="P1618" s="30">
        <f t="shared" ca="1" si="333"/>
        <v>0</v>
      </c>
    </row>
    <row r="1619" spans="1:16" x14ac:dyDescent="0.25">
      <c r="A1619" s="3">
        <f t="shared" si="334"/>
        <v>48379</v>
      </c>
      <c r="B1619" s="21">
        <f t="shared" si="325"/>
        <v>36691</v>
      </c>
      <c r="C1619" s="21">
        <f t="shared" si="326"/>
        <v>36697</v>
      </c>
      <c r="D1619" s="1">
        <f t="shared" si="335"/>
        <v>0</v>
      </c>
      <c r="E1619" s="3">
        <f t="array" ref="E1619">INDEX($A$9:A1618, MAX(IF($D$9:D1618=1, ROW(D$9:$D1618)-ROW($D$9)+1, 0)))</f>
        <v>48295</v>
      </c>
      <c r="F1619" s="23">
        <f t="shared" si="327"/>
        <v>6.1711156741957565</v>
      </c>
      <c r="G1619" s="5">
        <f>INDEX('Default Prob'!$P$5:$P$14,MIN(1+_xlfn.IFNA(MATCH(F1619,'Default Prob'!$F$5:$F$14,1),0),COUNT('Default Prob'!$P$5:$P$14)))</f>
        <v>3.363522017633732E-2</v>
      </c>
      <c r="H1619" s="5">
        <f t="shared" si="336"/>
        <v>0.86432311930670791</v>
      </c>
      <c r="I1619" s="24">
        <f t="shared" si="337"/>
        <v>2.3881490375676773E-4</v>
      </c>
      <c r="J1619" s="25">
        <f>INDEX('Default Prob'!$C$3:$C$13, _xlfn.IFNA(MATCH(F1619, 'Default Prob'!$B$3:$B$13, 1), 1))</f>
        <v>2.1700000000000001E-2</v>
      </c>
      <c r="K1619" s="26">
        <f t="shared" si="328"/>
        <v>0.8759196333500231</v>
      </c>
      <c r="L1619" s="27">
        <f t="shared" ca="1" si="329"/>
        <v>0</v>
      </c>
      <c r="M1619" s="27">
        <f t="shared" ca="1" si="330"/>
        <v>0</v>
      </c>
      <c r="N1619" s="28">
        <f t="shared" ca="1" si="331"/>
        <v>0</v>
      </c>
      <c r="O1619" s="29">
        <f t="shared" ca="1" si="332"/>
        <v>0</v>
      </c>
      <c r="P1619" s="30">
        <f t="shared" ca="1" si="333"/>
        <v>0</v>
      </c>
    </row>
    <row r="1620" spans="1:16" x14ac:dyDescent="0.25">
      <c r="A1620" s="3">
        <f t="shared" si="334"/>
        <v>48380</v>
      </c>
      <c r="B1620" s="21">
        <f t="shared" si="325"/>
        <v>36692</v>
      </c>
      <c r="C1620" s="21">
        <f t="shared" si="326"/>
        <v>36697</v>
      </c>
      <c r="D1620" s="1">
        <f t="shared" si="335"/>
        <v>0</v>
      </c>
      <c r="E1620" s="3">
        <f t="array" ref="E1620">INDEX($A$9:A1619, MAX(IF($D$9:D1619=1, ROW(D$9:$D1619)-ROW($D$9)+1, 0)))</f>
        <v>48295</v>
      </c>
      <c r="F1620" s="23">
        <f t="shared" si="327"/>
        <v>6.1738535249828885</v>
      </c>
      <c r="G1620" s="5">
        <f>INDEX('Default Prob'!$P$5:$P$14,MIN(1+_xlfn.IFNA(MATCH(F1620,'Default Prob'!$F$5:$F$14,1),0),COUNT('Default Prob'!$P$5:$P$14)))</f>
        <v>3.363522017633732E-2</v>
      </c>
      <c r="H1620" s="5">
        <f t="shared" si="336"/>
        <v>0.86424352899902257</v>
      </c>
      <c r="I1620" s="24">
        <f t="shared" si="337"/>
        <v>7.9590307685339923E-5</v>
      </c>
      <c r="J1620" s="25">
        <f>INDEX('Default Prob'!$C$3:$C$13, _xlfn.IFNA(MATCH(F1620, 'Default Prob'!$B$3:$B$13, 1), 1))</f>
        <v>2.1700000000000001E-2</v>
      </c>
      <c r="K1620" s="26">
        <f t="shared" si="328"/>
        <v>0.8758681518762762</v>
      </c>
      <c r="L1620" s="27">
        <f t="shared" ca="1" si="329"/>
        <v>0</v>
      </c>
      <c r="M1620" s="27">
        <f t="shared" ca="1" si="330"/>
        <v>0</v>
      </c>
      <c r="N1620" s="28">
        <f t="shared" ca="1" si="331"/>
        <v>0</v>
      </c>
      <c r="O1620" s="29">
        <f t="shared" ca="1" si="332"/>
        <v>0</v>
      </c>
      <c r="P1620" s="30">
        <f t="shared" ca="1" si="333"/>
        <v>0</v>
      </c>
    </row>
    <row r="1621" spans="1:16" x14ac:dyDescent="0.25">
      <c r="A1621" s="3">
        <f t="shared" si="334"/>
        <v>48381</v>
      </c>
      <c r="B1621" s="21">
        <f t="shared" si="325"/>
        <v>36693</v>
      </c>
      <c r="C1621" s="21">
        <f t="shared" si="326"/>
        <v>36697</v>
      </c>
      <c r="D1621" s="1">
        <f t="shared" si="335"/>
        <v>0</v>
      </c>
      <c r="E1621" s="3">
        <f t="array" ref="E1621">INDEX($A$9:A1620, MAX(IF($D$9:D1620=1, ROW(D$9:$D1620)-ROW($D$9)+1, 0)))</f>
        <v>48295</v>
      </c>
      <c r="F1621" s="23">
        <f t="shared" si="327"/>
        <v>6.1765913757700206</v>
      </c>
      <c r="G1621" s="5">
        <f>INDEX('Default Prob'!$P$5:$P$14,MIN(1+_xlfn.IFNA(MATCH(F1621,'Default Prob'!$F$5:$F$14,1),0),COUNT('Default Prob'!$P$5:$P$14)))</f>
        <v>3.363522017633732E-2</v>
      </c>
      <c r="H1621" s="5">
        <f t="shared" si="336"/>
        <v>0.86416394602032909</v>
      </c>
      <c r="I1621" s="24">
        <f t="shared" si="337"/>
        <v>7.9582978693482076E-5</v>
      </c>
      <c r="J1621" s="25">
        <f>INDEX('Default Prob'!$C$3:$C$13, _xlfn.IFNA(MATCH(F1621, 'Default Prob'!$B$3:$B$13, 1), 1))</f>
        <v>2.1700000000000001E-2</v>
      </c>
      <c r="K1621" s="26">
        <f t="shared" si="328"/>
        <v>0.8758166734283116</v>
      </c>
      <c r="L1621" s="27">
        <f t="shared" ca="1" si="329"/>
        <v>0</v>
      </c>
      <c r="M1621" s="27">
        <f t="shared" ca="1" si="330"/>
        <v>0</v>
      </c>
      <c r="N1621" s="28">
        <f t="shared" ca="1" si="331"/>
        <v>0</v>
      </c>
      <c r="O1621" s="29">
        <f t="shared" ca="1" si="332"/>
        <v>0</v>
      </c>
      <c r="P1621" s="30">
        <f t="shared" ca="1" si="333"/>
        <v>0</v>
      </c>
    </row>
    <row r="1622" spans="1:16" x14ac:dyDescent="0.25">
      <c r="A1622" s="3">
        <f t="shared" si="334"/>
        <v>48382</v>
      </c>
      <c r="B1622" s="21">
        <f t="shared" si="325"/>
        <v>36694</v>
      </c>
      <c r="C1622" s="21">
        <f t="shared" si="326"/>
        <v>36697</v>
      </c>
      <c r="D1622" s="1">
        <f t="shared" si="335"/>
        <v>0</v>
      </c>
      <c r="E1622" s="3">
        <f t="array" ref="E1622">INDEX($A$9:A1621, MAX(IF($D$9:D1621=1, ROW(D$9:$D1621)-ROW($D$9)+1, 0)))</f>
        <v>48295</v>
      </c>
      <c r="F1622" s="23">
        <f t="shared" si="327"/>
        <v>6.1793292265571527</v>
      </c>
      <c r="G1622" s="5">
        <f>INDEX('Default Prob'!$P$5:$P$14,MIN(1+_xlfn.IFNA(MATCH(F1622,'Default Prob'!$F$5:$F$14,1),0),COUNT('Default Prob'!$P$5:$P$14)))</f>
        <v>3.363522017633732E-2</v>
      </c>
      <c r="H1622" s="5">
        <f t="shared" si="336"/>
        <v>0.86408437036995256</v>
      </c>
      <c r="I1622" s="24">
        <f t="shared" si="337"/>
        <v>7.9575650376528806E-5</v>
      </c>
      <c r="J1622" s="25">
        <f>INDEX('Default Prob'!$C$3:$C$13, _xlfn.IFNA(MATCH(F1622, 'Default Prob'!$B$3:$B$13, 1), 1))</f>
        <v>2.1700000000000001E-2</v>
      </c>
      <c r="K1622" s="26">
        <f t="shared" si="328"/>
        <v>0.87576519800595143</v>
      </c>
      <c r="L1622" s="27">
        <f t="shared" ca="1" si="329"/>
        <v>0</v>
      </c>
      <c r="M1622" s="27">
        <f t="shared" ca="1" si="330"/>
        <v>0</v>
      </c>
      <c r="N1622" s="28">
        <f t="shared" ca="1" si="331"/>
        <v>0</v>
      </c>
      <c r="O1622" s="29">
        <f t="shared" ca="1" si="332"/>
        <v>0</v>
      </c>
      <c r="P1622" s="30">
        <f t="shared" ca="1" si="333"/>
        <v>0</v>
      </c>
    </row>
    <row r="1623" spans="1:16" x14ac:dyDescent="0.25">
      <c r="A1623" s="3">
        <f t="shared" si="334"/>
        <v>48383</v>
      </c>
      <c r="B1623" s="21">
        <f t="shared" si="325"/>
        <v>36695</v>
      </c>
      <c r="C1623" s="21">
        <f t="shared" si="326"/>
        <v>36697</v>
      </c>
      <c r="D1623" s="1">
        <f t="shared" si="335"/>
        <v>0</v>
      </c>
      <c r="E1623" s="3">
        <f t="array" ref="E1623">INDEX($A$9:A1622, MAX(IF($D$9:D1622=1, ROW(D$9:$D1622)-ROW($D$9)+1, 0)))</f>
        <v>48295</v>
      </c>
      <c r="F1623" s="23">
        <f t="shared" si="327"/>
        <v>6.1820670773442847</v>
      </c>
      <c r="G1623" s="5">
        <f>INDEX('Default Prob'!$P$5:$P$14,MIN(1+_xlfn.IFNA(MATCH(F1623,'Default Prob'!$F$5:$F$14,1),0),COUNT('Default Prob'!$P$5:$P$14)))</f>
        <v>3.363522017633732E-2</v>
      </c>
      <c r="H1623" s="5">
        <f t="shared" si="336"/>
        <v>0.86400480204721808</v>
      </c>
      <c r="I1623" s="24">
        <f t="shared" si="337"/>
        <v>7.9568322734480113E-5</v>
      </c>
      <c r="J1623" s="25">
        <f>INDEX('Default Prob'!$C$3:$C$13, _xlfn.IFNA(MATCH(F1623, 'Default Prob'!$B$3:$B$13, 1), 1))</f>
        <v>2.1700000000000001E-2</v>
      </c>
      <c r="K1623" s="26">
        <f t="shared" si="328"/>
        <v>0.87571372560901795</v>
      </c>
      <c r="L1623" s="27">
        <f t="shared" ca="1" si="329"/>
        <v>0</v>
      </c>
      <c r="M1623" s="27">
        <f t="shared" ca="1" si="330"/>
        <v>0</v>
      </c>
      <c r="N1623" s="28">
        <f t="shared" ca="1" si="331"/>
        <v>0</v>
      </c>
      <c r="O1623" s="29">
        <f t="shared" ca="1" si="332"/>
        <v>0</v>
      </c>
      <c r="P1623" s="30">
        <f t="shared" ca="1" si="333"/>
        <v>0</v>
      </c>
    </row>
    <row r="1624" spans="1:16" x14ac:dyDescent="0.25">
      <c r="A1624" s="3">
        <f t="shared" si="334"/>
        <v>48386</v>
      </c>
      <c r="B1624" s="21">
        <f t="shared" si="325"/>
        <v>36698</v>
      </c>
      <c r="C1624" s="21">
        <f t="shared" si="326"/>
        <v>36789</v>
      </c>
      <c r="D1624" s="1">
        <f t="shared" si="335"/>
        <v>1</v>
      </c>
      <c r="E1624" s="3">
        <f t="array" ref="E1624">INDEX($A$9:A1623, MAX(IF($D$9:D1623=1, ROW(D$9:$D1623)-ROW($D$9)+1, 0)))</f>
        <v>48295</v>
      </c>
      <c r="F1624" s="23">
        <f t="shared" si="327"/>
        <v>6.1902806297056809</v>
      </c>
      <c r="G1624" s="5">
        <f>INDEX('Default Prob'!$P$5:$P$14,MIN(1+_xlfn.IFNA(MATCH(F1624,'Default Prob'!$F$5:$F$14,1),0),COUNT('Default Prob'!$P$5:$P$14)))</f>
        <v>3.363522017633732E-2</v>
      </c>
      <c r="H1624" s="5">
        <f t="shared" si="336"/>
        <v>0.86376614103812011</v>
      </c>
      <c r="I1624" s="24">
        <f t="shared" si="337"/>
        <v>2.386610090979735E-4</v>
      </c>
      <c r="J1624" s="25">
        <f>INDEX('Default Prob'!$C$3:$C$13, _xlfn.IFNA(MATCH(F1624, 'Default Prob'!$B$3:$B$13, 1), 1))</f>
        <v>2.1700000000000001E-2</v>
      </c>
      <c r="K1624" s="26">
        <f t="shared" si="328"/>
        <v>0.87555932656899949</v>
      </c>
      <c r="L1624" s="27">
        <f t="shared" ca="1" si="329"/>
        <v>0</v>
      </c>
      <c r="M1624" s="27">
        <f t="shared" ca="1" si="330"/>
        <v>0</v>
      </c>
      <c r="N1624" s="28">
        <f t="shared" ca="1" si="331"/>
        <v>0</v>
      </c>
      <c r="O1624" s="29">
        <f t="shared" ca="1" si="332"/>
        <v>0</v>
      </c>
      <c r="P1624" s="30">
        <f t="shared" ca="1" si="333"/>
        <v>0</v>
      </c>
    </row>
    <row r="1625" spans="1:16" x14ac:dyDescent="0.25">
      <c r="A1625" s="3">
        <f t="shared" si="334"/>
        <v>48387</v>
      </c>
      <c r="B1625" s="21">
        <f t="shared" si="325"/>
        <v>36699</v>
      </c>
      <c r="C1625" s="21">
        <f t="shared" si="326"/>
        <v>36789</v>
      </c>
      <c r="D1625" s="1">
        <f t="shared" si="335"/>
        <v>0</v>
      </c>
      <c r="E1625" s="3">
        <f t="array" ref="E1625">INDEX($A$9:A1624, MAX(IF($D$9:D1624=1, ROW(D$9:$D1624)-ROW($D$9)+1, 0)))</f>
        <v>48386</v>
      </c>
      <c r="F1625" s="23">
        <f t="shared" si="327"/>
        <v>6.193018480492813</v>
      </c>
      <c r="G1625" s="5">
        <f>INDEX('Default Prob'!$P$5:$P$14,MIN(1+_xlfn.IFNA(MATCH(F1625,'Default Prob'!$F$5:$F$14,1),0),COUNT('Default Prob'!$P$5:$P$14)))</f>
        <v>3.363522017633732E-2</v>
      </c>
      <c r="H1625" s="5">
        <f t="shared" si="336"/>
        <v>0.86368660201920722</v>
      </c>
      <c r="I1625" s="24">
        <f t="shared" si="337"/>
        <v>7.9539018912888615E-5</v>
      </c>
      <c r="J1625" s="25">
        <f>INDEX('Default Prob'!$C$3:$C$13, _xlfn.IFNA(MATCH(F1625, 'Default Prob'!$B$3:$B$13, 1), 1))</f>
        <v>2.1700000000000001E-2</v>
      </c>
      <c r="K1625" s="26">
        <f t="shared" si="328"/>
        <v>0.87550786627199451</v>
      </c>
      <c r="L1625" s="27">
        <f t="shared" ca="1" si="329"/>
        <v>0</v>
      </c>
      <c r="M1625" s="27">
        <f t="shared" ca="1" si="330"/>
        <v>0</v>
      </c>
      <c r="N1625" s="28">
        <f t="shared" ca="1" si="331"/>
        <v>0</v>
      </c>
      <c r="O1625" s="29">
        <f t="shared" ca="1" si="332"/>
        <v>0</v>
      </c>
      <c r="P1625" s="30">
        <f t="shared" ca="1" si="333"/>
        <v>0</v>
      </c>
    </row>
    <row r="1626" spans="1:16" x14ac:dyDescent="0.25">
      <c r="A1626" s="3">
        <f t="shared" si="334"/>
        <v>48388</v>
      </c>
      <c r="B1626" s="21">
        <f t="shared" si="325"/>
        <v>36700</v>
      </c>
      <c r="C1626" s="21">
        <f t="shared" si="326"/>
        <v>36789</v>
      </c>
      <c r="D1626" s="1">
        <f t="shared" si="335"/>
        <v>0</v>
      </c>
      <c r="E1626" s="3">
        <f t="array" ref="E1626">INDEX($A$9:A1625, MAX(IF($D$9:D1625=1, ROW(D$9:$D1625)-ROW($D$9)+1, 0)))</f>
        <v>48386</v>
      </c>
      <c r="F1626" s="23">
        <f t="shared" si="327"/>
        <v>6.1957563312799451</v>
      </c>
      <c r="G1626" s="5">
        <f>INDEX('Default Prob'!$P$5:$P$14,MIN(1+_xlfn.IFNA(MATCH(F1626,'Default Prob'!$F$5:$F$14,1),0),COUNT('Default Prob'!$P$5:$P$14)))</f>
        <v>3.363522017633732E-2</v>
      </c>
      <c r="H1626" s="5">
        <f t="shared" si="336"/>
        <v>0.8636070703245633</v>
      </c>
      <c r="I1626" s="24">
        <f t="shared" si="337"/>
        <v>7.9531694643919515E-5</v>
      </c>
      <c r="J1626" s="25">
        <f>INDEX('Default Prob'!$C$3:$C$13, _xlfn.IFNA(MATCH(F1626, 'Default Prob'!$B$3:$B$13, 1), 1))</f>
        <v>2.1700000000000001E-2</v>
      </c>
      <c r="K1626" s="26">
        <f t="shared" si="328"/>
        <v>0.87545640899952715</v>
      </c>
      <c r="L1626" s="27">
        <f t="shared" ca="1" si="329"/>
        <v>0</v>
      </c>
      <c r="M1626" s="27">
        <f t="shared" ca="1" si="330"/>
        <v>0</v>
      </c>
      <c r="N1626" s="28">
        <f t="shared" ca="1" si="331"/>
        <v>0</v>
      </c>
      <c r="O1626" s="29">
        <f t="shared" ca="1" si="332"/>
        <v>0</v>
      </c>
      <c r="P1626" s="30">
        <f t="shared" ca="1" si="333"/>
        <v>0</v>
      </c>
    </row>
    <row r="1627" spans="1:16" x14ac:dyDescent="0.25">
      <c r="A1627" s="3">
        <f t="shared" si="334"/>
        <v>48389</v>
      </c>
      <c r="B1627" s="21">
        <f t="shared" si="325"/>
        <v>36701</v>
      </c>
      <c r="C1627" s="21">
        <f t="shared" si="326"/>
        <v>36789</v>
      </c>
      <c r="D1627" s="1">
        <f t="shared" si="335"/>
        <v>0</v>
      </c>
      <c r="E1627" s="3">
        <f t="array" ref="E1627">INDEX($A$9:A1626, MAX(IF($D$9:D1626=1, ROW(D$9:$D1626)-ROW($D$9)+1, 0)))</f>
        <v>48386</v>
      </c>
      <c r="F1627" s="23">
        <f t="shared" si="327"/>
        <v>6.1984941820670771</v>
      </c>
      <c r="G1627" s="5">
        <f>INDEX('Default Prob'!$P$5:$P$14,MIN(1+_xlfn.IFNA(MATCH(F1627,'Default Prob'!$F$5:$F$14,1),0),COUNT('Default Prob'!$P$5:$P$14)))</f>
        <v>3.363522017633732E-2</v>
      </c>
      <c r="H1627" s="5">
        <f t="shared" si="336"/>
        <v>0.86352754595351389</v>
      </c>
      <c r="I1627" s="24">
        <f t="shared" si="337"/>
        <v>7.9524371049410902E-5</v>
      </c>
      <c r="J1627" s="25">
        <f>INDEX('Default Prob'!$C$3:$C$13, _xlfn.IFNA(MATCH(F1627, 'Default Prob'!$B$3:$B$13, 1), 1))</f>
        <v>2.1700000000000001E-2</v>
      </c>
      <c r="K1627" s="26">
        <f t="shared" si="328"/>
        <v>0.87540495475141977</v>
      </c>
      <c r="L1627" s="27">
        <f t="shared" ca="1" si="329"/>
        <v>0</v>
      </c>
      <c r="M1627" s="27">
        <f t="shared" ca="1" si="330"/>
        <v>0</v>
      </c>
      <c r="N1627" s="28">
        <f t="shared" ca="1" si="331"/>
        <v>0</v>
      </c>
      <c r="O1627" s="29">
        <f t="shared" ca="1" si="332"/>
        <v>0</v>
      </c>
      <c r="P1627" s="30">
        <f t="shared" ca="1" si="333"/>
        <v>0</v>
      </c>
    </row>
    <row r="1628" spans="1:16" x14ac:dyDescent="0.25">
      <c r="A1628" s="3">
        <f t="shared" si="334"/>
        <v>48390</v>
      </c>
      <c r="B1628" s="21">
        <f t="shared" si="325"/>
        <v>36702</v>
      </c>
      <c r="C1628" s="21">
        <f t="shared" si="326"/>
        <v>36789</v>
      </c>
      <c r="D1628" s="1">
        <f t="shared" si="335"/>
        <v>0</v>
      </c>
      <c r="E1628" s="3">
        <f t="array" ref="E1628">INDEX($A$9:A1627, MAX(IF($D$9:D1627=1, ROW(D$9:$D1627)-ROW($D$9)+1, 0)))</f>
        <v>48386</v>
      </c>
      <c r="F1628" s="23">
        <f t="shared" si="327"/>
        <v>6.2012320328542092</v>
      </c>
      <c r="G1628" s="5">
        <f>INDEX('Default Prob'!$P$5:$P$14,MIN(1+_xlfn.IFNA(MATCH(F1628,'Default Prob'!$F$5:$F$14,1),0),COUNT('Default Prob'!$P$5:$P$14)))</f>
        <v>3.363522017633732E-2</v>
      </c>
      <c r="H1628" s="5">
        <f t="shared" si="336"/>
        <v>0.86344802890538452</v>
      </c>
      <c r="I1628" s="24">
        <f t="shared" si="337"/>
        <v>7.9517048129362777E-5</v>
      </c>
      <c r="J1628" s="25">
        <f>INDEX('Default Prob'!$C$3:$C$13, _xlfn.IFNA(MATCH(F1628, 'Default Prob'!$B$3:$B$13, 1), 1))</f>
        <v>2.1700000000000001E-2</v>
      </c>
      <c r="K1628" s="26">
        <f t="shared" si="328"/>
        <v>0.87535350352749464</v>
      </c>
      <c r="L1628" s="27">
        <f t="shared" ca="1" si="329"/>
        <v>0</v>
      </c>
      <c r="M1628" s="27">
        <f t="shared" ca="1" si="330"/>
        <v>0</v>
      </c>
      <c r="N1628" s="28">
        <f t="shared" ca="1" si="331"/>
        <v>0</v>
      </c>
      <c r="O1628" s="29">
        <f t="shared" ca="1" si="332"/>
        <v>0</v>
      </c>
      <c r="P1628" s="30">
        <f t="shared" ca="1" si="333"/>
        <v>0</v>
      </c>
    </row>
    <row r="1629" spans="1:16" x14ac:dyDescent="0.25">
      <c r="A1629" s="3">
        <f t="shared" si="334"/>
        <v>48393</v>
      </c>
      <c r="B1629" s="21">
        <f t="shared" si="325"/>
        <v>36705</v>
      </c>
      <c r="C1629" s="21">
        <f t="shared" si="326"/>
        <v>36789</v>
      </c>
      <c r="D1629" s="1">
        <f t="shared" si="335"/>
        <v>0</v>
      </c>
      <c r="E1629" s="3">
        <f t="array" ref="E1629">INDEX($A$9:A1628, MAX(IF($D$9:D1628=1, ROW(D$9:$D1628)-ROW($D$9)+1, 0)))</f>
        <v>48386</v>
      </c>
      <c r="F1629" s="23">
        <f t="shared" si="327"/>
        <v>6.2094455852156054</v>
      </c>
      <c r="G1629" s="5">
        <f>INDEX('Default Prob'!$P$5:$P$14,MIN(1+_xlfn.IFNA(MATCH(F1629,'Default Prob'!$F$5:$F$14,1),0),COUNT('Default Prob'!$P$5:$P$14)))</f>
        <v>3.363522017633732E-2</v>
      </c>
      <c r="H1629" s="5">
        <f t="shared" si="336"/>
        <v>0.86320952169177423</v>
      </c>
      <c r="I1629" s="24">
        <f t="shared" si="337"/>
        <v>2.3850721361029503E-4</v>
      </c>
      <c r="J1629" s="25">
        <f>INDEX('Default Prob'!$C$3:$C$13, _xlfn.IFNA(MATCH(F1629, 'Default Prob'!$B$3:$B$13, 1), 1))</f>
        <v>2.1700000000000001E-2</v>
      </c>
      <c r="K1629" s="26">
        <f t="shared" si="328"/>
        <v>0.87519916799903463</v>
      </c>
      <c r="L1629" s="27">
        <f t="shared" ca="1" si="329"/>
        <v>0</v>
      </c>
      <c r="M1629" s="27">
        <f t="shared" ca="1" si="330"/>
        <v>0</v>
      </c>
      <c r="N1629" s="28">
        <f t="shared" ca="1" si="331"/>
        <v>0</v>
      </c>
      <c r="O1629" s="29">
        <f t="shared" ca="1" si="332"/>
        <v>0</v>
      </c>
      <c r="P1629" s="30">
        <f t="shared" ca="1" si="333"/>
        <v>0</v>
      </c>
    </row>
    <row r="1630" spans="1:16" x14ac:dyDescent="0.25">
      <c r="A1630" s="3">
        <f t="shared" si="334"/>
        <v>48394</v>
      </c>
      <c r="B1630" s="21">
        <f t="shared" si="325"/>
        <v>36706</v>
      </c>
      <c r="C1630" s="21">
        <f t="shared" si="326"/>
        <v>36789</v>
      </c>
      <c r="D1630" s="1">
        <f t="shared" si="335"/>
        <v>0</v>
      </c>
      <c r="E1630" s="3">
        <f t="array" ref="E1630">INDEX($A$9:A1629, MAX(IF($D$9:D1629=1, ROW(D$9:$D1629)-ROW($D$9)+1, 0)))</f>
        <v>48386</v>
      </c>
      <c r="F1630" s="23">
        <f t="shared" si="327"/>
        <v>6.2121834360027375</v>
      </c>
      <c r="G1630" s="5">
        <f>INDEX('Default Prob'!$P$5:$P$14,MIN(1+_xlfn.IFNA(MATCH(F1630,'Default Prob'!$F$5:$F$14,1),0),COUNT('Default Prob'!$P$5:$P$14)))</f>
        <v>3.363522017633732E-2</v>
      </c>
      <c r="H1630" s="5">
        <f t="shared" si="336"/>
        <v>0.86313003392858278</v>
      </c>
      <c r="I1630" s="24">
        <f t="shared" si="337"/>
        <v>7.9487763191443683E-5</v>
      </c>
      <c r="J1630" s="25">
        <f>INDEX('Default Prob'!$C$3:$C$13, _xlfn.IFNA(MATCH(F1630, 'Default Prob'!$B$3:$B$13, 1), 1))</f>
        <v>2.1700000000000001E-2</v>
      </c>
      <c r="K1630" s="26">
        <f t="shared" si="328"/>
        <v>0.87514772887006076</v>
      </c>
      <c r="L1630" s="27">
        <f t="shared" ca="1" si="329"/>
        <v>0</v>
      </c>
      <c r="M1630" s="27">
        <f t="shared" ca="1" si="330"/>
        <v>0</v>
      </c>
      <c r="N1630" s="28">
        <f t="shared" ca="1" si="331"/>
        <v>0</v>
      </c>
      <c r="O1630" s="29">
        <f t="shared" ca="1" si="332"/>
        <v>0</v>
      </c>
      <c r="P1630" s="30">
        <f t="shared" ca="1" si="333"/>
        <v>0</v>
      </c>
    </row>
    <row r="1631" spans="1:16" x14ac:dyDescent="0.25">
      <c r="A1631" s="3">
        <f t="shared" si="334"/>
        <v>48395</v>
      </c>
      <c r="B1631" s="21">
        <f t="shared" si="325"/>
        <v>36707</v>
      </c>
      <c r="C1631" s="21">
        <f t="shared" si="326"/>
        <v>36789</v>
      </c>
      <c r="D1631" s="1">
        <f t="shared" si="335"/>
        <v>0</v>
      </c>
      <c r="E1631" s="3">
        <f t="array" ref="E1631">INDEX($A$9:A1630, MAX(IF($D$9:D1630=1, ROW(D$9:$D1630)-ROW($D$9)+1, 0)))</f>
        <v>48386</v>
      </c>
      <c r="F1631" s="23">
        <f t="shared" si="327"/>
        <v>6.2149212867898695</v>
      </c>
      <c r="G1631" s="5">
        <f>INDEX('Default Prob'!$P$5:$P$14,MIN(1+_xlfn.IFNA(MATCH(F1631,'Default Prob'!$F$5:$F$14,1),0),COUNT('Default Prob'!$P$5:$P$14)))</f>
        <v>3.363522017633732E-2</v>
      </c>
      <c r="H1631" s="5">
        <f t="shared" si="336"/>
        <v>0.86305055348494042</v>
      </c>
      <c r="I1631" s="24">
        <f t="shared" si="337"/>
        <v>7.9480443642365728E-5</v>
      </c>
      <c r="J1631" s="25">
        <f>INDEX('Default Prob'!$C$3:$C$13, _xlfn.IFNA(MATCH(F1631, 'Default Prob'!$B$3:$B$13, 1), 1))</f>
        <v>2.1700000000000001E-2</v>
      </c>
      <c r="K1631" s="26">
        <f t="shared" si="328"/>
        <v>0.87509629276438028</v>
      </c>
      <c r="L1631" s="27">
        <f t="shared" ca="1" si="329"/>
        <v>0</v>
      </c>
      <c r="M1631" s="27">
        <f t="shared" ca="1" si="330"/>
        <v>0</v>
      </c>
      <c r="N1631" s="28">
        <f t="shared" ca="1" si="331"/>
        <v>0</v>
      </c>
      <c r="O1631" s="29">
        <f t="shared" ca="1" si="332"/>
        <v>0</v>
      </c>
      <c r="P1631" s="30">
        <f t="shared" ca="1" si="333"/>
        <v>0</v>
      </c>
    </row>
    <row r="1632" spans="1:16" x14ac:dyDescent="0.25">
      <c r="A1632" s="3">
        <f t="shared" si="334"/>
        <v>48396</v>
      </c>
      <c r="B1632" s="21">
        <f t="shared" si="325"/>
        <v>36708</v>
      </c>
      <c r="C1632" s="21">
        <f t="shared" si="326"/>
        <v>36789</v>
      </c>
      <c r="D1632" s="1">
        <f t="shared" si="335"/>
        <v>0</v>
      </c>
      <c r="E1632" s="3">
        <f t="array" ref="E1632">INDEX($A$9:A1631, MAX(IF($D$9:D1631=1, ROW(D$9:$D1631)-ROW($D$9)+1, 0)))</f>
        <v>48386</v>
      </c>
      <c r="F1632" s="23">
        <f t="shared" si="327"/>
        <v>6.2176591375770016</v>
      </c>
      <c r="G1632" s="5">
        <f>INDEX('Default Prob'!$P$5:$P$14,MIN(1+_xlfn.IFNA(MATCH(F1632,'Default Prob'!$F$5:$F$14,1),0),COUNT('Default Prob'!$P$5:$P$14)))</f>
        <v>3.363522017633732E-2</v>
      </c>
      <c r="H1632" s="5">
        <f t="shared" si="336"/>
        <v>0.86297108036017323</v>
      </c>
      <c r="I1632" s="24">
        <f t="shared" si="337"/>
        <v>7.9473124767193148E-5</v>
      </c>
      <c r="J1632" s="25">
        <f>INDEX('Default Prob'!$C$3:$C$13, _xlfn.IFNA(MATCH(F1632, 'Default Prob'!$B$3:$B$13, 1), 1))</f>
        <v>2.1700000000000001E-2</v>
      </c>
      <c r="K1632" s="26">
        <f t="shared" si="328"/>
        <v>0.87504485968181578</v>
      </c>
      <c r="L1632" s="27">
        <f t="shared" ca="1" si="329"/>
        <v>0</v>
      </c>
      <c r="M1632" s="27">
        <f t="shared" ca="1" si="330"/>
        <v>0</v>
      </c>
      <c r="N1632" s="28">
        <f t="shared" ca="1" si="331"/>
        <v>0</v>
      </c>
      <c r="O1632" s="29">
        <f t="shared" ca="1" si="332"/>
        <v>0</v>
      </c>
      <c r="P1632" s="30">
        <f t="shared" ca="1" si="333"/>
        <v>0</v>
      </c>
    </row>
    <row r="1633" spans="1:16" x14ac:dyDescent="0.25">
      <c r="A1633" s="3">
        <f t="shared" si="334"/>
        <v>48397</v>
      </c>
      <c r="B1633" s="21">
        <f t="shared" si="325"/>
        <v>36709</v>
      </c>
      <c r="C1633" s="21">
        <f t="shared" si="326"/>
        <v>36789</v>
      </c>
      <c r="D1633" s="1">
        <f t="shared" si="335"/>
        <v>0</v>
      </c>
      <c r="E1633" s="3">
        <f t="array" ref="E1633">INDEX($A$9:A1632, MAX(IF($D$9:D1632=1, ROW(D$9:$D1632)-ROW($D$9)+1, 0)))</f>
        <v>48386</v>
      </c>
      <c r="F1633" s="23">
        <f t="shared" si="327"/>
        <v>6.2203969883641346</v>
      </c>
      <c r="G1633" s="5">
        <f>INDEX('Default Prob'!$P$5:$P$14,MIN(1+_xlfn.IFNA(MATCH(F1633,'Default Prob'!$F$5:$F$14,1),0),COUNT('Default Prob'!$P$5:$P$14)))</f>
        <v>3.363522017633732E-2</v>
      </c>
      <c r="H1633" s="5">
        <f t="shared" si="336"/>
        <v>0.86289161455360719</v>
      </c>
      <c r="I1633" s="24">
        <f t="shared" si="337"/>
        <v>7.9465806566036967E-5</v>
      </c>
      <c r="J1633" s="25">
        <f>INDEX('Default Prob'!$C$3:$C$13, _xlfn.IFNA(MATCH(F1633, 'Default Prob'!$B$3:$B$13, 1), 1))</f>
        <v>2.1700000000000001E-2</v>
      </c>
      <c r="K1633" s="26">
        <f t="shared" si="328"/>
        <v>0.8749934296221894</v>
      </c>
      <c r="L1633" s="27">
        <f t="shared" ca="1" si="329"/>
        <v>0</v>
      </c>
      <c r="M1633" s="27">
        <f t="shared" ca="1" si="330"/>
        <v>0</v>
      </c>
      <c r="N1633" s="28">
        <f t="shared" ca="1" si="331"/>
        <v>0</v>
      </c>
      <c r="O1633" s="29">
        <f t="shared" ca="1" si="332"/>
        <v>0</v>
      </c>
      <c r="P1633" s="30">
        <f t="shared" ca="1" si="333"/>
        <v>0</v>
      </c>
    </row>
    <row r="1634" spans="1:16" x14ac:dyDescent="0.25">
      <c r="A1634" s="3">
        <f t="shared" si="334"/>
        <v>48400</v>
      </c>
      <c r="B1634" s="21">
        <f t="shared" si="325"/>
        <v>36712</v>
      </c>
      <c r="C1634" s="21">
        <f t="shared" si="326"/>
        <v>36789</v>
      </c>
      <c r="D1634" s="1">
        <f t="shared" si="335"/>
        <v>0</v>
      </c>
      <c r="E1634" s="3">
        <f t="array" ref="E1634">INDEX($A$9:A1633, MAX(IF($D$9:D1633=1, ROW(D$9:$D1633)-ROW($D$9)+1, 0)))</f>
        <v>48386</v>
      </c>
      <c r="F1634" s="23">
        <f t="shared" si="327"/>
        <v>6.2286105407255308</v>
      </c>
      <c r="G1634" s="5">
        <f>INDEX('Default Prob'!$P$5:$P$14,MIN(1+_xlfn.IFNA(MATCH(F1634,'Default Prob'!$F$5:$F$14,1),0),COUNT('Default Prob'!$P$5:$P$14)))</f>
        <v>3.363522017633732E-2</v>
      </c>
      <c r="H1634" s="5">
        <f t="shared" si="336"/>
        <v>0.86265326103637729</v>
      </c>
      <c r="I1634" s="24">
        <f t="shared" si="337"/>
        <v>2.3835351722989451E-4</v>
      </c>
      <c r="J1634" s="25">
        <f>INDEX('Default Prob'!$C$3:$C$13, _xlfn.IFNA(MATCH(F1634, 'Default Prob'!$B$3:$B$13, 1), 1))</f>
        <v>2.1700000000000001E-2</v>
      </c>
      <c r="K1634" s="26">
        <f t="shared" si="328"/>
        <v>0.87483915757916264</v>
      </c>
      <c r="L1634" s="27">
        <f t="shared" ca="1" si="329"/>
        <v>0</v>
      </c>
      <c r="M1634" s="27">
        <f t="shared" ca="1" si="330"/>
        <v>0</v>
      </c>
      <c r="N1634" s="28">
        <f t="shared" ca="1" si="331"/>
        <v>0</v>
      </c>
      <c r="O1634" s="29">
        <f t="shared" ca="1" si="332"/>
        <v>0</v>
      </c>
      <c r="P1634" s="30">
        <f t="shared" ca="1" si="333"/>
        <v>0</v>
      </c>
    </row>
    <row r="1635" spans="1:16" x14ac:dyDescent="0.25">
      <c r="A1635" s="3">
        <f t="shared" si="334"/>
        <v>48401</v>
      </c>
      <c r="B1635" s="21">
        <f t="shared" si="325"/>
        <v>36713</v>
      </c>
      <c r="C1635" s="21">
        <f t="shared" si="326"/>
        <v>36789</v>
      </c>
      <c r="D1635" s="1">
        <f t="shared" si="335"/>
        <v>0</v>
      </c>
      <c r="E1635" s="3">
        <f t="array" ref="E1635">INDEX($A$9:A1634, MAX(IF($D$9:D1634=1, ROW(D$9:$D1634)-ROW($D$9)+1, 0)))</f>
        <v>48386</v>
      </c>
      <c r="F1635" s="23">
        <f t="shared" si="327"/>
        <v>6.2313483915126628</v>
      </c>
      <c r="G1635" s="5">
        <f>INDEX('Default Prob'!$P$5:$P$14,MIN(1+_xlfn.IFNA(MATCH(F1635,'Default Prob'!$F$5:$F$14,1),0),COUNT('Default Prob'!$P$5:$P$14)))</f>
        <v>3.363522017633732E-2</v>
      </c>
      <c r="H1635" s="5">
        <f t="shared" si="336"/>
        <v>0.86257382449587761</v>
      </c>
      <c r="I1635" s="24">
        <f t="shared" si="337"/>
        <v>7.9436540499688846E-5</v>
      </c>
      <c r="J1635" s="25">
        <f>INDEX('Default Prob'!$C$3:$C$13, _xlfn.IFNA(MATCH(F1635, 'Default Prob'!$B$3:$B$13, 1), 1))</f>
        <v>2.1700000000000001E-2</v>
      </c>
      <c r="K1635" s="26">
        <f t="shared" si="328"/>
        <v>0.87478773960951228</v>
      </c>
      <c r="L1635" s="27">
        <f t="shared" ca="1" si="329"/>
        <v>0</v>
      </c>
      <c r="M1635" s="27">
        <f t="shared" ca="1" si="330"/>
        <v>0</v>
      </c>
      <c r="N1635" s="28">
        <f t="shared" ca="1" si="331"/>
        <v>0</v>
      </c>
      <c r="O1635" s="29">
        <f t="shared" ca="1" si="332"/>
        <v>0</v>
      </c>
      <c r="P1635" s="30">
        <f t="shared" ca="1" si="333"/>
        <v>0</v>
      </c>
    </row>
    <row r="1636" spans="1:16" x14ac:dyDescent="0.25">
      <c r="A1636" s="3">
        <f t="shared" si="334"/>
        <v>48402</v>
      </c>
      <c r="B1636" s="21">
        <f t="shared" si="325"/>
        <v>36714</v>
      </c>
      <c r="C1636" s="21">
        <f t="shared" si="326"/>
        <v>36789</v>
      </c>
      <c r="D1636" s="1">
        <f t="shared" si="335"/>
        <v>0</v>
      </c>
      <c r="E1636" s="3">
        <f t="array" ref="E1636">INDEX($A$9:A1635, MAX(IF($D$9:D1635=1, ROW(D$9:$D1635)-ROW($D$9)+1, 0)))</f>
        <v>48386</v>
      </c>
      <c r="F1636" s="23">
        <f t="shared" si="327"/>
        <v>6.2340862422997949</v>
      </c>
      <c r="G1636" s="5">
        <f>INDEX('Default Prob'!$P$5:$P$14,MIN(1+_xlfn.IFNA(MATCH(F1636,'Default Prob'!$F$5:$F$14,1),0),COUNT('Default Prob'!$P$5:$P$14)))</f>
        <v>3.363522017633732E-2</v>
      </c>
      <c r="H1636" s="5">
        <f t="shared" si="336"/>
        <v>0.86249439527021021</v>
      </c>
      <c r="I1636" s="24">
        <f t="shared" si="337"/>
        <v>7.9429225667393411E-5</v>
      </c>
      <c r="J1636" s="25">
        <f>INDEX('Default Prob'!$C$3:$C$13, _xlfn.IFNA(MATCH(F1636, 'Default Prob'!$B$3:$B$13, 1), 1))</f>
        <v>2.1700000000000001E-2</v>
      </c>
      <c r="K1636" s="26">
        <f t="shared" si="328"/>
        <v>0.87473632466191198</v>
      </c>
      <c r="L1636" s="27">
        <f t="shared" ca="1" si="329"/>
        <v>0</v>
      </c>
      <c r="M1636" s="27">
        <f t="shared" ca="1" si="330"/>
        <v>0</v>
      </c>
      <c r="N1636" s="28">
        <f t="shared" ca="1" si="331"/>
        <v>0</v>
      </c>
      <c r="O1636" s="29">
        <f t="shared" ca="1" si="332"/>
        <v>0</v>
      </c>
      <c r="P1636" s="30">
        <f t="shared" ca="1" si="333"/>
        <v>0</v>
      </c>
    </row>
    <row r="1637" spans="1:16" x14ac:dyDescent="0.25">
      <c r="A1637" s="3">
        <f t="shared" si="334"/>
        <v>48403</v>
      </c>
      <c r="B1637" s="21">
        <f t="shared" si="325"/>
        <v>36715</v>
      </c>
      <c r="C1637" s="21">
        <f t="shared" si="326"/>
        <v>36789</v>
      </c>
      <c r="D1637" s="1">
        <f t="shared" si="335"/>
        <v>0</v>
      </c>
      <c r="E1637" s="3">
        <f t="array" ref="E1637">INDEX($A$9:A1636, MAX(IF($D$9:D1636=1, ROW(D$9:$D1636)-ROW($D$9)+1, 0)))</f>
        <v>48386</v>
      </c>
      <c r="F1637" s="23">
        <f t="shared" si="327"/>
        <v>6.236824093086927</v>
      </c>
      <c r="G1637" s="5">
        <f>INDEX('Default Prob'!$P$5:$P$14,MIN(1+_xlfn.IFNA(MATCH(F1637,'Default Prob'!$F$5:$F$14,1),0),COUNT('Default Prob'!$P$5:$P$14)))</f>
        <v>3.363522017633732E-2</v>
      </c>
      <c r="H1637" s="5">
        <f t="shared" si="336"/>
        <v>0.86241497335870154</v>
      </c>
      <c r="I1637" s="24">
        <f t="shared" si="337"/>
        <v>7.9421911508670284E-5</v>
      </c>
      <c r="J1637" s="25">
        <f>INDEX('Default Prob'!$C$3:$C$13, _xlfn.IFNA(MATCH(F1637, 'Default Prob'!$B$3:$B$13, 1), 1))</f>
        <v>2.1700000000000001E-2</v>
      </c>
      <c r="K1637" s="26">
        <f t="shared" si="328"/>
        <v>0.87468491273618387</v>
      </c>
      <c r="L1637" s="27">
        <f t="shared" ca="1" si="329"/>
        <v>0</v>
      </c>
      <c r="M1637" s="27">
        <f t="shared" ca="1" si="330"/>
        <v>0</v>
      </c>
      <c r="N1637" s="28">
        <f t="shared" ca="1" si="331"/>
        <v>0</v>
      </c>
      <c r="O1637" s="29">
        <f t="shared" ca="1" si="332"/>
        <v>0</v>
      </c>
      <c r="P1637" s="30">
        <f t="shared" ca="1" si="333"/>
        <v>0</v>
      </c>
    </row>
    <row r="1638" spans="1:16" x14ac:dyDescent="0.25">
      <c r="A1638" s="3">
        <f t="shared" si="334"/>
        <v>48404</v>
      </c>
      <c r="B1638" s="21">
        <f t="shared" si="325"/>
        <v>36716</v>
      </c>
      <c r="C1638" s="21">
        <f t="shared" si="326"/>
        <v>36789</v>
      </c>
      <c r="D1638" s="1">
        <f t="shared" si="335"/>
        <v>0</v>
      </c>
      <c r="E1638" s="3">
        <f t="array" ref="E1638">INDEX($A$9:A1637, MAX(IF($D$9:D1637=1, ROW(D$9:$D1637)-ROW($D$9)+1, 0)))</f>
        <v>48386</v>
      </c>
      <c r="F1638" s="23">
        <f t="shared" si="327"/>
        <v>6.239561943874059</v>
      </c>
      <c r="G1638" s="5">
        <f>INDEX('Default Prob'!$P$5:$P$14,MIN(1+_xlfn.IFNA(MATCH(F1638,'Default Prob'!$F$5:$F$14,1),0),COUNT('Default Prob'!$P$5:$P$14)))</f>
        <v>3.363522017633732E-2</v>
      </c>
      <c r="H1638" s="5">
        <f t="shared" si="336"/>
        <v>0.86233555876067813</v>
      </c>
      <c r="I1638" s="24">
        <f t="shared" si="337"/>
        <v>7.9414598023408445E-5</v>
      </c>
      <c r="J1638" s="25">
        <f>INDEX('Default Prob'!$C$3:$C$13, _xlfn.IFNA(MATCH(F1638, 'Default Prob'!$B$3:$B$13, 1), 1))</f>
        <v>2.1700000000000001E-2</v>
      </c>
      <c r="K1638" s="26">
        <f t="shared" si="328"/>
        <v>0.87463350383215044</v>
      </c>
      <c r="L1638" s="27">
        <f t="shared" ca="1" si="329"/>
        <v>0</v>
      </c>
      <c r="M1638" s="27">
        <f t="shared" ca="1" si="330"/>
        <v>0</v>
      </c>
      <c r="N1638" s="28">
        <f t="shared" ca="1" si="331"/>
        <v>0</v>
      </c>
      <c r="O1638" s="29">
        <f t="shared" ca="1" si="332"/>
        <v>0</v>
      </c>
      <c r="P1638" s="30">
        <f t="shared" ca="1" si="333"/>
        <v>0</v>
      </c>
    </row>
    <row r="1639" spans="1:16" x14ac:dyDescent="0.25">
      <c r="A1639" s="3">
        <f t="shared" si="334"/>
        <v>48407</v>
      </c>
      <c r="B1639" s="21">
        <f t="shared" si="325"/>
        <v>36719</v>
      </c>
      <c r="C1639" s="21">
        <f t="shared" si="326"/>
        <v>36789</v>
      </c>
      <c r="D1639" s="1">
        <f t="shared" si="335"/>
        <v>0</v>
      </c>
      <c r="E1639" s="3">
        <f t="array" ref="E1639">INDEX($A$9:A1638, MAX(IF($D$9:D1638=1, ROW(D$9:$D1638)-ROW($D$9)+1, 0)))</f>
        <v>48386</v>
      </c>
      <c r="F1639" s="23">
        <f t="shared" si="327"/>
        <v>6.2477754962354553</v>
      </c>
      <c r="G1639" s="5">
        <f>INDEX('Default Prob'!$P$5:$P$14,MIN(1+_xlfn.IFNA(MATCH(F1639,'Default Prob'!$F$5:$F$14,1),0),COUNT('Default Prob'!$P$5:$P$14)))</f>
        <v>3.363522017633732E-2</v>
      </c>
      <c r="H1639" s="5">
        <f t="shared" si="336"/>
        <v>0.86209735884078509</v>
      </c>
      <c r="I1639" s="24">
        <f t="shared" si="337"/>
        <v>2.3819991989304512E-4</v>
      </c>
      <c r="J1639" s="25">
        <f>INDEX('Default Prob'!$C$3:$C$13, _xlfn.IFNA(MATCH(F1639, 'Default Prob'!$B$3:$B$13, 1), 1))</f>
        <v>2.1700000000000001E-2</v>
      </c>
      <c r="K1639" s="26">
        <f t="shared" si="328"/>
        <v>0.87447929524844259</v>
      </c>
      <c r="L1639" s="27">
        <f t="shared" ca="1" si="329"/>
        <v>0</v>
      </c>
      <c r="M1639" s="27">
        <f t="shared" ca="1" si="330"/>
        <v>0</v>
      </c>
      <c r="N1639" s="28">
        <f t="shared" ca="1" si="331"/>
        <v>0</v>
      </c>
      <c r="O1639" s="29">
        <f t="shared" ca="1" si="332"/>
        <v>0</v>
      </c>
      <c r="P1639" s="30">
        <f t="shared" ca="1" si="333"/>
        <v>0</v>
      </c>
    </row>
    <row r="1640" spans="1:16" x14ac:dyDescent="0.25">
      <c r="A1640" s="3">
        <f t="shared" si="334"/>
        <v>48408</v>
      </c>
      <c r="B1640" s="21">
        <f t="shared" si="325"/>
        <v>36720</v>
      </c>
      <c r="C1640" s="21">
        <f t="shared" si="326"/>
        <v>36789</v>
      </c>
      <c r="D1640" s="1">
        <f t="shared" si="335"/>
        <v>0</v>
      </c>
      <c r="E1640" s="3">
        <f t="array" ref="E1640">INDEX($A$9:A1639, MAX(IF($D$9:D1639=1, ROW(D$9:$D1639)-ROW($D$9)+1, 0)))</f>
        <v>48386</v>
      </c>
      <c r="F1640" s="23">
        <f t="shared" si="327"/>
        <v>6.2505133470225873</v>
      </c>
      <c r="G1640" s="5">
        <f>INDEX('Default Prob'!$P$5:$P$14,MIN(1+_xlfn.IFNA(MATCH(F1640,'Default Prob'!$F$5:$F$14,1),0),COUNT('Default Prob'!$P$5:$P$14)))</f>
        <v>3.363522017633732E-2</v>
      </c>
      <c r="H1640" s="5">
        <f t="shared" si="336"/>
        <v>0.86201797348996878</v>
      </c>
      <c r="I1640" s="24">
        <f t="shared" si="337"/>
        <v>7.938535081630782E-5</v>
      </c>
      <c r="J1640" s="25">
        <f>INDEX('Default Prob'!$C$3:$C$13, _xlfn.IFNA(MATCH(F1640, 'Default Prob'!$B$3:$B$13, 1), 1))</f>
        <v>2.1700000000000001E-2</v>
      </c>
      <c r="K1640" s="26">
        <f t="shared" si="328"/>
        <v>0.87442789842941204</v>
      </c>
      <c r="L1640" s="27">
        <f t="shared" ca="1" si="329"/>
        <v>0</v>
      </c>
      <c r="M1640" s="27">
        <f t="shared" ca="1" si="330"/>
        <v>0</v>
      </c>
      <c r="N1640" s="28">
        <f t="shared" ca="1" si="331"/>
        <v>0</v>
      </c>
      <c r="O1640" s="29">
        <f t="shared" ca="1" si="332"/>
        <v>0</v>
      </c>
      <c r="P1640" s="30">
        <f t="shared" ca="1" si="333"/>
        <v>0</v>
      </c>
    </row>
    <row r="1641" spans="1:16" x14ac:dyDescent="0.25">
      <c r="A1641" s="3">
        <f t="shared" si="334"/>
        <v>48409</v>
      </c>
      <c r="B1641" s="21">
        <f t="shared" si="325"/>
        <v>36721</v>
      </c>
      <c r="C1641" s="21">
        <f t="shared" si="326"/>
        <v>36789</v>
      </c>
      <c r="D1641" s="1">
        <f t="shared" si="335"/>
        <v>0</v>
      </c>
      <c r="E1641" s="3">
        <f t="array" ref="E1641">INDEX($A$9:A1640, MAX(IF($D$9:D1640=1, ROW(D$9:$D1640)-ROW($D$9)+1, 0)))</f>
        <v>48386</v>
      </c>
      <c r="F1641" s="23">
        <f t="shared" si="327"/>
        <v>6.2532511978097194</v>
      </c>
      <c r="G1641" s="5">
        <f>INDEX('Default Prob'!$P$5:$P$14,MIN(1+_xlfn.IFNA(MATCH(F1641,'Default Prob'!$F$5:$F$14,1),0),COUNT('Default Prob'!$P$5:$P$14)))</f>
        <v>3.363522017633732E-2</v>
      </c>
      <c r="H1641" s="5">
        <f t="shared" si="336"/>
        <v>0.86193859544927098</v>
      </c>
      <c r="I1641" s="24">
        <f t="shared" si="337"/>
        <v>7.9378040697797303E-5</v>
      </c>
      <c r="J1641" s="25">
        <f>INDEX('Default Prob'!$C$3:$C$13, _xlfn.IFNA(MATCH(F1641, 'Default Prob'!$B$3:$B$13, 1), 1))</f>
        <v>2.1700000000000001E-2</v>
      </c>
      <c r="K1641" s="26">
        <f t="shared" si="328"/>
        <v>0.87437650463118832</v>
      </c>
      <c r="L1641" s="27">
        <f t="shared" ca="1" si="329"/>
        <v>0</v>
      </c>
      <c r="M1641" s="27">
        <f t="shared" ca="1" si="330"/>
        <v>0</v>
      </c>
      <c r="N1641" s="28">
        <f t="shared" ca="1" si="331"/>
        <v>0</v>
      </c>
      <c r="O1641" s="29">
        <f t="shared" ca="1" si="332"/>
        <v>0</v>
      </c>
      <c r="P1641" s="30">
        <f t="shared" ca="1" si="333"/>
        <v>0</v>
      </c>
    </row>
    <row r="1642" spans="1:16" x14ac:dyDescent="0.25">
      <c r="A1642" s="3">
        <f t="shared" si="334"/>
        <v>48410</v>
      </c>
      <c r="B1642" s="21">
        <f t="shared" si="325"/>
        <v>36722</v>
      </c>
      <c r="C1642" s="21">
        <f t="shared" si="326"/>
        <v>36789</v>
      </c>
      <c r="D1642" s="1">
        <f t="shared" si="335"/>
        <v>0</v>
      </c>
      <c r="E1642" s="3">
        <f t="array" ref="E1642">INDEX($A$9:A1641, MAX(IF($D$9:D1641=1, ROW(D$9:$D1641)-ROW($D$9)+1, 0)))</f>
        <v>48386</v>
      </c>
      <c r="F1642" s="23">
        <f t="shared" si="327"/>
        <v>6.2559890485968515</v>
      </c>
      <c r="G1642" s="5">
        <f>INDEX('Default Prob'!$P$5:$P$14,MIN(1+_xlfn.IFNA(MATCH(F1642,'Default Prob'!$F$5:$F$14,1),0),COUNT('Default Prob'!$P$5:$P$14)))</f>
        <v>3.363522017633732E-2</v>
      </c>
      <c r="H1642" s="5">
        <f t="shared" si="336"/>
        <v>0.86185922471801868</v>
      </c>
      <c r="I1642" s="24">
        <f t="shared" si="337"/>
        <v>7.9370731252303983E-5</v>
      </c>
      <c r="J1642" s="25">
        <f>INDEX('Default Prob'!$C$3:$C$13, _xlfn.IFNA(MATCH(F1642, 'Default Prob'!$B$3:$B$13, 1), 1))</f>
        <v>2.1700000000000001E-2</v>
      </c>
      <c r="K1642" s="26">
        <f t="shared" si="328"/>
        <v>0.87432511385359379</v>
      </c>
      <c r="L1642" s="27">
        <f t="shared" ca="1" si="329"/>
        <v>0</v>
      </c>
      <c r="M1642" s="27">
        <f t="shared" ca="1" si="330"/>
        <v>0</v>
      </c>
      <c r="N1642" s="28">
        <f t="shared" ca="1" si="331"/>
        <v>0</v>
      </c>
      <c r="O1642" s="29">
        <f t="shared" ca="1" si="332"/>
        <v>0</v>
      </c>
      <c r="P1642" s="30">
        <f t="shared" ca="1" si="333"/>
        <v>0</v>
      </c>
    </row>
    <row r="1643" spans="1:16" x14ac:dyDescent="0.25">
      <c r="A1643" s="3">
        <f t="shared" si="334"/>
        <v>48411</v>
      </c>
      <c r="B1643" s="21">
        <f t="shared" si="325"/>
        <v>36723</v>
      </c>
      <c r="C1643" s="21">
        <f t="shared" si="326"/>
        <v>36789</v>
      </c>
      <c r="D1643" s="1">
        <f t="shared" si="335"/>
        <v>0</v>
      </c>
      <c r="E1643" s="3">
        <f t="array" ref="E1643">INDEX($A$9:A1642, MAX(IF($D$9:D1642=1, ROW(D$9:$D1642)-ROW($D$9)+1, 0)))</f>
        <v>48386</v>
      </c>
      <c r="F1643" s="23">
        <f t="shared" si="327"/>
        <v>6.2587268993839835</v>
      </c>
      <c r="G1643" s="5">
        <f>INDEX('Default Prob'!$P$5:$P$14,MIN(1+_xlfn.IFNA(MATCH(F1643,'Default Prob'!$F$5:$F$14,1),0),COUNT('Default Prob'!$P$5:$P$14)))</f>
        <v>3.363522017633732E-2</v>
      </c>
      <c r="H1643" s="5">
        <f t="shared" si="336"/>
        <v>0.86177986129553874</v>
      </c>
      <c r="I1643" s="24">
        <f t="shared" si="337"/>
        <v>7.9363422479938883E-5</v>
      </c>
      <c r="J1643" s="25">
        <f>INDEX('Default Prob'!$C$3:$C$13, _xlfn.IFNA(MATCH(F1643, 'Default Prob'!$B$3:$B$13, 1), 1))</f>
        <v>2.1700000000000001E-2</v>
      </c>
      <c r="K1643" s="26">
        <f t="shared" si="328"/>
        <v>0.87427372609645115</v>
      </c>
      <c r="L1643" s="27">
        <f t="shared" ca="1" si="329"/>
        <v>0</v>
      </c>
      <c r="M1643" s="27">
        <f t="shared" ca="1" si="330"/>
        <v>0</v>
      </c>
      <c r="N1643" s="28">
        <f t="shared" ca="1" si="331"/>
        <v>0</v>
      </c>
      <c r="O1643" s="29">
        <f t="shared" ca="1" si="332"/>
        <v>0</v>
      </c>
      <c r="P1643" s="30">
        <f t="shared" ca="1" si="333"/>
        <v>0</v>
      </c>
    </row>
    <row r="1644" spans="1:16" x14ac:dyDescent="0.25">
      <c r="A1644" s="3">
        <f t="shared" si="334"/>
        <v>48414</v>
      </c>
      <c r="B1644" s="21">
        <f t="shared" si="325"/>
        <v>36726</v>
      </c>
      <c r="C1644" s="21">
        <f t="shared" si="326"/>
        <v>36789</v>
      </c>
      <c r="D1644" s="1">
        <f t="shared" si="335"/>
        <v>0</v>
      </c>
      <c r="E1644" s="3">
        <f t="array" ref="E1644">INDEX($A$9:A1643, MAX(IF($D$9:D1643=1, ROW(D$9:$D1643)-ROW($D$9)+1, 0)))</f>
        <v>48386</v>
      </c>
      <c r="F1644" s="23">
        <f t="shared" si="327"/>
        <v>6.2669404517453797</v>
      </c>
      <c r="G1644" s="5">
        <f>INDEX('Default Prob'!$P$5:$P$14,MIN(1+_xlfn.IFNA(MATCH(F1644,'Default Prob'!$F$5:$F$14,1),0),COUNT('Default Prob'!$P$5:$P$14)))</f>
        <v>3.363522017633732E-2</v>
      </c>
      <c r="H1644" s="5">
        <f t="shared" si="336"/>
        <v>0.86154181487400294</v>
      </c>
      <c r="I1644" s="24">
        <f t="shared" si="337"/>
        <v>2.3804642153579803E-4</v>
      </c>
      <c r="J1644" s="25">
        <f>INDEX('Default Prob'!$C$3:$C$13, _xlfn.IFNA(MATCH(F1644, 'Default Prob'!$B$3:$B$13, 1), 1))</f>
        <v>2.1700000000000001E-2</v>
      </c>
      <c r="K1644" s="26">
        <f t="shared" si="328"/>
        <v>0.8741195809459581</v>
      </c>
      <c r="L1644" s="27">
        <f t="shared" ca="1" si="329"/>
        <v>0</v>
      </c>
      <c r="M1644" s="27">
        <f t="shared" ca="1" si="330"/>
        <v>0</v>
      </c>
      <c r="N1644" s="28">
        <f t="shared" ca="1" si="331"/>
        <v>0</v>
      </c>
      <c r="O1644" s="29">
        <f t="shared" ca="1" si="332"/>
        <v>0</v>
      </c>
      <c r="P1644" s="30">
        <f t="shared" ca="1" si="333"/>
        <v>0</v>
      </c>
    </row>
    <row r="1645" spans="1:16" x14ac:dyDescent="0.25">
      <c r="A1645" s="3">
        <f t="shared" si="334"/>
        <v>48415</v>
      </c>
      <c r="B1645" s="21">
        <f t="shared" si="325"/>
        <v>36727</v>
      </c>
      <c r="C1645" s="21">
        <f t="shared" si="326"/>
        <v>36789</v>
      </c>
      <c r="D1645" s="1">
        <f t="shared" si="335"/>
        <v>0</v>
      </c>
      <c r="E1645" s="3">
        <f t="array" ref="E1645">INDEX($A$9:A1644, MAX(IF($D$9:D1644=1, ROW(D$9:$D1644)-ROW($D$9)+1, 0)))</f>
        <v>48386</v>
      </c>
      <c r="F1645" s="23">
        <f t="shared" si="327"/>
        <v>6.2696783025325118</v>
      </c>
      <c r="G1645" s="5">
        <f>INDEX('Default Prob'!$P$5:$P$14,MIN(1+_xlfn.IFNA(MATCH(F1645,'Default Prob'!$F$5:$F$14,1),0),COUNT('Default Prob'!$P$5:$P$14)))</f>
        <v>3.363522017633732E-2</v>
      </c>
      <c r="H1645" s="5">
        <f t="shared" si="336"/>
        <v>0.86146248067988285</v>
      </c>
      <c r="I1645" s="24">
        <f t="shared" si="337"/>
        <v>7.9334194120095347E-5</v>
      </c>
      <c r="J1645" s="25">
        <f>INDEX('Default Prob'!$C$3:$C$13, _xlfn.IFNA(MATCH(F1645, 'Default Prob'!$B$3:$B$13, 1), 1))</f>
        <v>2.1700000000000001E-2</v>
      </c>
      <c r="K1645" s="26">
        <f t="shared" si="328"/>
        <v>0.8740682052688471</v>
      </c>
      <c r="L1645" s="27">
        <f t="shared" ca="1" si="329"/>
        <v>0</v>
      </c>
      <c r="M1645" s="27">
        <f t="shared" ca="1" si="330"/>
        <v>0</v>
      </c>
      <c r="N1645" s="28">
        <f t="shared" ca="1" si="331"/>
        <v>0</v>
      </c>
      <c r="O1645" s="29">
        <f t="shared" ca="1" si="332"/>
        <v>0</v>
      </c>
      <c r="P1645" s="30">
        <f t="shared" ca="1" si="333"/>
        <v>0</v>
      </c>
    </row>
    <row r="1646" spans="1:16" x14ac:dyDescent="0.25">
      <c r="A1646" s="3">
        <f t="shared" si="334"/>
        <v>48416</v>
      </c>
      <c r="B1646" s="21">
        <f t="shared" si="325"/>
        <v>36728</v>
      </c>
      <c r="C1646" s="21">
        <f t="shared" si="326"/>
        <v>36789</v>
      </c>
      <c r="D1646" s="1">
        <f t="shared" si="335"/>
        <v>0</v>
      </c>
      <c r="E1646" s="3">
        <f t="array" ref="E1646">INDEX($A$9:A1645, MAX(IF($D$9:D1645=1, ROW(D$9:$D1645)-ROW($D$9)+1, 0)))</f>
        <v>48386</v>
      </c>
      <c r="F1646" s="23">
        <f t="shared" si="327"/>
        <v>6.2724161533196439</v>
      </c>
      <c r="G1646" s="5">
        <f>INDEX('Default Prob'!$P$5:$P$14,MIN(1+_xlfn.IFNA(MATCH(F1646,'Default Prob'!$F$5:$F$14,1),0),COUNT('Default Prob'!$P$5:$P$14)))</f>
        <v>3.363522017633732E-2</v>
      </c>
      <c r="H1646" s="5">
        <f t="shared" si="336"/>
        <v>0.86138315379117059</v>
      </c>
      <c r="I1646" s="24">
        <f t="shared" si="337"/>
        <v>7.9326888712261123E-5</v>
      </c>
      <c r="J1646" s="25">
        <f>INDEX('Default Prob'!$C$3:$C$13, _xlfn.IFNA(MATCH(F1646, 'Default Prob'!$B$3:$B$13, 1), 1))</f>
        <v>2.1700000000000001E-2</v>
      </c>
      <c r="K1646" s="26">
        <f t="shared" si="328"/>
        <v>0.87401683261130036</v>
      </c>
      <c r="L1646" s="27">
        <f t="shared" ca="1" si="329"/>
        <v>0</v>
      </c>
      <c r="M1646" s="27">
        <f t="shared" ca="1" si="330"/>
        <v>0</v>
      </c>
      <c r="N1646" s="28">
        <f t="shared" ca="1" si="331"/>
        <v>0</v>
      </c>
      <c r="O1646" s="29">
        <f t="shared" ca="1" si="332"/>
        <v>0</v>
      </c>
      <c r="P1646" s="30">
        <f t="shared" ca="1" si="333"/>
        <v>0</v>
      </c>
    </row>
    <row r="1647" spans="1:16" x14ac:dyDescent="0.25">
      <c r="A1647" s="3">
        <f t="shared" si="334"/>
        <v>48417</v>
      </c>
      <c r="B1647" s="21">
        <f t="shared" si="325"/>
        <v>36729</v>
      </c>
      <c r="C1647" s="21">
        <f t="shared" si="326"/>
        <v>36789</v>
      </c>
      <c r="D1647" s="1">
        <f t="shared" si="335"/>
        <v>0</v>
      </c>
      <c r="E1647" s="3">
        <f t="array" ref="E1647">INDEX($A$9:A1646, MAX(IF($D$9:D1646=1, ROW(D$9:$D1646)-ROW($D$9)+1, 0)))</f>
        <v>48386</v>
      </c>
      <c r="F1647" s="23">
        <f t="shared" si="327"/>
        <v>6.2751540041067759</v>
      </c>
      <c r="G1647" s="5">
        <f>INDEX('Default Prob'!$P$5:$P$14,MIN(1+_xlfn.IFNA(MATCH(F1647,'Default Prob'!$F$5:$F$14,1),0),COUNT('Default Prob'!$P$5:$P$14)))</f>
        <v>3.363522017633732E-2</v>
      </c>
      <c r="H1647" s="5">
        <f t="shared" si="336"/>
        <v>0.86130383420719347</v>
      </c>
      <c r="I1647" s="24">
        <f t="shared" si="337"/>
        <v>7.931958397711103E-5</v>
      </c>
      <c r="J1647" s="25">
        <f>INDEX('Default Prob'!$C$3:$C$13, _xlfn.IFNA(MATCH(F1647, 'Default Prob'!$B$3:$B$13, 1), 1))</f>
        <v>2.1700000000000001E-2</v>
      </c>
      <c r="K1647" s="26">
        <f t="shared" si="328"/>
        <v>0.87396546297314037</v>
      </c>
      <c r="L1647" s="27">
        <f t="shared" ca="1" si="329"/>
        <v>0</v>
      </c>
      <c r="M1647" s="27">
        <f t="shared" ca="1" si="330"/>
        <v>0</v>
      </c>
      <c r="N1647" s="28">
        <f t="shared" ca="1" si="331"/>
        <v>0</v>
      </c>
      <c r="O1647" s="29">
        <f t="shared" ca="1" si="332"/>
        <v>0</v>
      </c>
      <c r="P1647" s="30">
        <f t="shared" ca="1" si="333"/>
        <v>0</v>
      </c>
    </row>
    <row r="1648" spans="1:16" x14ac:dyDescent="0.25">
      <c r="A1648" s="3">
        <f t="shared" si="334"/>
        <v>48418</v>
      </c>
      <c r="B1648" s="21">
        <f t="shared" si="325"/>
        <v>36730</v>
      </c>
      <c r="C1648" s="21">
        <f t="shared" si="326"/>
        <v>36789</v>
      </c>
      <c r="D1648" s="1">
        <f t="shared" si="335"/>
        <v>0</v>
      </c>
      <c r="E1648" s="3">
        <f t="array" ref="E1648">INDEX($A$9:A1647, MAX(IF($D$9:D1647=1, ROW(D$9:$D1647)-ROW($D$9)+1, 0)))</f>
        <v>48386</v>
      </c>
      <c r="F1648" s="23">
        <f t="shared" si="327"/>
        <v>6.277891854893908</v>
      </c>
      <c r="G1648" s="5">
        <f>INDEX('Default Prob'!$P$5:$P$14,MIN(1+_xlfn.IFNA(MATCH(F1648,'Default Prob'!$F$5:$F$14,1),0),COUNT('Default Prob'!$P$5:$P$14)))</f>
        <v>3.363522017633732E-2</v>
      </c>
      <c r="H1648" s="5">
        <f t="shared" si="336"/>
        <v>0.86122452192727883</v>
      </c>
      <c r="I1648" s="24">
        <f t="shared" si="337"/>
        <v>7.9312279914645067E-5</v>
      </c>
      <c r="J1648" s="25">
        <f>INDEX('Default Prob'!$C$3:$C$13, _xlfn.IFNA(MATCH(F1648, 'Default Prob'!$B$3:$B$13, 1), 1))</f>
        <v>2.1700000000000001E-2</v>
      </c>
      <c r="K1648" s="26">
        <f t="shared" si="328"/>
        <v>0.8739140963541896</v>
      </c>
      <c r="L1648" s="27">
        <f t="shared" ca="1" si="329"/>
        <v>0</v>
      </c>
      <c r="M1648" s="27">
        <f t="shared" ca="1" si="330"/>
        <v>0</v>
      </c>
      <c r="N1648" s="28">
        <f t="shared" ca="1" si="331"/>
        <v>0</v>
      </c>
      <c r="O1648" s="29">
        <f t="shared" ca="1" si="332"/>
        <v>0</v>
      </c>
      <c r="P1648" s="30">
        <f t="shared" ca="1" si="333"/>
        <v>0</v>
      </c>
    </row>
    <row r="1649" spans="1:16" x14ac:dyDescent="0.25">
      <c r="A1649" s="3">
        <f t="shared" si="334"/>
        <v>48421</v>
      </c>
      <c r="B1649" s="21">
        <f t="shared" si="325"/>
        <v>36733</v>
      </c>
      <c r="C1649" s="21">
        <f t="shared" si="326"/>
        <v>36789</v>
      </c>
      <c r="D1649" s="1">
        <f t="shared" si="335"/>
        <v>0</v>
      </c>
      <c r="E1649" s="3">
        <f t="array" ref="E1649">INDEX($A$9:A1648, MAX(IF($D$9:D1648=1, ROW(D$9:$D1648)-ROW($D$9)+1, 0)))</f>
        <v>48386</v>
      </c>
      <c r="F1649" s="23">
        <f t="shared" si="327"/>
        <v>6.2861054072553042</v>
      </c>
      <c r="G1649" s="5">
        <f>INDEX('Default Prob'!$P$5:$P$14,MIN(1+_xlfn.IFNA(MATCH(F1649,'Default Prob'!$F$5:$F$14,1),0),COUNT('Default Prob'!$P$5:$P$14)))</f>
        <v>3.363522017633732E-2</v>
      </c>
      <c r="H1649" s="5">
        <f t="shared" si="336"/>
        <v>0.86098662890518451</v>
      </c>
      <c r="I1649" s="24">
        <f t="shared" si="337"/>
        <v>2.378930220943154E-4</v>
      </c>
      <c r="J1649" s="25">
        <f>INDEX('Default Prob'!$C$3:$C$13, _xlfn.IFNA(MATCH(F1649, 'Default Prob'!$B$3:$B$13, 1), 1))</f>
        <v>2.1700000000000001E-2</v>
      </c>
      <c r="K1649" s="26">
        <f t="shared" si="328"/>
        <v>0.87376001461081843</v>
      </c>
      <c r="L1649" s="27">
        <f t="shared" ca="1" si="329"/>
        <v>0</v>
      </c>
      <c r="M1649" s="27">
        <f t="shared" ca="1" si="330"/>
        <v>0</v>
      </c>
      <c r="N1649" s="28">
        <f t="shared" ca="1" si="331"/>
        <v>0</v>
      </c>
      <c r="O1649" s="29">
        <f t="shared" ca="1" si="332"/>
        <v>0</v>
      </c>
      <c r="P1649" s="30">
        <f t="shared" ca="1" si="333"/>
        <v>0</v>
      </c>
    </row>
    <row r="1650" spans="1:16" x14ac:dyDescent="0.25">
      <c r="A1650" s="3">
        <f t="shared" si="334"/>
        <v>48422</v>
      </c>
      <c r="B1650" s="21">
        <f t="shared" si="325"/>
        <v>36734</v>
      </c>
      <c r="C1650" s="21">
        <f t="shared" si="326"/>
        <v>36789</v>
      </c>
      <c r="D1650" s="1">
        <f t="shared" si="335"/>
        <v>0</v>
      </c>
      <c r="E1650" s="3">
        <f t="array" ref="E1650">INDEX($A$9:A1649, MAX(IF($D$9:D1649=1, ROW(D$9:$D1649)-ROW($D$9)+1, 0)))</f>
        <v>48386</v>
      </c>
      <c r="F1650" s="23">
        <f t="shared" si="327"/>
        <v>6.2888432580424363</v>
      </c>
      <c r="G1650" s="5">
        <f>INDEX('Default Prob'!$P$5:$P$14,MIN(1+_xlfn.IFNA(MATCH(F1650,'Default Prob'!$F$5:$F$14,1),0),COUNT('Default Prob'!$P$5:$P$14)))</f>
        <v>3.363522017633732E-2</v>
      </c>
      <c r="H1650" s="5">
        <f t="shared" si="336"/>
        <v>0.86090734583479467</v>
      </c>
      <c r="I1650" s="24">
        <f t="shared" si="337"/>
        <v>7.9283070389846166E-5</v>
      </c>
      <c r="J1650" s="25">
        <f>INDEX('Default Prob'!$C$3:$C$13, _xlfn.IFNA(MATCH(F1650, 'Default Prob'!$B$3:$B$13, 1), 1))</f>
        <v>2.1700000000000001E-2</v>
      </c>
      <c r="K1650" s="26">
        <f t="shared" si="328"/>
        <v>0.87370866006693049</v>
      </c>
      <c r="L1650" s="27">
        <f t="shared" ca="1" si="329"/>
        <v>0</v>
      </c>
      <c r="M1650" s="27">
        <f t="shared" ca="1" si="330"/>
        <v>0</v>
      </c>
      <c r="N1650" s="28">
        <f t="shared" ca="1" si="331"/>
        <v>0</v>
      </c>
      <c r="O1650" s="29">
        <f t="shared" ca="1" si="332"/>
        <v>0</v>
      </c>
      <c r="P1650" s="30">
        <f t="shared" ca="1" si="333"/>
        <v>0</v>
      </c>
    </row>
    <row r="1651" spans="1:16" x14ac:dyDescent="0.25">
      <c r="A1651" s="3">
        <f t="shared" si="334"/>
        <v>48423</v>
      </c>
      <c r="B1651" s="21">
        <f t="shared" si="325"/>
        <v>36735</v>
      </c>
      <c r="C1651" s="21">
        <f t="shared" si="326"/>
        <v>36789</v>
      </c>
      <c r="D1651" s="1">
        <f t="shared" si="335"/>
        <v>0</v>
      </c>
      <c r="E1651" s="3">
        <f t="array" ref="E1651">INDEX($A$9:A1650, MAX(IF($D$9:D1650=1, ROW(D$9:$D1650)-ROW($D$9)+1, 0)))</f>
        <v>48386</v>
      </c>
      <c r="F1651" s="23">
        <f t="shared" si="327"/>
        <v>6.2915811088295692</v>
      </c>
      <c r="G1651" s="5">
        <f>INDEX('Default Prob'!$P$5:$P$14,MIN(1+_xlfn.IFNA(MATCH(F1651,'Default Prob'!$F$5:$F$14,1),0),COUNT('Default Prob'!$P$5:$P$14)))</f>
        <v>3.363522017633732E-2</v>
      </c>
      <c r="H1651" s="5">
        <f t="shared" si="336"/>
        <v>0.86082807006510509</v>
      </c>
      <c r="I1651" s="24">
        <f t="shared" si="337"/>
        <v>7.9275769689579612E-5</v>
      </c>
      <c r="J1651" s="25">
        <f>INDEX('Default Prob'!$C$3:$C$13, _xlfn.IFNA(MATCH(F1651, 'Default Prob'!$B$3:$B$13, 1), 1))</f>
        <v>2.1700000000000001E-2</v>
      </c>
      <c r="K1651" s="26">
        <f t="shared" si="328"/>
        <v>0.87365730854136447</v>
      </c>
      <c r="L1651" s="27">
        <f t="shared" ca="1" si="329"/>
        <v>0</v>
      </c>
      <c r="M1651" s="27">
        <f t="shared" ca="1" si="330"/>
        <v>0</v>
      </c>
      <c r="N1651" s="28">
        <f t="shared" ca="1" si="331"/>
        <v>0</v>
      </c>
      <c r="O1651" s="29">
        <f t="shared" ca="1" si="332"/>
        <v>0</v>
      </c>
      <c r="P1651" s="30">
        <f t="shared" ca="1" si="333"/>
        <v>0</v>
      </c>
    </row>
    <row r="1652" spans="1:16" x14ac:dyDescent="0.25">
      <c r="A1652" s="3">
        <f t="shared" si="334"/>
        <v>48424</v>
      </c>
      <c r="B1652" s="21">
        <f t="shared" si="325"/>
        <v>36736</v>
      </c>
      <c r="C1652" s="21">
        <f t="shared" si="326"/>
        <v>36789</v>
      </c>
      <c r="D1652" s="1">
        <f t="shared" si="335"/>
        <v>0</v>
      </c>
      <c r="E1652" s="3">
        <f t="array" ref="E1652">INDEX($A$9:A1651, MAX(IF($D$9:D1651=1, ROW(D$9:$D1651)-ROW($D$9)+1, 0)))</f>
        <v>48386</v>
      </c>
      <c r="F1652" s="23">
        <f t="shared" si="327"/>
        <v>6.2943189596167013</v>
      </c>
      <c r="G1652" s="5">
        <f>INDEX('Default Prob'!$P$5:$P$14,MIN(1+_xlfn.IFNA(MATCH(F1652,'Default Prob'!$F$5:$F$14,1),0),COUNT('Default Prob'!$P$5:$P$14)))</f>
        <v>3.363522017633732E-2</v>
      </c>
      <c r="H1652" s="5">
        <f t="shared" si="336"/>
        <v>0.86074880159544342</v>
      </c>
      <c r="I1652" s="24">
        <f t="shared" si="337"/>
        <v>7.926846966166412E-5</v>
      </c>
      <c r="J1652" s="25">
        <f>INDEX('Default Prob'!$C$3:$C$13, _xlfn.IFNA(MATCH(F1652, 'Default Prob'!$B$3:$B$13, 1), 1))</f>
        <v>2.1700000000000001E-2</v>
      </c>
      <c r="K1652" s="26">
        <f t="shared" si="328"/>
        <v>0.8736059600339432</v>
      </c>
      <c r="L1652" s="27">
        <f t="shared" ca="1" si="329"/>
        <v>0</v>
      </c>
      <c r="M1652" s="27">
        <f t="shared" ca="1" si="330"/>
        <v>0</v>
      </c>
      <c r="N1652" s="28">
        <f t="shared" ca="1" si="331"/>
        <v>0</v>
      </c>
      <c r="O1652" s="29">
        <f t="shared" ca="1" si="332"/>
        <v>0</v>
      </c>
      <c r="P1652" s="30">
        <f t="shared" ca="1" si="333"/>
        <v>0</v>
      </c>
    </row>
    <row r="1653" spans="1:16" x14ac:dyDescent="0.25">
      <c r="A1653" s="3">
        <f t="shared" si="334"/>
        <v>48425</v>
      </c>
      <c r="B1653" s="21">
        <f t="shared" si="325"/>
        <v>36737</v>
      </c>
      <c r="C1653" s="21">
        <f t="shared" si="326"/>
        <v>36789</v>
      </c>
      <c r="D1653" s="1">
        <f t="shared" si="335"/>
        <v>0</v>
      </c>
      <c r="E1653" s="3">
        <f t="array" ref="E1653">INDEX($A$9:A1652, MAX(IF($D$9:D1652=1, ROW(D$9:$D1652)-ROW($D$9)+1, 0)))</f>
        <v>48386</v>
      </c>
      <c r="F1653" s="23">
        <f t="shared" si="327"/>
        <v>6.2970568104038334</v>
      </c>
      <c r="G1653" s="5">
        <f>INDEX('Default Prob'!$P$5:$P$14,MIN(1+_xlfn.IFNA(MATCH(F1653,'Default Prob'!$F$5:$F$14,1),0),COUNT('Default Prob'!$P$5:$P$14)))</f>
        <v>3.363522017633732E-2</v>
      </c>
      <c r="H1653" s="5">
        <f t="shared" si="336"/>
        <v>0.86066954042513744</v>
      </c>
      <c r="I1653" s="24">
        <f t="shared" si="337"/>
        <v>7.9261170305988671E-5</v>
      </c>
      <c r="J1653" s="25">
        <f>INDEX('Default Prob'!$C$3:$C$13, _xlfn.IFNA(MATCH(F1653, 'Default Prob'!$B$3:$B$13, 1), 1))</f>
        <v>2.1700000000000001E-2</v>
      </c>
      <c r="K1653" s="26">
        <f t="shared" si="328"/>
        <v>0.87355461454448935</v>
      </c>
      <c r="L1653" s="27">
        <f t="shared" ca="1" si="329"/>
        <v>0</v>
      </c>
      <c r="M1653" s="27">
        <f t="shared" ca="1" si="330"/>
        <v>0</v>
      </c>
      <c r="N1653" s="28">
        <f t="shared" ca="1" si="331"/>
        <v>0</v>
      </c>
      <c r="O1653" s="29">
        <f t="shared" ca="1" si="332"/>
        <v>0</v>
      </c>
      <c r="P1653" s="30">
        <f t="shared" ca="1" si="333"/>
        <v>0</v>
      </c>
    </row>
    <row r="1654" spans="1:16" x14ac:dyDescent="0.25">
      <c r="A1654" s="3">
        <f t="shared" si="334"/>
        <v>48428</v>
      </c>
      <c r="B1654" s="21">
        <f t="shared" si="325"/>
        <v>36740</v>
      </c>
      <c r="C1654" s="21">
        <f t="shared" si="326"/>
        <v>36789</v>
      </c>
      <c r="D1654" s="1">
        <f t="shared" si="335"/>
        <v>0</v>
      </c>
      <c r="E1654" s="3">
        <f t="array" ref="E1654">INDEX($A$9:A1653, MAX(IF($D$9:D1653=1, ROW(D$9:$D1653)-ROW($D$9)+1, 0)))</f>
        <v>48386</v>
      </c>
      <c r="F1654" s="23">
        <f t="shared" si="327"/>
        <v>6.3052703627652296</v>
      </c>
      <c r="G1654" s="5">
        <f>INDEX('Default Prob'!$P$5:$P$14,MIN(1+_xlfn.IFNA(MATCH(F1654,'Default Prob'!$F$5:$F$14,1),0),COUNT('Default Prob'!$P$5:$P$14)))</f>
        <v>3.363522017633732E-2</v>
      </c>
      <c r="H1654" s="5">
        <f t="shared" si="336"/>
        <v>0.86043180070363245</v>
      </c>
      <c r="I1654" s="24">
        <f t="shared" si="337"/>
        <v>2.3773972150498146E-4</v>
      </c>
      <c r="J1654" s="25">
        <f>INDEX('Default Prob'!$C$3:$C$13, _xlfn.IFNA(MATCH(F1654, 'Default Prob'!$B$3:$B$13, 1), 1))</f>
        <v>2.1700000000000001E-2</v>
      </c>
      <c r="K1654" s="26">
        <f t="shared" si="328"/>
        <v>0.87340059618215771</v>
      </c>
      <c r="L1654" s="27">
        <f t="shared" ca="1" si="329"/>
        <v>0</v>
      </c>
      <c r="M1654" s="27">
        <f t="shared" ca="1" si="330"/>
        <v>0</v>
      </c>
      <c r="N1654" s="28">
        <f t="shared" ca="1" si="331"/>
        <v>0</v>
      </c>
      <c r="O1654" s="29">
        <f t="shared" ca="1" si="332"/>
        <v>0</v>
      </c>
      <c r="P1654" s="30">
        <f t="shared" ca="1" si="333"/>
        <v>0</v>
      </c>
    </row>
    <row r="1655" spans="1:16" x14ac:dyDescent="0.25">
      <c r="A1655" s="3">
        <f t="shared" si="334"/>
        <v>48429</v>
      </c>
      <c r="B1655" s="21">
        <f t="shared" si="325"/>
        <v>36741</v>
      </c>
      <c r="C1655" s="21">
        <f t="shared" si="326"/>
        <v>36789</v>
      </c>
      <c r="D1655" s="1">
        <f t="shared" si="335"/>
        <v>0</v>
      </c>
      <c r="E1655" s="3">
        <f t="array" ref="E1655">INDEX($A$9:A1654, MAX(IF($D$9:D1654=1, ROW(D$9:$D1654)-ROW($D$9)+1, 0)))</f>
        <v>48386</v>
      </c>
      <c r="F1655" s="23">
        <f t="shared" si="327"/>
        <v>6.3080082135523616</v>
      </c>
      <c r="G1655" s="5">
        <f>INDEX('Default Prob'!$P$5:$P$14,MIN(1+_xlfn.IFNA(MATCH(F1655,'Default Prob'!$F$5:$F$14,1),0),COUNT('Default Prob'!$P$5:$P$14)))</f>
        <v>3.363522017633732E-2</v>
      </c>
      <c r="H1655" s="5">
        <f t="shared" si="336"/>
        <v>0.86035256872402832</v>
      </c>
      <c r="I1655" s="24">
        <f t="shared" si="337"/>
        <v>7.9231979604132974E-5</v>
      </c>
      <c r="J1655" s="25">
        <f>INDEX('Default Prob'!$C$3:$C$13, _xlfn.IFNA(MATCH(F1655, 'Default Prob'!$B$3:$B$13, 1), 1))</f>
        <v>2.1700000000000001E-2</v>
      </c>
      <c r="K1655" s="26">
        <f t="shared" si="328"/>
        <v>0.87334926276279956</v>
      </c>
      <c r="L1655" s="27">
        <f t="shared" ca="1" si="329"/>
        <v>0</v>
      </c>
      <c r="M1655" s="27">
        <f t="shared" ca="1" si="330"/>
        <v>0</v>
      </c>
      <c r="N1655" s="28">
        <f t="shared" ca="1" si="331"/>
        <v>0</v>
      </c>
      <c r="O1655" s="29">
        <f t="shared" ca="1" si="332"/>
        <v>0</v>
      </c>
      <c r="P1655" s="30">
        <f t="shared" ca="1" si="333"/>
        <v>0</v>
      </c>
    </row>
    <row r="1656" spans="1:16" x14ac:dyDescent="0.25">
      <c r="A1656" s="3">
        <f t="shared" si="334"/>
        <v>48430</v>
      </c>
      <c r="B1656" s="21">
        <f t="shared" si="325"/>
        <v>36742</v>
      </c>
      <c r="C1656" s="21">
        <f t="shared" si="326"/>
        <v>36789</v>
      </c>
      <c r="D1656" s="1">
        <f t="shared" si="335"/>
        <v>0</v>
      </c>
      <c r="E1656" s="3">
        <f t="array" ref="E1656">INDEX($A$9:A1655, MAX(IF($D$9:D1655=1, ROW(D$9:$D1655)-ROW($D$9)+1, 0)))</f>
        <v>48386</v>
      </c>
      <c r="F1656" s="23">
        <f t="shared" si="327"/>
        <v>6.3107460643394937</v>
      </c>
      <c r="G1656" s="5">
        <f>INDEX('Default Prob'!$P$5:$P$14,MIN(1+_xlfn.IFNA(MATCH(F1656,'Default Prob'!$F$5:$F$14,1),0),COUNT('Default Prob'!$P$5:$P$14)))</f>
        <v>3.363522017633732E-2</v>
      </c>
      <c r="H1656" s="5">
        <f t="shared" si="336"/>
        <v>0.86027334404041977</v>
      </c>
      <c r="I1656" s="24">
        <f t="shared" si="337"/>
        <v>7.9224683608547508E-5</v>
      </c>
      <c r="J1656" s="25">
        <f>INDEX('Default Prob'!$C$3:$C$13, _xlfn.IFNA(MATCH(F1656, 'Default Prob'!$B$3:$B$13, 1), 1))</f>
        <v>2.1700000000000001E-2</v>
      </c>
      <c r="K1656" s="26">
        <f t="shared" si="328"/>
        <v>0.87329793236052189</v>
      </c>
      <c r="L1656" s="27">
        <f t="shared" ca="1" si="329"/>
        <v>0</v>
      </c>
      <c r="M1656" s="27">
        <f t="shared" ca="1" si="330"/>
        <v>0</v>
      </c>
      <c r="N1656" s="28">
        <f t="shared" ca="1" si="331"/>
        <v>0</v>
      </c>
      <c r="O1656" s="29">
        <f t="shared" ca="1" si="332"/>
        <v>0</v>
      </c>
      <c r="P1656" s="30">
        <f t="shared" ca="1" si="333"/>
        <v>0</v>
      </c>
    </row>
    <row r="1657" spans="1:16" x14ac:dyDescent="0.25">
      <c r="A1657" s="3">
        <f t="shared" si="334"/>
        <v>48431</v>
      </c>
      <c r="B1657" s="21">
        <f t="shared" si="325"/>
        <v>36743</v>
      </c>
      <c r="C1657" s="21">
        <f t="shared" si="326"/>
        <v>36789</v>
      </c>
      <c r="D1657" s="1">
        <f t="shared" si="335"/>
        <v>0</v>
      </c>
      <c r="E1657" s="3">
        <f t="array" ref="E1657">INDEX($A$9:A1656, MAX(IF($D$9:D1656=1, ROW(D$9:$D1656)-ROW($D$9)+1, 0)))</f>
        <v>48386</v>
      </c>
      <c r="F1657" s="23">
        <f t="shared" si="327"/>
        <v>6.3134839151266258</v>
      </c>
      <c r="G1657" s="5">
        <f>INDEX('Default Prob'!$P$5:$P$14,MIN(1+_xlfn.IFNA(MATCH(F1657,'Default Prob'!$F$5:$F$14,1),0),COUNT('Default Prob'!$P$5:$P$14)))</f>
        <v>3.363522017633732E-2</v>
      </c>
      <c r="H1657" s="5">
        <f t="shared" si="336"/>
        <v>0.8601941266521349</v>
      </c>
      <c r="I1657" s="24">
        <f t="shared" si="337"/>
        <v>7.9217388284869017E-5</v>
      </c>
      <c r="J1657" s="25">
        <f>INDEX('Default Prob'!$C$3:$C$13, _xlfn.IFNA(MATCH(F1657, 'Default Prob'!$B$3:$B$13, 1), 1))</f>
        <v>2.1700000000000001E-2</v>
      </c>
      <c r="K1657" s="26">
        <f t="shared" si="328"/>
        <v>0.87324660497514739</v>
      </c>
      <c r="L1657" s="27">
        <f t="shared" ca="1" si="329"/>
        <v>0</v>
      </c>
      <c r="M1657" s="27">
        <f t="shared" ca="1" si="330"/>
        <v>0</v>
      </c>
      <c r="N1657" s="28">
        <f t="shared" ca="1" si="331"/>
        <v>0</v>
      </c>
      <c r="O1657" s="29">
        <f t="shared" ca="1" si="332"/>
        <v>0</v>
      </c>
      <c r="P1657" s="30">
        <f t="shared" ca="1" si="333"/>
        <v>0</v>
      </c>
    </row>
    <row r="1658" spans="1:16" x14ac:dyDescent="0.25">
      <c r="A1658" s="3">
        <f t="shared" si="334"/>
        <v>48432</v>
      </c>
      <c r="B1658" s="21">
        <f t="shared" si="325"/>
        <v>36744</v>
      </c>
      <c r="C1658" s="21">
        <f t="shared" si="326"/>
        <v>36789</v>
      </c>
      <c r="D1658" s="1">
        <f t="shared" si="335"/>
        <v>0</v>
      </c>
      <c r="E1658" s="3">
        <f t="array" ref="E1658">INDEX($A$9:A1657, MAX(IF($D$9:D1657=1, ROW(D$9:$D1657)-ROW($D$9)+1, 0)))</f>
        <v>48386</v>
      </c>
      <c r="F1658" s="23">
        <f t="shared" si="327"/>
        <v>6.3162217659137578</v>
      </c>
      <c r="G1658" s="5">
        <f>INDEX('Default Prob'!$P$5:$P$14,MIN(1+_xlfn.IFNA(MATCH(F1658,'Default Prob'!$F$5:$F$14,1),0),COUNT('Default Prob'!$P$5:$P$14)))</f>
        <v>3.363522017633732E-2</v>
      </c>
      <c r="H1658" s="5">
        <f t="shared" si="336"/>
        <v>0.86011491655850203</v>
      </c>
      <c r="I1658" s="24">
        <f t="shared" si="337"/>
        <v>7.9210093632875456E-5</v>
      </c>
      <c r="J1658" s="25">
        <f>INDEX('Default Prob'!$C$3:$C$13, _xlfn.IFNA(MATCH(F1658, 'Default Prob'!$B$3:$B$13, 1), 1))</f>
        <v>2.1700000000000001E-2</v>
      </c>
      <c r="K1658" s="26">
        <f t="shared" si="328"/>
        <v>0.87319528060649865</v>
      </c>
      <c r="L1658" s="27">
        <f t="shared" ca="1" si="329"/>
        <v>0</v>
      </c>
      <c r="M1658" s="27">
        <f t="shared" ca="1" si="330"/>
        <v>0</v>
      </c>
      <c r="N1658" s="28">
        <f t="shared" ca="1" si="331"/>
        <v>0</v>
      </c>
      <c r="O1658" s="29">
        <f t="shared" ca="1" si="332"/>
        <v>0</v>
      </c>
      <c r="P1658" s="30">
        <f t="shared" ca="1" si="333"/>
        <v>0</v>
      </c>
    </row>
    <row r="1659" spans="1:16" x14ac:dyDescent="0.25">
      <c r="A1659" s="3">
        <f t="shared" si="334"/>
        <v>48435</v>
      </c>
      <c r="B1659" s="21">
        <f t="shared" si="325"/>
        <v>36747</v>
      </c>
      <c r="C1659" s="21">
        <f t="shared" si="326"/>
        <v>36789</v>
      </c>
      <c r="D1659" s="1">
        <f t="shared" si="335"/>
        <v>0</v>
      </c>
      <c r="E1659" s="3">
        <f t="array" ref="E1659">INDEX($A$9:A1658, MAX(IF($D$9:D1658=1, ROW(D$9:$D1658)-ROW($D$9)+1, 0)))</f>
        <v>48386</v>
      </c>
      <c r="F1659" s="23">
        <f t="shared" si="327"/>
        <v>6.324435318275154</v>
      </c>
      <c r="G1659" s="5">
        <f>INDEX('Default Prob'!$P$5:$P$14,MIN(1+_xlfn.IFNA(MATCH(F1659,'Default Prob'!$F$5:$F$14,1),0),COUNT('Default Prob'!$P$5:$P$14)))</f>
        <v>3.363522017633732E-2</v>
      </c>
      <c r="H1659" s="5">
        <f t="shared" si="336"/>
        <v>0.85987733003879796</v>
      </c>
      <c r="I1659" s="24">
        <f t="shared" si="337"/>
        <v>2.3758651970406941E-4</v>
      </c>
      <c r="J1659" s="25">
        <f>INDEX('Default Prob'!$C$3:$C$13, _xlfn.IFNA(MATCH(F1659, 'Default Prob'!$B$3:$B$13, 1), 1))</f>
        <v>2.1700000000000001E-2</v>
      </c>
      <c r="K1659" s="26">
        <f t="shared" si="328"/>
        <v>0.87304132559913517</v>
      </c>
      <c r="L1659" s="27">
        <f t="shared" ca="1" si="329"/>
        <v>0</v>
      </c>
      <c r="M1659" s="27">
        <f t="shared" ca="1" si="330"/>
        <v>0</v>
      </c>
      <c r="N1659" s="28">
        <f t="shared" ca="1" si="331"/>
        <v>0</v>
      </c>
      <c r="O1659" s="29">
        <f t="shared" ca="1" si="332"/>
        <v>0</v>
      </c>
      <c r="P1659" s="30">
        <f t="shared" ca="1" si="333"/>
        <v>0</v>
      </c>
    </row>
    <row r="1660" spans="1:16" x14ac:dyDescent="0.25">
      <c r="A1660" s="3">
        <f t="shared" si="334"/>
        <v>48436</v>
      </c>
      <c r="B1660" s="21">
        <f t="shared" si="325"/>
        <v>36748</v>
      </c>
      <c r="C1660" s="21">
        <f t="shared" si="326"/>
        <v>36789</v>
      </c>
      <c r="D1660" s="1">
        <f t="shared" si="335"/>
        <v>0</v>
      </c>
      <c r="E1660" s="3">
        <f t="array" ref="E1660">INDEX($A$9:A1659, MAX(IF($D$9:D1659=1, ROW(D$9:$D1659)-ROW($D$9)+1, 0)))</f>
        <v>48386</v>
      </c>
      <c r="F1660" s="23">
        <f t="shared" si="327"/>
        <v>6.3271731690622861</v>
      </c>
      <c r="G1660" s="5">
        <f>INDEX('Default Prob'!$P$5:$P$14,MIN(1+_xlfn.IFNA(MATCH(F1660,'Default Prob'!$F$5:$F$14,1),0),COUNT('Default Prob'!$P$5:$P$14)))</f>
        <v>3.363522017633732E-2</v>
      </c>
      <c r="H1660" s="5">
        <f t="shared" si="336"/>
        <v>0.85979814911705621</v>
      </c>
      <c r="I1660" s="24">
        <f t="shared" si="337"/>
        <v>7.918092174175051E-5</v>
      </c>
      <c r="J1660" s="25">
        <f>INDEX('Default Prob'!$C$3:$C$13, _xlfn.IFNA(MATCH(F1660, 'Default Prob'!$B$3:$B$13, 1), 1))</f>
        <v>2.1700000000000001E-2</v>
      </c>
      <c r="K1660" s="26">
        <f t="shared" si="328"/>
        <v>0.8729900132956171</v>
      </c>
      <c r="L1660" s="27">
        <f t="shared" ca="1" si="329"/>
        <v>0</v>
      </c>
      <c r="M1660" s="27">
        <f t="shared" ca="1" si="330"/>
        <v>0</v>
      </c>
      <c r="N1660" s="28">
        <f t="shared" ca="1" si="331"/>
        <v>0</v>
      </c>
      <c r="O1660" s="29">
        <f t="shared" ca="1" si="332"/>
        <v>0</v>
      </c>
      <c r="P1660" s="30">
        <f t="shared" ca="1" si="333"/>
        <v>0</v>
      </c>
    </row>
    <row r="1661" spans="1:16" x14ac:dyDescent="0.25">
      <c r="A1661" s="3">
        <f t="shared" si="334"/>
        <v>48437</v>
      </c>
      <c r="B1661" s="21">
        <f t="shared" si="325"/>
        <v>36749</v>
      </c>
      <c r="C1661" s="21">
        <f t="shared" si="326"/>
        <v>36789</v>
      </c>
      <c r="D1661" s="1">
        <f t="shared" si="335"/>
        <v>0</v>
      </c>
      <c r="E1661" s="3">
        <f t="array" ref="E1661">INDEX($A$9:A1660, MAX(IF($D$9:D1660=1, ROW(D$9:$D1660)-ROW($D$9)+1, 0)))</f>
        <v>48386</v>
      </c>
      <c r="F1661" s="23">
        <f t="shared" si="327"/>
        <v>6.3299110198494182</v>
      </c>
      <c r="G1661" s="5">
        <f>INDEX('Default Prob'!$P$5:$P$14,MIN(1+_xlfn.IFNA(MATCH(F1661,'Default Prob'!$F$5:$F$14,1),0),COUNT('Default Prob'!$P$5:$P$14)))</f>
        <v>3.363522017633732E-2</v>
      </c>
      <c r="H1661" s="5">
        <f t="shared" si="336"/>
        <v>0.85971897548660836</v>
      </c>
      <c r="I1661" s="24">
        <f t="shared" si="337"/>
        <v>7.9173630447848531E-5</v>
      </c>
      <c r="J1661" s="25">
        <f>INDEX('Default Prob'!$C$3:$C$13, _xlfn.IFNA(MATCH(F1661, 'Default Prob'!$B$3:$B$13, 1), 1))</f>
        <v>2.1700000000000001E-2</v>
      </c>
      <c r="K1661" s="26">
        <f t="shared" si="328"/>
        <v>0.8729387040079386</v>
      </c>
      <c r="L1661" s="27">
        <f t="shared" ca="1" si="329"/>
        <v>0</v>
      </c>
      <c r="M1661" s="27">
        <f t="shared" ca="1" si="330"/>
        <v>0</v>
      </c>
      <c r="N1661" s="28">
        <f t="shared" ca="1" si="331"/>
        <v>0</v>
      </c>
      <c r="O1661" s="29">
        <f t="shared" ca="1" si="332"/>
        <v>0</v>
      </c>
      <c r="P1661" s="30">
        <f t="shared" ca="1" si="333"/>
        <v>0</v>
      </c>
    </row>
    <row r="1662" spans="1:16" x14ac:dyDescent="0.25">
      <c r="A1662" s="3">
        <f t="shared" si="334"/>
        <v>48438</v>
      </c>
      <c r="B1662" s="21">
        <f t="shared" si="325"/>
        <v>36750</v>
      </c>
      <c r="C1662" s="21">
        <f t="shared" si="326"/>
        <v>36789</v>
      </c>
      <c r="D1662" s="1">
        <f t="shared" si="335"/>
        <v>0</v>
      </c>
      <c r="E1662" s="3">
        <f t="array" ref="E1662">INDEX($A$9:A1661, MAX(IF($D$9:D1661=1, ROW(D$9:$D1661)-ROW($D$9)+1, 0)))</f>
        <v>48386</v>
      </c>
      <c r="F1662" s="23">
        <f t="shared" si="327"/>
        <v>6.3326488706365502</v>
      </c>
      <c r="G1662" s="5">
        <f>INDEX('Default Prob'!$P$5:$P$14,MIN(1+_xlfn.IFNA(MATCH(F1662,'Default Prob'!$F$5:$F$14,1),0),COUNT('Default Prob'!$P$5:$P$14)))</f>
        <v>3.363522017633732E-2</v>
      </c>
      <c r="H1662" s="5">
        <f t="shared" si="336"/>
        <v>0.85963980914678306</v>
      </c>
      <c r="I1662" s="24">
        <f t="shared" si="337"/>
        <v>7.9166339825298415E-5</v>
      </c>
      <c r="J1662" s="25">
        <f>INDEX('Default Prob'!$C$3:$C$13, _xlfn.IFNA(MATCH(F1662, 'Default Prob'!$B$3:$B$13, 1), 1))</f>
        <v>2.1700000000000001E-2</v>
      </c>
      <c r="K1662" s="26">
        <f t="shared" si="328"/>
        <v>0.87288739773592228</v>
      </c>
      <c r="L1662" s="27">
        <f t="shared" ca="1" si="329"/>
        <v>0</v>
      </c>
      <c r="M1662" s="27">
        <f t="shared" ca="1" si="330"/>
        <v>0</v>
      </c>
      <c r="N1662" s="28">
        <f t="shared" ca="1" si="331"/>
        <v>0</v>
      </c>
      <c r="O1662" s="29">
        <f t="shared" ca="1" si="332"/>
        <v>0</v>
      </c>
      <c r="P1662" s="30">
        <f t="shared" ca="1" si="333"/>
        <v>0</v>
      </c>
    </row>
    <row r="1663" spans="1:16" x14ac:dyDescent="0.25">
      <c r="A1663" s="3">
        <f t="shared" si="334"/>
        <v>48439</v>
      </c>
      <c r="B1663" s="21">
        <f t="shared" si="325"/>
        <v>36751</v>
      </c>
      <c r="C1663" s="21">
        <f t="shared" si="326"/>
        <v>36789</v>
      </c>
      <c r="D1663" s="1">
        <f t="shared" si="335"/>
        <v>0</v>
      </c>
      <c r="E1663" s="3">
        <f t="array" ref="E1663">INDEX($A$9:A1662, MAX(IF($D$9:D1662=1, ROW(D$9:$D1662)-ROW($D$9)+1, 0)))</f>
        <v>48386</v>
      </c>
      <c r="F1663" s="23">
        <f t="shared" si="327"/>
        <v>6.3353867214236823</v>
      </c>
      <c r="G1663" s="5">
        <f>INDEX('Default Prob'!$P$5:$P$14,MIN(1+_xlfn.IFNA(MATCH(F1663,'Default Prob'!$F$5:$F$14,1),0),COUNT('Default Prob'!$P$5:$P$14)))</f>
        <v>3.363522017633732E-2</v>
      </c>
      <c r="H1663" s="5">
        <f t="shared" si="336"/>
        <v>0.85956065009690896</v>
      </c>
      <c r="I1663" s="24">
        <f t="shared" si="337"/>
        <v>7.9159049874100162E-5</v>
      </c>
      <c r="J1663" s="25">
        <f>INDEX('Default Prob'!$C$3:$C$13, _xlfn.IFNA(MATCH(F1663, 'Default Prob'!$B$3:$B$13, 1), 1))</f>
        <v>2.1700000000000001E-2</v>
      </c>
      <c r="K1663" s="26">
        <f t="shared" si="328"/>
        <v>0.87283609447939114</v>
      </c>
      <c r="L1663" s="27">
        <f t="shared" ca="1" si="329"/>
        <v>0</v>
      </c>
      <c r="M1663" s="27">
        <f t="shared" ca="1" si="330"/>
        <v>0</v>
      </c>
      <c r="N1663" s="28">
        <f t="shared" ca="1" si="331"/>
        <v>0</v>
      </c>
      <c r="O1663" s="29">
        <f t="shared" ca="1" si="332"/>
        <v>0</v>
      </c>
      <c r="P1663" s="30">
        <f t="shared" ca="1" si="333"/>
        <v>0</v>
      </c>
    </row>
    <row r="1664" spans="1:16" x14ac:dyDescent="0.25">
      <c r="A1664" s="3">
        <f t="shared" si="334"/>
        <v>48442</v>
      </c>
      <c r="B1664" s="21">
        <f t="shared" si="325"/>
        <v>36754</v>
      </c>
      <c r="C1664" s="21">
        <f t="shared" si="326"/>
        <v>36789</v>
      </c>
      <c r="D1664" s="1">
        <f t="shared" si="335"/>
        <v>0</v>
      </c>
      <c r="E1664" s="3">
        <f t="array" ref="E1664">INDEX($A$9:A1663, MAX(IF($D$9:D1663=1, ROW(D$9:$D1663)-ROW($D$9)+1, 0)))</f>
        <v>48386</v>
      </c>
      <c r="F1664" s="23">
        <f t="shared" si="327"/>
        <v>6.3436002737850785</v>
      </c>
      <c r="G1664" s="5">
        <f>INDEX('Default Prob'!$P$5:$P$14,MIN(1+_xlfn.IFNA(MATCH(F1664,'Default Prob'!$F$5:$F$14,1),0),COUNT('Default Prob'!$P$5:$P$14)))</f>
        <v>3.363522017633732E-2</v>
      </c>
      <c r="H1664" s="5">
        <f t="shared" si="336"/>
        <v>0.859323216680281</v>
      </c>
      <c r="I1664" s="24">
        <f t="shared" si="337"/>
        <v>2.3743341662796347E-4</v>
      </c>
      <c r="J1664" s="25">
        <f>INDEX('Default Prob'!$C$3:$C$13, _xlfn.IFNA(MATCH(F1664, 'Default Prob'!$B$3:$B$13, 1), 1))</f>
        <v>2.1700000000000001E-2</v>
      </c>
      <c r="K1664" s="26">
        <f t="shared" si="328"/>
        <v>0.87268220280093478</v>
      </c>
      <c r="L1664" s="27">
        <f t="shared" ca="1" si="329"/>
        <v>0</v>
      </c>
      <c r="M1664" s="27">
        <f t="shared" ca="1" si="330"/>
        <v>0</v>
      </c>
      <c r="N1664" s="28">
        <f t="shared" ca="1" si="331"/>
        <v>0</v>
      </c>
      <c r="O1664" s="29">
        <f t="shared" ca="1" si="332"/>
        <v>0</v>
      </c>
      <c r="P1664" s="30">
        <f t="shared" ca="1" si="333"/>
        <v>0</v>
      </c>
    </row>
    <row r="1665" spans="1:16" x14ac:dyDescent="0.25">
      <c r="A1665" s="3">
        <f t="shared" si="334"/>
        <v>48443</v>
      </c>
      <c r="B1665" s="21">
        <f t="shared" si="325"/>
        <v>36755</v>
      </c>
      <c r="C1665" s="21">
        <f t="shared" si="326"/>
        <v>36789</v>
      </c>
      <c r="D1665" s="1">
        <f t="shared" si="335"/>
        <v>0</v>
      </c>
      <c r="E1665" s="3">
        <f t="array" ref="E1665">INDEX($A$9:A1664, MAX(IF($D$9:D1664=1, ROW(D$9:$D1664)-ROW($D$9)+1, 0)))</f>
        <v>48386</v>
      </c>
      <c r="F1665" s="23">
        <f t="shared" si="327"/>
        <v>6.3463381245722106</v>
      </c>
      <c r="G1665" s="5">
        <f>INDEX('Default Prob'!$P$5:$P$14,MIN(1+_xlfn.IFNA(MATCH(F1665,'Default Prob'!$F$5:$F$14,1),0),COUNT('Default Prob'!$P$5:$P$14)))</f>
        <v>3.363522017633732E-2</v>
      </c>
      <c r="H1665" s="5">
        <f t="shared" si="336"/>
        <v>0.85924408678349939</v>
      </c>
      <c r="I1665" s="24">
        <f t="shared" si="337"/>
        <v>7.9129896781604536E-5</v>
      </c>
      <c r="J1665" s="25">
        <f>INDEX('Default Prob'!$C$3:$C$13, _xlfn.IFNA(MATCH(F1665, 'Default Prob'!$B$3:$B$13, 1), 1))</f>
        <v>2.1700000000000001E-2</v>
      </c>
      <c r="K1665" s="26">
        <f t="shared" si="328"/>
        <v>0.87263091160457118</v>
      </c>
      <c r="L1665" s="27">
        <f t="shared" ca="1" si="329"/>
        <v>0</v>
      </c>
      <c r="M1665" s="27">
        <f t="shared" ca="1" si="330"/>
        <v>0</v>
      </c>
      <c r="N1665" s="28">
        <f t="shared" ca="1" si="331"/>
        <v>0</v>
      </c>
      <c r="O1665" s="29">
        <f t="shared" ca="1" si="332"/>
        <v>0</v>
      </c>
      <c r="P1665" s="30">
        <f t="shared" ca="1" si="333"/>
        <v>0</v>
      </c>
    </row>
    <row r="1666" spans="1:16" x14ac:dyDescent="0.25">
      <c r="A1666" s="3">
        <f t="shared" si="334"/>
        <v>48444</v>
      </c>
      <c r="B1666" s="21">
        <f t="shared" si="325"/>
        <v>36756</v>
      </c>
      <c r="C1666" s="21">
        <f t="shared" si="326"/>
        <v>36789</v>
      </c>
      <c r="D1666" s="1">
        <f t="shared" si="335"/>
        <v>0</v>
      </c>
      <c r="E1666" s="3">
        <f t="array" ref="E1666">INDEX($A$9:A1665, MAX(IF($D$9:D1665=1, ROW(D$9:$D1665)-ROW($D$9)+1, 0)))</f>
        <v>48386</v>
      </c>
      <c r="F1666" s="23">
        <f t="shared" si="327"/>
        <v>6.3490759753593426</v>
      </c>
      <c r="G1666" s="5">
        <f>INDEX('Default Prob'!$P$5:$P$14,MIN(1+_xlfn.IFNA(MATCH(F1666,'Default Prob'!$F$5:$F$14,1),0),COUNT('Default Prob'!$P$5:$P$14)))</f>
        <v>3.363522017633732E-2</v>
      </c>
      <c r="H1666" s="5">
        <f t="shared" si="336"/>
        <v>0.85916496417331312</v>
      </c>
      <c r="I1666" s="24">
        <f t="shared" si="337"/>
        <v>7.912261018627742E-5</v>
      </c>
      <c r="J1666" s="25">
        <f>INDEX('Default Prob'!$C$3:$C$13, _xlfn.IFNA(MATCH(F1666, 'Default Prob'!$B$3:$B$13, 1), 1))</f>
        <v>2.1700000000000001E-2</v>
      </c>
      <c r="K1666" s="26">
        <f t="shared" si="328"/>
        <v>0.87257962342280648</v>
      </c>
      <c r="L1666" s="27">
        <f t="shared" ca="1" si="329"/>
        <v>0</v>
      </c>
      <c r="M1666" s="27">
        <f t="shared" ca="1" si="330"/>
        <v>0</v>
      </c>
      <c r="N1666" s="28">
        <f t="shared" ca="1" si="331"/>
        <v>0</v>
      </c>
      <c r="O1666" s="29">
        <f t="shared" ca="1" si="332"/>
        <v>0</v>
      </c>
      <c r="P1666" s="30">
        <f t="shared" ca="1" si="333"/>
        <v>0</v>
      </c>
    </row>
    <row r="1667" spans="1:16" x14ac:dyDescent="0.25">
      <c r="A1667" s="3">
        <f t="shared" si="334"/>
        <v>48445</v>
      </c>
      <c r="B1667" s="21">
        <f t="shared" si="325"/>
        <v>36757</v>
      </c>
      <c r="C1667" s="21">
        <f t="shared" si="326"/>
        <v>36789</v>
      </c>
      <c r="D1667" s="1">
        <f t="shared" si="335"/>
        <v>0</v>
      </c>
      <c r="E1667" s="3">
        <f t="array" ref="E1667">INDEX($A$9:A1666, MAX(IF($D$9:D1666=1, ROW(D$9:$D1666)-ROW($D$9)+1, 0)))</f>
        <v>48386</v>
      </c>
      <c r="F1667" s="23">
        <f t="shared" si="327"/>
        <v>6.3518138261464747</v>
      </c>
      <c r="G1667" s="5">
        <f>INDEX('Default Prob'!$P$5:$P$14,MIN(1+_xlfn.IFNA(MATCH(F1667,'Default Prob'!$F$5:$F$14,1),0),COUNT('Default Prob'!$P$5:$P$14)))</f>
        <v>3.363522017633732E-2</v>
      </c>
      <c r="H1667" s="5">
        <f t="shared" si="336"/>
        <v>0.85908584884905126</v>
      </c>
      <c r="I1667" s="24">
        <f t="shared" si="337"/>
        <v>7.9115324261858078E-5</v>
      </c>
      <c r="J1667" s="25">
        <f>INDEX('Default Prob'!$C$3:$C$13, _xlfn.IFNA(MATCH(F1667, 'Default Prob'!$B$3:$B$13, 1), 1))</f>
        <v>2.1700000000000001E-2</v>
      </c>
      <c r="K1667" s="26">
        <f t="shared" si="328"/>
        <v>0.8725283382554635</v>
      </c>
      <c r="L1667" s="27">
        <f t="shared" ca="1" si="329"/>
        <v>0</v>
      </c>
      <c r="M1667" s="27">
        <f t="shared" ca="1" si="330"/>
        <v>0</v>
      </c>
      <c r="N1667" s="28">
        <f t="shared" ca="1" si="331"/>
        <v>0</v>
      </c>
      <c r="O1667" s="29">
        <f t="shared" ca="1" si="332"/>
        <v>0</v>
      </c>
      <c r="P1667" s="30">
        <f t="shared" ca="1" si="333"/>
        <v>0</v>
      </c>
    </row>
    <row r="1668" spans="1:16" x14ac:dyDescent="0.25">
      <c r="A1668" s="3">
        <f t="shared" si="334"/>
        <v>48446</v>
      </c>
      <c r="B1668" s="21">
        <f t="shared" si="325"/>
        <v>36758</v>
      </c>
      <c r="C1668" s="21">
        <f t="shared" si="326"/>
        <v>36789</v>
      </c>
      <c r="D1668" s="1">
        <f t="shared" si="335"/>
        <v>0</v>
      </c>
      <c r="E1668" s="3">
        <f t="array" ref="E1668">INDEX($A$9:A1667, MAX(IF($D$9:D1667=1, ROW(D$9:$D1667)-ROW($D$9)+1, 0)))</f>
        <v>48386</v>
      </c>
      <c r="F1668" s="23">
        <f t="shared" si="327"/>
        <v>6.3545516769336068</v>
      </c>
      <c r="G1668" s="5">
        <f>INDEX('Default Prob'!$P$5:$P$14,MIN(1+_xlfn.IFNA(MATCH(F1668,'Default Prob'!$F$5:$F$14,1),0),COUNT('Default Prob'!$P$5:$P$14)))</f>
        <v>3.363522017633732E-2</v>
      </c>
      <c r="H1668" s="5">
        <f t="shared" si="336"/>
        <v>0.8590067408100428</v>
      </c>
      <c r="I1668" s="24">
        <f t="shared" si="337"/>
        <v>7.9108039008457531E-5</v>
      </c>
      <c r="J1668" s="25">
        <f>INDEX('Default Prob'!$C$3:$C$13, _xlfn.IFNA(MATCH(F1668, 'Default Prob'!$B$3:$B$13, 1), 1))</f>
        <v>2.1700000000000001E-2</v>
      </c>
      <c r="K1668" s="26">
        <f t="shared" si="328"/>
        <v>0.87247705610236503</v>
      </c>
      <c r="L1668" s="27">
        <f t="shared" ca="1" si="329"/>
        <v>0</v>
      </c>
      <c r="M1668" s="27">
        <f t="shared" ca="1" si="330"/>
        <v>0</v>
      </c>
      <c r="N1668" s="28">
        <f t="shared" ca="1" si="331"/>
        <v>0</v>
      </c>
      <c r="O1668" s="29">
        <f t="shared" ca="1" si="332"/>
        <v>0</v>
      </c>
      <c r="P1668" s="30">
        <f t="shared" ca="1" si="333"/>
        <v>0</v>
      </c>
    </row>
    <row r="1669" spans="1:16" x14ac:dyDescent="0.25">
      <c r="A1669" s="3">
        <f t="shared" si="334"/>
        <v>48449</v>
      </c>
      <c r="B1669" s="21">
        <f t="shared" si="325"/>
        <v>36761</v>
      </c>
      <c r="C1669" s="21">
        <f t="shared" si="326"/>
        <v>36789</v>
      </c>
      <c r="D1669" s="1">
        <f t="shared" si="335"/>
        <v>0</v>
      </c>
      <c r="E1669" s="3">
        <f t="array" ref="E1669">INDEX($A$9:A1668, MAX(IF($D$9:D1668=1, ROW(D$9:$D1668)-ROW($D$9)+1, 0)))</f>
        <v>48386</v>
      </c>
      <c r="F1669" s="23">
        <f t="shared" si="327"/>
        <v>6.362765229295003</v>
      </c>
      <c r="G1669" s="5">
        <f>INDEX('Default Prob'!$P$5:$P$14,MIN(1+_xlfn.IFNA(MATCH(F1669,'Default Prob'!$F$5:$F$14,1),0),COUNT('Default Prob'!$P$5:$P$14)))</f>
        <v>3.363522017633732E-2</v>
      </c>
      <c r="H1669" s="5">
        <f t="shared" si="336"/>
        <v>0.85876946039782998</v>
      </c>
      <c r="I1669" s="24">
        <f t="shared" si="337"/>
        <v>2.3728041221282581E-4</v>
      </c>
      <c r="J1669" s="25">
        <f>INDEX('Default Prob'!$C$3:$C$13, _xlfn.IFNA(MATCH(F1669, 'Default Prob'!$B$3:$B$13, 1), 1))</f>
        <v>2.1700000000000001E-2</v>
      </c>
      <c r="K1669" s="26">
        <f t="shared" si="328"/>
        <v>0.87232322772676574</v>
      </c>
      <c r="L1669" s="27">
        <f t="shared" ca="1" si="329"/>
        <v>0</v>
      </c>
      <c r="M1669" s="27">
        <f t="shared" ca="1" si="330"/>
        <v>0</v>
      </c>
      <c r="N1669" s="28">
        <f t="shared" ca="1" si="331"/>
        <v>0</v>
      </c>
      <c r="O1669" s="29">
        <f t="shared" ca="1" si="332"/>
        <v>0</v>
      </c>
      <c r="P1669" s="30">
        <f t="shared" ca="1" si="333"/>
        <v>0</v>
      </c>
    </row>
    <row r="1670" spans="1:16" x14ac:dyDescent="0.25">
      <c r="A1670" s="3">
        <f t="shared" si="334"/>
        <v>48450</v>
      </c>
      <c r="B1670" s="21">
        <f t="shared" si="325"/>
        <v>36762</v>
      </c>
      <c r="C1670" s="21">
        <f t="shared" si="326"/>
        <v>36789</v>
      </c>
      <c r="D1670" s="1">
        <f t="shared" si="335"/>
        <v>0</v>
      </c>
      <c r="E1670" s="3">
        <f t="array" ref="E1670">INDEX($A$9:A1669, MAX(IF($D$9:D1669=1, ROW(D$9:$D1669)-ROW($D$9)+1, 0)))</f>
        <v>48386</v>
      </c>
      <c r="F1670" s="23">
        <f t="shared" si="327"/>
        <v>6.3655030800821359</v>
      </c>
      <c r="G1670" s="5">
        <f>INDEX('Default Prob'!$P$5:$P$14,MIN(1+_xlfn.IFNA(MATCH(F1670,'Default Prob'!$F$5:$F$14,1),0),COUNT('Default Prob'!$P$5:$P$14)))</f>
        <v>3.363522017633732E-2</v>
      </c>
      <c r="H1670" s="5">
        <f t="shared" si="336"/>
        <v>0.85869038149312749</v>
      </c>
      <c r="I1670" s="24">
        <f t="shared" si="337"/>
        <v>7.9078904702489794E-5</v>
      </c>
      <c r="J1670" s="25">
        <f>INDEX('Default Prob'!$C$3:$C$13, _xlfn.IFNA(MATCH(F1670, 'Default Prob'!$B$3:$B$13, 1), 1))</f>
        <v>2.1700000000000001E-2</v>
      </c>
      <c r="K1670" s="26">
        <f t="shared" si="328"/>
        <v>0.87227195762887411</v>
      </c>
      <c r="L1670" s="27">
        <f t="shared" ca="1" si="329"/>
        <v>0</v>
      </c>
      <c r="M1670" s="27">
        <f t="shared" ca="1" si="330"/>
        <v>0</v>
      </c>
      <c r="N1670" s="28">
        <f t="shared" ca="1" si="331"/>
        <v>0</v>
      </c>
      <c r="O1670" s="29">
        <f t="shared" ca="1" si="332"/>
        <v>0</v>
      </c>
      <c r="P1670" s="30">
        <f t="shared" ca="1" si="333"/>
        <v>0</v>
      </c>
    </row>
    <row r="1671" spans="1:16" x14ac:dyDescent="0.25">
      <c r="A1671" s="3">
        <f t="shared" si="334"/>
        <v>48451</v>
      </c>
      <c r="B1671" s="21">
        <f t="shared" si="325"/>
        <v>36763</v>
      </c>
      <c r="C1671" s="21">
        <f t="shared" si="326"/>
        <v>36789</v>
      </c>
      <c r="D1671" s="1">
        <f t="shared" si="335"/>
        <v>0</v>
      </c>
      <c r="E1671" s="3">
        <f t="array" ref="E1671">INDEX($A$9:A1670, MAX(IF($D$9:D1670=1, ROW(D$9:$D1670)-ROW($D$9)+1, 0)))</f>
        <v>48386</v>
      </c>
      <c r="F1671" s="23">
        <f t="shared" si="327"/>
        <v>6.368240930869268</v>
      </c>
      <c r="G1671" s="5">
        <f>INDEX('Default Prob'!$P$5:$P$14,MIN(1+_xlfn.IFNA(MATCH(F1671,'Default Prob'!$F$5:$F$14,1),0),COUNT('Default Prob'!$P$5:$P$14)))</f>
        <v>3.363522017633732E-2</v>
      </c>
      <c r="H1671" s="5">
        <f t="shared" si="336"/>
        <v>0.85861130987032475</v>
      </c>
      <c r="I1671" s="24">
        <f t="shared" si="337"/>
        <v>7.9071622802739938E-5</v>
      </c>
      <c r="J1671" s="25">
        <f>INDEX('Default Prob'!$C$3:$C$13, _xlfn.IFNA(MATCH(F1671, 'Default Prob'!$B$3:$B$13, 1), 1))</f>
        <v>2.1700000000000001E-2</v>
      </c>
      <c r="K1671" s="26">
        <f t="shared" si="328"/>
        <v>0.87222069054434137</v>
      </c>
      <c r="L1671" s="27">
        <f t="shared" ca="1" si="329"/>
        <v>0</v>
      </c>
      <c r="M1671" s="27">
        <f t="shared" ca="1" si="330"/>
        <v>0</v>
      </c>
      <c r="N1671" s="28">
        <f t="shared" ca="1" si="331"/>
        <v>0</v>
      </c>
      <c r="O1671" s="29">
        <f t="shared" ca="1" si="332"/>
        <v>0</v>
      </c>
      <c r="P1671" s="30">
        <f t="shared" ca="1" si="333"/>
        <v>0</v>
      </c>
    </row>
    <row r="1672" spans="1:16" x14ac:dyDescent="0.25">
      <c r="A1672" s="3">
        <f t="shared" si="334"/>
        <v>48452</v>
      </c>
      <c r="B1672" s="21">
        <f t="shared" si="325"/>
        <v>36764</v>
      </c>
      <c r="C1672" s="21">
        <f t="shared" si="326"/>
        <v>36789</v>
      </c>
      <c r="D1672" s="1">
        <f t="shared" si="335"/>
        <v>0</v>
      </c>
      <c r="E1672" s="3">
        <f t="array" ref="E1672">INDEX($A$9:A1671, MAX(IF($D$9:D1671=1, ROW(D$9:$D1671)-ROW($D$9)+1, 0)))</f>
        <v>48386</v>
      </c>
      <c r="F1672" s="23">
        <f t="shared" si="327"/>
        <v>6.3709787816564001</v>
      </c>
      <c r="G1672" s="5">
        <f>INDEX('Default Prob'!$P$5:$P$14,MIN(1+_xlfn.IFNA(MATCH(F1672,'Default Prob'!$F$5:$F$14,1),0),COUNT('Default Prob'!$P$5:$P$14)))</f>
        <v>3.363522017633732E-2</v>
      </c>
      <c r="H1672" s="5">
        <f t="shared" si="336"/>
        <v>0.85853224552875129</v>
      </c>
      <c r="I1672" s="24">
        <f t="shared" si="337"/>
        <v>7.9064341573453767E-5</v>
      </c>
      <c r="J1672" s="25">
        <f>INDEX('Default Prob'!$C$3:$C$13, _xlfn.IFNA(MATCH(F1672, 'Default Prob'!$B$3:$B$13, 1), 1))</f>
        <v>2.1700000000000001E-2</v>
      </c>
      <c r="K1672" s="26">
        <f t="shared" si="328"/>
        <v>0.87216942647299034</v>
      </c>
      <c r="L1672" s="27">
        <f t="shared" ca="1" si="329"/>
        <v>0</v>
      </c>
      <c r="M1672" s="27">
        <f t="shared" ca="1" si="330"/>
        <v>0</v>
      </c>
      <c r="N1672" s="28">
        <f t="shared" ca="1" si="331"/>
        <v>0</v>
      </c>
      <c r="O1672" s="29">
        <f t="shared" ca="1" si="332"/>
        <v>0</v>
      </c>
      <c r="P1672" s="30">
        <f t="shared" ca="1" si="333"/>
        <v>0</v>
      </c>
    </row>
    <row r="1673" spans="1:16" x14ac:dyDescent="0.25">
      <c r="A1673" s="3">
        <f t="shared" si="334"/>
        <v>48453</v>
      </c>
      <c r="B1673" s="21">
        <f t="shared" ref="B1673:B1736" si="338">DATE(2000, MONTH(A1673), DAY(A1673))</f>
        <v>36765</v>
      </c>
      <c r="C1673" s="21">
        <f t="shared" ref="C1673:C1736" si="339">VLOOKUP(B1673, $R$9:$S$13, 2)</f>
        <v>36789</v>
      </c>
      <c r="D1673" s="1">
        <f t="shared" si="335"/>
        <v>0</v>
      </c>
      <c r="E1673" s="3">
        <f t="array" ref="E1673">INDEX($A$9:A1672, MAX(IF($D$9:D1672=1, ROW(D$9:$D1672)-ROW($D$9)+1, 0)))</f>
        <v>48386</v>
      </c>
      <c r="F1673" s="23">
        <f t="shared" ref="F1673:F1736" si="340">(A1673-$A$2)/365.25</f>
        <v>6.3737166324435321</v>
      </c>
      <c r="G1673" s="5">
        <f>INDEX('Default Prob'!$P$5:$P$14,MIN(1+_xlfn.IFNA(MATCH(F1673,'Default Prob'!$F$5:$F$14,1),0),COUNT('Default Prob'!$P$5:$P$14)))</f>
        <v>3.363522017633732E-2</v>
      </c>
      <c r="H1673" s="5">
        <f t="shared" si="336"/>
        <v>0.85845318846773666</v>
      </c>
      <c r="I1673" s="24">
        <f t="shared" si="337"/>
        <v>7.905706101463128E-5</v>
      </c>
      <c r="J1673" s="25">
        <f>INDEX('Default Prob'!$C$3:$C$13, _xlfn.IFNA(MATCH(F1673, 'Default Prob'!$B$3:$B$13, 1), 1))</f>
        <v>2.1700000000000001E-2</v>
      </c>
      <c r="K1673" s="26">
        <f t="shared" ref="K1673:K1736" si="341">1/((1+J1673)^F1673)</f>
        <v>0.87211816541464404</v>
      </c>
      <c r="L1673" s="27">
        <f t="shared" ref="L1673:L1736" ca="1" si="342">IF(AND(D1673, A1673 &lt;= $G$2), $D$5*$D$2*(A1673-E1673)/365.25, 0)</f>
        <v>0</v>
      </c>
      <c r="M1673" s="27">
        <f t="shared" ref="M1673:M1736" ca="1" si="343">IF(A1673&lt;=$G$2, $D$5*$D$2*(A1673-E1673)/365.25, 0)</f>
        <v>0</v>
      </c>
      <c r="N1673" s="28">
        <f t="shared" ref="N1673:N1736" ca="1" si="344">(L1673*H1673 + M1673*I1673) * K1673</f>
        <v>0</v>
      </c>
      <c r="O1673" s="29">
        <f t="shared" ref="O1673:O1736" ca="1" si="345">IF(A1673&lt;=$G$2, $D$2*(1-$D$3), 0)</f>
        <v>0</v>
      </c>
      <c r="P1673" s="30">
        <f t="shared" ref="P1673:P1736" ca="1" si="346">O1673*I1673*K1673</f>
        <v>0</v>
      </c>
    </row>
    <row r="1674" spans="1:16" x14ac:dyDescent="0.25">
      <c r="A1674" s="3">
        <f t="shared" ref="A1674:A1737" si="347">WORKDAY(A1673, 1)</f>
        <v>48456</v>
      </c>
      <c r="B1674" s="21">
        <f t="shared" si="338"/>
        <v>36768</v>
      </c>
      <c r="C1674" s="21">
        <f t="shared" si="339"/>
        <v>36789</v>
      </c>
      <c r="D1674" s="1">
        <f t="shared" ref="D1674:D1737" si="348">IF(OR(C1674=B1674, AND(C1674&lt;&gt;C1673, C1673&gt;B1673)), 1, 0)</f>
        <v>0</v>
      </c>
      <c r="E1674" s="3">
        <f t="array" ref="E1674">INDEX($A$9:A1673, MAX(IF($D$9:D1673=1, ROW(D$9:$D1673)-ROW($D$9)+1, 0)))</f>
        <v>48386</v>
      </c>
      <c r="F1674" s="23">
        <f t="shared" si="340"/>
        <v>6.3819301848049284</v>
      </c>
      <c r="G1674" s="5">
        <f>INDEX('Default Prob'!$P$5:$P$14,MIN(1+_xlfn.IFNA(MATCH(F1674,'Default Prob'!$F$5:$F$14,1),0),COUNT('Default Prob'!$P$5:$P$14)))</f>
        <v>3.363522017633732E-2</v>
      </c>
      <c r="H1674" s="5">
        <f t="shared" ref="H1674:H1737" si="349">H1673*EXP(-G1673*(F1674-F1673))</f>
        <v>0.85821606096134129</v>
      </c>
      <c r="I1674" s="24">
        <f t="shared" ref="I1674:I1737" si="350">H1673-H1674</f>
        <v>2.3712750639537372E-4</v>
      </c>
      <c r="J1674" s="25">
        <f>INDEX('Default Prob'!$C$3:$C$13, _xlfn.IFNA(MATCH(F1674, 'Default Prob'!$B$3:$B$13, 1), 1))</f>
        <v>2.1700000000000001E-2</v>
      </c>
      <c r="K1674" s="26">
        <f t="shared" si="341"/>
        <v>0.8719644003158622</v>
      </c>
      <c r="L1674" s="27">
        <f t="shared" ca="1" si="342"/>
        <v>0</v>
      </c>
      <c r="M1674" s="27">
        <f t="shared" ca="1" si="343"/>
        <v>0</v>
      </c>
      <c r="N1674" s="28">
        <f t="shared" ca="1" si="344"/>
        <v>0</v>
      </c>
      <c r="O1674" s="29">
        <f t="shared" ca="1" si="345"/>
        <v>0</v>
      </c>
      <c r="P1674" s="30">
        <f t="shared" ca="1" si="346"/>
        <v>0</v>
      </c>
    </row>
    <row r="1675" spans="1:16" x14ac:dyDescent="0.25">
      <c r="A1675" s="3">
        <f t="shared" si="347"/>
        <v>48457</v>
      </c>
      <c r="B1675" s="21">
        <f t="shared" si="338"/>
        <v>36769</v>
      </c>
      <c r="C1675" s="21">
        <f t="shared" si="339"/>
        <v>36789</v>
      </c>
      <c r="D1675" s="1">
        <f t="shared" si="348"/>
        <v>0</v>
      </c>
      <c r="E1675" s="3">
        <f t="array" ref="E1675">INDEX($A$9:A1674, MAX(IF($D$9:D1674=1, ROW(D$9:$D1674)-ROW($D$9)+1, 0)))</f>
        <v>48386</v>
      </c>
      <c r="F1675" s="23">
        <f t="shared" si="340"/>
        <v>6.3846680355920604</v>
      </c>
      <c r="G1675" s="5">
        <f>INDEX('Default Prob'!$P$5:$P$14,MIN(1+_xlfn.IFNA(MATCH(F1675,'Default Prob'!$F$5:$F$14,1),0),COUNT('Default Prob'!$P$5:$P$14)))</f>
        <v>3.363522017633732E-2</v>
      </c>
      <c r="H1675" s="5">
        <f t="shared" si="349"/>
        <v>0.85813703301585809</v>
      </c>
      <c r="I1675" s="24">
        <f t="shared" si="350"/>
        <v>7.9027945483201023E-5</v>
      </c>
      <c r="J1675" s="25">
        <f>INDEX('Default Prob'!$C$3:$C$13, _xlfn.IFNA(MATCH(F1675, 'Default Prob'!$B$3:$B$13, 1), 1))</f>
        <v>2.1700000000000001E-2</v>
      </c>
      <c r="K1675" s="26">
        <f t="shared" si="341"/>
        <v>0.87191315130776392</v>
      </c>
      <c r="L1675" s="27">
        <f t="shared" ca="1" si="342"/>
        <v>0</v>
      </c>
      <c r="M1675" s="27">
        <f t="shared" ca="1" si="343"/>
        <v>0</v>
      </c>
      <c r="N1675" s="28">
        <f t="shared" ca="1" si="344"/>
        <v>0</v>
      </c>
      <c r="O1675" s="29">
        <f t="shared" ca="1" si="345"/>
        <v>0</v>
      </c>
      <c r="P1675" s="30">
        <f t="shared" ca="1" si="346"/>
        <v>0</v>
      </c>
    </row>
    <row r="1676" spans="1:16" x14ac:dyDescent="0.25">
      <c r="A1676" s="3">
        <f t="shared" si="347"/>
        <v>48458</v>
      </c>
      <c r="B1676" s="21">
        <f t="shared" si="338"/>
        <v>36770</v>
      </c>
      <c r="C1676" s="21">
        <f t="shared" si="339"/>
        <v>36789</v>
      </c>
      <c r="D1676" s="1">
        <f t="shared" si="348"/>
        <v>0</v>
      </c>
      <c r="E1676" s="3">
        <f t="array" ref="E1676">INDEX($A$9:A1675, MAX(IF($D$9:D1675=1, ROW(D$9:$D1675)-ROW($D$9)+1, 0)))</f>
        <v>48386</v>
      </c>
      <c r="F1676" s="23">
        <f t="shared" si="340"/>
        <v>6.3874058863791925</v>
      </c>
      <c r="G1676" s="5">
        <f>INDEX('Default Prob'!$P$5:$P$14,MIN(1+_xlfn.IFNA(MATCH(F1676,'Default Prob'!$F$5:$F$14,1),0),COUNT('Default Prob'!$P$5:$P$14)))</f>
        <v>3.363522017633732E-2</v>
      </c>
      <c r="H1676" s="5">
        <f t="shared" si="349"/>
        <v>0.85805801234758217</v>
      </c>
      <c r="I1676" s="24">
        <f t="shared" si="350"/>
        <v>7.9020668275919803E-5</v>
      </c>
      <c r="J1676" s="25">
        <f>INDEX('Default Prob'!$C$3:$C$13, _xlfn.IFNA(MATCH(F1676, 'Default Prob'!$B$3:$B$13, 1), 1))</f>
        <v>2.1700000000000001E-2</v>
      </c>
      <c r="K1676" s="26">
        <f t="shared" si="341"/>
        <v>0.87186190531178465</v>
      </c>
      <c r="L1676" s="27">
        <f t="shared" ca="1" si="342"/>
        <v>0</v>
      </c>
      <c r="M1676" s="27">
        <f t="shared" ca="1" si="343"/>
        <v>0</v>
      </c>
      <c r="N1676" s="28">
        <f t="shared" ca="1" si="344"/>
        <v>0</v>
      </c>
      <c r="O1676" s="29">
        <f t="shared" ca="1" si="345"/>
        <v>0</v>
      </c>
      <c r="P1676" s="30">
        <f t="shared" ca="1" si="346"/>
        <v>0</v>
      </c>
    </row>
    <row r="1677" spans="1:16" x14ac:dyDescent="0.25">
      <c r="A1677" s="3">
        <f t="shared" si="347"/>
        <v>48459</v>
      </c>
      <c r="B1677" s="21">
        <f t="shared" si="338"/>
        <v>36771</v>
      </c>
      <c r="C1677" s="21">
        <f t="shared" si="339"/>
        <v>36789</v>
      </c>
      <c r="D1677" s="1">
        <f t="shared" si="348"/>
        <v>0</v>
      </c>
      <c r="E1677" s="3">
        <f t="array" ref="E1677">INDEX($A$9:A1676, MAX(IF($D$9:D1676=1, ROW(D$9:$D1676)-ROW($D$9)+1, 0)))</f>
        <v>48386</v>
      </c>
      <c r="F1677" s="23">
        <f t="shared" si="340"/>
        <v>6.3901437371663246</v>
      </c>
      <c r="G1677" s="5">
        <f>INDEX('Default Prob'!$P$5:$P$14,MIN(1+_xlfn.IFNA(MATCH(F1677,'Default Prob'!$F$5:$F$14,1),0),COUNT('Default Prob'!$P$5:$P$14)))</f>
        <v>3.363522017633732E-2</v>
      </c>
      <c r="H1677" s="5">
        <f t="shared" si="349"/>
        <v>0.8579789989558434</v>
      </c>
      <c r="I1677" s="24">
        <f t="shared" si="350"/>
        <v>7.9013391738769201E-5</v>
      </c>
      <c r="J1677" s="25">
        <f>INDEX('Default Prob'!$C$3:$C$13, _xlfn.IFNA(MATCH(F1677, 'Default Prob'!$B$3:$B$13, 1), 1))</f>
        <v>2.1700000000000001E-2</v>
      </c>
      <c r="K1677" s="26">
        <f t="shared" si="341"/>
        <v>0.87181066232774806</v>
      </c>
      <c r="L1677" s="27">
        <f t="shared" ca="1" si="342"/>
        <v>0</v>
      </c>
      <c r="M1677" s="27">
        <f t="shared" ca="1" si="343"/>
        <v>0</v>
      </c>
      <c r="N1677" s="28">
        <f t="shared" ca="1" si="344"/>
        <v>0</v>
      </c>
      <c r="O1677" s="29">
        <f t="shared" ca="1" si="345"/>
        <v>0</v>
      </c>
      <c r="P1677" s="30">
        <f t="shared" ca="1" si="346"/>
        <v>0</v>
      </c>
    </row>
    <row r="1678" spans="1:16" x14ac:dyDescent="0.25">
      <c r="A1678" s="3">
        <f t="shared" si="347"/>
        <v>48460</v>
      </c>
      <c r="B1678" s="21">
        <f t="shared" si="338"/>
        <v>36772</v>
      </c>
      <c r="C1678" s="21">
        <f t="shared" si="339"/>
        <v>36789</v>
      </c>
      <c r="D1678" s="1">
        <f t="shared" si="348"/>
        <v>0</v>
      </c>
      <c r="E1678" s="3">
        <f t="array" ref="E1678">INDEX($A$9:A1677, MAX(IF($D$9:D1677=1, ROW(D$9:$D1677)-ROW($D$9)+1, 0)))</f>
        <v>48386</v>
      </c>
      <c r="F1678" s="23">
        <f t="shared" si="340"/>
        <v>6.3928815879534566</v>
      </c>
      <c r="G1678" s="5">
        <f>INDEX('Default Prob'!$P$5:$P$14,MIN(1+_xlfn.IFNA(MATCH(F1678,'Default Prob'!$F$5:$F$14,1),0),COUNT('Default Prob'!$P$5:$P$14)))</f>
        <v>3.363522017633732E-2</v>
      </c>
      <c r="H1678" s="5">
        <f t="shared" si="349"/>
        <v>0.85789999283997176</v>
      </c>
      <c r="I1678" s="24">
        <f t="shared" si="350"/>
        <v>7.9006115871638194E-5</v>
      </c>
      <c r="J1678" s="25">
        <f>INDEX('Default Prob'!$C$3:$C$13, _xlfn.IFNA(MATCH(F1678, 'Default Prob'!$B$3:$B$13, 1), 1))</f>
        <v>2.1700000000000001E-2</v>
      </c>
      <c r="K1678" s="26">
        <f t="shared" si="341"/>
        <v>0.87175942235547643</v>
      </c>
      <c r="L1678" s="27">
        <f t="shared" ca="1" si="342"/>
        <v>0</v>
      </c>
      <c r="M1678" s="27">
        <f t="shared" ca="1" si="343"/>
        <v>0</v>
      </c>
      <c r="N1678" s="28">
        <f t="shared" ca="1" si="344"/>
        <v>0</v>
      </c>
      <c r="O1678" s="29">
        <f t="shared" ca="1" si="345"/>
        <v>0</v>
      </c>
      <c r="P1678" s="30">
        <f t="shared" ca="1" si="346"/>
        <v>0</v>
      </c>
    </row>
    <row r="1679" spans="1:16" x14ac:dyDescent="0.25">
      <c r="A1679" s="3">
        <f t="shared" si="347"/>
        <v>48463</v>
      </c>
      <c r="B1679" s="21">
        <f t="shared" si="338"/>
        <v>36775</v>
      </c>
      <c r="C1679" s="21">
        <f t="shared" si="339"/>
        <v>36789</v>
      </c>
      <c r="D1679" s="1">
        <f t="shared" si="348"/>
        <v>0</v>
      </c>
      <c r="E1679" s="3">
        <f t="array" ref="E1679">INDEX($A$9:A1678, MAX(IF($D$9:D1678=1, ROW(D$9:$D1678)-ROW($D$9)+1, 0)))</f>
        <v>48386</v>
      </c>
      <c r="F1679" s="23">
        <f t="shared" si="340"/>
        <v>6.4010951403148528</v>
      </c>
      <c r="G1679" s="5">
        <f>INDEX('Default Prob'!$P$5:$P$14,MIN(1+_xlfn.IFNA(MATCH(F1679,'Default Prob'!$F$5:$F$14,1),0),COUNT('Default Prob'!$P$5:$P$14)))</f>
        <v>3.363522017633732E-2</v>
      </c>
      <c r="H1679" s="5">
        <f t="shared" si="349"/>
        <v>0.85766301814085999</v>
      </c>
      <c r="I1679" s="24">
        <f t="shared" si="350"/>
        <v>2.3697469911176938E-4</v>
      </c>
      <c r="J1679" s="25">
        <f>INDEX('Default Prob'!$C$3:$C$13, _xlfn.IFNA(MATCH(F1679, 'Default Prob'!$B$3:$B$13, 1), 1))</f>
        <v>2.1700000000000001E-2</v>
      </c>
      <c r="K1679" s="26">
        <f t="shared" si="341"/>
        <v>0.87160572050748364</v>
      </c>
      <c r="L1679" s="27">
        <f t="shared" ca="1" si="342"/>
        <v>0</v>
      </c>
      <c r="M1679" s="27">
        <f t="shared" ca="1" si="343"/>
        <v>0</v>
      </c>
      <c r="N1679" s="28">
        <f t="shared" ca="1" si="344"/>
        <v>0</v>
      </c>
      <c r="O1679" s="29">
        <f t="shared" ca="1" si="345"/>
        <v>0</v>
      </c>
      <c r="P1679" s="30">
        <f t="shared" ca="1" si="346"/>
        <v>0</v>
      </c>
    </row>
    <row r="1680" spans="1:16" x14ac:dyDescent="0.25">
      <c r="A1680" s="3">
        <f t="shared" si="347"/>
        <v>48464</v>
      </c>
      <c r="B1680" s="21">
        <f t="shared" si="338"/>
        <v>36776</v>
      </c>
      <c r="C1680" s="21">
        <f t="shared" si="339"/>
        <v>36789</v>
      </c>
      <c r="D1680" s="1">
        <f t="shared" si="348"/>
        <v>0</v>
      </c>
      <c r="E1680" s="3">
        <f t="array" ref="E1680">INDEX($A$9:A1679, MAX(IF($D$9:D1679=1, ROW(D$9:$D1679)-ROW($D$9)+1, 0)))</f>
        <v>48386</v>
      </c>
      <c r="F1680" s="23">
        <f t="shared" si="340"/>
        <v>6.4038329911019849</v>
      </c>
      <c r="G1680" s="5">
        <f>INDEX('Default Prob'!$P$5:$P$14,MIN(1+_xlfn.IFNA(MATCH(F1680,'Default Prob'!$F$5:$F$14,1),0),COUNT('Default Prob'!$P$5:$P$14)))</f>
        <v>3.363522017633732E-2</v>
      </c>
      <c r="H1680" s="5">
        <f t="shared" si="349"/>
        <v>0.85758404112175757</v>
      </c>
      <c r="I1680" s="24">
        <f t="shared" si="350"/>
        <v>7.8977019102421941E-5</v>
      </c>
      <c r="J1680" s="25">
        <f>INDEX('Default Prob'!$C$3:$C$13, _xlfn.IFNA(MATCH(F1680, 'Default Prob'!$B$3:$B$13, 1), 1))</f>
        <v>2.1700000000000001E-2</v>
      </c>
      <c r="K1680" s="26">
        <f t="shared" si="341"/>
        <v>0.87155449258050299</v>
      </c>
      <c r="L1680" s="27">
        <f t="shared" ca="1" si="342"/>
        <v>0</v>
      </c>
      <c r="M1680" s="27">
        <f t="shared" ca="1" si="343"/>
        <v>0</v>
      </c>
      <c r="N1680" s="28">
        <f t="shared" ca="1" si="344"/>
        <v>0</v>
      </c>
      <c r="O1680" s="29">
        <f t="shared" ca="1" si="345"/>
        <v>0</v>
      </c>
      <c r="P1680" s="30">
        <f t="shared" ca="1" si="346"/>
        <v>0</v>
      </c>
    </row>
    <row r="1681" spans="1:16" x14ac:dyDescent="0.25">
      <c r="A1681" s="3">
        <f t="shared" si="347"/>
        <v>48465</v>
      </c>
      <c r="B1681" s="21">
        <f t="shared" si="338"/>
        <v>36777</v>
      </c>
      <c r="C1681" s="21">
        <f t="shared" si="339"/>
        <v>36789</v>
      </c>
      <c r="D1681" s="1">
        <f t="shared" si="348"/>
        <v>0</v>
      </c>
      <c r="E1681" s="3">
        <f t="array" ref="E1681">INDEX($A$9:A1680, MAX(IF($D$9:D1680=1, ROW(D$9:$D1680)-ROW($D$9)+1, 0)))</f>
        <v>48386</v>
      </c>
      <c r="F1681" s="23">
        <f t="shared" si="340"/>
        <v>6.406570841889117</v>
      </c>
      <c r="G1681" s="5">
        <f>INDEX('Default Prob'!$P$5:$P$14,MIN(1+_xlfn.IFNA(MATCH(F1681,'Default Prob'!$F$5:$F$14,1),0),COUNT('Default Prob'!$P$5:$P$14)))</f>
        <v>3.363522017633732E-2</v>
      </c>
      <c r="H1681" s="5">
        <f t="shared" si="349"/>
        <v>0.85750507137517296</v>
      </c>
      <c r="I1681" s="24">
        <f t="shared" si="350"/>
        <v>7.8969746584611755E-5</v>
      </c>
      <c r="J1681" s="25">
        <f>INDEX('Default Prob'!$C$3:$C$13, _xlfn.IFNA(MATCH(F1681, 'Default Prob'!$B$3:$B$13, 1), 1))</f>
        <v>2.1700000000000001E-2</v>
      </c>
      <c r="K1681" s="26">
        <f t="shared" si="341"/>
        <v>0.87150326766440289</v>
      </c>
      <c r="L1681" s="27">
        <f t="shared" ca="1" si="342"/>
        <v>0</v>
      </c>
      <c r="M1681" s="27">
        <f t="shared" ca="1" si="343"/>
        <v>0</v>
      </c>
      <c r="N1681" s="28">
        <f t="shared" ca="1" si="344"/>
        <v>0</v>
      </c>
      <c r="O1681" s="29">
        <f t="shared" ca="1" si="345"/>
        <v>0</v>
      </c>
      <c r="P1681" s="30">
        <f t="shared" ca="1" si="346"/>
        <v>0</v>
      </c>
    </row>
    <row r="1682" spans="1:16" x14ac:dyDescent="0.25">
      <c r="A1682" s="3">
        <f t="shared" si="347"/>
        <v>48466</v>
      </c>
      <c r="B1682" s="21">
        <f t="shared" si="338"/>
        <v>36778</v>
      </c>
      <c r="C1682" s="21">
        <f t="shared" si="339"/>
        <v>36789</v>
      </c>
      <c r="D1682" s="1">
        <f t="shared" si="348"/>
        <v>0</v>
      </c>
      <c r="E1682" s="3">
        <f t="array" ref="E1682">INDEX($A$9:A1681, MAX(IF($D$9:D1681=1, ROW(D$9:$D1681)-ROW($D$9)+1, 0)))</f>
        <v>48386</v>
      </c>
      <c r="F1682" s="23">
        <f t="shared" si="340"/>
        <v>6.409308692676249</v>
      </c>
      <c r="G1682" s="5">
        <f>INDEX('Default Prob'!$P$5:$P$14,MIN(1+_xlfn.IFNA(MATCH(F1682,'Default Prob'!$F$5:$F$14,1),0),COUNT('Default Prob'!$P$5:$P$14)))</f>
        <v>3.363522017633732E-2</v>
      </c>
      <c r="H1682" s="5">
        <f t="shared" si="349"/>
        <v>0.85742610890043636</v>
      </c>
      <c r="I1682" s="24">
        <f t="shared" si="350"/>
        <v>7.896247473659912E-5</v>
      </c>
      <c r="J1682" s="25">
        <f>INDEX('Default Prob'!$C$3:$C$13, _xlfn.IFNA(MATCH(F1682, 'Default Prob'!$B$3:$B$13, 1), 1))</f>
        <v>2.1700000000000001E-2</v>
      </c>
      <c r="K1682" s="26">
        <f t="shared" si="341"/>
        <v>0.87145204575900614</v>
      </c>
      <c r="L1682" s="27">
        <f t="shared" ca="1" si="342"/>
        <v>0</v>
      </c>
      <c r="M1682" s="27">
        <f t="shared" ca="1" si="343"/>
        <v>0</v>
      </c>
      <c r="N1682" s="28">
        <f t="shared" ca="1" si="344"/>
        <v>0</v>
      </c>
      <c r="O1682" s="29">
        <f t="shared" ca="1" si="345"/>
        <v>0</v>
      </c>
      <c r="P1682" s="30">
        <f t="shared" ca="1" si="346"/>
        <v>0</v>
      </c>
    </row>
    <row r="1683" spans="1:16" x14ac:dyDescent="0.25">
      <c r="A1683" s="3">
        <f t="shared" si="347"/>
        <v>48467</v>
      </c>
      <c r="B1683" s="21">
        <f t="shared" si="338"/>
        <v>36779</v>
      </c>
      <c r="C1683" s="21">
        <f t="shared" si="339"/>
        <v>36789</v>
      </c>
      <c r="D1683" s="1">
        <f t="shared" si="348"/>
        <v>0</v>
      </c>
      <c r="E1683" s="3">
        <f t="array" ref="E1683">INDEX($A$9:A1682, MAX(IF($D$9:D1682=1, ROW(D$9:$D1682)-ROW($D$9)+1, 0)))</f>
        <v>48386</v>
      </c>
      <c r="F1683" s="23">
        <f t="shared" si="340"/>
        <v>6.4120465434633811</v>
      </c>
      <c r="G1683" s="5">
        <f>INDEX('Default Prob'!$P$5:$P$14,MIN(1+_xlfn.IFNA(MATCH(F1683,'Default Prob'!$F$5:$F$14,1),0),COUNT('Default Prob'!$P$5:$P$14)))</f>
        <v>3.363522017633732E-2</v>
      </c>
      <c r="H1683" s="5">
        <f t="shared" si="349"/>
        <v>0.85734715369687831</v>
      </c>
      <c r="I1683" s="24">
        <f t="shared" si="350"/>
        <v>7.8955203558050968E-5</v>
      </c>
      <c r="J1683" s="25">
        <f>INDEX('Default Prob'!$C$3:$C$13, _xlfn.IFNA(MATCH(F1683, 'Default Prob'!$B$3:$B$13, 1), 1))</f>
        <v>2.1700000000000001E-2</v>
      </c>
      <c r="K1683" s="26">
        <f t="shared" si="341"/>
        <v>0.87140082686413589</v>
      </c>
      <c r="L1683" s="27">
        <f t="shared" ca="1" si="342"/>
        <v>0</v>
      </c>
      <c r="M1683" s="27">
        <f t="shared" ca="1" si="343"/>
        <v>0</v>
      </c>
      <c r="N1683" s="28">
        <f t="shared" ca="1" si="344"/>
        <v>0</v>
      </c>
      <c r="O1683" s="29">
        <f t="shared" ca="1" si="345"/>
        <v>0</v>
      </c>
      <c r="P1683" s="30">
        <f t="shared" ca="1" si="346"/>
        <v>0</v>
      </c>
    </row>
    <row r="1684" spans="1:16" x14ac:dyDescent="0.25">
      <c r="A1684" s="3">
        <f t="shared" si="347"/>
        <v>48470</v>
      </c>
      <c r="B1684" s="21">
        <f t="shared" si="338"/>
        <v>36782</v>
      </c>
      <c r="C1684" s="21">
        <f t="shared" si="339"/>
        <v>36789</v>
      </c>
      <c r="D1684" s="1">
        <f t="shared" si="348"/>
        <v>0</v>
      </c>
      <c r="E1684" s="3">
        <f t="array" ref="E1684">INDEX($A$9:A1683, MAX(IF($D$9:D1683=1, ROW(D$9:$D1683)-ROW($D$9)+1, 0)))</f>
        <v>48386</v>
      </c>
      <c r="F1684" s="23">
        <f t="shared" si="340"/>
        <v>6.4202600958247773</v>
      </c>
      <c r="G1684" s="5">
        <f>INDEX('Default Prob'!$P$5:$P$14,MIN(1+_xlfn.IFNA(MATCH(F1684,'Default Prob'!$F$5:$F$14,1),0),COUNT('Default Prob'!$P$5:$P$14)))</f>
        <v>3.363522017633732E-2</v>
      </c>
      <c r="H1684" s="5">
        <f t="shared" si="349"/>
        <v>0.85711033170657958</v>
      </c>
      <c r="I1684" s="24">
        <f t="shared" si="350"/>
        <v>2.3682199029873008E-4</v>
      </c>
      <c r="J1684" s="25">
        <f>INDEX('Default Prob'!$C$3:$C$13, _xlfn.IFNA(MATCH(F1684, 'Default Prob'!$B$3:$B$13, 1), 1))</f>
        <v>2.1700000000000001E-2</v>
      </c>
      <c r="K1684" s="26">
        <f t="shared" si="341"/>
        <v>0.87124718824091374</v>
      </c>
      <c r="L1684" s="27">
        <f t="shared" ca="1" si="342"/>
        <v>0</v>
      </c>
      <c r="M1684" s="27">
        <f t="shared" ca="1" si="343"/>
        <v>0</v>
      </c>
      <c r="N1684" s="28">
        <f t="shared" ca="1" si="344"/>
        <v>0</v>
      </c>
      <c r="O1684" s="29">
        <f t="shared" ca="1" si="345"/>
        <v>0</v>
      </c>
      <c r="P1684" s="30">
        <f t="shared" ca="1" si="346"/>
        <v>0</v>
      </c>
    </row>
    <row r="1685" spans="1:16" x14ac:dyDescent="0.25">
      <c r="A1685" s="3">
        <f t="shared" si="347"/>
        <v>48471</v>
      </c>
      <c r="B1685" s="21">
        <f t="shared" si="338"/>
        <v>36783</v>
      </c>
      <c r="C1685" s="21">
        <f t="shared" si="339"/>
        <v>36789</v>
      </c>
      <c r="D1685" s="1">
        <f t="shared" si="348"/>
        <v>0</v>
      </c>
      <c r="E1685" s="3">
        <f t="array" ref="E1685">INDEX($A$9:A1684, MAX(IF($D$9:D1684=1, ROW(D$9:$D1684)-ROW($D$9)+1, 0)))</f>
        <v>48386</v>
      </c>
      <c r="F1685" s="23">
        <f t="shared" si="340"/>
        <v>6.4229979466119094</v>
      </c>
      <c r="G1685" s="5">
        <f>INDEX('Default Prob'!$P$5:$P$14,MIN(1+_xlfn.IFNA(MATCH(F1685,'Default Prob'!$F$5:$F$14,1),0),COUNT('Default Prob'!$P$5:$P$14)))</f>
        <v>3.363522017633732E-2</v>
      </c>
      <c r="H1685" s="5">
        <f t="shared" si="349"/>
        <v>0.85703140558104041</v>
      </c>
      <c r="I1685" s="24">
        <f t="shared" si="350"/>
        <v>7.8926125539169334E-5</v>
      </c>
      <c r="J1685" s="25">
        <f>INDEX('Default Prob'!$C$3:$C$13, _xlfn.IFNA(MATCH(F1685, 'Default Prob'!$B$3:$B$13, 1), 1))</f>
        <v>2.1700000000000001E-2</v>
      </c>
      <c r="K1685" s="26">
        <f t="shared" si="341"/>
        <v>0.87119598138637966</v>
      </c>
      <c r="L1685" s="27">
        <f t="shared" ca="1" si="342"/>
        <v>0</v>
      </c>
      <c r="M1685" s="27">
        <f t="shared" ca="1" si="343"/>
        <v>0</v>
      </c>
      <c r="N1685" s="28">
        <f t="shared" ca="1" si="344"/>
        <v>0</v>
      </c>
      <c r="O1685" s="29">
        <f t="shared" ca="1" si="345"/>
        <v>0</v>
      </c>
      <c r="P1685" s="30">
        <f t="shared" ca="1" si="346"/>
        <v>0</v>
      </c>
    </row>
    <row r="1686" spans="1:16" x14ac:dyDescent="0.25">
      <c r="A1686" s="3">
        <f t="shared" si="347"/>
        <v>48472</v>
      </c>
      <c r="B1686" s="21">
        <f t="shared" si="338"/>
        <v>36784</v>
      </c>
      <c r="C1686" s="21">
        <f t="shared" si="339"/>
        <v>36789</v>
      </c>
      <c r="D1686" s="1">
        <f t="shared" si="348"/>
        <v>0</v>
      </c>
      <c r="E1686" s="3">
        <f t="array" ref="E1686">INDEX($A$9:A1685, MAX(IF($D$9:D1685=1, ROW(D$9:$D1685)-ROW($D$9)+1, 0)))</f>
        <v>48386</v>
      </c>
      <c r="F1686" s="23">
        <f t="shared" si="340"/>
        <v>6.4257357973990414</v>
      </c>
      <c r="G1686" s="5">
        <f>INDEX('Default Prob'!$P$5:$P$14,MIN(1+_xlfn.IFNA(MATCH(F1686,'Default Prob'!$F$5:$F$14,1),0),COUNT('Default Prob'!$P$5:$P$14)))</f>
        <v>3.363522017633732E-2</v>
      </c>
      <c r="H1686" s="5">
        <f t="shared" si="349"/>
        <v>0.85695248672333257</v>
      </c>
      <c r="I1686" s="24">
        <f t="shared" si="350"/>
        <v>7.8918857707832579E-5</v>
      </c>
      <c r="J1686" s="25">
        <f>INDEX('Default Prob'!$C$3:$C$13, _xlfn.IFNA(MATCH(F1686, 'Default Prob'!$B$3:$B$13, 1), 1))</f>
        <v>2.1700000000000001E-2</v>
      </c>
      <c r="K1686" s="26">
        <f t="shared" si="341"/>
        <v>0.87114477754148745</v>
      </c>
      <c r="L1686" s="27">
        <f t="shared" ca="1" si="342"/>
        <v>0</v>
      </c>
      <c r="M1686" s="27">
        <f t="shared" ca="1" si="343"/>
        <v>0</v>
      </c>
      <c r="N1686" s="28">
        <f t="shared" ca="1" si="344"/>
        <v>0</v>
      </c>
      <c r="O1686" s="29">
        <f t="shared" ca="1" si="345"/>
        <v>0</v>
      </c>
      <c r="P1686" s="30">
        <f t="shared" ca="1" si="346"/>
        <v>0</v>
      </c>
    </row>
    <row r="1687" spans="1:16" x14ac:dyDescent="0.25">
      <c r="A1687" s="3">
        <f t="shared" si="347"/>
        <v>48473</v>
      </c>
      <c r="B1687" s="21">
        <f t="shared" si="338"/>
        <v>36785</v>
      </c>
      <c r="C1687" s="21">
        <f t="shared" si="339"/>
        <v>36789</v>
      </c>
      <c r="D1687" s="1">
        <f t="shared" si="348"/>
        <v>0</v>
      </c>
      <c r="E1687" s="3">
        <f t="array" ref="E1687">INDEX($A$9:A1686, MAX(IF($D$9:D1686=1, ROW(D$9:$D1686)-ROW($D$9)+1, 0)))</f>
        <v>48386</v>
      </c>
      <c r="F1687" s="23">
        <f t="shared" si="340"/>
        <v>6.4284736481861735</v>
      </c>
      <c r="G1687" s="5">
        <f>INDEX('Default Prob'!$P$5:$P$14,MIN(1+_xlfn.IFNA(MATCH(F1687,'Default Prob'!$F$5:$F$14,1),0),COUNT('Default Prob'!$P$5:$P$14)))</f>
        <v>3.363522017633732E-2</v>
      </c>
      <c r="H1687" s="5">
        <f t="shared" si="349"/>
        <v>0.85687357513278672</v>
      </c>
      <c r="I1687" s="24">
        <f t="shared" si="350"/>
        <v>7.8911590545849286E-5</v>
      </c>
      <c r="J1687" s="25">
        <f>INDEX('Default Prob'!$C$3:$C$13, _xlfn.IFNA(MATCH(F1687, 'Default Prob'!$B$3:$B$13, 1), 1))</f>
        <v>2.1700000000000001E-2</v>
      </c>
      <c r="K1687" s="26">
        <f t="shared" si="341"/>
        <v>0.87109357670606002</v>
      </c>
      <c r="L1687" s="27">
        <f t="shared" ca="1" si="342"/>
        <v>0</v>
      </c>
      <c r="M1687" s="27">
        <f t="shared" ca="1" si="343"/>
        <v>0</v>
      </c>
      <c r="N1687" s="28">
        <f t="shared" ca="1" si="344"/>
        <v>0</v>
      </c>
      <c r="O1687" s="29">
        <f t="shared" ca="1" si="345"/>
        <v>0</v>
      </c>
      <c r="P1687" s="30">
        <f t="shared" ca="1" si="346"/>
        <v>0</v>
      </c>
    </row>
    <row r="1688" spans="1:16" x14ac:dyDescent="0.25">
      <c r="A1688" s="3">
        <f t="shared" si="347"/>
        <v>48474</v>
      </c>
      <c r="B1688" s="21">
        <f t="shared" si="338"/>
        <v>36786</v>
      </c>
      <c r="C1688" s="21">
        <f t="shared" si="339"/>
        <v>36789</v>
      </c>
      <c r="D1688" s="1">
        <f t="shared" si="348"/>
        <v>0</v>
      </c>
      <c r="E1688" s="3">
        <f t="array" ref="E1688">INDEX($A$9:A1687, MAX(IF($D$9:D1687=1, ROW(D$9:$D1687)-ROW($D$9)+1, 0)))</f>
        <v>48386</v>
      </c>
      <c r="F1688" s="23">
        <f t="shared" si="340"/>
        <v>6.4312114989733056</v>
      </c>
      <c r="G1688" s="5">
        <f>INDEX('Default Prob'!$P$5:$P$14,MIN(1+_xlfn.IFNA(MATCH(F1688,'Default Prob'!$F$5:$F$14,1),0),COUNT('Default Prob'!$P$5:$P$14)))</f>
        <v>3.363522017633732E-2</v>
      </c>
      <c r="H1688" s="5">
        <f t="shared" si="349"/>
        <v>0.85679467080873373</v>
      </c>
      <c r="I1688" s="24">
        <f t="shared" si="350"/>
        <v>7.890432405299741E-5</v>
      </c>
      <c r="J1688" s="25">
        <f>INDEX('Default Prob'!$C$3:$C$13, _xlfn.IFNA(MATCH(F1688, 'Default Prob'!$B$3:$B$13, 1), 1))</f>
        <v>2.1700000000000001E-2</v>
      </c>
      <c r="K1688" s="26">
        <f t="shared" si="341"/>
        <v>0.87104237887992053</v>
      </c>
      <c r="L1688" s="27">
        <f t="shared" ca="1" si="342"/>
        <v>0</v>
      </c>
      <c r="M1688" s="27">
        <f t="shared" ca="1" si="343"/>
        <v>0</v>
      </c>
      <c r="N1688" s="28">
        <f t="shared" ca="1" si="344"/>
        <v>0</v>
      </c>
      <c r="O1688" s="29">
        <f t="shared" ca="1" si="345"/>
        <v>0</v>
      </c>
      <c r="P1688" s="30">
        <f t="shared" ca="1" si="346"/>
        <v>0</v>
      </c>
    </row>
    <row r="1689" spans="1:16" x14ac:dyDescent="0.25">
      <c r="A1689" s="3">
        <f t="shared" si="347"/>
        <v>48477</v>
      </c>
      <c r="B1689" s="21">
        <f t="shared" si="338"/>
        <v>36789</v>
      </c>
      <c r="C1689" s="21">
        <f t="shared" si="339"/>
        <v>36789</v>
      </c>
      <c r="D1689" s="1">
        <f t="shared" si="348"/>
        <v>1</v>
      </c>
      <c r="E1689" s="3">
        <f t="array" ref="E1689">INDEX($A$9:A1688, MAX(IF($D$9:D1688=1, ROW(D$9:$D1688)-ROW($D$9)+1, 0)))</f>
        <v>48386</v>
      </c>
      <c r="F1689" s="23">
        <f t="shared" si="340"/>
        <v>6.4394250513347027</v>
      </c>
      <c r="G1689" s="5">
        <f>INDEX('Default Prob'!$P$5:$P$14,MIN(1+_xlfn.IFNA(MATCH(F1689,'Default Prob'!$F$5:$F$14,1),0),COUNT('Default Prob'!$P$5:$P$14)))</f>
        <v>3.363522017633732E-2</v>
      </c>
      <c r="H1689" s="5">
        <f t="shared" si="349"/>
        <v>0.85655800142884087</v>
      </c>
      <c r="I1689" s="24">
        <f t="shared" si="350"/>
        <v>2.3666937989286208E-4</v>
      </c>
      <c r="J1689" s="25">
        <f>INDEX('Default Prob'!$C$3:$C$13, _xlfn.IFNA(MATCH(F1689, 'Default Prob'!$B$3:$B$13, 1), 1))</f>
        <v>2.1700000000000001E-2</v>
      </c>
      <c r="K1689" s="26">
        <f t="shared" si="341"/>
        <v>0.87088880345546205</v>
      </c>
      <c r="L1689" s="27">
        <f t="shared" ca="1" si="342"/>
        <v>0</v>
      </c>
      <c r="M1689" s="27">
        <f t="shared" ca="1" si="343"/>
        <v>0</v>
      </c>
      <c r="N1689" s="28">
        <f t="shared" ca="1" si="344"/>
        <v>0</v>
      </c>
      <c r="O1689" s="29">
        <f t="shared" ca="1" si="345"/>
        <v>0</v>
      </c>
      <c r="P1689" s="30">
        <f t="shared" ca="1" si="346"/>
        <v>0</v>
      </c>
    </row>
    <row r="1690" spans="1:16" x14ac:dyDescent="0.25">
      <c r="A1690" s="3">
        <f t="shared" si="347"/>
        <v>48478</v>
      </c>
      <c r="B1690" s="21">
        <f t="shared" si="338"/>
        <v>36790</v>
      </c>
      <c r="C1690" s="21">
        <f t="shared" si="339"/>
        <v>36880</v>
      </c>
      <c r="D1690" s="1">
        <f t="shared" si="348"/>
        <v>0</v>
      </c>
      <c r="E1690" s="3">
        <f t="array" ref="E1690">INDEX($A$9:A1689, MAX(IF($D$9:D1689=1, ROW(D$9:$D1689)-ROW($D$9)+1, 0)))</f>
        <v>48477</v>
      </c>
      <c r="F1690" s="23">
        <f t="shared" si="340"/>
        <v>6.4421629021218347</v>
      </c>
      <c r="G1690" s="5">
        <f>INDEX('Default Prob'!$P$5:$P$14,MIN(1+_xlfn.IFNA(MATCH(F1690,'Default Prob'!$F$5:$F$14,1),0),COUNT('Default Prob'!$P$5:$P$14)))</f>
        <v>3.363522017633732E-2</v>
      </c>
      <c r="H1690" s="5">
        <f t="shared" si="349"/>
        <v>0.85647912616406863</v>
      </c>
      <c r="I1690" s="24">
        <f t="shared" si="350"/>
        <v>7.8875264772237941E-5</v>
      </c>
      <c r="J1690" s="25">
        <f>INDEX('Default Prob'!$C$3:$C$13, _xlfn.IFNA(MATCH(F1690, 'Default Prob'!$B$3:$B$13, 1), 1))</f>
        <v>2.1700000000000001E-2</v>
      </c>
      <c r="K1690" s="26">
        <f t="shared" si="341"/>
        <v>0.87083761766470613</v>
      </c>
      <c r="L1690" s="27">
        <f t="shared" ca="1" si="342"/>
        <v>0</v>
      </c>
      <c r="M1690" s="27">
        <f t="shared" ca="1" si="343"/>
        <v>0</v>
      </c>
      <c r="N1690" s="28">
        <f t="shared" ca="1" si="344"/>
        <v>0</v>
      </c>
      <c r="O1690" s="29">
        <f t="shared" ca="1" si="345"/>
        <v>0</v>
      </c>
      <c r="P1690" s="30">
        <f t="shared" ca="1" si="346"/>
        <v>0</v>
      </c>
    </row>
    <row r="1691" spans="1:16" x14ac:dyDescent="0.25">
      <c r="A1691" s="3">
        <f t="shared" si="347"/>
        <v>48479</v>
      </c>
      <c r="B1691" s="21">
        <f t="shared" si="338"/>
        <v>36791</v>
      </c>
      <c r="C1691" s="21">
        <f t="shared" si="339"/>
        <v>36880</v>
      </c>
      <c r="D1691" s="1">
        <f t="shared" si="348"/>
        <v>0</v>
      </c>
      <c r="E1691" s="3">
        <f t="array" ref="E1691">INDEX($A$9:A1690, MAX(IF($D$9:D1690=1, ROW(D$9:$D1690)-ROW($D$9)+1, 0)))</f>
        <v>48477</v>
      </c>
      <c r="F1691" s="23">
        <f t="shared" si="340"/>
        <v>6.4449007529089668</v>
      </c>
      <c r="G1691" s="5">
        <f>INDEX('Default Prob'!$P$5:$P$14,MIN(1+_xlfn.IFNA(MATCH(F1691,'Default Prob'!$F$5:$F$14,1),0),COUNT('Default Prob'!$P$5:$P$14)))</f>
        <v>3.363522017633732E-2</v>
      </c>
      <c r="H1691" s="5">
        <f t="shared" si="349"/>
        <v>0.85640025816244425</v>
      </c>
      <c r="I1691" s="24">
        <f t="shared" si="350"/>
        <v>7.8868001624377015E-5</v>
      </c>
      <c r="J1691" s="25">
        <f>INDEX('Default Prob'!$C$3:$C$13, _xlfn.IFNA(MATCH(F1691, 'Default Prob'!$B$3:$B$13, 1), 1))</f>
        <v>2.1700000000000001E-2</v>
      </c>
      <c r="K1691" s="26">
        <f t="shared" si="341"/>
        <v>0.87078643488235419</v>
      </c>
      <c r="L1691" s="27">
        <f t="shared" ca="1" si="342"/>
        <v>0</v>
      </c>
      <c r="M1691" s="27">
        <f t="shared" ca="1" si="343"/>
        <v>0</v>
      </c>
      <c r="N1691" s="28">
        <f t="shared" ca="1" si="344"/>
        <v>0</v>
      </c>
      <c r="O1691" s="29">
        <f t="shared" ca="1" si="345"/>
        <v>0</v>
      </c>
      <c r="P1691" s="30">
        <f t="shared" ca="1" si="346"/>
        <v>0</v>
      </c>
    </row>
    <row r="1692" spans="1:16" x14ac:dyDescent="0.25">
      <c r="A1692" s="3">
        <f t="shared" si="347"/>
        <v>48480</v>
      </c>
      <c r="B1692" s="21">
        <f t="shared" si="338"/>
        <v>36792</v>
      </c>
      <c r="C1692" s="21">
        <f t="shared" si="339"/>
        <v>36880</v>
      </c>
      <c r="D1692" s="1">
        <f t="shared" si="348"/>
        <v>0</v>
      </c>
      <c r="E1692" s="3">
        <f t="array" ref="E1692">INDEX($A$9:A1691, MAX(IF($D$9:D1691=1, ROW(D$9:$D1691)-ROW($D$9)+1, 0)))</f>
        <v>48477</v>
      </c>
      <c r="F1692" s="23">
        <f t="shared" si="340"/>
        <v>6.4476386036960989</v>
      </c>
      <c r="G1692" s="5">
        <f>INDEX('Default Prob'!$P$5:$P$14,MIN(1+_xlfn.IFNA(MATCH(F1692,'Default Prob'!$F$5:$F$14,1),0),COUNT('Default Prob'!$P$5:$P$14)))</f>
        <v>3.363522017633732E-2</v>
      </c>
      <c r="H1692" s="5">
        <f t="shared" si="349"/>
        <v>0.85632139742329894</v>
      </c>
      <c r="I1692" s="24">
        <f t="shared" si="350"/>
        <v>7.886073914531444E-5</v>
      </c>
      <c r="J1692" s="25">
        <f>INDEX('Default Prob'!$C$3:$C$13, _xlfn.IFNA(MATCH(F1692, 'Default Prob'!$B$3:$B$13, 1), 1))</f>
        <v>2.1700000000000001E-2</v>
      </c>
      <c r="K1692" s="26">
        <f t="shared" si="341"/>
        <v>0.87073525510822902</v>
      </c>
      <c r="L1692" s="27">
        <f t="shared" ca="1" si="342"/>
        <v>0</v>
      </c>
      <c r="M1692" s="27">
        <f t="shared" ca="1" si="343"/>
        <v>0</v>
      </c>
      <c r="N1692" s="28">
        <f t="shared" ca="1" si="344"/>
        <v>0</v>
      </c>
      <c r="O1692" s="29">
        <f t="shared" ca="1" si="345"/>
        <v>0</v>
      </c>
      <c r="P1692" s="30">
        <f t="shared" ca="1" si="346"/>
        <v>0</v>
      </c>
    </row>
    <row r="1693" spans="1:16" x14ac:dyDescent="0.25">
      <c r="A1693" s="3">
        <f t="shared" si="347"/>
        <v>48481</v>
      </c>
      <c r="B1693" s="21">
        <f t="shared" si="338"/>
        <v>36793</v>
      </c>
      <c r="C1693" s="21">
        <f t="shared" si="339"/>
        <v>36880</v>
      </c>
      <c r="D1693" s="1">
        <f t="shared" si="348"/>
        <v>0</v>
      </c>
      <c r="E1693" s="3">
        <f t="array" ref="E1693">INDEX($A$9:A1692, MAX(IF($D$9:D1692=1, ROW(D$9:$D1692)-ROW($D$9)+1, 0)))</f>
        <v>48477</v>
      </c>
      <c r="F1693" s="23">
        <f t="shared" si="340"/>
        <v>6.4503764544832309</v>
      </c>
      <c r="G1693" s="5">
        <f>INDEX('Default Prob'!$P$5:$P$14,MIN(1+_xlfn.IFNA(MATCH(F1693,'Default Prob'!$F$5:$F$14,1),0),COUNT('Default Prob'!$P$5:$P$14)))</f>
        <v>3.363522017633732E-2</v>
      </c>
      <c r="H1693" s="5">
        <f t="shared" si="349"/>
        <v>0.85624254394596389</v>
      </c>
      <c r="I1693" s="24">
        <f t="shared" si="350"/>
        <v>7.8853477335050215E-5</v>
      </c>
      <c r="J1693" s="25">
        <f>INDEX('Default Prob'!$C$3:$C$13, _xlfn.IFNA(MATCH(F1693, 'Default Prob'!$B$3:$B$13, 1), 1))</f>
        <v>2.1700000000000001E-2</v>
      </c>
      <c r="K1693" s="26">
        <f t="shared" si="341"/>
        <v>0.87068407834215422</v>
      </c>
      <c r="L1693" s="27">
        <f t="shared" ca="1" si="342"/>
        <v>0</v>
      </c>
      <c r="M1693" s="27">
        <f t="shared" ca="1" si="343"/>
        <v>0</v>
      </c>
      <c r="N1693" s="28">
        <f t="shared" ca="1" si="344"/>
        <v>0</v>
      </c>
      <c r="O1693" s="29">
        <f t="shared" ca="1" si="345"/>
        <v>0</v>
      </c>
      <c r="P1693" s="30">
        <f t="shared" ca="1" si="346"/>
        <v>0</v>
      </c>
    </row>
    <row r="1694" spans="1:16" x14ac:dyDescent="0.25">
      <c r="A1694" s="3">
        <f t="shared" si="347"/>
        <v>48484</v>
      </c>
      <c r="B1694" s="21">
        <f t="shared" si="338"/>
        <v>36796</v>
      </c>
      <c r="C1694" s="21">
        <f t="shared" si="339"/>
        <v>36880</v>
      </c>
      <c r="D1694" s="1">
        <f t="shared" si="348"/>
        <v>0</v>
      </c>
      <c r="E1694" s="3">
        <f t="array" ref="E1694">INDEX($A$9:A1693, MAX(IF($D$9:D1693=1, ROW(D$9:$D1693)-ROW($D$9)+1, 0)))</f>
        <v>48477</v>
      </c>
      <c r="F1694" s="23">
        <f t="shared" si="340"/>
        <v>6.4585900068446271</v>
      </c>
      <c r="G1694" s="5">
        <f>INDEX('Default Prob'!$P$5:$P$14,MIN(1+_xlfn.IFNA(MATCH(F1694,'Default Prob'!$F$5:$F$14,1),0),COUNT('Default Prob'!$P$5:$P$14)))</f>
        <v>3.363522017633732E-2</v>
      </c>
      <c r="H1694" s="5">
        <f t="shared" si="349"/>
        <v>0.85600602707813334</v>
      </c>
      <c r="I1694" s="24">
        <f t="shared" si="350"/>
        <v>2.3651686783054959E-4</v>
      </c>
      <c r="J1694" s="25">
        <f>INDEX('Default Prob'!$C$3:$C$13, _xlfn.IFNA(MATCH(F1694, 'Default Prob'!$B$3:$B$13, 1), 1))</f>
        <v>2.1700000000000001E-2</v>
      </c>
      <c r="K1694" s="26">
        <f t="shared" si="341"/>
        <v>0.87053056609046242</v>
      </c>
      <c r="L1694" s="27">
        <f t="shared" ca="1" si="342"/>
        <v>0</v>
      </c>
      <c r="M1694" s="27">
        <f t="shared" ca="1" si="343"/>
        <v>0</v>
      </c>
      <c r="N1694" s="28">
        <f t="shared" ca="1" si="344"/>
        <v>0</v>
      </c>
      <c r="O1694" s="29">
        <f t="shared" ca="1" si="345"/>
        <v>0</v>
      </c>
      <c r="P1694" s="30">
        <f t="shared" ca="1" si="346"/>
        <v>0</v>
      </c>
    </row>
    <row r="1695" spans="1:16" x14ac:dyDescent="0.25">
      <c r="A1695" s="3">
        <f t="shared" si="347"/>
        <v>48485</v>
      </c>
      <c r="B1695" s="21">
        <f t="shared" si="338"/>
        <v>36797</v>
      </c>
      <c r="C1695" s="21">
        <f t="shared" si="339"/>
        <v>36880</v>
      </c>
      <c r="D1695" s="1">
        <f t="shared" si="348"/>
        <v>0</v>
      </c>
      <c r="E1695" s="3">
        <f t="array" ref="E1695">INDEX($A$9:A1694, MAX(IF($D$9:D1694=1, ROW(D$9:$D1694)-ROW($D$9)+1, 0)))</f>
        <v>48477</v>
      </c>
      <c r="F1695" s="23">
        <f t="shared" si="340"/>
        <v>6.4613278576317592</v>
      </c>
      <c r="G1695" s="5">
        <f>INDEX('Default Prob'!$P$5:$P$14,MIN(1+_xlfn.IFNA(MATCH(F1695,'Default Prob'!$F$5:$F$14,1),0),COUNT('Default Prob'!$P$5:$P$14)))</f>
        <v>3.363522017633732E-2</v>
      </c>
      <c r="H1695" s="5">
        <f t="shared" si="349"/>
        <v>0.85592720264135291</v>
      </c>
      <c r="I1695" s="24">
        <f t="shared" si="350"/>
        <v>7.8824436780422502E-5</v>
      </c>
      <c r="J1695" s="25">
        <f>INDEX('Default Prob'!$C$3:$C$13, _xlfn.IFNA(MATCH(F1695, 'Default Prob'!$B$3:$B$13, 1), 1))</f>
        <v>2.1700000000000001E-2</v>
      </c>
      <c r="K1695" s="26">
        <f t="shared" si="341"/>
        <v>0.87047940135482038</v>
      </c>
      <c r="L1695" s="27">
        <f t="shared" ca="1" si="342"/>
        <v>0</v>
      </c>
      <c r="M1695" s="27">
        <f t="shared" ca="1" si="343"/>
        <v>0</v>
      </c>
      <c r="N1695" s="28">
        <f t="shared" ca="1" si="344"/>
        <v>0</v>
      </c>
      <c r="O1695" s="29">
        <f t="shared" ca="1" si="345"/>
        <v>0</v>
      </c>
      <c r="P1695" s="30">
        <f t="shared" ca="1" si="346"/>
        <v>0</v>
      </c>
    </row>
    <row r="1696" spans="1:16" x14ac:dyDescent="0.25">
      <c r="A1696" s="3">
        <f t="shared" si="347"/>
        <v>48486</v>
      </c>
      <c r="B1696" s="21">
        <f t="shared" si="338"/>
        <v>36798</v>
      </c>
      <c r="C1696" s="21">
        <f t="shared" si="339"/>
        <v>36880</v>
      </c>
      <c r="D1696" s="1">
        <f t="shared" si="348"/>
        <v>0</v>
      </c>
      <c r="E1696" s="3">
        <f t="array" ref="E1696">INDEX($A$9:A1695, MAX(IF($D$9:D1695=1, ROW(D$9:$D1695)-ROW($D$9)+1, 0)))</f>
        <v>48477</v>
      </c>
      <c r="F1696" s="23">
        <f t="shared" si="340"/>
        <v>6.4640657084188913</v>
      </c>
      <c r="G1696" s="5">
        <f>INDEX('Default Prob'!$P$5:$P$14,MIN(1+_xlfn.IFNA(MATCH(F1696,'Default Prob'!$F$5:$F$14,1),0),COUNT('Default Prob'!$P$5:$P$14)))</f>
        <v>3.363522017633732E-2</v>
      </c>
      <c r="H1696" s="5">
        <f t="shared" si="349"/>
        <v>0.85584838546303987</v>
      </c>
      <c r="I1696" s="24">
        <f t="shared" si="350"/>
        <v>7.8817178313039804E-5</v>
      </c>
      <c r="J1696" s="25">
        <f>INDEX('Default Prob'!$C$3:$C$13, _xlfn.IFNA(MATCH(F1696, 'Default Prob'!$B$3:$B$13, 1), 1))</f>
        <v>2.1700000000000001E-2</v>
      </c>
      <c r="K1696" s="26">
        <f t="shared" si="341"/>
        <v>0.87042823962634452</v>
      </c>
      <c r="L1696" s="27">
        <f t="shared" ca="1" si="342"/>
        <v>0</v>
      </c>
      <c r="M1696" s="27">
        <f t="shared" ca="1" si="343"/>
        <v>0</v>
      </c>
      <c r="N1696" s="28">
        <f t="shared" ca="1" si="344"/>
        <v>0</v>
      </c>
      <c r="O1696" s="29">
        <f t="shared" ca="1" si="345"/>
        <v>0</v>
      </c>
      <c r="P1696" s="30">
        <f t="shared" ca="1" si="346"/>
        <v>0</v>
      </c>
    </row>
    <row r="1697" spans="1:16" x14ac:dyDescent="0.25">
      <c r="A1697" s="3">
        <f t="shared" si="347"/>
        <v>48487</v>
      </c>
      <c r="B1697" s="21">
        <f t="shared" si="338"/>
        <v>36799</v>
      </c>
      <c r="C1697" s="21">
        <f t="shared" si="339"/>
        <v>36880</v>
      </c>
      <c r="D1697" s="1">
        <f t="shared" si="348"/>
        <v>0</v>
      </c>
      <c r="E1697" s="3">
        <f t="array" ref="E1697">INDEX($A$9:A1696, MAX(IF($D$9:D1696=1, ROW(D$9:$D1696)-ROW($D$9)+1, 0)))</f>
        <v>48477</v>
      </c>
      <c r="F1697" s="23">
        <f t="shared" si="340"/>
        <v>6.4668035592060233</v>
      </c>
      <c r="G1697" s="5">
        <f>INDEX('Default Prob'!$P$5:$P$14,MIN(1+_xlfn.IFNA(MATCH(F1697,'Default Prob'!$F$5:$F$14,1),0),COUNT('Default Prob'!$P$5:$P$14)))</f>
        <v>3.363522017633732E-2</v>
      </c>
      <c r="H1697" s="5">
        <f t="shared" si="349"/>
        <v>0.85576957554252586</v>
      </c>
      <c r="I1697" s="24">
        <f t="shared" si="350"/>
        <v>7.8809920514011367E-5</v>
      </c>
      <c r="J1697" s="25">
        <f>INDEX('Default Prob'!$C$3:$C$13, _xlfn.IFNA(MATCH(F1697, 'Default Prob'!$B$3:$B$13, 1), 1))</f>
        <v>2.1700000000000001E-2</v>
      </c>
      <c r="K1697" s="26">
        <f t="shared" si="341"/>
        <v>0.87037708090485821</v>
      </c>
      <c r="L1697" s="27">
        <f t="shared" ca="1" si="342"/>
        <v>0</v>
      </c>
      <c r="M1697" s="27">
        <f t="shared" ca="1" si="343"/>
        <v>0</v>
      </c>
      <c r="N1697" s="28">
        <f t="shared" ca="1" si="344"/>
        <v>0</v>
      </c>
      <c r="O1697" s="29">
        <f t="shared" ca="1" si="345"/>
        <v>0</v>
      </c>
      <c r="P1697" s="30">
        <f t="shared" ca="1" si="346"/>
        <v>0</v>
      </c>
    </row>
    <row r="1698" spans="1:16" x14ac:dyDescent="0.25">
      <c r="A1698" s="3">
        <f t="shared" si="347"/>
        <v>48488</v>
      </c>
      <c r="B1698" s="21">
        <f t="shared" si="338"/>
        <v>36800</v>
      </c>
      <c r="C1698" s="21">
        <f t="shared" si="339"/>
        <v>36880</v>
      </c>
      <c r="D1698" s="1">
        <f t="shared" si="348"/>
        <v>0</v>
      </c>
      <c r="E1698" s="3">
        <f t="array" ref="E1698">INDEX($A$9:A1697, MAX(IF($D$9:D1697=1, ROW(D$9:$D1697)-ROW($D$9)+1, 0)))</f>
        <v>48477</v>
      </c>
      <c r="F1698" s="23">
        <f t="shared" si="340"/>
        <v>6.4695414099931554</v>
      </c>
      <c r="G1698" s="5">
        <f>INDEX('Default Prob'!$P$5:$P$14,MIN(1+_xlfn.IFNA(MATCH(F1698,'Default Prob'!$F$5:$F$14,1),0),COUNT('Default Prob'!$P$5:$P$14)))</f>
        <v>3.363522017633732E-2</v>
      </c>
      <c r="H1698" s="5">
        <f t="shared" si="349"/>
        <v>0.85569077287914252</v>
      </c>
      <c r="I1698" s="24">
        <f t="shared" si="350"/>
        <v>7.880266338333719E-5</v>
      </c>
      <c r="J1698" s="25">
        <f>INDEX('Default Prob'!$C$3:$C$13, _xlfn.IFNA(MATCH(F1698, 'Default Prob'!$B$3:$B$13, 1), 1))</f>
        <v>2.1700000000000001E-2</v>
      </c>
      <c r="K1698" s="26">
        <f t="shared" si="341"/>
        <v>0.87032592519018481</v>
      </c>
      <c r="L1698" s="27">
        <f t="shared" ca="1" si="342"/>
        <v>0</v>
      </c>
      <c r="M1698" s="27">
        <f t="shared" ca="1" si="343"/>
        <v>0</v>
      </c>
      <c r="N1698" s="28">
        <f t="shared" ca="1" si="344"/>
        <v>0</v>
      </c>
      <c r="O1698" s="29">
        <f t="shared" ca="1" si="345"/>
        <v>0</v>
      </c>
      <c r="P1698" s="30">
        <f t="shared" ca="1" si="346"/>
        <v>0</v>
      </c>
    </row>
    <row r="1699" spans="1:16" x14ac:dyDescent="0.25">
      <c r="A1699" s="3">
        <f t="shared" si="347"/>
        <v>48491</v>
      </c>
      <c r="B1699" s="21">
        <f t="shared" si="338"/>
        <v>36803</v>
      </c>
      <c r="C1699" s="21">
        <f t="shared" si="339"/>
        <v>36880</v>
      </c>
      <c r="D1699" s="1">
        <f t="shared" si="348"/>
        <v>0</v>
      </c>
      <c r="E1699" s="3">
        <f t="array" ref="E1699">INDEX($A$9:A1698, MAX(IF($D$9:D1698=1, ROW(D$9:$D1698)-ROW($D$9)+1, 0)))</f>
        <v>48477</v>
      </c>
      <c r="F1699" s="23">
        <f t="shared" si="340"/>
        <v>6.4777549623545516</v>
      </c>
      <c r="G1699" s="5">
        <f>INDEX('Default Prob'!$P$5:$P$14,MIN(1+_xlfn.IFNA(MATCH(F1699,'Default Prob'!$F$5:$F$14,1),0),COUNT('Default Prob'!$P$5:$P$14)))</f>
        <v>3.363522017633732E-2</v>
      </c>
      <c r="H1699" s="5">
        <f t="shared" si="349"/>
        <v>0.85545440842509413</v>
      </c>
      <c r="I1699" s="24">
        <f t="shared" si="350"/>
        <v>2.363644540483989E-4</v>
      </c>
      <c r="J1699" s="25">
        <f>INDEX('Default Prob'!$C$3:$C$13, _xlfn.IFNA(MATCH(F1699, 'Default Prob'!$B$3:$B$13, 1), 1))</f>
        <v>2.1700000000000001E-2</v>
      </c>
      <c r="K1699" s="26">
        <f t="shared" si="341"/>
        <v>0.87017247608527415</v>
      </c>
      <c r="L1699" s="27">
        <f t="shared" ca="1" si="342"/>
        <v>0</v>
      </c>
      <c r="M1699" s="27">
        <f t="shared" ca="1" si="343"/>
        <v>0</v>
      </c>
      <c r="N1699" s="28">
        <f t="shared" ca="1" si="344"/>
        <v>0</v>
      </c>
      <c r="O1699" s="29">
        <f t="shared" ca="1" si="345"/>
        <v>0</v>
      </c>
      <c r="P1699" s="30">
        <f t="shared" ca="1" si="346"/>
        <v>0</v>
      </c>
    </row>
    <row r="1700" spans="1:16" x14ac:dyDescent="0.25">
      <c r="A1700" s="3">
        <f t="shared" si="347"/>
        <v>48492</v>
      </c>
      <c r="B1700" s="21">
        <f t="shared" si="338"/>
        <v>36804</v>
      </c>
      <c r="C1700" s="21">
        <f t="shared" si="339"/>
        <v>36880</v>
      </c>
      <c r="D1700" s="1">
        <f t="shared" si="348"/>
        <v>0</v>
      </c>
      <c r="E1700" s="3">
        <f t="array" ref="E1700">INDEX($A$9:A1699, MAX(IF($D$9:D1699=1, ROW(D$9:$D1699)-ROW($D$9)+1, 0)))</f>
        <v>48477</v>
      </c>
      <c r="F1700" s="23">
        <f t="shared" si="340"/>
        <v>6.4804928131416837</v>
      </c>
      <c r="G1700" s="5">
        <f>INDEX('Default Prob'!$P$5:$P$14,MIN(1+_xlfn.IFNA(MATCH(F1700,'Default Prob'!$F$5:$F$14,1),0),COUNT('Default Prob'!$P$5:$P$14)))</f>
        <v>3.363522017633732E-2</v>
      </c>
      <c r="H1700" s="5">
        <f t="shared" si="349"/>
        <v>0.85537563478355139</v>
      </c>
      <c r="I1700" s="24">
        <f t="shared" si="350"/>
        <v>7.8773641542739803E-5</v>
      </c>
      <c r="J1700" s="25">
        <f>INDEX('Default Prob'!$C$3:$C$13, _xlfn.IFNA(MATCH(F1700, 'Default Prob'!$B$3:$B$13, 1), 1))</f>
        <v>2.1700000000000001E-2</v>
      </c>
      <c r="K1700" s="26">
        <f t="shared" si="341"/>
        <v>0.87012133239608491</v>
      </c>
      <c r="L1700" s="27">
        <f t="shared" ca="1" si="342"/>
        <v>0</v>
      </c>
      <c r="M1700" s="27">
        <f t="shared" ca="1" si="343"/>
        <v>0</v>
      </c>
      <c r="N1700" s="28">
        <f t="shared" ca="1" si="344"/>
        <v>0</v>
      </c>
      <c r="O1700" s="29">
        <f t="shared" ca="1" si="345"/>
        <v>0</v>
      </c>
      <c r="P1700" s="30">
        <f t="shared" ca="1" si="346"/>
        <v>0</v>
      </c>
    </row>
    <row r="1701" spans="1:16" x14ac:dyDescent="0.25">
      <c r="A1701" s="3">
        <f t="shared" si="347"/>
        <v>48493</v>
      </c>
      <c r="B1701" s="21">
        <f t="shared" si="338"/>
        <v>36805</v>
      </c>
      <c r="C1701" s="21">
        <f t="shared" si="339"/>
        <v>36880</v>
      </c>
      <c r="D1701" s="1">
        <f t="shared" si="348"/>
        <v>0</v>
      </c>
      <c r="E1701" s="3">
        <f t="array" ref="E1701">INDEX($A$9:A1700, MAX(IF($D$9:D1700=1, ROW(D$9:$D1700)-ROW($D$9)+1, 0)))</f>
        <v>48477</v>
      </c>
      <c r="F1701" s="23">
        <f t="shared" si="340"/>
        <v>6.4832306639288158</v>
      </c>
      <c r="G1701" s="5">
        <f>INDEX('Default Prob'!$P$5:$P$14,MIN(1+_xlfn.IFNA(MATCH(F1701,'Default Prob'!$F$5:$F$14,1),0),COUNT('Default Prob'!$P$5:$P$14)))</f>
        <v>3.363522017633732E-2</v>
      </c>
      <c r="H1701" s="5">
        <f t="shared" si="349"/>
        <v>0.85529686839579866</v>
      </c>
      <c r="I1701" s="24">
        <f t="shared" si="350"/>
        <v>7.8766387752726708E-5</v>
      </c>
      <c r="J1701" s="25">
        <f>INDEX('Default Prob'!$C$3:$C$13, _xlfn.IFNA(MATCH(F1701, 'Default Prob'!$B$3:$B$13, 1), 1))</f>
        <v>2.1700000000000001E-2</v>
      </c>
      <c r="K1701" s="26">
        <f t="shared" si="341"/>
        <v>0.87007019171282485</v>
      </c>
      <c r="L1701" s="27">
        <f t="shared" ca="1" si="342"/>
        <v>0</v>
      </c>
      <c r="M1701" s="27">
        <f t="shared" ca="1" si="343"/>
        <v>0</v>
      </c>
      <c r="N1701" s="28">
        <f t="shared" ca="1" si="344"/>
        <v>0</v>
      </c>
      <c r="O1701" s="29">
        <f t="shared" ca="1" si="345"/>
        <v>0</v>
      </c>
      <c r="P1701" s="30">
        <f t="shared" ca="1" si="346"/>
        <v>0</v>
      </c>
    </row>
    <row r="1702" spans="1:16" x14ac:dyDescent="0.25">
      <c r="A1702" s="3">
        <f t="shared" si="347"/>
        <v>48494</v>
      </c>
      <c r="B1702" s="21">
        <f t="shared" si="338"/>
        <v>36806</v>
      </c>
      <c r="C1702" s="21">
        <f t="shared" si="339"/>
        <v>36880</v>
      </c>
      <c r="D1702" s="1">
        <f t="shared" si="348"/>
        <v>0</v>
      </c>
      <c r="E1702" s="3">
        <f t="array" ref="E1702">INDEX($A$9:A1701, MAX(IF($D$9:D1701=1, ROW(D$9:$D1701)-ROW($D$9)+1, 0)))</f>
        <v>48477</v>
      </c>
      <c r="F1702" s="23">
        <f t="shared" si="340"/>
        <v>6.4859685147159478</v>
      </c>
      <c r="G1702" s="5">
        <f>INDEX('Default Prob'!$P$5:$P$14,MIN(1+_xlfn.IFNA(MATCH(F1702,'Default Prob'!$F$5:$F$14,1),0),COUNT('Default Prob'!$P$5:$P$14)))</f>
        <v>3.363522017633732E-2</v>
      </c>
      <c r="H1702" s="5">
        <f t="shared" si="349"/>
        <v>0.85521810926116792</v>
      </c>
      <c r="I1702" s="24">
        <f t="shared" si="350"/>
        <v>7.8759134630734806E-5</v>
      </c>
      <c r="J1702" s="25">
        <f>INDEX('Default Prob'!$C$3:$C$13, _xlfn.IFNA(MATCH(F1702, 'Default Prob'!$B$3:$B$13, 1), 1))</f>
        <v>2.1700000000000001E-2</v>
      </c>
      <c r="K1702" s="26">
        <f t="shared" si="341"/>
        <v>0.87001905403531743</v>
      </c>
      <c r="L1702" s="27">
        <f t="shared" ca="1" si="342"/>
        <v>0</v>
      </c>
      <c r="M1702" s="27">
        <f t="shared" ca="1" si="343"/>
        <v>0</v>
      </c>
      <c r="N1702" s="28">
        <f t="shared" ca="1" si="344"/>
        <v>0</v>
      </c>
      <c r="O1702" s="29">
        <f t="shared" ca="1" si="345"/>
        <v>0</v>
      </c>
      <c r="P1702" s="30">
        <f t="shared" ca="1" si="346"/>
        <v>0</v>
      </c>
    </row>
    <row r="1703" spans="1:16" x14ac:dyDescent="0.25">
      <c r="A1703" s="3">
        <f t="shared" si="347"/>
        <v>48495</v>
      </c>
      <c r="B1703" s="21">
        <f t="shared" si="338"/>
        <v>36807</v>
      </c>
      <c r="C1703" s="21">
        <f t="shared" si="339"/>
        <v>36880</v>
      </c>
      <c r="D1703" s="1">
        <f t="shared" si="348"/>
        <v>0</v>
      </c>
      <c r="E1703" s="3">
        <f t="array" ref="E1703">INDEX($A$9:A1702, MAX(IF($D$9:D1702=1, ROW(D$9:$D1702)-ROW($D$9)+1, 0)))</f>
        <v>48477</v>
      </c>
      <c r="F1703" s="23">
        <f t="shared" si="340"/>
        <v>6.4887063655030799</v>
      </c>
      <c r="G1703" s="5">
        <f>INDEX('Default Prob'!$P$5:$P$14,MIN(1+_xlfn.IFNA(MATCH(F1703,'Default Prob'!$F$5:$F$14,1),0),COUNT('Default Prob'!$P$5:$P$14)))</f>
        <v>3.363522017633732E-2</v>
      </c>
      <c r="H1703" s="5">
        <f t="shared" si="349"/>
        <v>0.85513935737899127</v>
      </c>
      <c r="I1703" s="24">
        <f t="shared" si="350"/>
        <v>7.8751882176653076E-5</v>
      </c>
      <c r="J1703" s="25">
        <f>INDEX('Default Prob'!$C$3:$C$13, _xlfn.IFNA(MATCH(F1703, 'Default Prob'!$B$3:$B$13, 1), 1))</f>
        <v>2.1700000000000001E-2</v>
      </c>
      <c r="K1703" s="26">
        <f t="shared" si="341"/>
        <v>0.86996791936338602</v>
      </c>
      <c r="L1703" s="27">
        <f t="shared" ca="1" si="342"/>
        <v>0</v>
      </c>
      <c r="M1703" s="27">
        <f t="shared" ca="1" si="343"/>
        <v>0</v>
      </c>
      <c r="N1703" s="28">
        <f t="shared" ca="1" si="344"/>
        <v>0</v>
      </c>
      <c r="O1703" s="29">
        <f t="shared" ca="1" si="345"/>
        <v>0</v>
      </c>
      <c r="P1703" s="30">
        <f t="shared" ca="1" si="346"/>
        <v>0</v>
      </c>
    </row>
    <row r="1704" spans="1:16" x14ac:dyDescent="0.25">
      <c r="A1704" s="3">
        <f t="shared" si="347"/>
        <v>48498</v>
      </c>
      <c r="B1704" s="21">
        <f t="shared" si="338"/>
        <v>36810</v>
      </c>
      <c r="C1704" s="21">
        <f t="shared" si="339"/>
        <v>36880</v>
      </c>
      <c r="D1704" s="1">
        <f t="shared" si="348"/>
        <v>0</v>
      </c>
      <c r="E1704" s="3">
        <f t="array" ref="E1704">INDEX($A$9:A1703, MAX(IF($D$9:D1703=1, ROW(D$9:$D1703)-ROW($D$9)+1, 0)))</f>
        <v>48477</v>
      </c>
      <c r="F1704" s="23">
        <f t="shared" si="340"/>
        <v>6.4969199178644761</v>
      </c>
      <c r="G1704" s="5">
        <f>INDEX('Default Prob'!$P$5:$P$14,MIN(1+_xlfn.IFNA(MATCH(F1704,'Default Prob'!$F$5:$F$14,1),0),COUNT('Default Prob'!$P$5:$P$14)))</f>
        <v>3.363522017633732E-2</v>
      </c>
      <c r="H1704" s="5">
        <f t="shared" si="349"/>
        <v>0.85490314524050792</v>
      </c>
      <c r="I1704" s="24">
        <f t="shared" si="350"/>
        <v>2.3621213848334932E-4</v>
      </c>
      <c r="J1704" s="25">
        <f>INDEX('Default Prob'!$C$3:$C$13, _xlfn.IFNA(MATCH(F1704, 'Default Prob'!$B$3:$B$13, 1), 1))</f>
        <v>2.1700000000000001E-2</v>
      </c>
      <c r="K1704" s="26">
        <f t="shared" si="341"/>
        <v>0.86981453337928116</v>
      </c>
      <c r="L1704" s="27">
        <f t="shared" ca="1" si="342"/>
        <v>0</v>
      </c>
      <c r="M1704" s="27">
        <f t="shared" ca="1" si="343"/>
        <v>0</v>
      </c>
      <c r="N1704" s="28">
        <f t="shared" ca="1" si="344"/>
        <v>0</v>
      </c>
      <c r="O1704" s="29">
        <f t="shared" ca="1" si="345"/>
        <v>0</v>
      </c>
      <c r="P1704" s="30">
        <f t="shared" ca="1" si="346"/>
        <v>0</v>
      </c>
    </row>
    <row r="1705" spans="1:16" x14ac:dyDescent="0.25">
      <c r="A1705" s="3">
        <f t="shared" si="347"/>
        <v>48499</v>
      </c>
      <c r="B1705" s="21">
        <f t="shared" si="338"/>
        <v>36811</v>
      </c>
      <c r="C1705" s="21">
        <f t="shared" si="339"/>
        <v>36880</v>
      </c>
      <c r="D1705" s="1">
        <f t="shared" si="348"/>
        <v>0</v>
      </c>
      <c r="E1705" s="3">
        <f t="array" ref="E1705">INDEX($A$9:A1704, MAX(IF($D$9:D1704=1, ROW(D$9:$D1704)-ROW($D$9)+1, 0)))</f>
        <v>48477</v>
      </c>
      <c r="F1705" s="23">
        <f t="shared" si="340"/>
        <v>6.4996577686516082</v>
      </c>
      <c r="G1705" s="5">
        <f>INDEX('Default Prob'!$P$5:$P$14,MIN(1+_xlfn.IFNA(MATCH(F1705,'Default Prob'!$F$5:$F$14,1),0),COUNT('Default Prob'!$P$5:$P$14)))</f>
        <v>3.363522017633732E-2</v>
      </c>
      <c r="H1705" s="5">
        <f t="shared" si="349"/>
        <v>0.85482442236147005</v>
      </c>
      <c r="I1705" s="24">
        <f t="shared" si="350"/>
        <v>7.8722879037873561E-5</v>
      </c>
      <c r="J1705" s="25">
        <f>INDEX('Default Prob'!$C$3:$C$13, _xlfn.IFNA(MATCH(F1705, 'Default Prob'!$B$3:$B$13, 1), 1))</f>
        <v>2.1700000000000001E-2</v>
      </c>
      <c r="K1705" s="26">
        <f t="shared" si="341"/>
        <v>0.86976341072788721</v>
      </c>
      <c r="L1705" s="27">
        <f t="shared" ca="1" si="342"/>
        <v>0</v>
      </c>
      <c r="M1705" s="27">
        <f t="shared" ca="1" si="343"/>
        <v>0</v>
      </c>
      <c r="N1705" s="28">
        <f t="shared" ca="1" si="344"/>
        <v>0</v>
      </c>
      <c r="O1705" s="29">
        <f t="shared" ca="1" si="345"/>
        <v>0</v>
      </c>
      <c r="P1705" s="30">
        <f t="shared" ca="1" si="346"/>
        <v>0</v>
      </c>
    </row>
    <row r="1706" spans="1:16" x14ac:dyDescent="0.25">
      <c r="A1706" s="3">
        <f t="shared" si="347"/>
        <v>48500</v>
      </c>
      <c r="B1706" s="21">
        <f t="shared" si="338"/>
        <v>36812</v>
      </c>
      <c r="C1706" s="21">
        <f t="shared" si="339"/>
        <v>36880</v>
      </c>
      <c r="D1706" s="1">
        <f t="shared" si="348"/>
        <v>0</v>
      </c>
      <c r="E1706" s="3">
        <f t="array" ref="E1706">INDEX($A$9:A1705, MAX(IF($D$9:D1705=1, ROW(D$9:$D1705)-ROW($D$9)+1, 0)))</f>
        <v>48477</v>
      </c>
      <c r="F1706" s="23">
        <f t="shared" si="340"/>
        <v>6.5023956194387402</v>
      </c>
      <c r="G1706" s="5">
        <f>INDEX('Default Prob'!$P$5:$P$14,MIN(1+_xlfn.IFNA(MATCH(F1706,'Default Prob'!$F$5:$F$14,1),0),COUNT('Default Prob'!$P$5:$P$14)))</f>
        <v>3.363522017633732E-2</v>
      </c>
      <c r="H1706" s="5">
        <f t="shared" si="349"/>
        <v>0.85474570673154771</v>
      </c>
      <c r="I1706" s="24">
        <f t="shared" si="350"/>
        <v>7.8715629922343489E-5</v>
      </c>
      <c r="J1706" s="25">
        <f>INDEX('Default Prob'!$C$3:$C$13, _xlfn.IFNA(MATCH(F1706, 'Default Prob'!$B$3:$B$13, 1), 1))</f>
        <v>2.1700000000000001E-2</v>
      </c>
      <c r="K1706" s="26">
        <f t="shared" si="341"/>
        <v>0.86971229108118597</v>
      </c>
      <c r="L1706" s="27">
        <f t="shared" ca="1" si="342"/>
        <v>0</v>
      </c>
      <c r="M1706" s="27">
        <f t="shared" ca="1" si="343"/>
        <v>0</v>
      </c>
      <c r="N1706" s="28">
        <f t="shared" ca="1" si="344"/>
        <v>0</v>
      </c>
      <c r="O1706" s="29">
        <f t="shared" ca="1" si="345"/>
        <v>0</v>
      </c>
      <c r="P1706" s="30">
        <f t="shared" ca="1" si="346"/>
        <v>0</v>
      </c>
    </row>
    <row r="1707" spans="1:16" x14ac:dyDescent="0.25">
      <c r="A1707" s="3">
        <f t="shared" si="347"/>
        <v>48501</v>
      </c>
      <c r="B1707" s="21">
        <f t="shared" si="338"/>
        <v>36813</v>
      </c>
      <c r="C1707" s="21">
        <f t="shared" si="339"/>
        <v>36880</v>
      </c>
      <c r="D1707" s="1">
        <f t="shared" si="348"/>
        <v>0</v>
      </c>
      <c r="E1707" s="3">
        <f t="array" ref="E1707">INDEX($A$9:A1706, MAX(IF($D$9:D1706=1, ROW(D$9:$D1706)-ROW($D$9)+1, 0)))</f>
        <v>48477</v>
      </c>
      <c r="F1707" s="23">
        <f t="shared" si="340"/>
        <v>6.5051334702258723</v>
      </c>
      <c r="G1707" s="5">
        <f>INDEX('Default Prob'!$P$5:$P$14,MIN(1+_xlfn.IFNA(MATCH(F1707,'Default Prob'!$F$5:$F$14,1),0),COUNT('Default Prob'!$P$5:$P$14)))</f>
        <v>3.363522017633732E-2</v>
      </c>
      <c r="H1707" s="5">
        <f t="shared" si="349"/>
        <v>0.85466699835007331</v>
      </c>
      <c r="I1707" s="24">
        <f t="shared" si="350"/>
        <v>7.8708381474390521E-5</v>
      </c>
      <c r="J1707" s="25">
        <f>INDEX('Default Prob'!$C$3:$C$13, _xlfn.IFNA(MATCH(F1707, 'Default Prob'!$B$3:$B$13, 1), 1))</f>
        <v>2.1700000000000001E-2</v>
      </c>
      <c r="K1707" s="26">
        <f t="shared" si="341"/>
        <v>0.86966117443900115</v>
      </c>
      <c r="L1707" s="27">
        <f t="shared" ca="1" si="342"/>
        <v>0</v>
      </c>
      <c r="M1707" s="27">
        <f t="shared" ca="1" si="343"/>
        <v>0</v>
      </c>
      <c r="N1707" s="28">
        <f t="shared" ca="1" si="344"/>
        <v>0</v>
      </c>
      <c r="O1707" s="29">
        <f t="shared" ca="1" si="345"/>
        <v>0</v>
      </c>
      <c r="P1707" s="30">
        <f t="shared" ca="1" si="346"/>
        <v>0</v>
      </c>
    </row>
    <row r="1708" spans="1:16" x14ac:dyDescent="0.25">
      <c r="A1708" s="3">
        <f t="shared" si="347"/>
        <v>48502</v>
      </c>
      <c r="B1708" s="21">
        <f t="shared" si="338"/>
        <v>36814</v>
      </c>
      <c r="C1708" s="21">
        <f t="shared" si="339"/>
        <v>36880</v>
      </c>
      <c r="D1708" s="1">
        <f t="shared" si="348"/>
        <v>0</v>
      </c>
      <c r="E1708" s="3">
        <f t="array" ref="E1708">INDEX($A$9:A1707, MAX(IF($D$9:D1707=1, ROW(D$9:$D1707)-ROW($D$9)+1, 0)))</f>
        <v>48477</v>
      </c>
      <c r="F1708" s="23">
        <f t="shared" si="340"/>
        <v>6.5078713210130044</v>
      </c>
      <c r="G1708" s="5">
        <f>INDEX('Default Prob'!$P$5:$P$14,MIN(1+_xlfn.IFNA(MATCH(F1708,'Default Prob'!$F$5:$F$14,1),0),COUNT('Default Prob'!$P$5:$P$14)))</f>
        <v>3.363522017633732E-2</v>
      </c>
      <c r="H1708" s="5">
        <f t="shared" si="349"/>
        <v>0.85458829721637952</v>
      </c>
      <c r="I1708" s="24">
        <f t="shared" si="350"/>
        <v>7.8701133693792613E-5</v>
      </c>
      <c r="J1708" s="25">
        <f>INDEX('Default Prob'!$C$3:$C$13, _xlfn.IFNA(MATCH(F1708, 'Default Prob'!$B$3:$B$13, 1), 1))</f>
        <v>2.1700000000000001E-2</v>
      </c>
      <c r="K1708" s="26">
        <f t="shared" si="341"/>
        <v>0.86961006080115588</v>
      </c>
      <c r="L1708" s="27">
        <f t="shared" ca="1" si="342"/>
        <v>0</v>
      </c>
      <c r="M1708" s="27">
        <f t="shared" ca="1" si="343"/>
        <v>0</v>
      </c>
      <c r="N1708" s="28">
        <f t="shared" ca="1" si="344"/>
        <v>0</v>
      </c>
      <c r="O1708" s="29">
        <f t="shared" ca="1" si="345"/>
        <v>0</v>
      </c>
      <c r="P1708" s="30">
        <f t="shared" ca="1" si="346"/>
        <v>0</v>
      </c>
    </row>
    <row r="1709" spans="1:16" x14ac:dyDescent="0.25">
      <c r="A1709" s="3">
        <f t="shared" si="347"/>
        <v>48505</v>
      </c>
      <c r="B1709" s="21">
        <f t="shared" si="338"/>
        <v>36817</v>
      </c>
      <c r="C1709" s="21">
        <f t="shared" si="339"/>
        <v>36880</v>
      </c>
      <c r="D1709" s="1">
        <f t="shared" si="348"/>
        <v>0</v>
      </c>
      <c r="E1709" s="3">
        <f t="array" ref="E1709">INDEX($A$9:A1708, MAX(IF($D$9:D1708=1, ROW(D$9:$D1708)-ROW($D$9)+1, 0)))</f>
        <v>48477</v>
      </c>
      <c r="F1709" s="23">
        <f t="shared" si="340"/>
        <v>6.5160848733744015</v>
      </c>
      <c r="G1709" s="5">
        <f>INDEX('Default Prob'!$P$5:$P$14,MIN(1+_xlfn.IFNA(MATCH(F1709,'Default Prob'!$F$5:$F$14,1),0),COUNT('Default Prob'!$P$5:$P$14)))</f>
        <v>3.363522017633732E-2</v>
      </c>
      <c r="H1709" s="5">
        <f t="shared" si="349"/>
        <v>0.85435223729530774</v>
      </c>
      <c r="I1709" s="24">
        <f t="shared" si="350"/>
        <v>2.3605992107178508E-4</v>
      </c>
      <c r="J1709" s="25">
        <f>INDEX('Default Prob'!$C$3:$C$13, _xlfn.IFNA(MATCH(F1709, 'Default Prob'!$B$3:$B$13, 1), 1))</f>
        <v>2.1700000000000001E-2</v>
      </c>
      <c r="K1709" s="26">
        <f t="shared" si="341"/>
        <v>0.86945673791189226</v>
      </c>
      <c r="L1709" s="27">
        <f t="shared" ca="1" si="342"/>
        <v>0</v>
      </c>
      <c r="M1709" s="27">
        <f t="shared" ca="1" si="343"/>
        <v>0</v>
      </c>
      <c r="N1709" s="28">
        <f t="shared" ca="1" si="344"/>
        <v>0</v>
      </c>
      <c r="O1709" s="29">
        <f t="shared" ca="1" si="345"/>
        <v>0</v>
      </c>
      <c r="P1709" s="30">
        <f t="shared" ca="1" si="346"/>
        <v>0</v>
      </c>
    </row>
    <row r="1710" spans="1:16" x14ac:dyDescent="0.25">
      <c r="A1710" s="3">
        <f t="shared" si="347"/>
        <v>48506</v>
      </c>
      <c r="B1710" s="21">
        <f t="shared" si="338"/>
        <v>36818</v>
      </c>
      <c r="C1710" s="21">
        <f t="shared" si="339"/>
        <v>36880</v>
      </c>
      <c r="D1710" s="1">
        <f t="shared" si="348"/>
        <v>0</v>
      </c>
      <c r="E1710" s="3">
        <f t="array" ref="E1710">INDEX($A$9:A1709, MAX(IF($D$9:D1709=1, ROW(D$9:$D1709)-ROW($D$9)+1, 0)))</f>
        <v>48477</v>
      </c>
      <c r="F1710" s="23">
        <f t="shared" si="340"/>
        <v>6.5188227241615335</v>
      </c>
      <c r="G1710" s="5">
        <f>INDEX('Default Prob'!$P$5:$P$14,MIN(1+_xlfn.IFNA(MATCH(F1710,'Default Prob'!$F$5:$F$14,1),0),COUNT('Default Prob'!$P$5:$P$14)))</f>
        <v>3.363522017633732E-2</v>
      </c>
      <c r="H1710" s="5">
        <f t="shared" si="349"/>
        <v>0.85427356514606279</v>
      </c>
      <c r="I1710" s="24">
        <f t="shared" si="350"/>
        <v>7.8672149244951584E-5</v>
      </c>
      <c r="J1710" s="25">
        <f>INDEX('Default Prob'!$C$3:$C$13, _xlfn.IFNA(MATCH(F1710, 'Default Prob'!$B$3:$B$13, 1), 1))</f>
        <v>2.1700000000000001E-2</v>
      </c>
      <c r="K1710" s="26">
        <f t="shared" si="341"/>
        <v>0.86940563628963985</v>
      </c>
      <c r="L1710" s="27">
        <f t="shared" ca="1" si="342"/>
        <v>0</v>
      </c>
      <c r="M1710" s="27">
        <f t="shared" ca="1" si="343"/>
        <v>0</v>
      </c>
      <c r="N1710" s="28">
        <f t="shared" ca="1" si="344"/>
        <v>0</v>
      </c>
      <c r="O1710" s="29">
        <f t="shared" ca="1" si="345"/>
        <v>0</v>
      </c>
      <c r="P1710" s="30">
        <f t="shared" ca="1" si="346"/>
        <v>0</v>
      </c>
    </row>
    <row r="1711" spans="1:16" x14ac:dyDescent="0.25">
      <c r="A1711" s="3">
        <f t="shared" si="347"/>
        <v>48507</v>
      </c>
      <c r="B1711" s="21">
        <f t="shared" si="338"/>
        <v>36819</v>
      </c>
      <c r="C1711" s="21">
        <f t="shared" si="339"/>
        <v>36880</v>
      </c>
      <c r="D1711" s="1">
        <f t="shared" si="348"/>
        <v>0</v>
      </c>
      <c r="E1711" s="3">
        <f t="array" ref="E1711">INDEX($A$9:A1710, MAX(IF($D$9:D1710=1, ROW(D$9:$D1710)-ROW($D$9)+1, 0)))</f>
        <v>48477</v>
      </c>
      <c r="F1711" s="23">
        <f t="shared" si="340"/>
        <v>6.5215605749486656</v>
      </c>
      <c r="G1711" s="5">
        <f>INDEX('Default Prob'!$P$5:$P$14,MIN(1+_xlfn.IFNA(MATCH(F1711,'Default Prob'!$F$5:$F$14,1),0),COUNT('Default Prob'!$P$5:$P$14)))</f>
        <v>3.363522017633732E-2</v>
      </c>
      <c r="H1711" s="5">
        <f t="shared" si="349"/>
        <v>0.85419490024126199</v>
      </c>
      <c r="I1711" s="24">
        <f t="shared" si="350"/>
        <v>7.866490480079591E-5</v>
      </c>
      <c r="J1711" s="25">
        <f>INDEX('Default Prob'!$C$3:$C$13, _xlfn.IFNA(MATCH(F1711, 'Default Prob'!$B$3:$B$13, 1), 1))</f>
        <v>2.1700000000000001E-2</v>
      </c>
      <c r="K1711" s="26">
        <f t="shared" si="341"/>
        <v>0.86935453767084425</v>
      </c>
      <c r="L1711" s="27">
        <f t="shared" ca="1" si="342"/>
        <v>0</v>
      </c>
      <c r="M1711" s="27">
        <f t="shared" ca="1" si="343"/>
        <v>0</v>
      </c>
      <c r="N1711" s="28">
        <f t="shared" ca="1" si="344"/>
        <v>0</v>
      </c>
      <c r="O1711" s="29">
        <f t="shared" ca="1" si="345"/>
        <v>0</v>
      </c>
      <c r="P1711" s="30">
        <f t="shared" ca="1" si="346"/>
        <v>0</v>
      </c>
    </row>
    <row r="1712" spans="1:16" x14ac:dyDescent="0.25">
      <c r="A1712" s="3">
        <f t="shared" si="347"/>
        <v>48508</v>
      </c>
      <c r="B1712" s="21">
        <f t="shared" si="338"/>
        <v>36820</v>
      </c>
      <c r="C1712" s="21">
        <f t="shared" si="339"/>
        <v>36880</v>
      </c>
      <c r="D1712" s="1">
        <f t="shared" si="348"/>
        <v>0</v>
      </c>
      <c r="E1712" s="3">
        <f t="array" ref="E1712">INDEX($A$9:A1711, MAX(IF($D$9:D1711=1, ROW(D$9:$D1711)-ROW($D$9)+1, 0)))</f>
        <v>48477</v>
      </c>
      <c r="F1712" s="23">
        <f t="shared" si="340"/>
        <v>6.5242984257357977</v>
      </c>
      <c r="G1712" s="5">
        <f>INDEX('Default Prob'!$P$5:$P$14,MIN(1+_xlfn.IFNA(MATCH(F1712,'Default Prob'!$F$5:$F$14,1),0),COUNT('Default Prob'!$P$5:$P$14)))</f>
        <v>3.363522017633732E-2</v>
      </c>
      <c r="H1712" s="5">
        <f t="shared" si="349"/>
        <v>0.85411624258023822</v>
      </c>
      <c r="I1712" s="24">
        <f t="shared" si="350"/>
        <v>7.8657661023773251E-5</v>
      </c>
      <c r="J1712" s="25">
        <f>INDEX('Default Prob'!$C$3:$C$13, _xlfn.IFNA(MATCH(F1712, 'Default Prob'!$B$3:$B$13, 1), 1))</f>
        <v>2.1700000000000001E-2</v>
      </c>
      <c r="K1712" s="26">
        <f t="shared" si="341"/>
        <v>0.86930344205532906</v>
      </c>
      <c r="L1712" s="27">
        <f t="shared" ca="1" si="342"/>
        <v>0</v>
      </c>
      <c r="M1712" s="27">
        <f t="shared" ca="1" si="343"/>
        <v>0</v>
      </c>
      <c r="N1712" s="28">
        <f t="shared" ca="1" si="344"/>
        <v>0</v>
      </c>
      <c r="O1712" s="29">
        <f t="shared" ca="1" si="345"/>
        <v>0</v>
      </c>
      <c r="P1712" s="30">
        <f t="shared" ca="1" si="346"/>
        <v>0</v>
      </c>
    </row>
    <row r="1713" spans="1:16" x14ac:dyDescent="0.25">
      <c r="A1713" s="3">
        <f t="shared" si="347"/>
        <v>48509</v>
      </c>
      <c r="B1713" s="21">
        <f t="shared" si="338"/>
        <v>36821</v>
      </c>
      <c r="C1713" s="21">
        <f t="shared" si="339"/>
        <v>36880</v>
      </c>
      <c r="D1713" s="1">
        <f t="shared" si="348"/>
        <v>0</v>
      </c>
      <c r="E1713" s="3">
        <f t="array" ref="E1713">INDEX($A$9:A1712, MAX(IF($D$9:D1712=1, ROW(D$9:$D1712)-ROW($D$9)+1, 0)))</f>
        <v>48477</v>
      </c>
      <c r="F1713" s="23">
        <f t="shared" si="340"/>
        <v>6.5270362765229297</v>
      </c>
      <c r="G1713" s="5">
        <f>INDEX('Default Prob'!$P$5:$P$14,MIN(1+_xlfn.IFNA(MATCH(F1713,'Default Prob'!$F$5:$F$14,1),0),COUNT('Default Prob'!$P$5:$P$14)))</f>
        <v>3.363522017633732E-2</v>
      </c>
      <c r="H1713" s="5">
        <f t="shared" si="349"/>
        <v>0.85403759216232444</v>
      </c>
      <c r="I1713" s="24">
        <f t="shared" si="350"/>
        <v>7.8650417913772586E-5</v>
      </c>
      <c r="J1713" s="25">
        <f>INDEX('Default Prob'!$C$3:$C$13, _xlfn.IFNA(MATCH(F1713, 'Default Prob'!$B$3:$B$13, 1), 1))</f>
        <v>2.1700000000000001E-2</v>
      </c>
      <c r="K1713" s="26">
        <f t="shared" si="341"/>
        <v>0.86925234944291774</v>
      </c>
      <c r="L1713" s="27">
        <f t="shared" ca="1" si="342"/>
        <v>0</v>
      </c>
      <c r="M1713" s="27">
        <f t="shared" ca="1" si="343"/>
        <v>0</v>
      </c>
      <c r="N1713" s="28">
        <f t="shared" ca="1" si="344"/>
        <v>0</v>
      </c>
      <c r="O1713" s="29">
        <f t="shared" ca="1" si="345"/>
        <v>0</v>
      </c>
      <c r="P1713" s="30">
        <f t="shared" ca="1" si="346"/>
        <v>0</v>
      </c>
    </row>
    <row r="1714" spans="1:16" x14ac:dyDescent="0.25">
      <c r="A1714" s="3">
        <f t="shared" si="347"/>
        <v>48512</v>
      </c>
      <c r="B1714" s="21">
        <f t="shared" si="338"/>
        <v>36824</v>
      </c>
      <c r="C1714" s="21">
        <f t="shared" si="339"/>
        <v>36880</v>
      </c>
      <c r="D1714" s="1">
        <f t="shared" si="348"/>
        <v>0</v>
      </c>
      <c r="E1714" s="3">
        <f t="array" ref="E1714">INDEX($A$9:A1713, MAX(IF($D$9:D1713=1, ROW(D$9:$D1713)-ROW($D$9)+1, 0)))</f>
        <v>48477</v>
      </c>
      <c r="F1714" s="23">
        <f t="shared" si="340"/>
        <v>6.5352498288843259</v>
      </c>
      <c r="G1714" s="5">
        <f>INDEX('Default Prob'!$P$5:$P$14,MIN(1+_xlfn.IFNA(MATCH(F1714,'Default Prob'!$F$5:$F$14,1),0),COUNT('Default Prob'!$P$5:$P$14)))</f>
        <v>3.363522017633732E-2</v>
      </c>
      <c r="H1714" s="5">
        <f t="shared" si="349"/>
        <v>0.85380168436057369</v>
      </c>
      <c r="I1714" s="24">
        <f t="shared" si="350"/>
        <v>2.3590780175075654E-4</v>
      </c>
      <c r="J1714" s="25">
        <f>INDEX('Default Prob'!$C$3:$C$13, _xlfn.IFNA(MATCH(F1714, 'Default Prob'!$B$3:$B$13, 1), 1))</f>
        <v>2.1700000000000001E-2</v>
      </c>
      <c r="K1714" s="26">
        <f t="shared" si="341"/>
        <v>0.86909908962254145</v>
      </c>
      <c r="L1714" s="27">
        <f t="shared" ca="1" si="342"/>
        <v>0</v>
      </c>
      <c r="M1714" s="27">
        <f t="shared" ca="1" si="343"/>
        <v>0</v>
      </c>
      <c r="N1714" s="28">
        <f t="shared" ca="1" si="344"/>
        <v>0</v>
      </c>
      <c r="O1714" s="29">
        <f t="shared" ca="1" si="345"/>
        <v>0</v>
      </c>
      <c r="P1714" s="30">
        <f t="shared" ca="1" si="346"/>
        <v>0</v>
      </c>
    </row>
    <row r="1715" spans="1:16" x14ac:dyDescent="0.25">
      <c r="A1715" s="3">
        <f t="shared" si="347"/>
        <v>48513</v>
      </c>
      <c r="B1715" s="21">
        <f t="shared" si="338"/>
        <v>36825</v>
      </c>
      <c r="C1715" s="21">
        <f t="shared" si="339"/>
        <v>36880</v>
      </c>
      <c r="D1715" s="1">
        <f t="shared" si="348"/>
        <v>0</v>
      </c>
      <c r="E1715" s="3">
        <f t="array" ref="E1715">INDEX($A$9:A1714, MAX(IF($D$9:D1714=1, ROW(D$9:$D1714)-ROW($D$9)+1, 0)))</f>
        <v>48477</v>
      </c>
      <c r="F1715" s="23">
        <f t="shared" si="340"/>
        <v>6.537987679671458</v>
      </c>
      <c r="G1715" s="5">
        <f>INDEX('Default Prob'!$P$5:$P$14,MIN(1+_xlfn.IFNA(MATCH(F1715,'Default Prob'!$F$5:$F$14,1),0),COUNT('Default Prob'!$P$5:$P$14)))</f>
        <v>3.363522017633732E-2</v>
      </c>
      <c r="H1715" s="5">
        <f t="shared" si="349"/>
        <v>0.85372306290843081</v>
      </c>
      <c r="I1715" s="24">
        <f t="shared" si="350"/>
        <v>7.8621452142879633E-5</v>
      </c>
      <c r="J1715" s="25">
        <f>INDEX('Default Prob'!$C$3:$C$13, _xlfn.IFNA(MATCH(F1715, 'Default Prob'!$B$3:$B$13, 1), 1))</f>
        <v>2.1700000000000001E-2</v>
      </c>
      <c r="K1715" s="26">
        <f t="shared" si="341"/>
        <v>0.86904800902078028</v>
      </c>
      <c r="L1715" s="27">
        <f t="shared" ca="1" si="342"/>
        <v>0</v>
      </c>
      <c r="M1715" s="27">
        <f t="shared" ca="1" si="343"/>
        <v>0</v>
      </c>
      <c r="N1715" s="28">
        <f t="shared" ca="1" si="344"/>
        <v>0</v>
      </c>
      <c r="O1715" s="29">
        <f t="shared" ca="1" si="345"/>
        <v>0</v>
      </c>
      <c r="P1715" s="30">
        <f t="shared" ca="1" si="346"/>
        <v>0</v>
      </c>
    </row>
    <row r="1716" spans="1:16" x14ac:dyDescent="0.25">
      <c r="A1716" s="3">
        <f t="shared" si="347"/>
        <v>48514</v>
      </c>
      <c r="B1716" s="21">
        <f t="shared" si="338"/>
        <v>36826</v>
      </c>
      <c r="C1716" s="21">
        <f t="shared" si="339"/>
        <v>36880</v>
      </c>
      <c r="D1716" s="1">
        <f t="shared" si="348"/>
        <v>0</v>
      </c>
      <c r="E1716" s="3">
        <f t="array" ref="E1716">INDEX($A$9:A1715, MAX(IF($D$9:D1715=1, ROW(D$9:$D1715)-ROW($D$9)+1, 0)))</f>
        <v>48477</v>
      </c>
      <c r="F1716" s="23">
        <f t="shared" si="340"/>
        <v>6.5407255304585901</v>
      </c>
      <c r="G1716" s="5">
        <f>INDEX('Default Prob'!$P$5:$P$14,MIN(1+_xlfn.IFNA(MATCH(F1716,'Default Prob'!$F$5:$F$14,1),0),COUNT('Default Prob'!$P$5:$P$14)))</f>
        <v>3.363522017633732E-2</v>
      </c>
      <c r="H1716" s="5">
        <f t="shared" si="349"/>
        <v>0.85364444869606371</v>
      </c>
      <c r="I1716" s="24">
        <f t="shared" si="350"/>
        <v>7.8614212367100755E-5</v>
      </c>
      <c r="J1716" s="25">
        <f>INDEX('Default Prob'!$C$3:$C$13, _xlfn.IFNA(MATCH(F1716, 'Default Prob'!$B$3:$B$13, 1), 1))</f>
        <v>2.1700000000000001E-2</v>
      </c>
      <c r="K1716" s="26">
        <f t="shared" si="341"/>
        <v>0.86899693142124057</v>
      </c>
      <c r="L1716" s="27">
        <f t="shared" ca="1" si="342"/>
        <v>0</v>
      </c>
      <c r="M1716" s="27">
        <f t="shared" ca="1" si="343"/>
        <v>0</v>
      </c>
      <c r="N1716" s="28">
        <f t="shared" ca="1" si="344"/>
        <v>0</v>
      </c>
      <c r="O1716" s="29">
        <f t="shared" ca="1" si="345"/>
        <v>0</v>
      </c>
      <c r="P1716" s="30">
        <f t="shared" ca="1" si="346"/>
        <v>0</v>
      </c>
    </row>
    <row r="1717" spans="1:16" x14ac:dyDescent="0.25">
      <c r="A1717" s="3">
        <f t="shared" si="347"/>
        <v>48515</v>
      </c>
      <c r="B1717" s="21">
        <f t="shared" si="338"/>
        <v>36827</v>
      </c>
      <c r="C1717" s="21">
        <f t="shared" si="339"/>
        <v>36880</v>
      </c>
      <c r="D1717" s="1">
        <f t="shared" si="348"/>
        <v>0</v>
      </c>
      <c r="E1717" s="3">
        <f t="array" ref="E1717">INDEX($A$9:A1716, MAX(IF($D$9:D1716=1, ROW(D$9:$D1716)-ROW($D$9)+1, 0)))</f>
        <v>48477</v>
      </c>
      <c r="F1717" s="23">
        <f t="shared" si="340"/>
        <v>6.5434633812457221</v>
      </c>
      <c r="G1717" s="5">
        <f>INDEX('Default Prob'!$P$5:$P$14,MIN(1+_xlfn.IFNA(MATCH(F1717,'Default Prob'!$F$5:$F$14,1),0),COUNT('Default Prob'!$P$5:$P$14)))</f>
        <v>3.363522017633732E-2</v>
      </c>
      <c r="H1717" s="5">
        <f t="shared" si="349"/>
        <v>0.8535658417228057</v>
      </c>
      <c r="I1717" s="24">
        <f t="shared" si="350"/>
        <v>7.8606973258010804E-5</v>
      </c>
      <c r="J1717" s="25">
        <f>INDEX('Default Prob'!$C$3:$C$13, _xlfn.IFNA(MATCH(F1717, 'Default Prob'!$B$3:$B$13, 1), 1))</f>
        <v>2.1700000000000001E-2</v>
      </c>
      <c r="K1717" s="26">
        <f t="shared" si="341"/>
        <v>0.8689458568237457</v>
      </c>
      <c r="L1717" s="27">
        <f t="shared" ca="1" si="342"/>
        <v>0</v>
      </c>
      <c r="M1717" s="27">
        <f t="shared" ca="1" si="343"/>
        <v>0</v>
      </c>
      <c r="N1717" s="28">
        <f t="shared" ca="1" si="344"/>
        <v>0</v>
      </c>
      <c r="O1717" s="29">
        <f t="shared" ca="1" si="345"/>
        <v>0</v>
      </c>
      <c r="P1717" s="30">
        <f t="shared" ca="1" si="346"/>
        <v>0</v>
      </c>
    </row>
    <row r="1718" spans="1:16" x14ac:dyDescent="0.25">
      <c r="A1718" s="3">
        <f t="shared" si="347"/>
        <v>48516</v>
      </c>
      <c r="B1718" s="21">
        <f t="shared" si="338"/>
        <v>36828</v>
      </c>
      <c r="C1718" s="21">
        <f t="shared" si="339"/>
        <v>36880</v>
      </c>
      <c r="D1718" s="1">
        <f t="shared" si="348"/>
        <v>0</v>
      </c>
      <c r="E1718" s="3">
        <f t="array" ref="E1718">INDEX($A$9:A1717, MAX(IF($D$9:D1717=1, ROW(D$9:$D1717)-ROW($D$9)+1, 0)))</f>
        <v>48477</v>
      </c>
      <c r="F1718" s="23">
        <f t="shared" si="340"/>
        <v>6.5462012320328542</v>
      </c>
      <c r="G1718" s="5">
        <f>INDEX('Default Prob'!$P$5:$P$14,MIN(1+_xlfn.IFNA(MATCH(F1718,'Default Prob'!$F$5:$F$14,1),0),COUNT('Default Prob'!$P$5:$P$14)))</f>
        <v>3.363522017633732E-2</v>
      </c>
      <c r="H1718" s="5">
        <f t="shared" si="349"/>
        <v>0.8534872419879902</v>
      </c>
      <c r="I1718" s="24">
        <f t="shared" si="350"/>
        <v>7.8599734815498756E-5</v>
      </c>
      <c r="J1718" s="25">
        <f>INDEX('Default Prob'!$C$3:$C$13, _xlfn.IFNA(MATCH(F1718, 'Default Prob'!$B$3:$B$13, 1), 1))</f>
        <v>2.1700000000000001E-2</v>
      </c>
      <c r="K1718" s="26">
        <f t="shared" si="341"/>
        <v>0.86889478522811958</v>
      </c>
      <c r="L1718" s="27">
        <f t="shared" ca="1" si="342"/>
        <v>0</v>
      </c>
      <c r="M1718" s="27">
        <f t="shared" ca="1" si="343"/>
        <v>0</v>
      </c>
      <c r="N1718" s="28">
        <f t="shared" ca="1" si="344"/>
        <v>0</v>
      </c>
      <c r="O1718" s="29">
        <f t="shared" ca="1" si="345"/>
        <v>0</v>
      </c>
      <c r="P1718" s="30">
        <f t="shared" ca="1" si="346"/>
        <v>0</v>
      </c>
    </row>
    <row r="1719" spans="1:16" x14ac:dyDescent="0.25">
      <c r="A1719" s="3">
        <f t="shared" si="347"/>
        <v>48519</v>
      </c>
      <c r="B1719" s="21">
        <f t="shared" si="338"/>
        <v>36831</v>
      </c>
      <c r="C1719" s="21">
        <f t="shared" si="339"/>
        <v>36880</v>
      </c>
      <c r="D1719" s="1">
        <f t="shared" si="348"/>
        <v>0</v>
      </c>
      <c r="E1719" s="3">
        <f t="array" ref="E1719">INDEX($A$9:A1718, MAX(IF($D$9:D1718=1, ROW(D$9:$D1718)-ROW($D$9)+1, 0)))</f>
        <v>48477</v>
      </c>
      <c r="F1719" s="23">
        <f t="shared" si="340"/>
        <v>6.5544147843942504</v>
      </c>
      <c r="G1719" s="5">
        <f>INDEX('Default Prob'!$P$5:$P$14,MIN(1+_xlfn.IFNA(MATCH(F1719,'Default Prob'!$F$5:$F$14,1),0),COUNT('Default Prob'!$P$5:$P$14)))</f>
        <v>3.363522017633732E-2</v>
      </c>
      <c r="H1719" s="5">
        <f t="shared" si="349"/>
        <v>0.85325148620753344</v>
      </c>
      <c r="I1719" s="24">
        <f t="shared" si="350"/>
        <v>2.3575578045675893E-4</v>
      </c>
      <c r="J1719" s="25">
        <f>INDEX('Default Prob'!$C$3:$C$13, _xlfn.IFNA(MATCH(F1719, 'Default Prob'!$B$3:$B$13, 1), 1))</f>
        <v>2.1700000000000001E-2</v>
      </c>
      <c r="K1719" s="26">
        <f t="shared" si="341"/>
        <v>0.86874158845068727</v>
      </c>
      <c r="L1719" s="27">
        <f t="shared" ca="1" si="342"/>
        <v>0</v>
      </c>
      <c r="M1719" s="27">
        <f t="shared" ca="1" si="343"/>
        <v>0</v>
      </c>
      <c r="N1719" s="28">
        <f t="shared" ca="1" si="344"/>
        <v>0</v>
      </c>
      <c r="O1719" s="29">
        <f t="shared" ca="1" si="345"/>
        <v>0</v>
      </c>
      <c r="P1719" s="30">
        <f t="shared" ca="1" si="346"/>
        <v>0</v>
      </c>
    </row>
    <row r="1720" spans="1:16" x14ac:dyDescent="0.25">
      <c r="A1720" s="3">
        <f t="shared" si="347"/>
        <v>48520</v>
      </c>
      <c r="B1720" s="21">
        <f t="shared" si="338"/>
        <v>36832</v>
      </c>
      <c r="C1720" s="21">
        <f t="shared" si="339"/>
        <v>36880</v>
      </c>
      <c r="D1720" s="1">
        <f t="shared" si="348"/>
        <v>0</v>
      </c>
      <c r="E1720" s="3">
        <f t="array" ref="E1720">INDEX($A$9:A1719, MAX(IF($D$9:D1719=1, ROW(D$9:$D1719)-ROW($D$9)+1, 0)))</f>
        <v>48477</v>
      </c>
      <c r="F1720" s="23">
        <f t="shared" si="340"/>
        <v>6.5571526351813825</v>
      </c>
      <c r="G1720" s="5">
        <f>INDEX('Default Prob'!$P$5:$P$14,MIN(1+_xlfn.IFNA(MATCH(F1720,'Default Prob'!$F$5:$F$14,1),0),COUNT('Default Prob'!$P$5:$P$14)))</f>
        <v>3.363522017633732E-2</v>
      </c>
      <c r="H1720" s="5">
        <f t="shared" si="349"/>
        <v>0.8531729154198231</v>
      </c>
      <c r="I1720" s="24">
        <f t="shared" si="350"/>
        <v>7.8570787710341428E-5</v>
      </c>
      <c r="J1720" s="25">
        <f>INDEX('Default Prob'!$C$3:$C$13, _xlfn.IFNA(MATCH(F1720, 'Default Prob'!$B$3:$B$13, 1), 1))</f>
        <v>2.1700000000000001E-2</v>
      </c>
      <c r="K1720" s="26">
        <f t="shared" si="341"/>
        <v>0.86869052886077069</v>
      </c>
      <c r="L1720" s="27">
        <f t="shared" ca="1" si="342"/>
        <v>0</v>
      </c>
      <c r="M1720" s="27">
        <f t="shared" ca="1" si="343"/>
        <v>0</v>
      </c>
      <c r="N1720" s="28">
        <f t="shared" ca="1" si="344"/>
        <v>0</v>
      </c>
      <c r="O1720" s="29">
        <f t="shared" ca="1" si="345"/>
        <v>0</v>
      </c>
      <c r="P1720" s="30">
        <f t="shared" ca="1" si="346"/>
        <v>0</v>
      </c>
    </row>
    <row r="1721" spans="1:16" x14ac:dyDescent="0.25">
      <c r="A1721" s="3">
        <f t="shared" si="347"/>
        <v>48521</v>
      </c>
      <c r="B1721" s="21">
        <f t="shared" si="338"/>
        <v>36833</v>
      </c>
      <c r="C1721" s="21">
        <f t="shared" si="339"/>
        <v>36880</v>
      </c>
      <c r="D1721" s="1">
        <f t="shared" si="348"/>
        <v>0</v>
      </c>
      <c r="E1721" s="3">
        <f t="array" ref="E1721">INDEX($A$9:A1720, MAX(IF($D$9:D1720=1, ROW(D$9:$D1720)-ROW($D$9)+1, 0)))</f>
        <v>48477</v>
      </c>
      <c r="F1721" s="23">
        <f t="shared" si="340"/>
        <v>6.5598904859685145</v>
      </c>
      <c r="G1721" s="5">
        <f>INDEX('Default Prob'!$P$5:$P$14,MIN(1+_xlfn.IFNA(MATCH(F1721,'Default Prob'!$F$5:$F$14,1),0),COUNT('Default Prob'!$P$5:$P$14)))</f>
        <v>3.363522017633732E-2</v>
      </c>
      <c r="H1721" s="5">
        <f t="shared" si="349"/>
        <v>0.85309435186722304</v>
      </c>
      <c r="I1721" s="24">
        <f t="shared" si="350"/>
        <v>7.8563552600052766E-5</v>
      </c>
      <c r="J1721" s="25">
        <f>INDEX('Default Prob'!$C$3:$C$13, _xlfn.IFNA(MATCH(F1721, 'Default Prob'!$B$3:$B$13, 1), 1))</f>
        <v>2.1700000000000001E-2</v>
      </c>
      <c r="K1721" s="26">
        <f t="shared" si="341"/>
        <v>0.86863947227184068</v>
      </c>
      <c r="L1721" s="27">
        <f t="shared" ca="1" si="342"/>
        <v>0</v>
      </c>
      <c r="M1721" s="27">
        <f t="shared" ca="1" si="343"/>
        <v>0</v>
      </c>
      <c r="N1721" s="28">
        <f t="shared" ca="1" si="344"/>
        <v>0</v>
      </c>
      <c r="O1721" s="29">
        <f t="shared" ca="1" si="345"/>
        <v>0</v>
      </c>
      <c r="P1721" s="30">
        <f t="shared" ca="1" si="346"/>
        <v>0</v>
      </c>
    </row>
    <row r="1722" spans="1:16" x14ac:dyDescent="0.25">
      <c r="A1722" s="3">
        <f t="shared" si="347"/>
        <v>48522</v>
      </c>
      <c r="B1722" s="21">
        <f t="shared" si="338"/>
        <v>36834</v>
      </c>
      <c r="C1722" s="21">
        <f t="shared" si="339"/>
        <v>36880</v>
      </c>
      <c r="D1722" s="1">
        <f t="shared" si="348"/>
        <v>0</v>
      </c>
      <c r="E1722" s="3">
        <f t="array" ref="E1722">INDEX($A$9:A1721, MAX(IF($D$9:D1721=1, ROW(D$9:$D1721)-ROW($D$9)+1, 0)))</f>
        <v>48477</v>
      </c>
      <c r="F1722" s="23">
        <f t="shared" si="340"/>
        <v>6.5626283367556466</v>
      </c>
      <c r="G1722" s="5">
        <f>INDEX('Default Prob'!$P$5:$P$14,MIN(1+_xlfn.IFNA(MATCH(F1722,'Default Prob'!$F$5:$F$14,1),0),COUNT('Default Prob'!$P$5:$P$14)))</f>
        <v>3.363522017633732E-2</v>
      </c>
      <c r="H1722" s="5">
        <f t="shared" si="349"/>
        <v>0.85301579554906715</v>
      </c>
      <c r="I1722" s="24">
        <f t="shared" si="350"/>
        <v>7.855631815589792E-5</v>
      </c>
      <c r="J1722" s="25">
        <f>INDEX('Default Prob'!$C$3:$C$13, _xlfn.IFNA(MATCH(F1722, 'Default Prob'!$B$3:$B$13, 1), 1))</f>
        <v>2.1700000000000001E-2</v>
      </c>
      <c r="K1722" s="26">
        <f t="shared" si="341"/>
        <v>0.86858841868372072</v>
      </c>
      <c r="L1722" s="27">
        <f t="shared" ca="1" si="342"/>
        <v>0</v>
      </c>
      <c r="M1722" s="27">
        <f t="shared" ca="1" si="343"/>
        <v>0</v>
      </c>
      <c r="N1722" s="28">
        <f t="shared" ca="1" si="344"/>
        <v>0</v>
      </c>
      <c r="O1722" s="29">
        <f t="shared" ca="1" si="345"/>
        <v>0</v>
      </c>
      <c r="P1722" s="30">
        <f t="shared" ca="1" si="346"/>
        <v>0</v>
      </c>
    </row>
    <row r="1723" spans="1:16" x14ac:dyDescent="0.25">
      <c r="A1723" s="3">
        <f t="shared" si="347"/>
        <v>48523</v>
      </c>
      <c r="B1723" s="21">
        <f t="shared" si="338"/>
        <v>36835</v>
      </c>
      <c r="C1723" s="21">
        <f t="shared" si="339"/>
        <v>36880</v>
      </c>
      <c r="D1723" s="1">
        <f t="shared" si="348"/>
        <v>0</v>
      </c>
      <c r="E1723" s="3">
        <f t="array" ref="E1723">INDEX($A$9:A1722, MAX(IF($D$9:D1722=1, ROW(D$9:$D1722)-ROW($D$9)+1, 0)))</f>
        <v>48477</v>
      </c>
      <c r="F1723" s="23">
        <f t="shared" si="340"/>
        <v>6.5653661875427787</v>
      </c>
      <c r="G1723" s="5">
        <f>INDEX('Default Prob'!$P$5:$P$14,MIN(1+_xlfn.IFNA(MATCH(F1723,'Default Prob'!$F$5:$F$14,1),0),COUNT('Default Prob'!$P$5:$P$14)))</f>
        <v>3.363522017633732E-2</v>
      </c>
      <c r="H1723" s="5">
        <f t="shared" si="349"/>
        <v>0.85293724646468927</v>
      </c>
      <c r="I1723" s="24">
        <f t="shared" si="350"/>
        <v>7.8549084377876888E-5</v>
      </c>
      <c r="J1723" s="25">
        <f>INDEX('Default Prob'!$C$3:$C$13, _xlfn.IFNA(MATCH(F1723, 'Default Prob'!$B$3:$B$13, 1), 1))</f>
        <v>2.1700000000000001E-2</v>
      </c>
      <c r="K1723" s="26">
        <f t="shared" si="341"/>
        <v>0.86853736809623427</v>
      </c>
      <c r="L1723" s="27">
        <f t="shared" ca="1" si="342"/>
        <v>0</v>
      </c>
      <c r="M1723" s="27">
        <f t="shared" ca="1" si="343"/>
        <v>0</v>
      </c>
      <c r="N1723" s="28">
        <f t="shared" ca="1" si="344"/>
        <v>0</v>
      </c>
      <c r="O1723" s="29">
        <f t="shared" ca="1" si="345"/>
        <v>0</v>
      </c>
      <c r="P1723" s="30">
        <f t="shared" ca="1" si="346"/>
        <v>0</v>
      </c>
    </row>
    <row r="1724" spans="1:16" x14ac:dyDescent="0.25">
      <c r="A1724" s="3">
        <f t="shared" si="347"/>
        <v>48526</v>
      </c>
      <c r="B1724" s="21">
        <f t="shared" si="338"/>
        <v>36838</v>
      </c>
      <c r="C1724" s="21">
        <f t="shared" si="339"/>
        <v>36880</v>
      </c>
      <c r="D1724" s="1">
        <f t="shared" si="348"/>
        <v>0</v>
      </c>
      <c r="E1724" s="3">
        <f t="array" ref="E1724">INDEX($A$9:A1723, MAX(IF($D$9:D1723=1, ROW(D$9:$D1723)-ROW($D$9)+1, 0)))</f>
        <v>48477</v>
      </c>
      <c r="F1724" s="23">
        <f t="shared" si="340"/>
        <v>6.5735797399041749</v>
      </c>
      <c r="G1724" s="5">
        <f>INDEX('Default Prob'!$P$5:$P$14,MIN(1+_xlfn.IFNA(MATCH(F1724,'Default Prob'!$F$5:$F$14,1),0),COUNT('Default Prob'!$P$5:$P$14)))</f>
        <v>3.363522017633732E-2</v>
      </c>
      <c r="H1724" s="5">
        <f t="shared" si="349"/>
        <v>0.85270164260756243</v>
      </c>
      <c r="I1724" s="24">
        <f t="shared" si="350"/>
        <v>2.3560385712684262E-4</v>
      </c>
      <c r="J1724" s="25">
        <f>INDEX('Default Prob'!$C$3:$C$13, _xlfn.IFNA(MATCH(F1724, 'Default Prob'!$B$3:$B$13, 1), 1))</f>
        <v>2.1700000000000001E-2</v>
      </c>
      <c r="K1724" s="26">
        <f t="shared" si="341"/>
        <v>0.8683842343358138</v>
      </c>
      <c r="L1724" s="27">
        <f t="shared" ca="1" si="342"/>
        <v>0</v>
      </c>
      <c r="M1724" s="27">
        <f t="shared" ca="1" si="343"/>
        <v>0</v>
      </c>
      <c r="N1724" s="28">
        <f t="shared" ca="1" si="344"/>
        <v>0</v>
      </c>
      <c r="O1724" s="29">
        <f t="shared" ca="1" si="345"/>
        <v>0</v>
      </c>
      <c r="P1724" s="30">
        <f t="shared" ca="1" si="346"/>
        <v>0</v>
      </c>
    </row>
    <row r="1725" spans="1:16" x14ac:dyDescent="0.25">
      <c r="A1725" s="3">
        <f t="shared" si="347"/>
        <v>48527</v>
      </c>
      <c r="B1725" s="21">
        <f t="shared" si="338"/>
        <v>36839</v>
      </c>
      <c r="C1725" s="21">
        <f t="shared" si="339"/>
        <v>36880</v>
      </c>
      <c r="D1725" s="1">
        <f t="shared" si="348"/>
        <v>0</v>
      </c>
      <c r="E1725" s="3">
        <f t="array" ref="E1725">INDEX($A$9:A1724, MAX(IF($D$9:D1724=1, ROW(D$9:$D1724)-ROW($D$9)+1, 0)))</f>
        <v>48477</v>
      </c>
      <c r="F1725" s="23">
        <f t="shared" si="340"/>
        <v>6.5763175906913069</v>
      </c>
      <c r="G1725" s="5">
        <f>INDEX('Default Prob'!$P$5:$P$14,MIN(1+_xlfn.IFNA(MATCH(F1725,'Default Prob'!$F$5:$F$14,1),0),COUNT('Default Prob'!$P$5:$P$14)))</f>
        <v>3.363522017633732E-2</v>
      </c>
      <c r="H1725" s="5">
        <f t="shared" si="349"/>
        <v>0.85262312245163585</v>
      </c>
      <c r="I1725" s="24">
        <f t="shared" si="350"/>
        <v>7.8520155926575796E-5</v>
      </c>
      <c r="J1725" s="25">
        <f>INDEX('Default Prob'!$C$3:$C$13, _xlfn.IFNA(MATCH(F1725, 'Default Prob'!$B$3:$B$13, 1), 1))</f>
        <v>2.1700000000000001E-2</v>
      </c>
      <c r="K1725" s="26">
        <f t="shared" si="341"/>
        <v>0.86833319574909862</v>
      </c>
      <c r="L1725" s="27">
        <f t="shared" ca="1" si="342"/>
        <v>0</v>
      </c>
      <c r="M1725" s="27">
        <f t="shared" ca="1" si="343"/>
        <v>0</v>
      </c>
      <c r="N1725" s="28">
        <f t="shared" ca="1" si="344"/>
        <v>0</v>
      </c>
      <c r="O1725" s="29">
        <f t="shared" ca="1" si="345"/>
        <v>0</v>
      </c>
      <c r="P1725" s="30">
        <f t="shared" ca="1" si="346"/>
        <v>0</v>
      </c>
    </row>
    <row r="1726" spans="1:16" x14ac:dyDescent="0.25">
      <c r="A1726" s="3">
        <f t="shared" si="347"/>
        <v>48528</v>
      </c>
      <c r="B1726" s="21">
        <f t="shared" si="338"/>
        <v>36840</v>
      </c>
      <c r="C1726" s="21">
        <f t="shared" si="339"/>
        <v>36880</v>
      </c>
      <c r="D1726" s="1">
        <f t="shared" si="348"/>
        <v>0</v>
      </c>
      <c r="E1726" s="3">
        <f t="array" ref="E1726">INDEX($A$9:A1725, MAX(IF($D$9:D1725=1, ROW(D$9:$D1725)-ROW($D$9)+1, 0)))</f>
        <v>48477</v>
      </c>
      <c r="F1726" s="23">
        <f t="shared" si="340"/>
        <v>6.579055441478439</v>
      </c>
      <c r="G1726" s="5">
        <f>INDEX('Default Prob'!$P$5:$P$14,MIN(1+_xlfn.IFNA(MATCH(F1726,'Default Prob'!$F$5:$F$14,1),0),COUNT('Default Prob'!$P$5:$P$14)))</f>
        <v>3.363522017633732E-2</v>
      </c>
      <c r="H1726" s="5">
        <f t="shared" si="349"/>
        <v>0.85254460952615729</v>
      </c>
      <c r="I1726" s="24">
        <f t="shared" si="350"/>
        <v>7.8512925478557705E-5</v>
      </c>
      <c r="J1726" s="25">
        <f>INDEX('Default Prob'!$C$3:$C$13, _xlfn.IFNA(MATCH(F1726, 'Default Prob'!$B$3:$B$13, 1), 1))</f>
        <v>2.1700000000000001E-2</v>
      </c>
      <c r="K1726" s="26">
        <f t="shared" si="341"/>
        <v>0.86828216016213566</v>
      </c>
      <c r="L1726" s="27">
        <f t="shared" ca="1" si="342"/>
        <v>0</v>
      </c>
      <c r="M1726" s="27">
        <f t="shared" ca="1" si="343"/>
        <v>0</v>
      </c>
      <c r="N1726" s="28">
        <f t="shared" ca="1" si="344"/>
        <v>0</v>
      </c>
      <c r="O1726" s="29">
        <f t="shared" ca="1" si="345"/>
        <v>0</v>
      </c>
      <c r="P1726" s="30">
        <f t="shared" ca="1" si="346"/>
        <v>0</v>
      </c>
    </row>
    <row r="1727" spans="1:16" x14ac:dyDescent="0.25">
      <c r="A1727" s="3">
        <f t="shared" si="347"/>
        <v>48529</v>
      </c>
      <c r="B1727" s="21">
        <f t="shared" si="338"/>
        <v>36841</v>
      </c>
      <c r="C1727" s="21">
        <f t="shared" si="339"/>
        <v>36880</v>
      </c>
      <c r="D1727" s="1">
        <f t="shared" si="348"/>
        <v>0</v>
      </c>
      <c r="E1727" s="3">
        <f t="array" ref="E1727">INDEX($A$9:A1726, MAX(IF($D$9:D1726=1, ROW(D$9:$D1726)-ROW($D$9)+1, 0)))</f>
        <v>48477</v>
      </c>
      <c r="F1727" s="23">
        <f t="shared" si="340"/>
        <v>6.5817932922655711</v>
      </c>
      <c r="G1727" s="5">
        <f>INDEX('Default Prob'!$P$5:$P$14,MIN(1+_xlfn.IFNA(MATCH(F1727,'Default Prob'!$F$5:$F$14,1),0),COUNT('Default Prob'!$P$5:$P$14)))</f>
        <v>3.363522017633732E-2</v>
      </c>
      <c r="H1727" s="5">
        <f t="shared" si="349"/>
        <v>0.85246610383046084</v>
      </c>
      <c r="I1727" s="24">
        <f t="shared" si="350"/>
        <v>7.8505695696451383E-5</v>
      </c>
      <c r="J1727" s="25">
        <f>INDEX('Default Prob'!$C$3:$C$13, _xlfn.IFNA(MATCH(F1727, 'Default Prob'!$B$3:$B$13, 1), 1))</f>
        <v>2.1700000000000001E-2</v>
      </c>
      <c r="K1727" s="26">
        <f t="shared" si="341"/>
        <v>0.86823112757474818</v>
      </c>
      <c r="L1727" s="27">
        <f t="shared" ca="1" si="342"/>
        <v>0</v>
      </c>
      <c r="M1727" s="27">
        <f t="shared" ca="1" si="343"/>
        <v>0</v>
      </c>
      <c r="N1727" s="28">
        <f t="shared" ca="1" si="344"/>
        <v>0</v>
      </c>
      <c r="O1727" s="29">
        <f t="shared" ca="1" si="345"/>
        <v>0</v>
      </c>
      <c r="P1727" s="30">
        <f t="shared" ca="1" si="346"/>
        <v>0</v>
      </c>
    </row>
    <row r="1728" spans="1:16" x14ac:dyDescent="0.25">
      <c r="A1728" s="3">
        <f t="shared" si="347"/>
        <v>48530</v>
      </c>
      <c r="B1728" s="21">
        <f t="shared" si="338"/>
        <v>36842</v>
      </c>
      <c r="C1728" s="21">
        <f t="shared" si="339"/>
        <v>36880</v>
      </c>
      <c r="D1728" s="1">
        <f t="shared" si="348"/>
        <v>0</v>
      </c>
      <c r="E1728" s="3">
        <f t="array" ref="E1728">INDEX($A$9:A1727, MAX(IF($D$9:D1727=1, ROW(D$9:$D1727)-ROW($D$9)+1, 0)))</f>
        <v>48477</v>
      </c>
      <c r="F1728" s="23">
        <f t="shared" si="340"/>
        <v>6.584531143052704</v>
      </c>
      <c r="G1728" s="5">
        <f>INDEX('Default Prob'!$P$5:$P$14,MIN(1+_xlfn.IFNA(MATCH(F1728,'Default Prob'!$F$5:$F$14,1),0),COUNT('Default Prob'!$P$5:$P$14)))</f>
        <v>3.363522017633732E-2</v>
      </c>
      <c r="H1728" s="5">
        <f t="shared" si="349"/>
        <v>0.85238760536388092</v>
      </c>
      <c r="I1728" s="24">
        <f t="shared" si="350"/>
        <v>7.8498466579923765E-5</v>
      </c>
      <c r="J1728" s="25">
        <f>INDEX('Default Prob'!$C$3:$C$13, _xlfn.IFNA(MATCH(F1728, 'Default Prob'!$B$3:$B$13, 1), 1))</f>
        <v>2.1700000000000001E-2</v>
      </c>
      <c r="K1728" s="26">
        <f t="shared" si="341"/>
        <v>0.8681800979867601</v>
      </c>
      <c r="L1728" s="27">
        <f t="shared" ca="1" si="342"/>
        <v>0</v>
      </c>
      <c r="M1728" s="27">
        <f t="shared" ca="1" si="343"/>
        <v>0</v>
      </c>
      <c r="N1728" s="28">
        <f t="shared" ca="1" si="344"/>
        <v>0</v>
      </c>
      <c r="O1728" s="29">
        <f t="shared" ca="1" si="345"/>
        <v>0</v>
      </c>
      <c r="P1728" s="30">
        <f t="shared" ca="1" si="346"/>
        <v>0</v>
      </c>
    </row>
    <row r="1729" spans="1:16" x14ac:dyDescent="0.25">
      <c r="A1729" s="3">
        <f t="shared" si="347"/>
        <v>48533</v>
      </c>
      <c r="B1729" s="21">
        <f t="shared" si="338"/>
        <v>36845</v>
      </c>
      <c r="C1729" s="21">
        <f t="shared" si="339"/>
        <v>36880</v>
      </c>
      <c r="D1729" s="1">
        <f t="shared" si="348"/>
        <v>0</v>
      </c>
      <c r="E1729" s="3">
        <f t="array" ref="E1729">INDEX($A$9:A1728, MAX(IF($D$9:D1728=1, ROW(D$9:$D1728)-ROW($D$9)+1, 0)))</f>
        <v>48477</v>
      </c>
      <c r="F1729" s="23">
        <f t="shared" si="340"/>
        <v>6.5927446954141002</v>
      </c>
      <c r="G1729" s="5">
        <f>INDEX('Default Prob'!$P$5:$P$14,MIN(1+_xlfn.IFNA(MATCH(F1729,'Default Prob'!$F$5:$F$14,1),0),COUNT('Default Prob'!$P$5:$P$14)))</f>
        <v>3.363522017633732E-2</v>
      </c>
      <c r="H1729" s="5">
        <f t="shared" si="349"/>
        <v>0.85215215333218308</v>
      </c>
      <c r="I1729" s="24">
        <f t="shared" si="350"/>
        <v>2.3545203169783591E-4</v>
      </c>
      <c r="J1729" s="25">
        <f>INDEX('Default Prob'!$C$3:$C$13, _xlfn.IFNA(MATCH(F1729, 'Default Prob'!$B$3:$B$13, 1), 1))</f>
        <v>2.1700000000000001E-2</v>
      </c>
      <c r="K1729" s="26">
        <f t="shared" si="341"/>
        <v>0.8680270272174293</v>
      </c>
      <c r="L1729" s="27">
        <f t="shared" ca="1" si="342"/>
        <v>0</v>
      </c>
      <c r="M1729" s="27">
        <f t="shared" ca="1" si="343"/>
        <v>0</v>
      </c>
      <c r="N1729" s="28">
        <f t="shared" ca="1" si="344"/>
        <v>0</v>
      </c>
      <c r="O1729" s="29">
        <f t="shared" ca="1" si="345"/>
        <v>0</v>
      </c>
      <c r="P1729" s="30">
        <f t="shared" ca="1" si="346"/>
        <v>0</v>
      </c>
    </row>
    <row r="1730" spans="1:16" x14ac:dyDescent="0.25">
      <c r="A1730" s="3">
        <f t="shared" si="347"/>
        <v>48534</v>
      </c>
      <c r="B1730" s="21">
        <f t="shared" si="338"/>
        <v>36846</v>
      </c>
      <c r="C1730" s="21">
        <f t="shared" si="339"/>
        <v>36880</v>
      </c>
      <c r="D1730" s="1">
        <f t="shared" si="348"/>
        <v>0</v>
      </c>
      <c r="E1730" s="3">
        <f t="array" ref="E1730">INDEX($A$9:A1729, MAX(IF($D$9:D1729=1, ROW(D$9:$D1729)-ROW($D$9)+1, 0)))</f>
        <v>48477</v>
      </c>
      <c r="F1730" s="23">
        <f t="shared" si="340"/>
        <v>6.5954825462012323</v>
      </c>
      <c r="G1730" s="5">
        <f>INDEX('Default Prob'!$P$5:$P$14,MIN(1+_xlfn.IFNA(MATCH(F1730,'Default Prob'!$F$5:$F$14,1),0),COUNT('Default Prob'!$P$5:$P$14)))</f>
        <v>3.363522017633732E-2</v>
      </c>
      <c r="H1730" s="5">
        <f t="shared" si="349"/>
        <v>0.8520736837754127</v>
      </c>
      <c r="I1730" s="24">
        <f t="shared" si="350"/>
        <v>7.846955677037748E-5</v>
      </c>
      <c r="J1730" s="25">
        <f>INDEX('Default Prob'!$C$3:$C$13, _xlfn.IFNA(MATCH(F1730, 'Default Prob'!$B$3:$B$13, 1), 1))</f>
        <v>2.1700000000000001E-2</v>
      </c>
      <c r="K1730" s="26">
        <f t="shared" si="341"/>
        <v>0.86797600962527599</v>
      </c>
      <c r="L1730" s="27">
        <f t="shared" ca="1" si="342"/>
        <v>0</v>
      </c>
      <c r="M1730" s="27">
        <f t="shared" ca="1" si="343"/>
        <v>0</v>
      </c>
      <c r="N1730" s="28">
        <f t="shared" ca="1" si="344"/>
        <v>0</v>
      </c>
      <c r="O1730" s="29">
        <f t="shared" ca="1" si="345"/>
        <v>0</v>
      </c>
      <c r="P1730" s="30">
        <f t="shared" ca="1" si="346"/>
        <v>0</v>
      </c>
    </row>
    <row r="1731" spans="1:16" x14ac:dyDescent="0.25">
      <c r="A1731" s="3">
        <f t="shared" si="347"/>
        <v>48535</v>
      </c>
      <c r="B1731" s="21">
        <f t="shared" si="338"/>
        <v>36847</v>
      </c>
      <c r="C1731" s="21">
        <f t="shared" si="339"/>
        <v>36880</v>
      </c>
      <c r="D1731" s="1">
        <f t="shared" si="348"/>
        <v>0</v>
      </c>
      <c r="E1731" s="3">
        <f t="array" ref="E1731">INDEX($A$9:A1730, MAX(IF($D$9:D1730=1, ROW(D$9:$D1730)-ROW($D$9)+1, 0)))</f>
        <v>48477</v>
      </c>
      <c r="F1731" s="23">
        <f t="shared" si="340"/>
        <v>6.5982203969883644</v>
      </c>
      <c r="G1731" s="5">
        <f>INDEX('Default Prob'!$P$5:$P$14,MIN(1+_xlfn.IFNA(MATCH(F1731,'Default Prob'!$F$5:$F$14,1),0),COUNT('Default Prob'!$P$5:$P$14)))</f>
        <v>3.363522017633732E-2</v>
      </c>
      <c r="H1731" s="5">
        <f t="shared" si="349"/>
        <v>0.85199522144443096</v>
      </c>
      <c r="I1731" s="24">
        <f t="shared" si="350"/>
        <v>7.8462330981743378E-5</v>
      </c>
      <c r="J1731" s="25">
        <f>INDEX('Default Prob'!$C$3:$C$13, _xlfn.IFNA(MATCH(F1731, 'Default Prob'!$B$3:$B$13, 1), 1))</f>
        <v>2.1700000000000001E-2</v>
      </c>
      <c r="K1731" s="26">
        <f t="shared" si="341"/>
        <v>0.86792499503164078</v>
      </c>
      <c r="L1731" s="27">
        <f t="shared" ca="1" si="342"/>
        <v>0</v>
      </c>
      <c r="M1731" s="27">
        <f t="shared" ca="1" si="343"/>
        <v>0</v>
      </c>
      <c r="N1731" s="28">
        <f t="shared" ca="1" si="344"/>
        <v>0</v>
      </c>
      <c r="O1731" s="29">
        <f t="shared" ca="1" si="345"/>
        <v>0</v>
      </c>
      <c r="P1731" s="30">
        <f t="shared" ca="1" si="346"/>
        <v>0</v>
      </c>
    </row>
    <row r="1732" spans="1:16" x14ac:dyDescent="0.25">
      <c r="A1732" s="3">
        <f t="shared" si="347"/>
        <v>48536</v>
      </c>
      <c r="B1732" s="21">
        <f t="shared" si="338"/>
        <v>36848</v>
      </c>
      <c r="C1732" s="21">
        <f t="shared" si="339"/>
        <v>36880</v>
      </c>
      <c r="D1732" s="1">
        <f t="shared" si="348"/>
        <v>0</v>
      </c>
      <c r="E1732" s="3">
        <f t="array" ref="E1732">INDEX($A$9:A1731, MAX(IF($D$9:D1731=1, ROW(D$9:$D1731)-ROW($D$9)+1, 0)))</f>
        <v>48477</v>
      </c>
      <c r="F1732" s="23">
        <f t="shared" si="340"/>
        <v>6.6009582477754964</v>
      </c>
      <c r="G1732" s="5">
        <f>INDEX('Default Prob'!$P$5:$P$14,MIN(1+_xlfn.IFNA(MATCH(F1732,'Default Prob'!$F$5:$F$14,1),0),COUNT('Default Prob'!$P$5:$P$14)))</f>
        <v>3.363522017633732E-2</v>
      </c>
      <c r="H1732" s="5">
        <f t="shared" si="349"/>
        <v>0.85191676633857238</v>
      </c>
      <c r="I1732" s="24">
        <f t="shared" si="350"/>
        <v>7.8455105858576957E-5</v>
      </c>
      <c r="J1732" s="25">
        <f>INDEX('Default Prob'!$C$3:$C$13, _xlfn.IFNA(MATCH(F1732, 'Default Prob'!$B$3:$B$13, 1), 1))</f>
        <v>2.1700000000000001E-2</v>
      </c>
      <c r="K1732" s="26">
        <f t="shared" si="341"/>
        <v>0.86787398343634736</v>
      </c>
      <c r="L1732" s="27">
        <f t="shared" ca="1" si="342"/>
        <v>0</v>
      </c>
      <c r="M1732" s="27">
        <f t="shared" ca="1" si="343"/>
        <v>0</v>
      </c>
      <c r="N1732" s="28">
        <f t="shared" ca="1" si="344"/>
        <v>0</v>
      </c>
      <c r="O1732" s="29">
        <f t="shared" ca="1" si="345"/>
        <v>0</v>
      </c>
      <c r="P1732" s="30">
        <f t="shared" ca="1" si="346"/>
        <v>0</v>
      </c>
    </row>
    <row r="1733" spans="1:16" x14ac:dyDescent="0.25">
      <c r="A1733" s="3">
        <f t="shared" si="347"/>
        <v>48537</v>
      </c>
      <c r="B1733" s="21">
        <f t="shared" si="338"/>
        <v>36849</v>
      </c>
      <c r="C1733" s="21">
        <f t="shared" si="339"/>
        <v>36880</v>
      </c>
      <c r="D1733" s="1">
        <f t="shared" si="348"/>
        <v>0</v>
      </c>
      <c r="E1733" s="3">
        <f t="array" ref="E1733">INDEX($A$9:A1732, MAX(IF($D$9:D1732=1, ROW(D$9:$D1732)-ROW($D$9)+1, 0)))</f>
        <v>48477</v>
      </c>
      <c r="F1733" s="23">
        <f t="shared" si="340"/>
        <v>6.6036960985626285</v>
      </c>
      <c r="G1733" s="5">
        <f>INDEX('Default Prob'!$P$5:$P$14,MIN(1+_xlfn.IFNA(MATCH(F1733,'Default Prob'!$F$5:$F$14,1),0),COUNT('Default Prob'!$P$5:$P$14)))</f>
        <v>3.363522017633732E-2</v>
      </c>
      <c r="H1733" s="5">
        <f t="shared" si="349"/>
        <v>0.85183831845717173</v>
      </c>
      <c r="I1733" s="24">
        <f t="shared" si="350"/>
        <v>7.8447881400656172E-5</v>
      </c>
      <c r="J1733" s="25">
        <f>INDEX('Default Prob'!$C$3:$C$13, _xlfn.IFNA(MATCH(F1733, 'Default Prob'!$B$3:$B$13, 1), 1))</f>
        <v>2.1700000000000001E-2</v>
      </c>
      <c r="K1733" s="26">
        <f t="shared" si="341"/>
        <v>0.86782297483921955</v>
      </c>
      <c r="L1733" s="27">
        <f t="shared" ca="1" si="342"/>
        <v>0</v>
      </c>
      <c r="M1733" s="27">
        <f t="shared" ca="1" si="343"/>
        <v>0</v>
      </c>
      <c r="N1733" s="28">
        <f t="shared" ca="1" si="344"/>
        <v>0</v>
      </c>
      <c r="O1733" s="29">
        <f t="shared" ca="1" si="345"/>
        <v>0</v>
      </c>
      <c r="P1733" s="30">
        <f t="shared" ca="1" si="346"/>
        <v>0</v>
      </c>
    </row>
    <row r="1734" spans="1:16" x14ac:dyDescent="0.25">
      <c r="A1734" s="3">
        <f t="shared" si="347"/>
        <v>48540</v>
      </c>
      <c r="B1734" s="21">
        <f t="shared" si="338"/>
        <v>36852</v>
      </c>
      <c r="C1734" s="21">
        <f t="shared" si="339"/>
        <v>36880</v>
      </c>
      <c r="D1734" s="1">
        <f t="shared" si="348"/>
        <v>0</v>
      </c>
      <c r="E1734" s="3">
        <f t="array" ref="E1734">INDEX($A$9:A1733, MAX(IF($D$9:D1733=1, ROW(D$9:$D1733)-ROW($D$9)+1, 0)))</f>
        <v>48477</v>
      </c>
      <c r="F1734" s="23">
        <f t="shared" si="340"/>
        <v>6.6119096509240247</v>
      </c>
      <c r="G1734" s="5">
        <f>INDEX('Default Prob'!$P$5:$P$14,MIN(1+_xlfn.IFNA(MATCH(F1734,'Default Prob'!$F$5:$F$14,1),0),COUNT('Default Prob'!$P$5:$P$14)))</f>
        <v>3.363522017633732E-2</v>
      </c>
      <c r="H1734" s="5">
        <f t="shared" si="349"/>
        <v>0.85160301815306516</v>
      </c>
      <c r="I1734" s="24">
        <f t="shared" si="350"/>
        <v>2.353003041065671E-4</v>
      </c>
      <c r="J1734" s="25">
        <f>INDEX('Default Prob'!$C$3:$C$13, _xlfn.IFNA(MATCH(F1734, 'Default Prob'!$B$3:$B$13, 1), 1))</f>
        <v>2.1700000000000001E-2</v>
      </c>
      <c r="K1734" s="26">
        <f t="shared" si="341"/>
        <v>0.86766996703506749</v>
      </c>
      <c r="L1734" s="27">
        <f t="shared" ca="1" si="342"/>
        <v>0</v>
      </c>
      <c r="M1734" s="27">
        <f t="shared" ca="1" si="343"/>
        <v>0</v>
      </c>
      <c r="N1734" s="28">
        <f t="shared" ca="1" si="344"/>
        <v>0</v>
      </c>
      <c r="O1734" s="29">
        <f t="shared" ca="1" si="345"/>
        <v>0</v>
      </c>
      <c r="P1734" s="30">
        <f t="shared" ca="1" si="346"/>
        <v>0</v>
      </c>
    </row>
    <row r="1735" spans="1:16" x14ac:dyDescent="0.25">
      <c r="A1735" s="3">
        <f t="shared" si="347"/>
        <v>48541</v>
      </c>
      <c r="B1735" s="21">
        <f t="shared" si="338"/>
        <v>36853</v>
      </c>
      <c r="C1735" s="21">
        <f t="shared" si="339"/>
        <v>36880</v>
      </c>
      <c r="D1735" s="1">
        <f t="shared" si="348"/>
        <v>0</v>
      </c>
      <c r="E1735" s="3">
        <f t="array" ref="E1735">INDEX($A$9:A1734, MAX(IF($D$9:D1734=1, ROW(D$9:$D1734)-ROW($D$9)+1, 0)))</f>
        <v>48477</v>
      </c>
      <c r="F1735" s="23">
        <f t="shared" si="340"/>
        <v>6.6146475017111568</v>
      </c>
      <c r="G1735" s="5">
        <f>INDEX('Default Prob'!$P$5:$P$14,MIN(1+_xlfn.IFNA(MATCH(F1735,'Default Prob'!$F$5:$F$14,1),0),COUNT('Default Prob'!$P$5:$P$14)))</f>
        <v>3.363522017633732E-2</v>
      </c>
      <c r="H1735" s="5">
        <f t="shared" si="349"/>
        <v>0.85152459916284429</v>
      </c>
      <c r="I1735" s="24">
        <f t="shared" si="350"/>
        <v>7.8418990220874285E-5</v>
      </c>
      <c r="J1735" s="25">
        <f>INDEX('Default Prob'!$C$3:$C$13, _xlfn.IFNA(MATCH(F1735, 'Default Prob'!$B$3:$B$13, 1), 1))</f>
        <v>2.1700000000000001E-2</v>
      </c>
      <c r="K1735" s="26">
        <f t="shared" si="341"/>
        <v>0.86761897042883995</v>
      </c>
      <c r="L1735" s="27">
        <f t="shared" ca="1" si="342"/>
        <v>0</v>
      </c>
      <c r="M1735" s="27">
        <f t="shared" ca="1" si="343"/>
        <v>0</v>
      </c>
      <c r="N1735" s="28">
        <f t="shared" ca="1" si="344"/>
        <v>0</v>
      </c>
      <c r="O1735" s="29">
        <f t="shared" ca="1" si="345"/>
        <v>0</v>
      </c>
      <c r="P1735" s="30">
        <f t="shared" ca="1" si="346"/>
        <v>0</v>
      </c>
    </row>
    <row r="1736" spans="1:16" x14ac:dyDescent="0.25">
      <c r="A1736" s="3">
        <f t="shared" si="347"/>
        <v>48542</v>
      </c>
      <c r="B1736" s="21">
        <f t="shared" si="338"/>
        <v>36854</v>
      </c>
      <c r="C1736" s="21">
        <f t="shared" si="339"/>
        <v>36880</v>
      </c>
      <c r="D1736" s="1">
        <f t="shared" si="348"/>
        <v>0</v>
      </c>
      <c r="E1736" s="3">
        <f t="array" ref="E1736">INDEX($A$9:A1735, MAX(IF($D$9:D1735=1, ROW(D$9:$D1735)-ROW($D$9)+1, 0)))</f>
        <v>48477</v>
      </c>
      <c r="F1736" s="23">
        <f t="shared" si="340"/>
        <v>6.6173853524982889</v>
      </c>
      <c r="G1736" s="5">
        <f>INDEX('Default Prob'!$P$5:$P$14,MIN(1+_xlfn.IFNA(MATCH(F1736,'Default Prob'!$F$5:$F$14,1),0),COUNT('Default Prob'!$P$5:$P$14)))</f>
        <v>3.363522017633732E-2</v>
      </c>
      <c r="H1736" s="5">
        <f t="shared" si="349"/>
        <v>0.85144618739375566</v>
      </c>
      <c r="I1736" s="24">
        <f t="shared" si="350"/>
        <v>7.8411769088626571E-5</v>
      </c>
      <c r="J1736" s="25">
        <f>INDEX('Default Prob'!$C$3:$C$13, _xlfn.IFNA(MATCH(F1736, 'Default Prob'!$B$3:$B$13, 1), 1))</f>
        <v>2.1700000000000001E-2</v>
      </c>
      <c r="K1736" s="26">
        <f t="shared" si="341"/>
        <v>0.86756797681989695</v>
      </c>
      <c r="L1736" s="27">
        <f t="shared" ca="1" si="342"/>
        <v>0</v>
      </c>
      <c r="M1736" s="27">
        <f t="shared" ca="1" si="343"/>
        <v>0</v>
      </c>
      <c r="N1736" s="28">
        <f t="shared" ca="1" si="344"/>
        <v>0</v>
      </c>
      <c r="O1736" s="29">
        <f t="shared" ca="1" si="345"/>
        <v>0</v>
      </c>
      <c r="P1736" s="30">
        <f t="shared" ca="1" si="346"/>
        <v>0</v>
      </c>
    </row>
    <row r="1737" spans="1:16" x14ac:dyDescent="0.25">
      <c r="A1737" s="3">
        <f t="shared" si="347"/>
        <v>48543</v>
      </c>
      <c r="B1737" s="21">
        <f t="shared" ref="B1737:B1800" si="351">DATE(2000, MONTH(A1737), DAY(A1737))</f>
        <v>36855</v>
      </c>
      <c r="C1737" s="21">
        <f t="shared" ref="C1737:C1800" si="352">VLOOKUP(B1737, $R$9:$S$13, 2)</f>
        <v>36880</v>
      </c>
      <c r="D1737" s="1">
        <f t="shared" si="348"/>
        <v>0</v>
      </c>
      <c r="E1737" s="3">
        <f t="array" ref="E1737">INDEX($A$9:A1736, MAX(IF($D$9:D1736=1, ROW(D$9:$D1736)-ROW($D$9)+1, 0)))</f>
        <v>48477</v>
      </c>
      <c r="F1737" s="23">
        <f t="shared" ref="F1737:F1800" si="353">(A1737-$A$2)/365.25</f>
        <v>6.6201232032854209</v>
      </c>
      <c r="G1737" s="5">
        <f>INDEX('Default Prob'!$P$5:$P$14,MIN(1+_xlfn.IFNA(MATCH(F1737,'Default Prob'!$F$5:$F$14,1),0),COUNT('Default Prob'!$P$5:$P$14)))</f>
        <v>3.363522017633732E-2</v>
      </c>
      <c r="H1737" s="5">
        <f t="shared" si="349"/>
        <v>0.85136778284513437</v>
      </c>
      <c r="I1737" s="24">
        <f t="shared" si="350"/>
        <v>7.8404548621291426E-5</v>
      </c>
      <c r="J1737" s="25">
        <f>INDEX('Default Prob'!$C$3:$C$13, _xlfn.IFNA(MATCH(F1737, 'Default Prob'!$B$3:$B$13, 1), 1))</f>
        <v>2.1700000000000001E-2</v>
      </c>
      <c r="K1737" s="26">
        <f t="shared" ref="K1737:K1800" si="354">1/((1+J1737)^F1737)</f>
        <v>0.8675169862080625</v>
      </c>
      <c r="L1737" s="27">
        <f t="shared" ref="L1737:L1800" ca="1" si="355">IF(AND(D1737, A1737 &lt;= $G$2), $D$5*$D$2*(A1737-E1737)/365.25, 0)</f>
        <v>0</v>
      </c>
      <c r="M1737" s="27">
        <f t="shared" ref="M1737:M1800" ca="1" si="356">IF(A1737&lt;=$G$2, $D$5*$D$2*(A1737-E1737)/365.25, 0)</f>
        <v>0</v>
      </c>
      <c r="N1737" s="28">
        <f t="shared" ref="N1737:N1800" ca="1" si="357">(L1737*H1737 + M1737*I1737) * K1737</f>
        <v>0</v>
      </c>
      <c r="O1737" s="29">
        <f t="shared" ref="O1737:O1800" ca="1" si="358">IF(A1737&lt;=$G$2, $D$2*(1-$D$3), 0)</f>
        <v>0</v>
      </c>
      <c r="P1737" s="30">
        <f t="shared" ref="P1737:P1800" ca="1" si="359">O1737*I1737*K1737</f>
        <v>0</v>
      </c>
    </row>
    <row r="1738" spans="1:16" x14ac:dyDescent="0.25">
      <c r="A1738" s="3">
        <f t="shared" ref="A1738:A1801" si="360">WORKDAY(A1737, 1)</f>
        <v>48544</v>
      </c>
      <c r="B1738" s="21">
        <f t="shared" si="351"/>
        <v>36856</v>
      </c>
      <c r="C1738" s="21">
        <f t="shared" si="352"/>
        <v>36880</v>
      </c>
      <c r="D1738" s="1">
        <f t="shared" ref="D1738:D1801" si="361">IF(OR(C1738=B1738, AND(C1738&lt;&gt;C1737, C1737&gt;B1737)), 1, 0)</f>
        <v>0</v>
      </c>
      <c r="E1738" s="3">
        <f t="array" ref="E1738">INDEX($A$9:A1737, MAX(IF($D$9:D1737=1, ROW(D$9:$D1737)-ROW($D$9)+1, 0)))</f>
        <v>48477</v>
      </c>
      <c r="F1738" s="23">
        <f t="shared" si="353"/>
        <v>6.622861054072553</v>
      </c>
      <c r="G1738" s="5">
        <f>INDEX('Default Prob'!$P$5:$P$14,MIN(1+_xlfn.IFNA(MATCH(F1738,'Default Prob'!$F$5:$F$14,1),0),COUNT('Default Prob'!$P$5:$P$14)))</f>
        <v>3.363522017633732E-2</v>
      </c>
      <c r="H1738" s="5">
        <f t="shared" ref="H1738:H1801" si="362">H1737*EXP(-G1737*(F1738-F1737))</f>
        <v>0.8512893855163155</v>
      </c>
      <c r="I1738" s="24">
        <f t="shared" ref="I1738:I1801" si="363">H1737-H1738</f>
        <v>7.839732881886885E-5</v>
      </c>
      <c r="J1738" s="25">
        <f>INDEX('Default Prob'!$C$3:$C$13, _xlfn.IFNA(MATCH(F1738, 'Default Prob'!$B$3:$B$13, 1), 1))</f>
        <v>2.1700000000000001E-2</v>
      </c>
      <c r="K1738" s="26">
        <f t="shared" si="354"/>
        <v>0.86746599859316031</v>
      </c>
      <c r="L1738" s="27">
        <f t="shared" ca="1" si="355"/>
        <v>0</v>
      </c>
      <c r="M1738" s="27">
        <f t="shared" ca="1" si="356"/>
        <v>0</v>
      </c>
      <c r="N1738" s="28">
        <f t="shared" ca="1" si="357"/>
        <v>0</v>
      </c>
      <c r="O1738" s="29">
        <f t="shared" ca="1" si="358"/>
        <v>0</v>
      </c>
      <c r="P1738" s="30">
        <f t="shared" ca="1" si="359"/>
        <v>0</v>
      </c>
    </row>
    <row r="1739" spans="1:16" x14ac:dyDescent="0.25">
      <c r="A1739" s="3">
        <f t="shared" si="360"/>
        <v>48547</v>
      </c>
      <c r="B1739" s="21">
        <f t="shared" si="351"/>
        <v>36859</v>
      </c>
      <c r="C1739" s="21">
        <f t="shared" si="352"/>
        <v>36880</v>
      </c>
      <c r="D1739" s="1">
        <f t="shared" si="361"/>
        <v>0</v>
      </c>
      <c r="E1739" s="3">
        <f t="array" ref="E1739">INDEX($A$9:A1738, MAX(IF($D$9:D1738=1, ROW(D$9:$D1738)-ROW($D$9)+1, 0)))</f>
        <v>48477</v>
      </c>
      <c r="F1739" s="23">
        <f t="shared" si="353"/>
        <v>6.6310746064339492</v>
      </c>
      <c r="G1739" s="5">
        <f>INDEX('Default Prob'!$P$5:$P$14,MIN(1+_xlfn.IFNA(MATCH(F1739,'Default Prob'!$F$5:$F$14,1),0),COUNT('Default Prob'!$P$5:$P$14)))</f>
        <v>3.363522017633732E-2</v>
      </c>
      <c r="H1739" s="5">
        <f t="shared" si="362"/>
        <v>0.85105423684202541</v>
      </c>
      <c r="I1739" s="24">
        <f t="shared" si="363"/>
        <v>2.3514867429008657E-4</v>
      </c>
      <c r="J1739" s="25">
        <f>INDEX('Default Prob'!$C$3:$C$13, _xlfn.IFNA(MATCH(F1739, 'Default Prob'!$B$3:$B$13, 1), 1))</f>
        <v>2.1700000000000001E-2</v>
      </c>
      <c r="K1739" s="26">
        <f t="shared" si="354"/>
        <v>0.86731305372828627</v>
      </c>
      <c r="L1739" s="27">
        <f t="shared" ca="1" si="355"/>
        <v>0</v>
      </c>
      <c r="M1739" s="27">
        <f t="shared" ca="1" si="356"/>
        <v>0</v>
      </c>
      <c r="N1739" s="28">
        <f t="shared" ca="1" si="357"/>
        <v>0</v>
      </c>
      <c r="O1739" s="29">
        <f t="shared" ca="1" si="358"/>
        <v>0</v>
      </c>
      <c r="P1739" s="30">
        <f t="shared" ca="1" si="359"/>
        <v>0</v>
      </c>
    </row>
    <row r="1740" spans="1:16" x14ac:dyDescent="0.25">
      <c r="A1740" s="3">
        <f t="shared" si="360"/>
        <v>48548</v>
      </c>
      <c r="B1740" s="21">
        <f t="shared" si="351"/>
        <v>36860</v>
      </c>
      <c r="C1740" s="21">
        <f t="shared" si="352"/>
        <v>36880</v>
      </c>
      <c r="D1740" s="1">
        <f t="shared" si="361"/>
        <v>0</v>
      </c>
      <c r="E1740" s="3">
        <f t="array" ref="E1740">INDEX($A$9:A1739, MAX(IF($D$9:D1739=1, ROW(D$9:$D1739)-ROW($D$9)+1, 0)))</f>
        <v>48477</v>
      </c>
      <c r="F1740" s="23">
        <f t="shared" si="353"/>
        <v>6.6338124572210813</v>
      </c>
      <c r="G1740" s="5">
        <f>INDEX('Default Prob'!$P$5:$P$14,MIN(1+_xlfn.IFNA(MATCH(F1740,'Default Prob'!$F$5:$F$14,1),0),COUNT('Default Prob'!$P$5:$P$14)))</f>
        <v>3.363522017633732E-2</v>
      </c>
      <c r="H1740" s="5">
        <f t="shared" si="362"/>
        <v>0.85097586838576855</v>
      </c>
      <c r="I1740" s="24">
        <f t="shared" si="363"/>
        <v>7.8368456256860952E-5</v>
      </c>
      <c r="J1740" s="25">
        <f>INDEX('Default Prob'!$C$3:$C$13, _xlfn.IFNA(MATCH(F1740, 'Default Prob'!$B$3:$B$13, 1), 1))</f>
        <v>2.1700000000000001E-2</v>
      </c>
      <c r="K1740" s="26">
        <f t="shared" si="354"/>
        <v>0.86726207809935207</v>
      </c>
      <c r="L1740" s="27">
        <f t="shared" ca="1" si="355"/>
        <v>0</v>
      </c>
      <c r="M1740" s="27">
        <f t="shared" ca="1" si="356"/>
        <v>0</v>
      </c>
      <c r="N1740" s="28">
        <f t="shared" ca="1" si="357"/>
        <v>0</v>
      </c>
      <c r="O1740" s="29">
        <f t="shared" ca="1" si="358"/>
        <v>0</v>
      </c>
      <c r="P1740" s="30">
        <f t="shared" ca="1" si="359"/>
        <v>0</v>
      </c>
    </row>
    <row r="1741" spans="1:16" x14ac:dyDescent="0.25">
      <c r="A1741" s="3">
        <f t="shared" si="360"/>
        <v>48549</v>
      </c>
      <c r="B1741" s="21">
        <f t="shared" si="351"/>
        <v>36861</v>
      </c>
      <c r="C1741" s="21">
        <f t="shared" si="352"/>
        <v>36880</v>
      </c>
      <c r="D1741" s="1">
        <f t="shared" si="361"/>
        <v>0</v>
      </c>
      <c r="E1741" s="3">
        <f t="array" ref="E1741">INDEX($A$9:A1740, MAX(IF($D$9:D1740=1, ROW(D$9:$D1740)-ROW($D$9)+1, 0)))</f>
        <v>48477</v>
      </c>
      <c r="F1741" s="23">
        <f t="shared" si="353"/>
        <v>6.6365503080082133</v>
      </c>
      <c r="G1741" s="5">
        <f>INDEX('Default Prob'!$P$5:$P$14,MIN(1+_xlfn.IFNA(MATCH(F1741,'Default Prob'!$F$5:$F$14,1),0),COUNT('Default Prob'!$P$5:$P$14)))</f>
        <v>3.363522017633732E-2</v>
      </c>
      <c r="H1741" s="5">
        <f t="shared" si="362"/>
        <v>0.85089750714599055</v>
      </c>
      <c r="I1741" s="24">
        <f t="shared" si="363"/>
        <v>7.8361239778002023E-5</v>
      </c>
      <c r="J1741" s="25">
        <f>INDEX('Default Prob'!$C$3:$C$13, _xlfn.IFNA(MATCH(F1741, 'Default Prob'!$B$3:$B$13, 1), 1))</f>
        <v>2.1700000000000001E-2</v>
      </c>
      <c r="K1741" s="26">
        <f t="shared" si="354"/>
        <v>0.86721110546646951</v>
      </c>
      <c r="L1741" s="27">
        <f t="shared" ca="1" si="355"/>
        <v>0</v>
      </c>
      <c r="M1741" s="27">
        <f t="shared" ca="1" si="356"/>
        <v>0</v>
      </c>
      <c r="N1741" s="28">
        <f t="shared" ca="1" si="357"/>
        <v>0</v>
      </c>
      <c r="O1741" s="29">
        <f t="shared" ca="1" si="358"/>
        <v>0</v>
      </c>
      <c r="P1741" s="30">
        <f t="shared" ca="1" si="359"/>
        <v>0</v>
      </c>
    </row>
    <row r="1742" spans="1:16" x14ac:dyDescent="0.25">
      <c r="A1742" s="3">
        <f t="shared" si="360"/>
        <v>48550</v>
      </c>
      <c r="B1742" s="21">
        <f t="shared" si="351"/>
        <v>36862</v>
      </c>
      <c r="C1742" s="21">
        <f t="shared" si="352"/>
        <v>36880</v>
      </c>
      <c r="D1742" s="1">
        <f t="shared" si="361"/>
        <v>0</v>
      </c>
      <c r="E1742" s="3">
        <f t="array" ref="E1742">INDEX($A$9:A1741, MAX(IF($D$9:D1741=1, ROW(D$9:$D1741)-ROW($D$9)+1, 0)))</f>
        <v>48477</v>
      </c>
      <c r="F1742" s="23">
        <f t="shared" si="353"/>
        <v>6.6392881587953454</v>
      </c>
      <c r="G1742" s="5">
        <f>INDEX('Default Prob'!$P$5:$P$14,MIN(1+_xlfn.IFNA(MATCH(F1742,'Default Prob'!$F$5:$F$14,1),0),COUNT('Default Prob'!$P$5:$P$14)))</f>
        <v>3.363522017633732E-2</v>
      </c>
      <c r="H1742" s="5">
        <f t="shared" si="362"/>
        <v>0.85081915312202694</v>
      </c>
      <c r="I1742" s="24">
        <f t="shared" si="363"/>
        <v>7.8354023963611574E-5</v>
      </c>
      <c r="J1742" s="25">
        <f>INDEX('Default Prob'!$C$3:$C$13, _xlfn.IFNA(MATCH(F1742, 'Default Prob'!$B$3:$B$13, 1), 1))</f>
        <v>2.1700000000000001E-2</v>
      </c>
      <c r="K1742" s="26">
        <f t="shared" si="354"/>
        <v>0.8671601358294625</v>
      </c>
      <c r="L1742" s="27">
        <f t="shared" ca="1" si="355"/>
        <v>0</v>
      </c>
      <c r="M1742" s="27">
        <f t="shared" ca="1" si="356"/>
        <v>0</v>
      </c>
      <c r="N1742" s="28">
        <f t="shared" ca="1" si="357"/>
        <v>0</v>
      </c>
      <c r="O1742" s="29">
        <f t="shared" ca="1" si="358"/>
        <v>0</v>
      </c>
      <c r="P1742" s="30">
        <f t="shared" ca="1" si="359"/>
        <v>0</v>
      </c>
    </row>
    <row r="1743" spans="1:16" x14ac:dyDescent="0.25">
      <c r="A1743" s="3">
        <f t="shared" si="360"/>
        <v>48551</v>
      </c>
      <c r="B1743" s="21">
        <f t="shared" si="351"/>
        <v>36863</v>
      </c>
      <c r="C1743" s="21">
        <f t="shared" si="352"/>
        <v>36880</v>
      </c>
      <c r="D1743" s="1">
        <f t="shared" si="361"/>
        <v>0</v>
      </c>
      <c r="E1743" s="3">
        <f t="array" ref="E1743">INDEX($A$9:A1742, MAX(IF($D$9:D1742=1, ROW(D$9:$D1742)-ROW($D$9)+1, 0)))</f>
        <v>48477</v>
      </c>
      <c r="F1743" s="23">
        <f t="shared" si="353"/>
        <v>6.6420260095824775</v>
      </c>
      <c r="G1743" s="5">
        <f>INDEX('Default Prob'!$P$5:$P$14,MIN(1+_xlfn.IFNA(MATCH(F1743,'Default Prob'!$F$5:$F$14,1),0),COUNT('Default Prob'!$P$5:$P$14)))</f>
        <v>3.363522017633732E-2</v>
      </c>
      <c r="H1743" s="5">
        <f t="shared" si="362"/>
        <v>0.85074080631321325</v>
      </c>
      <c r="I1743" s="24">
        <f t="shared" si="363"/>
        <v>7.8346808813689606E-5</v>
      </c>
      <c r="J1743" s="25">
        <f>INDEX('Default Prob'!$C$3:$C$13, _xlfn.IFNA(MATCH(F1743, 'Default Prob'!$B$3:$B$13, 1), 1))</f>
        <v>2.1700000000000001E-2</v>
      </c>
      <c r="K1743" s="26">
        <f t="shared" si="354"/>
        <v>0.86710916918815517</v>
      </c>
      <c r="L1743" s="27">
        <f t="shared" ca="1" si="355"/>
        <v>0</v>
      </c>
      <c r="M1743" s="27">
        <f t="shared" ca="1" si="356"/>
        <v>0</v>
      </c>
      <c r="N1743" s="28">
        <f t="shared" ca="1" si="357"/>
        <v>0</v>
      </c>
      <c r="O1743" s="29">
        <f t="shared" ca="1" si="358"/>
        <v>0</v>
      </c>
      <c r="P1743" s="30">
        <f t="shared" ca="1" si="359"/>
        <v>0</v>
      </c>
    </row>
    <row r="1744" spans="1:16" x14ac:dyDescent="0.25">
      <c r="A1744" s="3">
        <f t="shared" si="360"/>
        <v>48554</v>
      </c>
      <c r="B1744" s="21">
        <f t="shared" si="351"/>
        <v>36866</v>
      </c>
      <c r="C1744" s="21">
        <f t="shared" si="352"/>
        <v>36880</v>
      </c>
      <c r="D1744" s="1">
        <f t="shared" si="361"/>
        <v>0</v>
      </c>
      <c r="E1744" s="3">
        <f t="array" ref="E1744">INDEX($A$9:A1743, MAX(IF($D$9:D1743=1, ROW(D$9:$D1743)-ROW($D$9)+1, 0)))</f>
        <v>48477</v>
      </c>
      <c r="F1744" s="23">
        <f t="shared" si="353"/>
        <v>6.6502395619438737</v>
      </c>
      <c r="G1744" s="5">
        <f>INDEX('Default Prob'!$P$5:$P$14,MIN(1+_xlfn.IFNA(MATCH(F1744,'Default Prob'!$F$5:$F$14,1),0),COUNT('Default Prob'!$P$5:$P$14)))</f>
        <v>3.363522017633732E-2</v>
      </c>
      <c r="H1744" s="5">
        <f t="shared" si="362"/>
        <v>0.85050580917102792</v>
      </c>
      <c r="I1744" s="24">
        <f t="shared" si="363"/>
        <v>2.3499714218533363E-4</v>
      </c>
      <c r="J1744" s="25">
        <f>INDEX('Default Prob'!$C$3:$C$13, _xlfn.IFNA(MATCH(F1744, 'Default Prob'!$B$3:$B$13, 1), 1))</f>
        <v>2.1700000000000001E-2</v>
      </c>
      <c r="K1744" s="26">
        <f t="shared" si="354"/>
        <v>0.8669562872366694</v>
      </c>
      <c r="L1744" s="27">
        <f t="shared" ca="1" si="355"/>
        <v>0</v>
      </c>
      <c r="M1744" s="27">
        <f t="shared" ca="1" si="356"/>
        <v>0</v>
      </c>
      <c r="N1744" s="28">
        <f t="shared" ca="1" si="357"/>
        <v>0</v>
      </c>
      <c r="O1744" s="29">
        <f t="shared" ca="1" si="358"/>
        <v>0</v>
      </c>
      <c r="P1744" s="30">
        <f t="shared" ca="1" si="359"/>
        <v>0</v>
      </c>
    </row>
    <row r="1745" spans="1:16" x14ac:dyDescent="0.25">
      <c r="A1745" s="3">
        <f t="shared" si="360"/>
        <v>48555</v>
      </c>
      <c r="B1745" s="21">
        <f t="shared" si="351"/>
        <v>36867</v>
      </c>
      <c r="C1745" s="21">
        <f t="shared" si="352"/>
        <v>36880</v>
      </c>
      <c r="D1745" s="1">
        <f t="shared" si="361"/>
        <v>0</v>
      </c>
      <c r="E1745" s="3">
        <f t="array" ref="E1745">INDEX($A$9:A1744, MAX(IF($D$9:D1744=1, ROW(D$9:$D1744)-ROW($D$9)+1, 0)))</f>
        <v>48477</v>
      </c>
      <c r="F1745" s="23">
        <f t="shared" si="353"/>
        <v>6.6529774127310057</v>
      </c>
      <c r="G1745" s="5">
        <f>INDEX('Default Prob'!$P$5:$P$14,MIN(1+_xlfn.IFNA(MATCH(F1745,'Default Prob'!$F$5:$F$14,1),0),COUNT('Default Prob'!$P$5:$P$14)))</f>
        <v>3.363522017633732E-2</v>
      </c>
      <c r="H1745" s="5">
        <f t="shared" si="362"/>
        <v>0.85042749121617045</v>
      </c>
      <c r="I1745" s="24">
        <f t="shared" si="363"/>
        <v>7.8317954857465288E-5</v>
      </c>
      <c r="J1745" s="25">
        <f>INDEX('Default Prob'!$C$3:$C$13, _xlfn.IFNA(MATCH(F1745, 'Default Prob'!$B$3:$B$13, 1), 1))</f>
        <v>2.1700000000000001E-2</v>
      </c>
      <c r="K1745" s="26">
        <f t="shared" si="354"/>
        <v>0.86690533257639946</v>
      </c>
      <c r="L1745" s="27">
        <f t="shared" ca="1" si="355"/>
        <v>0</v>
      </c>
      <c r="M1745" s="27">
        <f t="shared" ca="1" si="356"/>
        <v>0</v>
      </c>
      <c r="N1745" s="28">
        <f t="shared" ca="1" si="357"/>
        <v>0</v>
      </c>
      <c r="O1745" s="29">
        <f t="shared" ca="1" si="358"/>
        <v>0</v>
      </c>
      <c r="P1745" s="30">
        <f t="shared" ca="1" si="359"/>
        <v>0</v>
      </c>
    </row>
    <row r="1746" spans="1:16" x14ac:dyDescent="0.25">
      <c r="A1746" s="3">
        <f t="shared" si="360"/>
        <v>48556</v>
      </c>
      <c r="B1746" s="21">
        <f t="shared" si="351"/>
        <v>36868</v>
      </c>
      <c r="C1746" s="21">
        <f t="shared" si="352"/>
        <v>36880</v>
      </c>
      <c r="D1746" s="1">
        <f t="shared" si="361"/>
        <v>0</v>
      </c>
      <c r="E1746" s="3">
        <f t="array" ref="E1746">INDEX($A$9:A1745, MAX(IF($D$9:D1745=1, ROW(D$9:$D1745)-ROW($D$9)+1, 0)))</f>
        <v>48477</v>
      </c>
      <c r="F1746" s="23">
        <f t="shared" si="353"/>
        <v>6.6557152635181387</v>
      </c>
      <c r="G1746" s="5">
        <f>INDEX('Default Prob'!$P$5:$P$14,MIN(1+_xlfn.IFNA(MATCH(F1746,'Default Prob'!$F$5:$F$14,1),0),COUNT('Default Prob'!$P$5:$P$14)))</f>
        <v>3.363522017633732E-2</v>
      </c>
      <c r="H1746" s="5">
        <f t="shared" si="362"/>
        <v>0.85034918047314156</v>
      </c>
      <c r="I1746" s="24">
        <f t="shared" si="363"/>
        <v>7.831074302888652E-5</v>
      </c>
      <c r="J1746" s="25">
        <f>INDEX('Default Prob'!$C$3:$C$13, _xlfn.IFNA(MATCH(F1746, 'Default Prob'!$B$3:$B$13, 1), 1))</f>
        <v>2.1700000000000001E-2</v>
      </c>
      <c r="K1746" s="26">
        <f t="shared" si="354"/>
        <v>0.86685438091094869</v>
      </c>
      <c r="L1746" s="27">
        <f t="shared" ca="1" si="355"/>
        <v>0</v>
      </c>
      <c r="M1746" s="27">
        <f t="shared" ca="1" si="356"/>
        <v>0</v>
      </c>
      <c r="N1746" s="28">
        <f t="shared" ca="1" si="357"/>
        <v>0</v>
      </c>
      <c r="O1746" s="29">
        <f t="shared" ca="1" si="358"/>
        <v>0</v>
      </c>
      <c r="P1746" s="30">
        <f t="shared" ca="1" si="359"/>
        <v>0</v>
      </c>
    </row>
    <row r="1747" spans="1:16" x14ac:dyDescent="0.25">
      <c r="A1747" s="3">
        <f t="shared" si="360"/>
        <v>48557</v>
      </c>
      <c r="B1747" s="21">
        <f t="shared" si="351"/>
        <v>36869</v>
      </c>
      <c r="C1747" s="21">
        <f t="shared" si="352"/>
        <v>36880</v>
      </c>
      <c r="D1747" s="1">
        <f t="shared" si="361"/>
        <v>0</v>
      </c>
      <c r="E1747" s="3">
        <f t="array" ref="E1747">INDEX($A$9:A1746, MAX(IF($D$9:D1746=1, ROW(D$9:$D1746)-ROW($D$9)+1, 0)))</f>
        <v>48477</v>
      </c>
      <c r="F1747" s="23">
        <f t="shared" si="353"/>
        <v>6.6584531143052708</v>
      </c>
      <c r="G1747" s="5">
        <f>INDEX('Default Prob'!$P$5:$P$14,MIN(1+_xlfn.IFNA(MATCH(F1747,'Default Prob'!$F$5:$F$14,1),0),COUNT('Default Prob'!$P$5:$P$14)))</f>
        <v>3.363522017633732E-2</v>
      </c>
      <c r="H1747" s="5">
        <f t="shared" si="362"/>
        <v>0.85027087694127712</v>
      </c>
      <c r="I1747" s="24">
        <f t="shared" si="363"/>
        <v>7.8303531864443165E-5</v>
      </c>
      <c r="J1747" s="25">
        <f>INDEX('Default Prob'!$C$3:$C$13, _xlfn.IFNA(MATCH(F1747, 'Default Prob'!$B$3:$B$13, 1), 1))</f>
        <v>2.1700000000000001E-2</v>
      </c>
      <c r="K1747" s="26">
        <f t="shared" si="354"/>
        <v>0.86680343224014145</v>
      </c>
      <c r="L1747" s="27">
        <f t="shared" ca="1" si="355"/>
        <v>0</v>
      </c>
      <c r="M1747" s="27">
        <f t="shared" ca="1" si="356"/>
        <v>0</v>
      </c>
      <c r="N1747" s="28">
        <f t="shared" ca="1" si="357"/>
        <v>0</v>
      </c>
      <c r="O1747" s="29">
        <f t="shared" ca="1" si="358"/>
        <v>0</v>
      </c>
      <c r="P1747" s="30">
        <f t="shared" ca="1" si="359"/>
        <v>0</v>
      </c>
    </row>
    <row r="1748" spans="1:16" x14ac:dyDescent="0.25">
      <c r="A1748" s="3">
        <f t="shared" si="360"/>
        <v>48558</v>
      </c>
      <c r="B1748" s="21">
        <f t="shared" si="351"/>
        <v>36870</v>
      </c>
      <c r="C1748" s="21">
        <f t="shared" si="352"/>
        <v>36880</v>
      </c>
      <c r="D1748" s="1">
        <f t="shared" si="361"/>
        <v>0</v>
      </c>
      <c r="E1748" s="3">
        <f t="array" ref="E1748">INDEX($A$9:A1747, MAX(IF($D$9:D1747=1, ROW(D$9:$D1747)-ROW($D$9)+1, 0)))</f>
        <v>48477</v>
      </c>
      <c r="F1748" s="23">
        <f t="shared" si="353"/>
        <v>6.6611909650924028</v>
      </c>
      <c r="G1748" s="5">
        <f>INDEX('Default Prob'!$P$5:$P$14,MIN(1+_xlfn.IFNA(MATCH(F1748,'Default Prob'!$F$5:$F$14,1),0),COUNT('Default Prob'!$P$5:$P$14)))</f>
        <v>3.363522017633732E-2</v>
      </c>
      <c r="H1748" s="5">
        <f t="shared" si="362"/>
        <v>0.8501925806199131</v>
      </c>
      <c r="I1748" s="24">
        <f t="shared" si="363"/>
        <v>7.8296321364024202E-5</v>
      </c>
      <c r="J1748" s="25">
        <f>INDEX('Default Prob'!$C$3:$C$13, _xlfn.IFNA(MATCH(F1748, 'Default Prob'!$B$3:$B$13, 1), 1))</f>
        <v>2.1700000000000001E-2</v>
      </c>
      <c r="K1748" s="26">
        <f t="shared" si="354"/>
        <v>0.86675248656380133</v>
      </c>
      <c r="L1748" s="27">
        <f t="shared" ca="1" si="355"/>
        <v>0</v>
      </c>
      <c r="M1748" s="27">
        <f t="shared" ca="1" si="356"/>
        <v>0</v>
      </c>
      <c r="N1748" s="28">
        <f t="shared" ca="1" si="357"/>
        <v>0</v>
      </c>
      <c r="O1748" s="29">
        <f t="shared" ca="1" si="358"/>
        <v>0</v>
      </c>
      <c r="P1748" s="30">
        <f t="shared" ca="1" si="359"/>
        <v>0</v>
      </c>
    </row>
    <row r="1749" spans="1:16" x14ac:dyDescent="0.25">
      <c r="A1749" s="3">
        <f t="shared" si="360"/>
        <v>48561</v>
      </c>
      <c r="B1749" s="21">
        <f t="shared" si="351"/>
        <v>36873</v>
      </c>
      <c r="C1749" s="21">
        <f t="shared" si="352"/>
        <v>36880</v>
      </c>
      <c r="D1749" s="1">
        <f t="shared" si="361"/>
        <v>0</v>
      </c>
      <c r="E1749" s="3">
        <f t="array" ref="E1749">INDEX($A$9:A1748, MAX(IF($D$9:D1748=1, ROW(D$9:$D1748)-ROW($D$9)+1, 0)))</f>
        <v>48477</v>
      </c>
      <c r="F1749" s="23">
        <f t="shared" si="353"/>
        <v>6.669404517453799</v>
      </c>
      <c r="G1749" s="5">
        <f>INDEX('Default Prob'!$P$5:$P$14,MIN(1+_xlfn.IFNA(MATCH(F1749,'Default Prob'!$F$5:$F$14,1),0),COUNT('Default Prob'!$P$5:$P$14)))</f>
        <v>3.363522017633732E-2</v>
      </c>
      <c r="H1749" s="5">
        <f t="shared" si="362"/>
        <v>0.84995773491218374</v>
      </c>
      <c r="I1749" s="24">
        <f t="shared" si="363"/>
        <v>2.3484570772935864E-4</v>
      </c>
      <c r="J1749" s="25">
        <f>INDEX('Default Prob'!$C$3:$C$13, _xlfn.IFNA(MATCH(F1749, 'Default Prob'!$B$3:$B$13, 1), 1))</f>
        <v>2.1700000000000001E-2</v>
      </c>
      <c r="K1749" s="26">
        <f t="shared" si="354"/>
        <v>0.86659966749982442</v>
      </c>
      <c r="L1749" s="27">
        <f t="shared" ca="1" si="355"/>
        <v>0</v>
      </c>
      <c r="M1749" s="27">
        <f t="shared" ca="1" si="356"/>
        <v>0</v>
      </c>
      <c r="N1749" s="28">
        <f t="shared" ca="1" si="357"/>
        <v>0</v>
      </c>
      <c r="O1749" s="29">
        <f t="shared" ca="1" si="358"/>
        <v>0</v>
      </c>
      <c r="P1749" s="30">
        <f t="shared" ca="1" si="359"/>
        <v>0</v>
      </c>
    </row>
    <row r="1750" spans="1:16" x14ac:dyDescent="0.25">
      <c r="A1750" s="3">
        <f t="shared" si="360"/>
        <v>48562</v>
      </c>
      <c r="B1750" s="21">
        <f t="shared" si="351"/>
        <v>36874</v>
      </c>
      <c r="C1750" s="21">
        <f t="shared" si="352"/>
        <v>36880</v>
      </c>
      <c r="D1750" s="1">
        <f t="shared" si="361"/>
        <v>0</v>
      </c>
      <c r="E1750" s="3">
        <f t="array" ref="E1750">INDEX($A$9:A1749, MAX(IF($D$9:D1749=1, ROW(D$9:$D1749)-ROW($D$9)+1, 0)))</f>
        <v>48477</v>
      </c>
      <c r="F1750" s="23">
        <f t="shared" si="353"/>
        <v>6.6721423682409311</v>
      </c>
      <c r="G1750" s="5">
        <f>INDEX('Default Prob'!$P$5:$P$14,MIN(1+_xlfn.IFNA(MATCH(F1750,'Default Prob'!$F$5:$F$14,1),0),COUNT('Default Prob'!$P$5:$P$14)))</f>
        <v>3.363522017633732E-2</v>
      </c>
      <c r="H1750" s="5">
        <f t="shared" si="362"/>
        <v>0.84987946742618214</v>
      </c>
      <c r="I1750" s="24">
        <f t="shared" si="363"/>
        <v>7.8267486001593056E-5</v>
      </c>
      <c r="J1750" s="25">
        <f>INDEX('Default Prob'!$C$3:$C$13, _xlfn.IFNA(MATCH(F1750, 'Default Prob'!$B$3:$B$13, 1), 1))</f>
        <v>2.1700000000000001E-2</v>
      </c>
      <c r="K1750" s="26">
        <f t="shared" si="354"/>
        <v>0.86654873379959341</v>
      </c>
      <c r="L1750" s="27">
        <f t="shared" ca="1" si="355"/>
        <v>0</v>
      </c>
      <c r="M1750" s="27">
        <f t="shared" ca="1" si="356"/>
        <v>0</v>
      </c>
      <c r="N1750" s="28">
        <f t="shared" ca="1" si="357"/>
        <v>0</v>
      </c>
      <c r="O1750" s="29">
        <f t="shared" ca="1" si="358"/>
        <v>0</v>
      </c>
      <c r="P1750" s="30">
        <f t="shared" ca="1" si="359"/>
        <v>0</v>
      </c>
    </row>
    <row r="1751" spans="1:16" x14ac:dyDescent="0.25">
      <c r="A1751" s="3">
        <f t="shared" si="360"/>
        <v>48563</v>
      </c>
      <c r="B1751" s="21">
        <f t="shared" si="351"/>
        <v>36875</v>
      </c>
      <c r="C1751" s="21">
        <f t="shared" si="352"/>
        <v>36880</v>
      </c>
      <c r="D1751" s="1">
        <f t="shared" si="361"/>
        <v>0</v>
      </c>
      <c r="E1751" s="3">
        <f t="array" ref="E1751">INDEX($A$9:A1750, MAX(IF($D$9:D1750=1, ROW(D$9:$D1750)-ROW($D$9)+1, 0)))</f>
        <v>48477</v>
      </c>
      <c r="F1751" s="23">
        <f t="shared" si="353"/>
        <v>6.6748802190280632</v>
      </c>
      <c r="G1751" s="5">
        <f>INDEX('Default Prob'!$P$5:$P$14,MIN(1+_xlfn.IFNA(MATCH(F1751,'Default Prob'!$F$5:$F$14,1),0),COUNT('Default Prob'!$P$5:$P$14)))</f>
        <v>3.363522017633732E-2</v>
      </c>
      <c r="H1751" s="5">
        <f t="shared" si="362"/>
        <v>0.84980120714736174</v>
      </c>
      <c r="I1751" s="24">
        <f t="shared" si="363"/>
        <v>7.8260278820407869E-5</v>
      </c>
      <c r="J1751" s="25">
        <f>INDEX('Default Prob'!$C$3:$C$13, _xlfn.IFNA(MATCH(F1751, 'Default Prob'!$B$3:$B$13, 1), 1))</f>
        <v>2.1700000000000001E-2</v>
      </c>
      <c r="K1751" s="26">
        <f t="shared" si="354"/>
        <v>0.86649780309294977</v>
      </c>
      <c r="L1751" s="27">
        <f t="shared" ca="1" si="355"/>
        <v>0</v>
      </c>
      <c r="M1751" s="27">
        <f t="shared" ca="1" si="356"/>
        <v>0</v>
      </c>
      <c r="N1751" s="28">
        <f t="shared" ca="1" si="357"/>
        <v>0</v>
      </c>
      <c r="O1751" s="29">
        <f t="shared" ca="1" si="358"/>
        <v>0</v>
      </c>
      <c r="P1751" s="30">
        <f t="shared" ca="1" si="359"/>
        <v>0</v>
      </c>
    </row>
    <row r="1752" spans="1:16" x14ac:dyDescent="0.25">
      <c r="A1752" s="3">
        <f t="shared" si="360"/>
        <v>48564</v>
      </c>
      <c r="B1752" s="21">
        <f t="shared" si="351"/>
        <v>36876</v>
      </c>
      <c r="C1752" s="21">
        <f t="shared" si="352"/>
        <v>36880</v>
      </c>
      <c r="D1752" s="1">
        <f t="shared" si="361"/>
        <v>0</v>
      </c>
      <c r="E1752" s="3">
        <f t="array" ref="E1752">INDEX($A$9:A1751, MAX(IF($D$9:D1751=1, ROW(D$9:$D1751)-ROW($D$9)+1, 0)))</f>
        <v>48477</v>
      </c>
      <c r="F1752" s="23">
        <f t="shared" si="353"/>
        <v>6.6776180698151952</v>
      </c>
      <c r="G1752" s="5">
        <f>INDEX('Default Prob'!$P$5:$P$14,MIN(1+_xlfn.IFNA(MATCH(F1752,'Default Prob'!$F$5:$F$14,1),0),COUNT('Default Prob'!$P$5:$P$14)))</f>
        <v>3.363522017633732E-2</v>
      </c>
      <c r="H1752" s="5">
        <f t="shared" si="362"/>
        <v>0.84972295407505882</v>
      </c>
      <c r="I1752" s="24">
        <f t="shared" si="363"/>
        <v>7.8253072302914006E-5</v>
      </c>
      <c r="J1752" s="25">
        <f>INDEX('Default Prob'!$C$3:$C$13, _xlfn.IFNA(MATCH(F1752, 'Default Prob'!$B$3:$B$13, 1), 1))</f>
        <v>2.1700000000000001E-2</v>
      </c>
      <c r="K1752" s="26">
        <f t="shared" si="354"/>
        <v>0.86644687537971776</v>
      </c>
      <c r="L1752" s="27">
        <f t="shared" ca="1" si="355"/>
        <v>0</v>
      </c>
      <c r="M1752" s="27">
        <f t="shared" ca="1" si="356"/>
        <v>0</v>
      </c>
      <c r="N1752" s="28">
        <f t="shared" ca="1" si="357"/>
        <v>0</v>
      </c>
      <c r="O1752" s="29">
        <f t="shared" ca="1" si="358"/>
        <v>0</v>
      </c>
      <c r="P1752" s="30">
        <f t="shared" ca="1" si="359"/>
        <v>0</v>
      </c>
    </row>
    <row r="1753" spans="1:16" x14ac:dyDescent="0.25">
      <c r="A1753" s="3">
        <f t="shared" si="360"/>
        <v>48565</v>
      </c>
      <c r="B1753" s="21">
        <f t="shared" si="351"/>
        <v>36877</v>
      </c>
      <c r="C1753" s="21">
        <f t="shared" si="352"/>
        <v>36880</v>
      </c>
      <c r="D1753" s="1">
        <f t="shared" si="361"/>
        <v>0</v>
      </c>
      <c r="E1753" s="3">
        <f t="array" ref="E1753">INDEX($A$9:A1752, MAX(IF($D$9:D1752=1, ROW(D$9:$D1752)-ROW($D$9)+1, 0)))</f>
        <v>48477</v>
      </c>
      <c r="F1753" s="23">
        <f t="shared" si="353"/>
        <v>6.6803559206023273</v>
      </c>
      <c r="G1753" s="5">
        <f>INDEX('Default Prob'!$P$5:$P$14,MIN(1+_xlfn.IFNA(MATCH(F1753,'Default Prob'!$F$5:$F$14,1),0),COUNT('Default Prob'!$P$5:$P$14)))</f>
        <v>3.363522017633732E-2</v>
      </c>
      <c r="H1753" s="5">
        <f t="shared" si="362"/>
        <v>0.84964470820860971</v>
      </c>
      <c r="I1753" s="24">
        <f t="shared" si="363"/>
        <v>7.8245866449111467E-5</v>
      </c>
      <c r="J1753" s="25">
        <f>INDEX('Default Prob'!$C$3:$C$13, _xlfn.IFNA(MATCH(F1753, 'Default Prob'!$B$3:$B$13, 1), 1))</f>
        <v>2.1700000000000001E-2</v>
      </c>
      <c r="K1753" s="26">
        <f t="shared" si="354"/>
        <v>0.86639595065972097</v>
      </c>
      <c r="L1753" s="27">
        <f t="shared" ca="1" si="355"/>
        <v>0</v>
      </c>
      <c r="M1753" s="27">
        <f t="shared" ca="1" si="356"/>
        <v>0</v>
      </c>
      <c r="N1753" s="28">
        <f t="shared" ca="1" si="357"/>
        <v>0</v>
      </c>
      <c r="O1753" s="29">
        <f t="shared" ca="1" si="358"/>
        <v>0</v>
      </c>
      <c r="P1753" s="30">
        <f t="shared" ca="1" si="359"/>
        <v>0</v>
      </c>
    </row>
    <row r="1754" spans="1:16" x14ac:dyDescent="0.25">
      <c r="A1754" s="3">
        <f t="shared" si="360"/>
        <v>48568</v>
      </c>
      <c r="B1754" s="21">
        <f t="shared" si="351"/>
        <v>36880</v>
      </c>
      <c r="C1754" s="21">
        <f t="shared" si="352"/>
        <v>36880</v>
      </c>
      <c r="D1754" s="1">
        <f t="shared" si="361"/>
        <v>1</v>
      </c>
      <c r="E1754" s="3">
        <f t="array" ref="E1754">INDEX($A$9:A1753, MAX(IF($D$9:D1753=1, ROW(D$9:$D1753)-ROW($D$9)+1, 0)))</f>
        <v>48477</v>
      </c>
      <c r="F1754" s="23">
        <f t="shared" si="353"/>
        <v>6.6885694729637235</v>
      </c>
      <c r="G1754" s="5">
        <f>INDEX('Default Prob'!$P$5:$P$14,MIN(1+_xlfn.IFNA(MATCH(F1754,'Default Prob'!$F$5:$F$14,1),0),COUNT('Default Prob'!$P$5:$P$14)))</f>
        <v>3.363522017633732E-2</v>
      </c>
      <c r="H1754" s="5">
        <f t="shared" si="362"/>
        <v>0.8494100138377505</v>
      </c>
      <c r="I1754" s="24">
        <f t="shared" si="363"/>
        <v>2.3469437085921196E-4</v>
      </c>
      <c r="J1754" s="25">
        <f>INDEX('Default Prob'!$C$3:$C$13, _xlfn.IFNA(MATCH(F1754, 'Default Prob'!$B$3:$B$13, 1), 1))</f>
        <v>2.1700000000000001E-2</v>
      </c>
      <c r="K1754" s="26">
        <f t="shared" si="354"/>
        <v>0.86624319445738462</v>
      </c>
      <c r="L1754" s="27">
        <f t="shared" ca="1" si="355"/>
        <v>0</v>
      </c>
      <c r="M1754" s="27">
        <f t="shared" ca="1" si="356"/>
        <v>0</v>
      </c>
      <c r="N1754" s="28">
        <f t="shared" ca="1" si="357"/>
        <v>0</v>
      </c>
      <c r="O1754" s="29">
        <f t="shared" ca="1" si="358"/>
        <v>0</v>
      </c>
      <c r="P1754" s="30">
        <f t="shared" ca="1" si="359"/>
        <v>0</v>
      </c>
    </row>
    <row r="1755" spans="1:16" x14ac:dyDescent="0.25">
      <c r="A1755" s="3">
        <f t="shared" si="360"/>
        <v>48569</v>
      </c>
      <c r="B1755" s="21">
        <f t="shared" si="351"/>
        <v>36881</v>
      </c>
      <c r="C1755" s="21">
        <f t="shared" si="352"/>
        <v>36605</v>
      </c>
      <c r="D1755" s="1">
        <f t="shared" si="361"/>
        <v>0</v>
      </c>
      <c r="E1755" s="3">
        <f t="array" ref="E1755">INDEX($A$9:A1754, MAX(IF($D$9:D1754=1, ROW(D$9:$D1754)-ROW($D$9)+1, 0)))</f>
        <v>48568</v>
      </c>
      <c r="F1755" s="23">
        <f t="shared" si="353"/>
        <v>6.6913073237508556</v>
      </c>
      <c r="G1755" s="5">
        <f>INDEX('Default Prob'!$P$5:$P$14,MIN(1+_xlfn.IFNA(MATCH(F1755,'Default Prob'!$F$5:$F$14,1),0),COUNT('Default Prob'!$P$5:$P$14)))</f>
        <v>3.363522017633732E-2</v>
      </c>
      <c r="H1755" s="5">
        <f t="shared" si="362"/>
        <v>0.84933179678808213</v>
      </c>
      <c r="I1755" s="24">
        <f t="shared" si="363"/>
        <v>7.8217049668372063E-5</v>
      </c>
      <c r="J1755" s="25">
        <f>INDEX('Default Prob'!$C$3:$C$13, _xlfn.IFNA(MATCH(F1755, 'Default Prob'!$B$3:$B$13, 1), 1))</f>
        <v>2.1700000000000001E-2</v>
      </c>
      <c r="K1755" s="26">
        <f t="shared" si="354"/>
        <v>0.86619228170857065</v>
      </c>
      <c r="L1755" s="27">
        <f t="shared" ca="1" si="355"/>
        <v>0</v>
      </c>
      <c r="M1755" s="27">
        <f t="shared" ca="1" si="356"/>
        <v>0</v>
      </c>
      <c r="N1755" s="28">
        <f t="shared" ca="1" si="357"/>
        <v>0</v>
      </c>
      <c r="O1755" s="29">
        <f t="shared" ca="1" si="358"/>
        <v>0</v>
      </c>
      <c r="P1755" s="30">
        <f t="shared" ca="1" si="359"/>
        <v>0</v>
      </c>
    </row>
    <row r="1756" spans="1:16" x14ac:dyDescent="0.25">
      <c r="A1756" s="3">
        <f t="shared" si="360"/>
        <v>48570</v>
      </c>
      <c r="B1756" s="21">
        <f t="shared" si="351"/>
        <v>36882</v>
      </c>
      <c r="C1756" s="21">
        <f t="shared" si="352"/>
        <v>36605</v>
      </c>
      <c r="D1756" s="1">
        <f t="shared" si="361"/>
        <v>0</v>
      </c>
      <c r="E1756" s="3">
        <f t="array" ref="E1756">INDEX($A$9:A1755, MAX(IF($D$9:D1755=1, ROW(D$9:$D1755)-ROW($D$9)+1, 0)))</f>
        <v>48568</v>
      </c>
      <c r="F1756" s="23">
        <f t="shared" si="353"/>
        <v>6.6940451745379876</v>
      </c>
      <c r="G1756" s="5">
        <f>INDEX('Default Prob'!$P$5:$P$14,MIN(1+_xlfn.IFNA(MATCH(F1756,'Default Prob'!$F$5:$F$14,1),0),COUNT('Default Prob'!$P$5:$P$14)))</f>
        <v>3.363522017633732E-2</v>
      </c>
      <c r="H1756" s="5">
        <f t="shared" si="362"/>
        <v>0.84925358694095054</v>
      </c>
      <c r="I1756" s="24">
        <f t="shared" si="363"/>
        <v>7.8209847131582855E-5</v>
      </c>
      <c r="J1756" s="25">
        <f>INDEX('Default Prob'!$C$3:$C$13, _xlfn.IFNA(MATCH(F1756, 'Default Prob'!$B$3:$B$13, 1), 1))</f>
        <v>2.1700000000000001E-2</v>
      </c>
      <c r="K1756" s="26">
        <f t="shared" si="354"/>
        <v>0.86614137195211272</v>
      </c>
      <c r="L1756" s="27">
        <f t="shared" ca="1" si="355"/>
        <v>0</v>
      </c>
      <c r="M1756" s="27">
        <f t="shared" ca="1" si="356"/>
        <v>0</v>
      </c>
      <c r="N1756" s="28">
        <f t="shared" ca="1" si="357"/>
        <v>0</v>
      </c>
      <c r="O1756" s="29">
        <f t="shared" ca="1" si="358"/>
        <v>0</v>
      </c>
      <c r="P1756" s="30">
        <f t="shared" ca="1" si="359"/>
        <v>0</v>
      </c>
    </row>
    <row r="1757" spans="1:16" x14ac:dyDescent="0.25">
      <c r="A1757" s="3">
        <f t="shared" si="360"/>
        <v>48571</v>
      </c>
      <c r="B1757" s="21">
        <f t="shared" si="351"/>
        <v>36883</v>
      </c>
      <c r="C1757" s="21">
        <f t="shared" si="352"/>
        <v>36605</v>
      </c>
      <c r="D1757" s="1">
        <f t="shared" si="361"/>
        <v>0</v>
      </c>
      <c r="E1757" s="3">
        <f t="array" ref="E1757">INDEX($A$9:A1756, MAX(IF($D$9:D1756=1, ROW(D$9:$D1756)-ROW($D$9)+1, 0)))</f>
        <v>48568</v>
      </c>
      <c r="F1757" s="23">
        <f t="shared" si="353"/>
        <v>6.6967830253251197</v>
      </c>
      <c r="G1757" s="5">
        <f>INDEX('Default Prob'!$P$5:$P$14,MIN(1+_xlfn.IFNA(MATCH(F1757,'Default Prob'!$F$5:$F$14,1),0),COUNT('Default Prob'!$P$5:$P$14)))</f>
        <v>3.363522017633732E-2</v>
      </c>
      <c r="H1757" s="5">
        <f t="shared" si="362"/>
        <v>0.8491753842956925</v>
      </c>
      <c r="I1757" s="24">
        <f t="shared" si="363"/>
        <v>7.8202645258040882E-5</v>
      </c>
      <c r="J1757" s="25">
        <f>INDEX('Default Prob'!$C$3:$C$13, _xlfn.IFNA(MATCH(F1757, 'Default Prob'!$B$3:$B$13, 1), 1))</f>
        <v>2.1700000000000001E-2</v>
      </c>
      <c r="K1757" s="26">
        <f t="shared" si="354"/>
        <v>0.86609046518783483</v>
      </c>
      <c r="L1757" s="27">
        <f t="shared" ca="1" si="355"/>
        <v>0</v>
      </c>
      <c r="M1757" s="27">
        <f t="shared" ca="1" si="356"/>
        <v>0</v>
      </c>
      <c r="N1757" s="28">
        <f t="shared" ca="1" si="357"/>
        <v>0</v>
      </c>
      <c r="O1757" s="29">
        <f t="shared" ca="1" si="358"/>
        <v>0</v>
      </c>
      <c r="P1757" s="30">
        <f t="shared" ca="1" si="359"/>
        <v>0</v>
      </c>
    </row>
    <row r="1758" spans="1:16" x14ac:dyDescent="0.25">
      <c r="A1758" s="3">
        <f t="shared" si="360"/>
        <v>48572</v>
      </c>
      <c r="B1758" s="21">
        <f t="shared" si="351"/>
        <v>36884</v>
      </c>
      <c r="C1758" s="21">
        <f t="shared" si="352"/>
        <v>36605</v>
      </c>
      <c r="D1758" s="1">
        <f t="shared" si="361"/>
        <v>0</v>
      </c>
      <c r="E1758" s="3">
        <f t="array" ref="E1758">INDEX($A$9:A1757, MAX(IF($D$9:D1757=1, ROW(D$9:$D1757)-ROW($D$9)+1, 0)))</f>
        <v>48568</v>
      </c>
      <c r="F1758" s="23">
        <f t="shared" si="353"/>
        <v>6.6995208761122518</v>
      </c>
      <c r="G1758" s="5">
        <f>INDEX('Default Prob'!$P$5:$P$14,MIN(1+_xlfn.IFNA(MATCH(F1758,'Default Prob'!$F$5:$F$14,1),0),COUNT('Default Prob'!$P$5:$P$14)))</f>
        <v>3.363522017633732E-2</v>
      </c>
      <c r="H1758" s="5">
        <f t="shared" si="362"/>
        <v>0.84909718885164476</v>
      </c>
      <c r="I1758" s="24">
        <f t="shared" si="363"/>
        <v>7.8195444047746143E-5</v>
      </c>
      <c r="J1758" s="25">
        <f>INDEX('Default Prob'!$C$3:$C$13, _xlfn.IFNA(MATCH(F1758, 'Default Prob'!$B$3:$B$13, 1), 1))</f>
        <v>2.1700000000000001E-2</v>
      </c>
      <c r="K1758" s="26">
        <f t="shared" si="354"/>
        <v>0.86603956141556127</v>
      </c>
      <c r="L1758" s="27">
        <f t="shared" ca="1" si="355"/>
        <v>0</v>
      </c>
      <c r="M1758" s="27">
        <f t="shared" ca="1" si="356"/>
        <v>0</v>
      </c>
      <c r="N1758" s="28">
        <f t="shared" ca="1" si="357"/>
        <v>0</v>
      </c>
      <c r="O1758" s="29">
        <f t="shared" ca="1" si="358"/>
        <v>0</v>
      </c>
      <c r="P1758" s="30">
        <f t="shared" ca="1" si="359"/>
        <v>0</v>
      </c>
    </row>
    <row r="1759" spans="1:16" x14ac:dyDescent="0.25">
      <c r="A1759" s="3">
        <f t="shared" si="360"/>
        <v>48575</v>
      </c>
      <c r="B1759" s="21">
        <f t="shared" si="351"/>
        <v>36887</v>
      </c>
      <c r="C1759" s="21">
        <f t="shared" si="352"/>
        <v>36605</v>
      </c>
      <c r="D1759" s="1">
        <f t="shared" si="361"/>
        <v>0</v>
      </c>
      <c r="E1759" s="3">
        <f t="array" ref="E1759">INDEX($A$9:A1758, MAX(IF($D$9:D1758=1, ROW(D$9:$D1758)-ROW($D$9)+1, 0)))</f>
        <v>48568</v>
      </c>
      <c r="F1759" s="23">
        <f t="shared" si="353"/>
        <v>6.707734428473648</v>
      </c>
      <c r="G1759" s="5">
        <f>INDEX('Default Prob'!$P$5:$P$14,MIN(1+_xlfn.IFNA(MATCH(F1759,'Default Prob'!$F$5:$F$14,1),0),COUNT('Default Prob'!$P$5:$P$14)))</f>
        <v>3.363522017633732E-2</v>
      </c>
      <c r="H1759" s="5">
        <f t="shared" si="362"/>
        <v>0.84886264572013281</v>
      </c>
      <c r="I1759" s="24">
        <f t="shared" si="363"/>
        <v>2.3454313151194395E-4</v>
      </c>
      <c r="J1759" s="25">
        <f>INDEX('Default Prob'!$C$3:$C$13, _xlfn.IFNA(MATCH(F1759, 'Default Prob'!$B$3:$B$13, 1), 1))</f>
        <v>2.1700000000000001E-2</v>
      </c>
      <c r="K1759" s="26">
        <f t="shared" si="354"/>
        <v>0.86588686804900739</v>
      </c>
      <c r="L1759" s="27">
        <f t="shared" ca="1" si="355"/>
        <v>0</v>
      </c>
      <c r="M1759" s="27">
        <f t="shared" ca="1" si="356"/>
        <v>0</v>
      </c>
      <c r="N1759" s="28">
        <f t="shared" ca="1" si="357"/>
        <v>0</v>
      </c>
      <c r="O1759" s="29">
        <f t="shared" ca="1" si="358"/>
        <v>0</v>
      </c>
      <c r="P1759" s="30">
        <f t="shared" ca="1" si="359"/>
        <v>0</v>
      </c>
    </row>
    <row r="1760" spans="1:16" x14ac:dyDescent="0.25">
      <c r="A1760" s="3">
        <f t="shared" si="360"/>
        <v>48576</v>
      </c>
      <c r="B1760" s="21">
        <f t="shared" si="351"/>
        <v>36888</v>
      </c>
      <c r="C1760" s="21">
        <f t="shared" si="352"/>
        <v>36605</v>
      </c>
      <c r="D1760" s="1">
        <f t="shared" si="361"/>
        <v>0</v>
      </c>
      <c r="E1760" s="3">
        <f t="array" ref="E1760">INDEX($A$9:A1759, MAX(IF($D$9:D1759=1, ROW(D$9:$D1759)-ROW($D$9)+1, 0)))</f>
        <v>48568</v>
      </c>
      <c r="F1760" s="23">
        <f t="shared" si="353"/>
        <v>6.71047227926078</v>
      </c>
      <c r="G1760" s="5">
        <f>INDEX('Default Prob'!$P$5:$P$14,MIN(1+_xlfn.IFNA(MATCH(F1760,'Default Prob'!$F$5:$F$14,1),0),COUNT('Default Prob'!$P$5:$P$14)))</f>
        <v>3.363522017633732E-2</v>
      </c>
      <c r="H1760" s="5">
        <f t="shared" si="362"/>
        <v>0.84878447907429599</v>
      </c>
      <c r="I1760" s="24">
        <f t="shared" si="363"/>
        <v>7.8166645836819093E-5</v>
      </c>
      <c r="J1760" s="25">
        <f>INDEX('Default Prob'!$C$3:$C$13, _xlfn.IFNA(MATCH(F1760, 'Default Prob'!$B$3:$B$13, 1), 1))</f>
        <v>2.1700000000000001E-2</v>
      </c>
      <c r="K1760" s="26">
        <f t="shared" si="354"/>
        <v>0.86583597624299224</v>
      </c>
      <c r="L1760" s="27">
        <f t="shared" ca="1" si="355"/>
        <v>0</v>
      </c>
      <c r="M1760" s="27">
        <f t="shared" ca="1" si="356"/>
        <v>0</v>
      </c>
      <c r="N1760" s="28">
        <f t="shared" ca="1" si="357"/>
        <v>0</v>
      </c>
      <c r="O1760" s="29">
        <f t="shared" ca="1" si="358"/>
        <v>0</v>
      </c>
      <c r="P1760" s="30">
        <f t="shared" ca="1" si="359"/>
        <v>0</v>
      </c>
    </row>
    <row r="1761" spans="1:16" x14ac:dyDescent="0.25">
      <c r="A1761" s="3">
        <f t="shared" si="360"/>
        <v>48577</v>
      </c>
      <c r="B1761" s="21">
        <f t="shared" si="351"/>
        <v>36889</v>
      </c>
      <c r="C1761" s="21">
        <f t="shared" si="352"/>
        <v>36605</v>
      </c>
      <c r="D1761" s="1">
        <f t="shared" si="361"/>
        <v>0</v>
      </c>
      <c r="E1761" s="3">
        <f t="array" ref="E1761">INDEX($A$9:A1760, MAX(IF($D$9:D1760=1, ROW(D$9:$D1760)-ROW($D$9)+1, 0)))</f>
        <v>48568</v>
      </c>
      <c r="F1761" s="23">
        <f t="shared" si="353"/>
        <v>6.7132101300479121</v>
      </c>
      <c r="G1761" s="5">
        <f>INDEX('Default Prob'!$P$5:$P$14,MIN(1+_xlfn.IFNA(MATCH(F1761,'Default Prob'!$F$5:$F$14,1),0),COUNT('Default Prob'!$P$5:$P$14)))</f>
        <v>3.363522017633732E-2</v>
      </c>
      <c r="H1761" s="5">
        <f t="shared" si="362"/>
        <v>0.84870631962635457</v>
      </c>
      <c r="I1761" s="24">
        <f t="shared" si="363"/>
        <v>7.8159447941428262E-5</v>
      </c>
      <c r="J1761" s="25">
        <f>INDEX('Default Prob'!$C$3:$C$13, _xlfn.IFNA(MATCH(F1761, 'Default Prob'!$B$3:$B$13, 1), 1))</f>
        <v>2.1700000000000001E-2</v>
      </c>
      <c r="K1761" s="26">
        <f t="shared" si="354"/>
        <v>0.86578508742810223</v>
      </c>
      <c r="L1761" s="27">
        <f t="shared" ca="1" si="355"/>
        <v>0</v>
      </c>
      <c r="M1761" s="27">
        <f t="shared" ca="1" si="356"/>
        <v>0</v>
      </c>
      <c r="N1761" s="28">
        <f t="shared" ca="1" si="357"/>
        <v>0</v>
      </c>
      <c r="O1761" s="29">
        <f t="shared" ca="1" si="358"/>
        <v>0</v>
      </c>
      <c r="P1761" s="30">
        <f t="shared" ca="1" si="359"/>
        <v>0</v>
      </c>
    </row>
    <row r="1762" spans="1:16" x14ac:dyDescent="0.25">
      <c r="A1762" s="3">
        <f t="shared" si="360"/>
        <v>48578</v>
      </c>
      <c r="B1762" s="21">
        <f t="shared" si="351"/>
        <v>36890</v>
      </c>
      <c r="C1762" s="21">
        <f t="shared" si="352"/>
        <v>36605</v>
      </c>
      <c r="D1762" s="1">
        <f t="shared" si="361"/>
        <v>0</v>
      </c>
      <c r="E1762" s="3">
        <f t="array" ref="E1762">INDEX($A$9:A1761, MAX(IF($D$9:D1761=1, ROW(D$9:$D1761)-ROW($D$9)+1, 0)))</f>
        <v>48568</v>
      </c>
      <c r="F1762" s="23">
        <f t="shared" si="353"/>
        <v>6.7159479808350442</v>
      </c>
      <c r="G1762" s="5">
        <f>INDEX('Default Prob'!$P$5:$P$14,MIN(1+_xlfn.IFNA(MATCH(F1762,'Default Prob'!$F$5:$F$14,1),0),COUNT('Default Prob'!$P$5:$P$14)))</f>
        <v>3.363522017633732E-2</v>
      </c>
      <c r="H1762" s="5">
        <f t="shared" si="362"/>
        <v>0.84862816737564573</v>
      </c>
      <c r="I1762" s="24">
        <f t="shared" si="363"/>
        <v>7.8152250708840576E-5</v>
      </c>
      <c r="J1762" s="25">
        <f>INDEX('Default Prob'!$C$3:$C$13, _xlfn.IFNA(MATCH(F1762, 'Default Prob'!$B$3:$B$13, 1), 1))</f>
        <v>2.1700000000000001E-2</v>
      </c>
      <c r="K1762" s="26">
        <f t="shared" si="354"/>
        <v>0.86573420160416148</v>
      </c>
      <c r="L1762" s="27">
        <f t="shared" ca="1" si="355"/>
        <v>0</v>
      </c>
      <c r="M1762" s="27">
        <f t="shared" ca="1" si="356"/>
        <v>0</v>
      </c>
      <c r="N1762" s="28">
        <f t="shared" ca="1" si="357"/>
        <v>0</v>
      </c>
      <c r="O1762" s="29">
        <f t="shared" ca="1" si="358"/>
        <v>0</v>
      </c>
      <c r="P1762" s="30">
        <f t="shared" ca="1" si="359"/>
        <v>0</v>
      </c>
    </row>
    <row r="1763" spans="1:16" x14ac:dyDescent="0.25">
      <c r="A1763" s="3">
        <f t="shared" si="360"/>
        <v>48579</v>
      </c>
      <c r="B1763" s="21">
        <f t="shared" si="351"/>
        <v>36891</v>
      </c>
      <c r="C1763" s="21">
        <f t="shared" si="352"/>
        <v>36605</v>
      </c>
      <c r="D1763" s="1">
        <f t="shared" si="361"/>
        <v>0</v>
      </c>
      <c r="E1763" s="3">
        <f t="array" ref="E1763">INDEX($A$9:A1762, MAX(IF($D$9:D1762=1, ROW(D$9:$D1762)-ROW($D$9)+1, 0)))</f>
        <v>48568</v>
      </c>
      <c r="F1763" s="23">
        <f t="shared" si="353"/>
        <v>6.7186858316221763</v>
      </c>
      <c r="G1763" s="5">
        <f>INDEX('Default Prob'!$P$5:$P$14,MIN(1+_xlfn.IFNA(MATCH(F1763,'Default Prob'!$F$5:$F$14,1),0),COUNT('Default Prob'!$P$5:$P$14)))</f>
        <v>3.363522017633732E-2</v>
      </c>
      <c r="H1763" s="5">
        <f t="shared" si="362"/>
        <v>0.84855002232150667</v>
      </c>
      <c r="I1763" s="24">
        <f t="shared" si="363"/>
        <v>7.8145054139056036E-5</v>
      </c>
      <c r="J1763" s="25">
        <f>INDEX('Default Prob'!$C$3:$C$13, _xlfn.IFNA(MATCH(F1763, 'Default Prob'!$B$3:$B$13, 1), 1))</f>
        <v>2.1700000000000001E-2</v>
      </c>
      <c r="K1763" s="26">
        <f t="shared" si="354"/>
        <v>0.86568331877099414</v>
      </c>
      <c r="L1763" s="27">
        <f t="shared" ca="1" si="355"/>
        <v>0</v>
      </c>
      <c r="M1763" s="27">
        <f t="shared" ca="1" si="356"/>
        <v>0</v>
      </c>
      <c r="N1763" s="28">
        <f t="shared" ca="1" si="357"/>
        <v>0</v>
      </c>
      <c r="O1763" s="29">
        <f t="shared" ca="1" si="358"/>
        <v>0</v>
      </c>
      <c r="P1763" s="30">
        <f t="shared" ca="1" si="359"/>
        <v>0</v>
      </c>
    </row>
    <row r="1764" spans="1:16" x14ac:dyDescent="0.25">
      <c r="A1764" s="3">
        <f t="shared" si="360"/>
        <v>48582</v>
      </c>
      <c r="B1764" s="21">
        <f t="shared" si="351"/>
        <v>36528</v>
      </c>
      <c r="C1764" s="21">
        <f t="shared" si="352"/>
        <v>36605</v>
      </c>
      <c r="D1764" s="1">
        <f t="shared" si="361"/>
        <v>0</v>
      </c>
      <c r="E1764" s="3">
        <f t="array" ref="E1764">INDEX($A$9:A1763, MAX(IF($D$9:D1763=1, ROW(D$9:$D1763)-ROW($D$9)+1, 0)))</f>
        <v>48568</v>
      </c>
      <c r="F1764" s="23">
        <f t="shared" si="353"/>
        <v>6.7268993839835725</v>
      </c>
      <c r="G1764" s="5">
        <f>INDEX('Default Prob'!$P$5:$P$14,MIN(1+_xlfn.IFNA(MATCH(F1764,'Default Prob'!$F$5:$F$14,1),0),COUNT('Default Prob'!$P$5:$P$14)))</f>
        <v>3.363522017633732E-2</v>
      </c>
      <c r="H1764" s="5">
        <f t="shared" si="362"/>
        <v>0.84831563033188173</v>
      </c>
      <c r="I1764" s="24">
        <f t="shared" si="363"/>
        <v>2.3439198962493801E-4</v>
      </c>
      <c r="J1764" s="25">
        <f>INDEX('Default Prob'!$C$3:$C$13, _xlfn.IFNA(MATCH(F1764, 'Default Prob'!$B$3:$B$13, 1), 1))</f>
        <v>2.1700000000000001E-2</v>
      </c>
      <c r="K1764" s="26">
        <f t="shared" si="354"/>
        <v>0.86553068821437551</v>
      </c>
      <c r="L1764" s="27">
        <f t="shared" ca="1" si="355"/>
        <v>0</v>
      </c>
      <c r="M1764" s="27">
        <f t="shared" ca="1" si="356"/>
        <v>0</v>
      </c>
      <c r="N1764" s="28">
        <f t="shared" ca="1" si="357"/>
        <v>0</v>
      </c>
      <c r="O1764" s="29">
        <f t="shared" ca="1" si="358"/>
        <v>0</v>
      </c>
      <c r="P1764" s="30">
        <f t="shared" ca="1" si="359"/>
        <v>0</v>
      </c>
    </row>
    <row r="1765" spans="1:16" x14ac:dyDescent="0.25">
      <c r="A1765" s="3">
        <f t="shared" si="360"/>
        <v>48583</v>
      </c>
      <c r="B1765" s="21">
        <f t="shared" si="351"/>
        <v>36529</v>
      </c>
      <c r="C1765" s="21">
        <f t="shared" si="352"/>
        <v>36605</v>
      </c>
      <c r="D1765" s="1">
        <f t="shared" si="361"/>
        <v>0</v>
      </c>
      <c r="E1765" s="3">
        <f t="array" ref="E1765">INDEX($A$9:A1764, MAX(IF($D$9:D1764=1, ROW(D$9:$D1764)-ROW($D$9)+1, 0)))</f>
        <v>48568</v>
      </c>
      <c r="F1765" s="23">
        <f t="shared" si="353"/>
        <v>6.7296372347707054</v>
      </c>
      <c r="G1765" s="5">
        <f>INDEX('Default Prob'!$P$5:$P$14,MIN(1+_xlfn.IFNA(MATCH(F1765,'Default Prob'!$F$5:$F$14,1),0),COUNT('Default Prob'!$P$5:$P$14)))</f>
        <v>3.363522017633732E-2</v>
      </c>
      <c r="H1765" s="5">
        <f t="shared" si="362"/>
        <v>0.84823751405739567</v>
      </c>
      <c r="I1765" s="24">
        <f t="shared" si="363"/>
        <v>7.8116274486061954E-5</v>
      </c>
      <c r="J1765" s="25">
        <f>INDEX('Default Prob'!$C$3:$C$13, _xlfn.IFNA(MATCH(F1765, 'Default Prob'!$B$3:$B$13, 1), 1))</f>
        <v>2.1700000000000001E-2</v>
      </c>
      <c r="K1765" s="26">
        <f t="shared" si="354"/>
        <v>0.86547981734254431</v>
      </c>
      <c r="L1765" s="27">
        <f t="shared" ca="1" si="355"/>
        <v>0</v>
      </c>
      <c r="M1765" s="27">
        <f t="shared" ca="1" si="356"/>
        <v>0</v>
      </c>
      <c r="N1765" s="28">
        <f t="shared" ca="1" si="357"/>
        <v>0</v>
      </c>
      <c r="O1765" s="29">
        <f t="shared" ca="1" si="358"/>
        <v>0</v>
      </c>
      <c r="P1765" s="30">
        <f t="shared" ca="1" si="359"/>
        <v>0</v>
      </c>
    </row>
    <row r="1766" spans="1:16" x14ac:dyDescent="0.25">
      <c r="A1766" s="3">
        <f t="shared" si="360"/>
        <v>48584</v>
      </c>
      <c r="B1766" s="21">
        <f t="shared" si="351"/>
        <v>36530</v>
      </c>
      <c r="C1766" s="21">
        <f t="shared" si="352"/>
        <v>36605</v>
      </c>
      <c r="D1766" s="1">
        <f t="shared" si="361"/>
        <v>0</v>
      </c>
      <c r="E1766" s="3">
        <f t="array" ref="E1766">INDEX($A$9:A1765, MAX(IF($D$9:D1765=1, ROW(D$9:$D1765)-ROW($D$9)+1, 0)))</f>
        <v>48568</v>
      </c>
      <c r="F1766" s="23">
        <f t="shared" si="353"/>
        <v>6.7323750855578375</v>
      </c>
      <c r="G1766" s="5">
        <f>INDEX('Default Prob'!$P$5:$P$14,MIN(1+_xlfn.IFNA(MATCH(F1766,'Default Prob'!$F$5:$F$14,1),0),COUNT('Default Prob'!$P$5:$P$14)))</f>
        <v>3.363522017633732E-2</v>
      </c>
      <c r="H1766" s="5">
        <f t="shared" si="362"/>
        <v>0.8481594049761666</v>
      </c>
      <c r="I1766" s="24">
        <f t="shared" si="363"/>
        <v>7.8109081229071897E-5</v>
      </c>
      <c r="J1766" s="25">
        <f>INDEX('Default Prob'!$C$3:$C$13, _xlfn.IFNA(MATCH(F1766, 'Default Prob'!$B$3:$B$13, 1), 1))</f>
        <v>2.1700000000000001E-2</v>
      </c>
      <c r="K1766" s="26">
        <f t="shared" si="354"/>
        <v>0.865428949460608</v>
      </c>
      <c r="L1766" s="27">
        <f t="shared" ca="1" si="355"/>
        <v>0</v>
      </c>
      <c r="M1766" s="27">
        <f t="shared" ca="1" si="356"/>
        <v>0</v>
      </c>
      <c r="N1766" s="28">
        <f t="shared" ca="1" si="357"/>
        <v>0</v>
      </c>
      <c r="O1766" s="29">
        <f t="shared" ca="1" si="358"/>
        <v>0</v>
      </c>
      <c r="P1766" s="30">
        <f t="shared" ca="1" si="359"/>
        <v>0</v>
      </c>
    </row>
    <row r="1767" spans="1:16" x14ac:dyDescent="0.25">
      <c r="A1767" s="3">
        <f t="shared" si="360"/>
        <v>48585</v>
      </c>
      <c r="B1767" s="21">
        <f t="shared" si="351"/>
        <v>36531</v>
      </c>
      <c r="C1767" s="21">
        <f t="shared" si="352"/>
        <v>36605</v>
      </c>
      <c r="D1767" s="1">
        <f t="shared" si="361"/>
        <v>0</v>
      </c>
      <c r="E1767" s="3">
        <f t="array" ref="E1767">INDEX($A$9:A1766, MAX(IF($D$9:D1766=1, ROW(D$9:$D1766)-ROW($D$9)+1, 0)))</f>
        <v>48568</v>
      </c>
      <c r="F1767" s="23">
        <f t="shared" si="353"/>
        <v>6.7351129363449695</v>
      </c>
      <c r="G1767" s="5">
        <f>INDEX('Default Prob'!$P$5:$P$14,MIN(1+_xlfn.IFNA(MATCH(F1767,'Default Prob'!$F$5:$F$14,1),0),COUNT('Default Prob'!$P$5:$P$14)))</f>
        <v>3.363522017633732E-2</v>
      </c>
      <c r="H1767" s="5">
        <f t="shared" si="362"/>
        <v>0.84808130308753216</v>
      </c>
      <c r="I1767" s="24">
        <f t="shared" si="363"/>
        <v>7.8101888634440897E-5</v>
      </c>
      <c r="J1767" s="25">
        <f>INDEX('Default Prob'!$C$3:$C$13, _xlfn.IFNA(MATCH(F1767, 'Default Prob'!$B$3:$B$13, 1), 1))</f>
        <v>2.1700000000000001E-2</v>
      </c>
      <c r="K1767" s="26">
        <f t="shared" si="354"/>
        <v>0.86537808456839049</v>
      </c>
      <c r="L1767" s="27">
        <f t="shared" ca="1" si="355"/>
        <v>0</v>
      </c>
      <c r="M1767" s="27">
        <f t="shared" ca="1" si="356"/>
        <v>0</v>
      </c>
      <c r="N1767" s="28">
        <f t="shared" ca="1" si="357"/>
        <v>0</v>
      </c>
      <c r="O1767" s="29">
        <f t="shared" ca="1" si="358"/>
        <v>0</v>
      </c>
      <c r="P1767" s="30">
        <f t="shared" ca="1" si="359"/>
        <v>0</v>
      </c>
    </row>
    <row r="1768" spans="1:16" x14ac:dyDescent="0.25">
      <c r="A1768" s="3">
        <f t="shared" si="360"/>
        <v>48586</v>
      </c>
      <c r="B1768" s="21">
        <f t="shared" si="351"/>
        <v>36532</v>
      </c>
      <c r="C1768" s="21">
        <f t="shared" si="352"/>
        <v>36605</v>
      </c>
      <c r="D1768" s="1">
        <f t="shared" si="361"/>
        <v>0</v>
      </c>
      <c r="E1768" s="3">
        <f t="array" ref="E1768">INDEX($A$9:A1767, MAX(IF($D$9:D1767=1, ROW(D$9:$D1767)-ROW($D$9)+1, 0)))</f>
        <v>48568</v>
      </c>
      <c r="F1768" s="23">
        <f t="shared" si="353"/>
        <v>6.7378507871321016</v>
      </c>
      <c r="G1768" s="5">
        <f>INDEX('Default Prob'!$P$5:$P$14,MIN(1+_xlfn.IFNA(MATCH(F1768,'Default Prob'!$F$5:$F$14,1),0),COUNT('Default Prob'!$P$5:$P$14)))</f>
        <v>3.363522017633732E-2</v>
      </c>
      <c r="H1768" s="5">
        <f t="shared" si="362"/>
        <v>0.84800320839082999</v>
      </c>
      <c r="I1768" s="24">
        <f t="shared" si="363"/>
        <v>7.8094696702168953E-5</v>
      </c>
      <c r="J1768" s="25">
        <f>INDEX('Default Prob'!$C$3:$C$13, _xlfn.IFNA(MATCH(F1768, 'Default Prob'!$B$3:$B$13, 1), 1))</f>
        <v>2.1700000000000001E-2</v>
      </c>
      <c r="K1768" s="26">
        <f t="shared" si="354"/>
        <v>0.86532722266571627</v>
      </c>
      <c r="L1768" s="27">
        <f t="shared" ca="1" si="355"/>
        <v>0</v>
      </c>
      <c r="M1768" s="27">
        <f t="shared" ca="1" si="356"/>
        <v>0</v>
      </c>
      <c r="N1768" s="28">
        <f t="shared" ca="1" si="357"/>
        <v>0</v>
      </c>
      <c r="O1768" s="29">
        <f t="shared" ca="1" si="358"/>
        <v>0</v>
      </c>
      <c r="P1768" s="30">
        <f t="shared" ca="1" si="359"/>
        <v>0</v>
      </c>
    </row>
    <row r="1769" spans="1:16" x14ac:dyDescent="0.25">
      <c r="A1769" s="3">
        <f t="shared" si="360"/>
        <v>48589</v>
      </c>
      <c r="B1769" s="21">
        <f t="shared" si="351"/>
        <v>36535</v>
      </c>
      <c r="C1769" s="21">
        <f t="shared" si="352"/>
        <v>36605</v>
      </c>
      <c r="D1769" s="1">
        <f t="shared" si="361"/>
        <v>0</v>
      </c>
      <c r="E1769" s="3">
        <f t="array" ref="E1769">INDEX($A$9:A1768, MAX(IF($D$9:D1768=1, ROW(D$9:$D1768)-ROW($D$9)+1, 0)))</f>
        <v>48568</v>
      </c>
      <c r="F1769" s="23">
        <f t="shared" si="353"/>
        <v>6.7460643394934978</v>
      </c>
      <c r="G1769" s="5">
        <f>INDEX('Default Prob'!$P$5:$P$14,MIN(1+_xlfn.IFNA(MATCH(F1769,'Default Prob'!$F$5:$F$14,1),0),COUNT('Default Prob'!$P$5:$P$14)))</f>
        <v>3.363522017633732E-2</v>
      </c>
      <c r="H1769" s="5">
        <f t="shared" si="362"/>
        <v>0.84776896744569485</v>
      </c>
      <c r="I1769" s="24">
        <f t="shared" si="363"/>
        <v>2.3424094513513349E-4</v>
      </c>
      <c r="J1769" s="25">
        <f>INDEX('Default Prob'!$C$3:$C$13, _xlfn.IFNA(MATCH(F1769, 'Default Prob'!$B$3:$B$13, 1), 1))</f>
        <v>2.1700000000000001E-2</v>
      </c>
      <c r="K1769" s="26">
        <f t="shared" si="354"/>
        <v>0.865174654893196</v>
      </c>
      <c r="L1769" s="27">
        <f t="shared" ca="1" si="355"/>
        <v>0</v>
      </c>
      <c r="M1769" s="27">
        <f t="shared" ca="1" si="356"/>
        <v>0</v>
      </c>
      <c r="N1769" s="28">
        <f t="shared" ca="1" si="357"/>
        <v>0</v>
      </c>
      <c r="O1769" s="29">
        <f t="shared" ca="1" si="358"/>
        <v>0</v>
      </c>
      <c r="P1769" s="30">
        <f t="shared" ca="1" si="359"/>
        <v>0</v>
      </c>
    </row>
    <row r="1770" spans="1:16" x14ac:dyDescent="0.25">
      <c r="A1770" s="3">
        <f t="shared" si="360"/>
        <v>48590</v>
      </c>
      <c r="B1770" s="21">
        <f t="shared" si="351"/>
        <v>36536</v>
      </c>
      <c r="C1770" s="21">
        <f t="shared" si="352"/>
        <v>36605</v>
      </c>
      <c r="D1770" s="1">
        <f t="shared" si="361"/>
        <v>0</v>
      </c>
      <c r="E1770" s="3">
        <f t="array" ref="E1770">INDEX($A$9:A1769, MAX(IF($D$9:D1769=1, ROW(D$9:$D1769)-ROW($D$9)+1, 0)))</f>
        <v>48568</v>
      </c>
      <c r="F1770" s="23">
        <f t="shared" si="353"/>
        <v>6.7488021902806299</v>
      </c>
      <c r="G1770" s="5">
        <f>INDEX('Default Prob'!$P$5:$P$14,MIN(1+_xlfn.IFNA(MATCH(F1770,'Default Prob'!$F$5:$F$14,1),0),COUNT('Default Prob'!$P$5:$P$14)))</f>
        <v>3.363522017633732E-2</v>
      </c>
      <c r="H1770" s="5">
        <f t="shared" si="362"/>
        <v>0.84769090151009985</v>
      </c>
      <c r="I1770" s="24">
        <f t="shared" si="363"/>
        <v>7.8065935595006408E-5</v>
      </c>
      <c r="J1770" s="25">
        <f>INDEX('Default Prob'!$C$3:$C$13, _xlfn.IFNA(MATCH(F1770, 'Default Prob'!$B$3:$B$13, 1), 1))</f>
        <v>2.1700000000000001E-2</v>
      </c>
      <c r="K1770" s="26">
        <f t="shared" si="354"/>
        <v>0.86512380494693786</v>
      </c>
      <c r="L1770" s="27">
        <f t="shared" ca="1" si="355"/>
        <v>0</v>
      </c>
      <c r="M1770" s="27">
        <f t="shared" ca="1" si="356"/>
        <v>0</v>
      </c>
      <c r="N1770" s="28">
        <f t="shared" ca="1" si="357"/>
        <v>0</v>
      </c>
      <c r="O1770" s="29">
        <f t="shared" ca="1" si="358"/>
        <v>0</v>
      </c>
      <c r="P1770" s="30">
        <f t="shared" ca="1" si="359"/>
        <v>0</v>
      </c>
    </row>
    <row r="1771" spans="1:16" x14ac:dyDescent="0.25">
      <c r="A1771" s="3">
        <f t="shared" si="360"/>
        <v>48591</v>
      </c>
      <c r="B1771" s="21">
        <f t="shared" si="351"/>
        <v>36537</v>
      </c>
      <c r="C1771" s="21">
        <f t="shared" si="352"/>
        <v>36605</v>
      </c>
      <c r="D1771" s="1">
        <f t="shared" si="361"/>
        <v>0</v>
      </c>
      <c r="E1771" s="3">
        <f t="array" ref="E1771">INDEX($A$9:A1770, MAX(IF($D$9:D1770=1, ROW(D$9:$D1770)-ROW($D$9)+1, 0)))</f>
        <v>48568</v>
      </c>
      <c r="F1771" s="23">
        <f t="shared" si="353"/>
        <v>6.751540041067762</v>
      </c>
      <c r="G1771" s="5">
        <f>INDEX('Default Prob'!$P$5:$P$14,MIN(1+_xlfn.IFNA(MATCH(F1771,'Default Prob'!$F$5:$F$14,1),0),COUNT('Default Prob'!$P$5:$P$14)))</f>
        <v>3.363522017633732E-2</v>
      </c>
      <c r="H1771" s="5">
        <f t="shared" si="362"/>
        <v>0.84761284276312643</v>
      </c>
      <c r="I1771" s="24">
        <f t="shared" si="363"/>
        <v>7.8058746973419524E-5</v>
      </c>
      <c r="J1771" s="25">
        <f>INDEX('Default Prob'!$C$3:$C$13, _xlfn.IFNA(MATCH(F1771, 'Default Prob'!$B$3:$B$13, 1), 1))</f>
        <v>2.1700000000000001E-2</v>
      </c>
      <c r="K1771" s="26">
        <f t="shared" si="354"/>
        <v>0.86507295798934436</v>
      </c>
      <c r="L1771" s="27">
        <f t="shared" ca="1" si="355"/>
        <v>0</v>
      </c>
      <c r="M1771" s="27">
        <f t="shared" ca="1" si="356"/>
        <v>0</v>
      </c>
      <c r="N1771" s="28">
        <f t="shared" ca="1" si="357"/>
        <v>0</v>
      </c>
      <c r="O1771" s="29">
        <f t="shared" ca="1" si="358"/>
        <v>0</v>
      </c>
      <c r="P1771" s="30">
        <f t="shared" ca="1" si="359"/>
        <v>0</v>
      </c>
    </row>
    <row r="1772" spans="1:16" x14ac:dyDescent="0.25">
      <c r="A1772" s="3">
        <f t="shared" si="360"/>
        <v>48592</v>
      </c>
      <c r="B1772" s="21">
        <f t="shared" si="351"/>
        <v>36538</v>
      </c>
      <c r="C1772" s="21">
        <f t="shared" si="352"/>
        <v>36605</v>
      </c>
      <c r="D1772" s="1">
        <f t="shared" si="361"/>
        <v>0</v>
      </c>
      <c r="E1772" s="3">
        <f t="array" ref="E1772">INDEX($A$9:A1771, MAX(IF($D$9:D1771=1, ROW(D$9:$D1771)-ROW($D$9)+1, 0)))</f>
        <v>48568</v>
      </c>
      <c r="F1772" s="23">
        <f t="shared" si="353"/>
        <v>6.754277891854894</v>
      </c>
      <c r="G1772" s="5">
        <f>INDEX('Default Prob'!$P$5:$P$14,MIN(1+_xlfn.IFNA(MATCH(F1772,'Default Prob'!$F$5:$F$14,1),0),COUNT('Default Prob'!$P$5:$P$14)))</f>
        <v>3.363522017633732E-2</v>
      </c>
      <c r="H1772" s="5">
        <f t="shared" si="362"/>
        <v>0.84753479120411268</v>
      </c>
      <c r="I1772" s="24">
        <f t="shared" si="363"/>
        <v>7.8051559013747607E-5</v>
      </c>
      <c r="J1772" s="25">
        <f>INDEX('Default Prob'!$C$3:$C$13, _xlfn.IFNA(MATCH(F1772, 'Default Prob'!$B$3:$B$13, 1), 1))</f>
        <v>2.1700000000000001E-2</v>
      </c>
      <c r="K1772" s="26">
        <f t="shared" si="354"/>
        <v>0.86502211402023998</v>
      </c>
      <c r="L1772" s="27">
        <f t="shared" ca="1" si="355"/>
        <v>0</v>
      </c>
      <c r="M1772" s="27">
        <f t="shared" ca="1" si="356"/>
        <v>0</v>
      </c>
      <c r="N1772" s="28">
        <f t="shared" ca="1" si="357"/>
        <v>0</v>
      </c>
      <c r="O1772" s="29">
        <f t="shared" ca="1" si="358"/>
        <v>0</v>
      </c>
      <c r="P1772" s="30">
        <f t="shared" ca="1" si="359"/>
        <v>0</v>
      </c>
    </row>
    <row r="1773" spans="1:16" x14ac:dyDescent="0.25">
      <c r="A1773" s="3">
        <f t="shared" si="360"/>
        <v>48593</v>
      </c>
      <c r="B1773" s="21">
        <f t="shared" si="351"/>
        <v>36539</v>
      </c>
      <c r="C1773" s="21">
        <f t="shared" si="352"/>
        <v>36605</v>
      </c>
      <c r="D1773" s="1">
        <f t="shared" si="361"/>
        <v>0</v>
      </c>
      <c r="E1773" s="3">
        <f t="array" ref="E1773">INDEX($A$9:A1772, MAX(IF($D$9:D1772=1, ROW(D$9:$D1772)-ROW($D$9)+1, 0)))</f>
        <v>48568</v>
      </c>
      <c r="F1773" s="23">
        <f t="shared" si="353"/>
        <v>6.7570157426420261</v>
      </c>
      <c r="G1773" s="5">
        <f>INDEX('Default Prob'!$P$5:$P$14,MIN(1+_xlfn.IFNA(MATCH(F1773,'Default Prob'!$F$5:$F$14,1),0),COUNT('Default Prob'!$P$5:$P$14)))</f>
        <v>3.363522017633732E-2</v>
      </c>
      <c r="H1773" s="5">
        <f t="shared" si="362"/>
        <v>0.84745674683239658</v>
      </c>
      <c r="I1773" s="24">
        <f t="shared" si="363"/>
        <v>7.8044371716101679E-5</v>
      </c>
      <c r="J1773" s="25">
        <f>INDEX('Default Prob'!$C$3:$C$13, _xlfn.IFNA(MATCH(F1773, 'Default Prob'!$B$3:$B$13, 1), 1))</f>
        <v>2.1700000000000001E-2</v>
      </c>
      <c r="K1773" s="26">
        <f t="shared" si="354"/>
        <v>0.86497127303944921</v>
      </c>
      <c r="L1773" s="27">
        <f t="shared" ca="1" si="355"/>
        <v>0</v>
      </c>
      <c r="M1773" s="27">
        <f t="shared" ca="1" si="356"/>
        <v>0</v>
      </c>
      <c r="N1773" s="28">
        <f t="shared" ca="1" si="357"/>
        <v>0</v>
      </c>
      <c r="O1773" s="29">
        <f t="shared" ca="1" si="358"/>
        <v>0</v>
      </c>
      <c r="P1773" s="30">
        <f t="shared" ca="1" si="359"/>
        <v>0</v>
      </c>
    </row>
    <row r="1774" spans="1:16" x14ac:dyDescent="0.25">
      <c r="A1774" s="3">
        <f t="shared" si="360"/>
        <v>48596</v>
      </c>
      <c r="B1774" s="21">
        <f t="shared" si="351"/>
        <v>36542</v>
      </c>
      <c r="C1774" s="21">
        <f t="shared" si="352"/>
        <v>36605</v>
      </c>
      <c r="D1774" s="1">
        <f t="shared" si="361"/>
        <v>0</v>
      </c>
      <c r="E1774" s="3">
        <f t="array" ref="E1774">INDEX($A$9:A1773, MAX(IF($D$9:D1773=1, ROW(D$9:$D1773)-ROW($D$9)+1, 0)))</f>
        <v>48568</v>
      </c>
      <c r="F1774" s="23">
        <f t="shared" si="353"/>
        <v>6.7652292950034223</v>
      </c>
      <c r="G1774" s="5">
        <f>INDEX('Default Prob'!$P$5:$P$14,MIN(1+_xlfn.IFNA(MATCH(F1774,'Default Prob'!$F$5:$F$14,1),0),COUNT('Default Prob'!$P$5:$P$14)))</f>
        <v>3.363522017633732E-2</v>
      </c>
      <c r="H1774" s="5">
        <f t="shared" si="362"/>
        <v>0.84722265683441667</v>
      </c>
      <c r="I1774" s="24">
        <f t="shared" si="363"/>
        <v>2.3408999797991381E-4</v>
      </c>
      <c r="J1774" s="25">
        <f>INDEX('Default Prob'!$C$3:$C$13, _xlfn.IFNA(MATCH(F1774, 'Default Prob'!$B$3:$B$13, 1), 1))</f>
        <v>2.1700000000000001E-2</v>
      </c>
      <c r="K1774" s="26">
        <f t="shared" si="354"/>
        <v>0.86481876802520141</v>
      </c>
      <c r="L1774" s="27">
        <f t="shared" ca="1" si="355"/>
        <v>0</v>
      </c>
      <c r="M1774" s="27">
        <f t="shared" ca="1" si="356"/>
        <v>0</v>
      </c>
      <c r="N1774" s="28">
        <f t="shared" ca="1" si="357"/>
        <v>0</v>
      </c>
      <c r="O1774" s="29">
        <f t="shared" ca="1" si="358"/>
        <v>0</v>
      </c>
      <c r="P1774" s="30">
        <f t="shared" ca="1" si="359"/>
        <v>0</v>
      </c>
    </row>
    <row r="1775" spans="1:16" x14ac:dyDescent="0.25">
      <c r="A1775" s="3">
        <f t="shared" si="360"/>
        <v>48597</v>
      </c>
      <c r="B1775" s="21">
        <f t="shared" si="351"/>
        <v>36543</v>
      </c>
      <c r="C1775" s="21">
        <f t="shared" si="352"/>
        <v>36605</v>
      </c>
      <c r="D1775" s="1">
        <f t="shared" si="361"/>
        <v>0</v>
      </c>
      <c r="E1775" s="3">
        <f t="array" ref="E1775">INDEX($A$9:A1774, MAX(IF($D$9:D1774=1, ROW(D$9:$D1774)-ROW($D$9)+1, 0)))</f>
        <v>48568</v>
      </c>
      <c r="F1775" s="23">
        <f t="shared" si="353"/>
        <v>6.7679671457905544</v>
      </c>
      <c r="G1775" s="5">
        <f>INDEX('Default Prob'!$P$5:$P$14,MIN(1+_xlfn.IFNA(MATCH(F1775,'Default Prob'!$F$5:$F$14,1),0),COUNT('Default Prob'!$P$5:$P$14)))</f>
        <v>3.363522017633732E-2</v>
      </c>
      <c r="H1775" s="5">
        <f t="shared" si="362"/>
        <v>0.84714464120527377</v>
      </c>
      <c r="I1775" s="24">
        <f t="shared" si="363"/>
        <v>7.8015629142891285E-5</v>
      </c>
      <c r="J1775" s="25">
        <f>INDEX('Default Prob'!$C$3:$C$13, _xlfn.IFNA(MATCH(F1775, 'Default Prob'!$B$3:$B$13, 1), 1))</f>
        <v>2.1700000000000001E-2</v>
      </c>
      <c r="K1775" s="26">
        <f t="shared" si="354"/>
        <v>0.86476793899590831</v>
      </c>
      <c r="L1775" s="27">
        <f t="shared" ca="1" si="355"/>
        <v>0</v>
      </c>
      <c r="M1775" s="27">
        <f t="shared" ca="1" si="356"/>
        <v>0</v>
      </c>
      <c r="N1775" s="28">
        <f t="shared" ca="1" si="357"/>
        <v>0</v>
      </c>
      <c r="O1775" s="29">
        <f t="shared" ca="1" si="358"/>
        <v>0</v>
      </c>
      <c r="P1775" s="30">
        <f t="shared" ca="1" si="359"/>
        <v>0</v>
      </c>
    </row>
    <row r="1776" spans="1:16" x14ac:dyDescent="0.25">
      <c r="A1776" s="3">
        <f t="shared" si="360"/>
        <v>48598</v>
      </c>
      <c r="B1776" s="21">
        <f t="shared" si="351"/>
        <v>36544</v>
      </c>
      <c r="C1776" s="21">
        <f t="shared" si="352"/>
        <v>36605</v>
      </c>
      <c r="D1776" s="1">
        <f t="shared" si="361"/>
        <v>0</v>
      </c>
      <c r="E1776" s="3">
        <f t="array" ref="E1776">INDEX($A$9:A1775, MAX(IF($D$9:D1775=1, ROW(D$9:$D1775)-ROW($D$9)+1, 0)))</f>
        <v>48568</v>
      </c>
      <c r="F1776" s="23">
        <f t="shared" si="353"/>
        <v>6.7707049965776864</v>
      </c>
      <c r="G1776" s="5">
        <f>INDEX('Default Prob'!$P$5:$P$14,MIN(1+_xlfn.IFNA(MATCH(F1776,'Default Prob'!$F$5:$F$14,1),0),COUNT('Default Prob'!$P$5:$P$14)))</f>
        <v>3.363522017633732E-2</v>
      </c>
      <c r="H1776" s="5">
        <f t="shared" si="362"/>
        <v>0.84706663276012006</v>
      </c>
      <c r="I1776" s="24">
        <f t="shared" si="363"/>
        <v>7.8008445153709971E-5</v>
      </c>
      <c r="J1776" s="25">
        <f>INDEX('Default Prob'!$C$3:$C$13, _xlfn.IFNA(MATCH(F1776, 'Default Prob'!$B$3:$B$13, 1), 1))</f>
        <v>2.1700000000000001E-2</v>
      </c>
      <c r="K1776" s="26">
        <f t="shared" si="354"/>
        <v>0.86471711295405074</v>
      </c>
      <c r="L1776" s="27">
        <f t="shared" ca="1" si="355"/>
        <v>0</v>
      </c>
      <c r="M1776" s="27">
        <f t="shared" ca="1" si="356"/>
        <v>0</v>
      </c>
      <c r="N1776" s="28">
        <f t="shared" ca="1" si="357"/>
        <v>0</v>
      </c>
      <c r="O1776" s="29">
        <f t="shared" ca="1" si="358"/>
        <v>0</v>
      </c>
      <c r="P1776" s="30">
        <f t="shared" ca="1" si="359"/>
        <v>0</v>
      </c>
    </row>
    <row r="1777" spans="1:16" x14ac:dyDescent="0.25">
      <c r="A1777" s="3">
        <f t="shared" si="360"/>
        <v>48599</v>
      </c>
      <c r="B1777" s="21">
        <f t="shared" si="351"/>
        <v>36545</v>
      </c>
      <c r="C1777" s="21">
        <f t="shared" si="352"/>
        <v>36605</v>
      </c>
      <c r="D1777" s="1">
        <f t="shared" si="361"/>
        <v>0</v>
      </c>
      <c r="E1777" s="3">
        <f t="array" ref="E1777">INDEX($A$9:A1776, MAX(IF($D$9:D1776=1, ROW(D$9:$D1776)-ROW($D$9)+1, 0)))</f>
        <v>48568</v>
      </c>
      <c r="F1777" s="23">
        <f t="shared" si="353"/>
        <v>6.7734428473648185</v>
      </c>
      <c r="G1777" s="5">
        <f>INDEX('Default Prob'!$P$5:$P$14,MIN(1+_xlfn.IFNA(MATCH(F1777,'Default Prob'!$F$5:$F$14,1),0),COUNT('Default Prob'!$P$5:$P$14)))</f>
        <v>3.363522017633732E-2</v>
      </c>
      <c r="H1777" s="5">
        <f t="shared" si="362"/>
        <v>0.84698863149829395</v>
      </c>
      <c r="I1777" s="24">
        <f t="shared" si="363"/>
        <v>7.8001261826110557E-5</v>
      </c>
      <c r="J1777" s="25">
        <f>INDEX('Default Prob'!$C$3:$C$13, _xlfn.IFNA(MATCH(F1777, 'Default Prob'!$B$3:$B$13, 1), 1))</f>
        <v>2.1700000000000001E-2</v>
      </c>
      <c r="K1777" s="26">
        <f t="shared" si="354"/>
        <v>0.86466628989945282</v>
      </c>
      <c r="L1777" s="27">
        <f t="shared" ca="1" si="355"/>
        <v>0</v>
      </c>
      <c r="M1777" s="27">
        <f t="shared" ca="1" si="356"/>
        <v>0</v>
      </c>
      <c r="N1777" s="28">
        <f t="shared" ca="1" si="357"/>
        <v>0</v>
      </c>
      <c r="O1777" s="29">
        <f t="shared" ca="1" si="358"/>
        <v>0</v>
      </c>
      <c r="P1777" s="30">
        <f t="shared" ca="1" si="359"/>
        <v>0</v>
      </c>
    </row>
    <row r="1778" spans="1:16" x14ac:dyDescent="0.25">
      <c r="A1778" s="3">
        <f t="shared" si="360"/>
        <v>48600</v>
      </c>
      <c r="B1778" s="21">
        <f t="shared" si="351"/>
        <v>36546</v>
      </c>
      <c r="C1778" s="21">
        <f t="shared" si="352"/>
        <v>36605</v>
      </c>
      <c r="D1778" s="1">
        <f t="shared" si="361"/>
        <v>0</v>
      </c>
      <c r="E1778" s="3">
        <f t="array" ref="E1778">INDEX($A$9:A1777, MAX(IF($D$9:D1777=1, ROW(D$9:$D1777)-ROW($D$9)+1, 0)))</f>
        <v>48568</v>
      </c>
      <c r="F1778" s="23">
        <f t="shared" si="353"/>
        <v>6.7761806981519506</v>
      </c>
      <c r="G1778" s="5">
        <f>INDEX('Default Prob'!$P$5:$P$14,MIN(1+_xlfn.IFNA(MATCH(F1778,'Default Prob'!$F$5:$F$14,1),0),COUNT('Default Prob'!$P$5:$P$14)))</f>
        <v>3.363522017633732E-2</v>
      </c>
      <c r="H1778" s="5">
        <f t="shared" si="362"/>
        <v>0.84691063741913408</v>
      </c>
      <c r="I1778" s="24">
        <f t="shared" si="363"/>
        <v>7.7994079159870999E-5</v>
      </c>
      <c r="J1778" s="25">
        <f>INDEX('Default Prob'!$C$3:$C$13, _xlfn.IFNA(MATCH(F1778, 'Default Prob'!$B$3:$B$13, 1), 1))</f>
        <v>2.1700000000000001E-2</v>
      </c>
      <c r="K1778" s="26">
        <f t="shared" si="354"/>
        <v>0.86461546983193927</v>
      </c>
      <c r="L1778" s="27">
        <f t="shared" ca="1" si="355"/>
        <v>0</v>
      </c>
      <c r="M1778" s="27">
        <f t="shared" ca="1" si="356"/>
        <v>0</v>
      </c>
      <c r="N1778" s="28">
        <f t="shared" ca="1" si="357"/>
        <v>0</v>
      </c>
      <c r="O1778" s="29">
        <f t="shared" ca="1" si="358"/>
        <v>0</v>
      </c>
      <c r="P1778" s="30">
        <f t="shared" ca="1" si="359"/>
        <v>0</v>
      </c>
    </row>
    <row r="1779" spans="1:16" x14ac:dyDescent="0.25">
      <c r="A1779" s="3">
        <f t="shared" si="360"/>
        <v>48603</v>
      </c>
      <c r="B1779" s="21">
        <f t="shared" si="351"/>
        <v>36549</v>
      </c>
      <c r="C1779" s="21">
        <f t="shared" si="352"/>
        <v>36605</v>
      </c>
      <c r="D1779" s="1">
        <f t="shared" si="361"/>
        <v>0</v>
      </c>
      <c r="E1779" s="3">
        <f t="array" ref="E1779">INDEX($A$9:A1778, MAX(IF($D$9:D1778=1, ROW(D$9:$D1778)-ROW($D$9)+1, 0)))</f>
        <v>48568</v>
      </c>
      <c r="F1779" s="23">
        <f t="shared" si="353"/>
        <v>6.7843942505133468</v>
      </c>
      <c r="G1779" s="5">
        <f>INDEX('Default Prob'!$P$5:$P$14,MIN(1+_xlfn.IFNA(MATCH(F1779,'Default Prob'!$F$5:$F$14,1),0),COUNT('Default Prob'!$P$5:$P$14)))</f>
        <v>3.363522017633732E-2</v>
      </c>
      <c r="H1779" s="5">
        <f t="shared" si="362"/>
        <v>0.84667669827103753</v>
      </c>
      <c r="I1779" s="24">
        <f t="shared" si="363"/>
        <v>2.3393914809655136E-4</v>
      </c>
      <c r="J1779" s="25">
        <f>INDEX('Default Prob'!$C$3:$C$13, _xlfn.IFNA(MATCH(F1779, 'Default Prob'!$B$3:$B$13, 1), 1))</f>
        <v>2.1700000000000001E-2</v>
      </c>
      <c r="K1779" s="26">
        <f t="shared" si="354"/>
        <v>0.86446302755014859</v>
      </c>
      <c r="L1779" s="27">
        <f t="shared" ca="1" si="355"/>
        <v>0</v>
      </c>
      <c r="M1779" s="27">
        <f t="shared" ca="1" si="356"/>
        <v>0</v>
      </c>
      <c r="N1779" s="28">
        <f t="shared" ca="1" si="357"/>
        <v>0</v>
      </c>
      <c r="O1779" s="29">
        <f t="shared" ca="1" si="358"/>
        <v>0</v>
      </c>
      <c r="P1779" s="30">
        <f t="shared" ca="1" si="359"/>
        <v>0</v>
      </c>
    </row>
    <row r="1780" spans="1:16" x14ac:dyDescent="0.25">
      <c r="A1780" s="3">
        <f t="shared" si="360"/>
        <v>48604</v>
      </c>
      <c r="B1780" s="21">
        <f t="shared" si="351"/>
        <v>36550</v>
      </c>
      <c r="C1780" s="21">
        <f t="shared" si="352"/>
        <v>36605</v>
      </c>
      <c r="D1780" s="1">
        <f t="shared" si="361"/>
        <v>0</v>
      </c>
      <c r="E1780" s="3">
        <f t="array" ref="E1780">INDEX($A$9:A1779, MAX(IF($D$9:D1779=1, ROW(D$9:$D1779)-ROW($D$9)+1, 0)))</f>
        <v>48568</v>
      </c>
      <c r="F1780" s="23">
        <f t="shared" si="353"/>
        <v>6.7871321013004788</v>
      </c>
      <c r="G1780" s="5">
        <f>INDEX('Default Prob'!$P$5:$P$14,MIN(1+_xlfn.IFNA(MATCH(F1780,'Default Prob'!$F$5:$F$14,1),0),COUNT('Default Prob'!$P$5:$P$14)))</f>
        <v>3.363522017633732E-2</v>
      </c>
      <c r="H1780" s="5">
        <f t="shared" si="362"/>
        <v>0.8465987329159288</v>
      </c>
      <c r="I1780" s="24">
        <f t="shared" si="363"/>
        <v>7.796535510873337E-5</v>
      </c>
      <c r="J1780" s="25">
        <f>INDEX('Default Prob'!$C$3:$C$13, _xlfn.IFNA(MATCH(F1780, 'Default Prob'!$B$3:$B$13, 1), 1))</f>
        <v>2.1700000000000001E-2</v>
      </c>
      <c r="K1780" s="26">
        <f t="shared" si="354"/>
        <v>0.86441221942921653</v>
      </c>
      <c r="L1780" s="27">
        <f t="shared" ca="1" si="355"/>
        <v>0</v>
      </c>
      <c r="M1780" s="27">
        <f t="shared" ca="1" si="356"/>
        <v>0</v>
      </c>
      <c r="N1780" s="28">
        <f t="shared" ca="1" si="357"/>
        <v>0</v>
      </c>
      <c r="O1780" s="29">
        <f t="shared" ca="1" si="358"/>
        <v>0</v>
      </c>
      <c r="P1780" s="30">
        <f t="shared" ca="1" si="359"/>
        <v>0</v>
      </c>
    </row>
    <row r="1781" spans="1:16" x14ac:dyDescent="0.25">
      <c r="A1781" s="3">
        <f t="shared" si="360"/>
        <v>48605</v>
      </c>
      <c r="B1781" s="21">
        <f t="shared" si="351"/>
        <v>36551</v>
      </c>
      <c r="C1781" s="21">
        <f t="shared" si="352"/>
        <v>36605</v>
      </c>
      <c r="D1781" s="1">
        <f t="shared" si="361"/>
        <v>0</v>
      </c>
      <c r="E1781" s="3">
        <f t="array" ref="E1781">INDEX($A$9:A1780, MAX(IF($D$9:D1780=1, ROW(D$9:$D1780)-ROW($D$9)+1, 0)))</f>
        <v>48568</v>
      </c>
      <c r="F1781" s="23">
        <f t="shared" si="353"/>
        <v>6.7898699520876109</v>
      </c>
      <c r="G1781" s="5">
        <f>INDEX('Default Prob'!$P$5:$P$14,MIN(1+_xlfn.IFNA(MATCH(F1781,'Default Prob'!$F$5:$F$14,1),0),COUNT('Default Prob'!$P$5:$P$14)))</f>
        <v>3.363522017633732E-2</v>
      </c>
      <c r="H1781" s="5">
        <f t="shared" si="362"/>
        <v>0.84652077474017984</v>
      </c>
      <c r="I1781" s="24">
        <f t="shared" si="363"/>
        <v>7.7958175748960024E-5</v>
      </c>
      <c r="J1781" s="25">
        <f>INDEX('Default Prob'!$C$3:$C$13, _xlfn.IFNA(MATCH(F1781, 'Default Prob'!$B$3:$B$13, 1), 1))</f>
        <v>2.1700000000000001E-2</v>
      </c>
      <c r="K1781" s="26">
        <f t="shared" si="354"/>
        <v>0.86436141429449098</v>
      </c>
      <c r="L1781" s="27">
        <f t="shared" ca="1" si="355"/>
        <v>0</v>
      </c>
      <c r="M1781" s="27">
        <f t="shared" ca="1" si="356"/>
        <v>0</v>
      </c>
      <c r="N1781" s="28">
        <f t="shared" ca="1" si="357"/>
        <v>0</v>
      </c>
      <c r="O1781" s="29">
        <f t="shared" ca="1" si="358"/>
        <v>0</v>
      </c>
      <c r="P1781" s="30">
        <f t="shared" ca="1" si="359"/>
        <v>0</v>
      </c>
    </row>
    <row r="1782" spans="1:16" x14ac:dyDescent="0.25">
      <c r="A1782" s="3">
        <f t="shared" si="360"/>
        <v>48606</v>
      </c>
      <c r="B1782" s="21">
        <f t="shared" si="351"/>
        <v>36552</v>
      </c>
      <c r="C1782" s="21">
        <f t="shared" si="352"/>
        <v>36605</v>
      </c>
      <c r="D1782" s="1">
        <f t="shared" si="361"/>
        <v>0</v>
      </c>
      <c r="E1782" s="3">
        <f t="array" ref="E1782">INDEX($A$9:A1781, MAX(IF($D$9:D1781=1, ROW(D$9:$D1781)-ROW($D$9)+1, 0)))</f>
        <v>48568</v>
      </c>
      <c r="F1782" s="23">
        <f t="shared" si="353"/>
        <v>6.792607802874743</v>
      </c>
      <c r="G1782" s="5">
        <f>INDEX('Default Prob'!$P$5:$P$14,MIN(1+_xlfn.IFNA(MATCH(F1782,'Default Prob'!$F$5:$F$14,1),0),COUNT('Default Prob'!$P$5:$P$14)))</f>
        <v>3.363522017633732E-2</v>
      </c>
      <c r="H1782" s="5">
        <f t="shared" si="362"/>
        <v>0.84644282374312951</v>
      </c>
      <c r="I1782" s="24">
        <f t="shared" si="363"/>
        <v>7.7950997050324489E-5</v>
      </c>
      <c r="J1782" s="25">
        <f>INDEX('Default Prob'!$C$3:$C$13, _xlfn.IFNA(MATCH(F1782, 'Default Prob'!$B$3:$B$13, 1), 1))</f>
        <v>2.1700000000000001E-2</v>
      </c>
      <c r="K1782" s="26">
        <f t="shared" si="354"/>
        <v>0.86431061214579641</v>
      </c>
      <c r="L1782" s="27">
        <f t="shared" ca="1" si="355"/>
        <v>0</v>
      </c>
      <c r="M1782" s="27">
        <f t="shared" ca="1" si="356"/>
        <v>0</v>
      </c>
      <c r="N1782" s="28">
        <f t="shared" ca="1" si="357"/>
        <v>0</v>
      </c>
      <c r="O1782" s="29">
        <f t="shared" ca="1" si="358"/>
        <v>0</v>
      </c>
      <c r="P1782" s="30">
        <f t="shared" ca="1" si="359"/>
        <v>0</v>
      </c>
    </row>
    <row r="1783" spans="1:16" x14ac:dyDescent="0.25">
      <c r="A1783" s="3">
        <f t="shared" si="360"/>
        <v>48607</v>
      </c>
      <c r="B1783" s="21">
        <f t="shared" si="351"/>
        <v>36553</v>
      </c>
      <c r="C1783" s="21">
        <f t="shared" si="352"/>
        <v>36605</v>
      </c>
      <c r="D1783" s="1">
        <f t="shared" si="361"/>
        <v>0</v>
      </c>
      <c r="E1783" s="3">
        <f t="array" ref="E1783">INDEX($A$9:A1782, MAX(IF($D$9:D1782=1, ROW(D$9:$D1782)-ROW($D$9)+1, 0)))</f>
        <v>48568</v>
      </c>
      <c r="F1783" s="23">
        <f t="shared" si="353"/>
        <v>6.795345653661875</v>
      </c>
      <c r="G1783" s="5">
        <f>INDEX('Default Prob'!$P$5:$P$14,MIN(1+_xlfn.IFNA(MATCH(F1783,'Default Prob'!$F$5:$F$14,1),0),COUNT('Default Prob'!$P$5:$P$14)))</f>
        <v>3.363522017633732E-2</v>
      </c>
      <c r="H1783" s="5">
        <f t="shared" si="362"/>
        <v>0.8463648799241168</v>
      </c>
      <c r="I1783" s="24">
        <f t="shared" si="363"/>
        <v>7.7943819012715743E-5</v>
      </c>
      <c r="J1783" s="25">
        <f>INDEX('Default Prob'!$C$3:$C$13, _xlfn.IFNA(MATCH(F1783, 'Default Prob'!$B$3:$B$13, 1), 1))</f>
        <v>2.1700000000000001E-2</v>
      </c>
      <c r="K1783" s="26">
        <f t="shared" si="354"/>
        <v>0.86425981298295762</v>
      </c>
      <c r="L1783" s="27">
        <f t="shared" ca="1" si="355"/>
        <v>0</v>
      </c>
      <c r="M1783" s="27">
        <f t="shared" ca="1" si="356"/>
        <v>0</v>
      </c>
      <c r="N1783" s="28">
        <f t="shared" ca="1" si="357"/>
        <v>0</v>
      </c>
      <c r="O1783" s="29">
        <f t="shared" ca="1" si="358"/>
        <v>0</v>
      </c>
      <c r="P1783" s="30">
        <f t="shared" ca="1" si="359"/>
        <v>0</v>
      </c>
    </row>
    <row r="1784" spans="1:16" x14ac:dyDescent="0.25">
      <c r="A1784" s="3">
        <f t="shared" si="360"/>
        <v>48610</v>
      </c>
      <c r="B1784" s="21">
        <f t="shared" si="351"/>
        <v>36556</v>
      </c>
      <c r="C1784" s="21">
        <f t="shared" si="352"/>
        <v>36605</v>
      </c>
      <c r="D1784" s="1">
        <f t="shared" si="361"/>
        <v>0</v>
      </c>
      <c r="E1784" s="3">
        <f t="array" ref="E1784">INDEX($A$9:A1783, MAX(IF($D$9:D1783=1, ROW(D$9:$D1783)-ROW($D$9)+1, 0)))</f>
        <v>48568</v>
      </c>
      <c r="F1784" s="23">
        <f t="shared" si="353"/>
        <v>6.8035592060232721</v>
      </c>
      <c r="G1784" s="5">
        <f>INDEX('Default Prob'!$P$5:$P$14,MIN(1+_xlfn.IFNA(MATCH(F1784,'Default Prob'!$F$5:$F$14,1),0),COUNT('Default Prob'!$P$5:$P$14)))</f>
        <v>3.363522017633732E-2</v>
      </c>
      <c r="H1784" s="5">
        <f t="shared" si="362"/>
        <v>0.84613109152869459</v>
      </c>
      <c r="I1784" s="24">
        <f t="shared" si="363"/>
        <v>2.3378839542220753E-4</v>
      </c>
      <c r="J1784" s="25">
        <f>INDEX('Default Prob'!$C$3:$C$13, _xlfn.IFNA(MATCH(F1784, 'Default Prob'!$B$3:$B$13, 1), 1))</f>
        <v>2.1700000000000001E-2</v>
      </c>
      <c r="K1784" s="26">
        <f t="shared" si="354"/>
        <v>0.86410743340781904</v>
      </c>
      <c r="L1784" s="27">
        <f t="shared" ca="1" si="355"/>
        <v>0</v>
      </c>
      <c r="M1784" s="27">
        <f t="shared" ca="1" si="356"/>
        <v>0</v>
      </c>
      <c r="N1784" s="28">
        <f t="shared" ca="1" si="357"/>
        <v>0</v>
      </c>
      <c r="O1784" s="29">
        <f t="shared" ca="1" si="358"/>
        <v>0</v>
      </c>
      <c r="P1784" s="30">
        <f t="shared" ca="1" si="359"/>
        <v>0</v>
      </c>
    </row>
    <row r="1785" spans="1:16" x14ac:dyDescent="0.25">
      <c r="A1785" s="3">
        <f t="shared" si="360"/>
        <v>48611</v>
      </c>
      <c r="B1785" s="21">
        <f t="shared" si="351"/>
        <v>36557</v>
      </c>
      <c r="C1785" s="21">
        <f t="shared" si="352"/>
        <v>36605</v>
      </c>
      <c r="D1785" s="1">
        <f t="shared" si="361"/>
        <v>0</v>
      </c>
      <c r="E1785" s="3">
        <f t="array" ref="E1785">INDEX($A$9:A1784, MAX(IF($D$9:D1784=1, ROW(D$9:$D1784)-ROW($D$9)+1, 0)))</f>
        <v>48568</v>
      </c>
      <c r="F1785" s="23">
        <f t="shared" si="353"/>
        <v>6.8062970568104042</v>
      </c>
      <c r="G1785" s="5">
        <f>INDEX('Default Prob'!$P$5:$P$14,MIN(1+_xlfn.IFNA(MATCH(F1785,'Default Prob'!$F$5:$F$14,1),0),COUNT('Default Prob'!$P$5:$P$14)))</f>
        <v>3.363522017633732E-2</v>
      </c>
      <c r="H1785" s="5">
        <f t="shared" si="362"/>
        <v>0.84605317641522304</v>
      </c>
      <c r="I1785" s="24">
        <f t="shared" si="363"/>
        <v>7.7915113471549446E-5</v>
      </c>
      <c r="J1785" s="25">
        <f>INDEX('Default Prob'!$C$3:$C$13, _xlfn.IFNA(MATCH(F1785, 'Default Prob'!$B$3:$B$13, 1), 1))</f>
        <v>2.1700000000000001E-2</v>
      </c>
      <c r="K1785" s="26">
        <f t="shared" si="354"/>
        <v>0.86405664618664746</v>
      </c>
      <c r="L1785" s="27">
        <f t="shared" ca="1" si="355"/>
        <v>0</v>
      </c>
      <c r="M1785" s="27">
        <f t="shared" ca="1" si="356"/>
        <v>0</v>
      </c>
      <c r="N1785" s="28">
        <f t="shared" ca="1" si="357"/>
        <v>0</v>
      </c>
      <c r="O1785" s="29">
        <f t="shared" ca="1" si="358"/>
        <v>0</v>
      </c>
      <c r="P1785" s="30">
        <f t="shared" ca="1" si="359"/>
        <v>0</v>
      </c>
    </row>
    <row r="1786" spans="1:16" x14ac:dyDescent="0.25">
      <c r="A1786" s="3">
        <f t="shared" si="360"/>
        <v>48612</v>
      </c>
      <c r="B1786" s="21">
        <f t="shared" si="351"/>
        <v>36558</v>
      </c>
      <c r="C1786" s="21">
        <f t="shared" si="352"/>
        <v>36605</v>
      </c>
      <c r="D1786" s="1">
        <f t="shared" si="361"/>
        <v>0</v>
      </c>
      <c r="E1786" s="3">
        <f t="array" ref="E1786">INDEX($A$9:A1785, MAX(IF($D$9:D1785=1, ROW(D$9:$D1785)-ROW($D$9)+1, 0)))</f>
        <v>48568</v>
      </c>
      <c r="F1786" s="23">
        <f t="shared" si="353"/>
        <v>6.8090349075975363</v>
      </c>
      <c r="G1786" s="5">
        <f>INDEX('Default Prob'!$P$5:$P$14,MIN(1+_xlfn.IFNA(MATCH(F1786,'Default Prob'!$F$5:$F$14,1),0),COUNT('Default Prob'!$P$5:$P$14)))</f>
        <v>3.363522017633732E-2</v>
      </c>
      <c r="H1786" s="5">
        <f t="shared" si="362"/>
        <v>0.84597526847648474</v>
      </c>
      <c r="I1786" s="24">
        <f t="shared" si="363"/>
        <v>7.7907938738297489E-5</v>
      </c>
      <c r="J1786" s="25">
        <f>INDEX('Default Prob'!$C$3:$C$13, _xlfn.IFNA(MATCH(F1786, 'Default Prob'!$B$3:$B$13, 1), 1))</f>
        <v>2.1700000000000001E-2</v>
      </c>
      <c r="K1786" s="26">
        <f t="shared" si="354"/>
        <v>0.86400586195045392</v>
      </c>
      <c r="L1786" s="27">
        <f t="shared" ca="1" si="355"/>
        <v>0</v>
      </c>
      <c r="M1786" s="27">
        <f t="shared" ca="1" si="356"/>
        <v>0</v>
      </c>
      <c r="N1786" s="28">
        <f t="shared" ca="1" si="357"/>
        <v>0</v>
      </c>
      <c r="O1786" s="29">
        <f t="shared" ca="1" si="358"/>
        <v>0</v>
      </c>
      <c r="P1786" s="30">
        <f t="shared" ca="1" si="359"/>
        <v>0</v>
      </c>
    </row>
    <row r="1787" spans="1:16" x14ac:dyDescent="0.25">
      <c r="A1787" s="3">
        <f t="shared" si="360"/>
        <v>48613</v>
      </c>
      <c r="B1787" s="21">
        <f t="shared" si="351"/>
        <v>36559</v>
      </c>
      <c r="C1787" s="21">
        <f t="shared" si="352"/>
        <v>36605</v>
      </c>
      <c r="D1787" s="1">
        <f t="shared" si="361"/>
        <v>0</v>
      </c>
      <c r="E1787" s="3">
        <f t="array" ref="E1787">INDEX($A$9:A1786, MAX(IF($D$9:D1786=1, ROW(D$9:$D1786)-ROW($D$9)+1, 0)))</f>
        <v>48568</v>
      </c>
      <c r="F1787" s="23">
        <f t="shared" si="353"/>
        <v>6.8117727583846683</v>
      </c>
      <c r="G1787" s="5">
        <f>INDEX('Default Prob'!$P$5:$P$14,MIN(1+_xlfn.IFNA(MATCH(F1787,'Default Prob'!$F$5:$F$14,1),0),COUNT('Default Prob'!$P$5:$P$14)))</f>
        <v>3.363522017633732E-2</v>
      </c>
      <c r="H1787" s="5">
        <f t="shared" si="362"/>
        <v>0.845897367711819</v>
      </c>
      <c r="I1787" s="24">
        <f t="shared" si="363"/>
        <v>7.7900764665739253E-5</v>
      </c>
      <c r="J1787" s="25">
        <f>INDEX('Default Prob'!$C$3:$C$13, _xlfn.IFNA(MATCH(F1787, 'Default Prob'!$B$3:$B$13, 1), 1))</f>
        <v>2.1700000000000001E-2</v>
      </c>
      <c r="K1787" s="26">
        <f t="shared" si="354"/>
        <v>0.86395508069906335</v>
      </c>
      <c r="L1787" s="27">
        <f t="shared" ca="1" si="355"/>
        <v>0</v>
      </c>
      <c r="M1787" s="27">
        <f t="shared" ca="1" si="356"/>
        <v>0</v>
      </c>
      <c r="N1787" s="28">
        <f t="shared" ca="1" si="357"/>
        <v>0</v>
      </c>
      <c r="O1787" s="29">
        <f t="shared" ca="1" si="358"/>
        <v>0</v>
      </c>
      <c r="P1787" s="30">
        <f t="shared" ca="1" si="359"/>
        <v>0</v>
      </c>
    </row>
    <row r="1788" spans="1:16" x14ac:dyDescent="0.25">
      <c r="A1788" s="3">
        <f t="shared" si="360"/>
        <v>48614</v>
      </c>
      <c r="B1788" s="21">
        <f t="shared" si="351"/>
        <v>36560</v>
      </c>
      <c r="C1788" s="21">
        <f t="shared" si="352"/>
        <v>36605</v>
      </c>
      <c r="D1788" s="1">
        <f t="shared" si="361"/>
        <v>0</v>
      </c>
      <c r="E1788" s="3">
        <f t="array" ref="E1788">INDEX($A$9:A1787, MAX(IF($D$9:D1787=1, ROW(D$9:$D1787)-ROW($D$9)+1, 0)))</f>
        <v>48568</v>
      </c>
      <c r="F1788" s="23">
        <f t="shared" si="353"/>
        <v>6.8145106091718004</v>
      </c>
      <c r="G1788" s="5">
        <f>INDEX('Default Prob'!$P$5:$P$14,MIN(1+_xlfn.IFNA(MATCH(F1788,'Default Prob'!$F$5:$F$14,1),0),COUNT('Default Prob'!$P$5:$P$14)))</f>
        <v>3.363522017633732E-2</v>
      </c>
      <c r="H1788" s="5">
        <f t="shared" si="362"/>
        <v>0.84581947412056535</v>
      </c>
      <c r="I1788" s="24">
        <f t="shared" si="363"/>
        <v>7.7893591253652694E-5</v>
      </c>
      <c r="J1788" s="25">
        <f>INDEX('Default Prob'!$C$3:$C$13, _xlfn.IFNA(MATCH(F1788, 'Default Prob'!$B$3:$B$13, 1), 1))</f>
        <v>2.1700000000000001E-2</v>
      </c>
      <c r="K1788" s="26">
        <f t="shared" si="354"/>
        <v>0.86390430243229988</v>
      </c>
      <c r="L1788" s="27">
        <f t="shared" ca="1" si="355"/>
        <v>0</v>
      </c>
      <c r="M1788" s="27">
        <f t="shared" ca="1" si="356"/>
        <v>0</v>
      </c>
      <c r="N1788" s="28">
        <f t="shared" ca="1" si="357"/>
        <v>0</v>
      </c>
      <c r="O1788" s="29">
        <f t="shared" ca="1" si="358"/>
        <v>0</v>
      </c>
      <c r="P1788" s="30">
        <f t="shared" ca="1" si="359"/>
        <v>0</v>
      </c>
    </row>
    <row r="1789" spans="1:16" x14ac:dyDescent="0.25">
      <c r="A1789" s="3">
        <f t="shared" si="360"/>
        <v>48617</v>
      </c>
      <c r="B1789" s="21">
        <f t="shared" si="351"/>
        <v>36563</v>
      </c>
      <c r="C1789" s="21">
        <f t="shared" si="352"/>
        <v>36605</v>
      </c>
      <c r="D1789" s="1">
        <f t="shared" si="361"/>
        <v>0</v>
      </c>
      <c r="E1789" s="3">
        <f t="array" ref="E1789">INDEX($A$9:A1788, MAX(IF($D$9:D1788=1, ROW(D$9:$D1788)-ROW($D$9)+1, 0)))</f>
        <v>48568</v>
      </c>
      <c r="F1789" s="23">
        <f t="shared" si="353"/>
        <v>6.8227241615331966</v>
      </c>
      <c r="G1789" s="5">
        <f>INDEX('Default Prob'!$P$5:$P$14,MIN(1+_xlfn.IFNA(MATCH(F1789,'Default Prob'!$F$5:$F$14,1),0),COUNT('Default Prob'!$P$5:$P$14)))</f>
        <v>3.363522017633732E-2</v>
      </c>
      <c r="H1789" s="5">
        <f t="shared" si="362"/>
        <v>0.84558583638067086</v>
      </c>
      <c r="I1789" s="24">
        <f t="shared" si="363"/>
        <v>2.3363773989448777E-4</v>
      </c>
      <c r="J1789" s="25">
        <f>INDEX('Default Prob'!$C$3:$C$13, _xlfn.IFNA(MATCH(F1789, 'Default Prob'!$B$3:$B$13, 1), 1))</f>
        <v>2.1700000000000001E-2</v>
      </c>
      <c r="K1789" s="26">
        <f t="shared" si="354"/>
        <v>0.86375198553801946</v>
      </c>
      <c r="L1789" s="27">
        <f t="shared" ca="1" si="355"/>
        <v>0</v>
      </c>
      <c r="M1789" s="27">
        <f t="shared" ca="1" si="356"/>
        <v>0</v>
      </c>
      <c r="N1789" s="28">
        <f t="shared" ca="1" si="357"/>
        <v>0</v>
      </c>
      <c r="O1789" s="29">
        <f t="shared" ca="1" si="358"/>
        <v>0</v>
      </c>
      <c r="P1789" s="30">
        <f t="shared" ca="1" si="359"/>
        <v>0</v>
      </c>
    </row>
    <row r="1790" spans="1:16" x14ac:dyDescent="0.25">
      <c r="A1790" s="3">
        <f t="shared" si="360"/>
        <v>48618</v>
      </c>
      <c r="B1790" s="21">
        <f t="shared" si="351"/>
        <v>36564</v>
      </c>
      <c r="C1790" s="21">
        <f t="shared" si="352"/>
        <v>36605</v>
      </c>
      <c r="D1790" s="1">
        <f t="shared" si="361"/>
        <v>0</v>
      </c>
      <c r="E1790" s="3">
        <f t="array" ref="E1790">INDEX($A$9:A1789, MAX(IF($D$9:D1789=1, ROW(D$9:$D1789)-ROW($D$9)+1, 0)))</f>
        <v>48568</v>
      </c>
      <c r="F1790" s="23">
        <f t="shared" si="353"/>
        <v>6.8254620123203287</v>
      </c>
      <c r="G1790" s="5">
        <f>INDEX('Default Prob'!$P$5:$P$14,MIN(1+_xlfn.IFNA(MATCH(F1790,'Default Prob'!$F$5:$F$14,1),0),COUNT('Default Prob'!$P$5:$P$14)))</f>
        <v>3.363522017633732E-2</v>
      </c>
      <c r="H1790" s="5">
        <f t="shared" si="362"/>
        <v>0.84550797147646017</v>
      </c>
      <c r="I1790" s="24">
        <f t="shared" si="363"/>
        <v>7.7864904210689367E-5</v>
      </c>
      <c r="J1790" s="25">
        <f>INDEX('Default Prob'!$C$3:$C$13, _xlfn.IFNA(MATCH(F1790, 'Default Prob'!$B$3:$B$13, 1), 1))</f>
        <v>2.1700000000000001E-2</v>
      </c>
      <c r="K1790" s="26">
        <f t="shared" si="354"/>
        <v>0.86370121920801124</v>
      </c>
      <c r="L1790" s="27">
        <f t="shared" ca="1" si="355"/>
        <v>0</v>
      </c>
      <c r="M1790" s="27">
        <f t="shared" ca="1" si="356"/>
        <v>0</v>
      </c>
      <c r="N1790" s="28">
        <f t="shared" ca="1" si="357"/>
        <v>0</v>
      </c>
      <c r="O1790" s="29">
        <f t="shared" ca="1" si="358"/>
        <v>0</v>
      </c>
      <c r="P1790" s="30">
        <f t="shared" ca="1" si="359"/>
        <v>0</v>
      </c>
    </row>
    <row r="1791" spans="1:16" x14ac:dyDescent="0.25">
      <c r="A1791" s="3">
        <f t="shared" si="360"/>
        <v>48619</v>
      </c>
      <c r="B1791" s="21">
        <f t="shared" si="351"/>
        <v>36565</v>
      </c>
      <c r="C1791" s="21">
        <f t="shared" si="352"/>
        <v>36605</v>
      </c>
      <c r="D1791" s="1">
        <f t="shared" si="361"/>
        <v>0</v>
      </c>
      <c r="E1791" s="3">
        <f t="array" ref="E1791">INDEX($A$9:A1790, MAX(IF($D$9:D1790=1, ROW(D$9:$D1790)-ROW($D$9)+1, 0)))</f>
        <v>48568</v>
      </c>
      <c r="F1791" s="23">
        <f t="shared" si="353"/>
        <v>6.8281998631074607</v>
      </c>
      <c r="G1791" s="5">
        <f>INDEX('Default Prob'!$P$5:$P$14,MIN(1+_xlfn.IFNA(MATCH(F1791,'Default Prob'!$F$5:$F$14,1),0),COUNT('Default Prob'!$P$5:$P$14)))</f>
        <v>3.363522017633732E-2</v>
      </c>
      <c r="H1791" s="5">
        <f t="shared" si="362"/>
        <v>0.84543011374235932</v>
      </c>
      <c r="I1791" s="24">
        <f t="shared" si="363"/>
        <v>7.7857734100850173E-5</v>
      </c>
      <c r="J1791" s="25">
        <f>INDEX('Default Prob'!$C$3:$C$13, _xlfn.IFNA(MATCH(F1791, 'Default Prob'!$B$3:$B$13, 1), 1))</f>
        <v>2.1700000000000001E-2</v>
      </c>
      <c r="K1791" s="26">
        <f t="shared" si="354"/>
        <v>0.86365045586175349</v>
      </c>
      <c r="L1791" s="27">
        <f t="shared" ca="1" si="355"/>
        <v>0</v>
      </c>
      <c r="M1791" s="27">
        <f t="shared" ca="1" si="356"/>
        <v>0</v>
      </c>
      <c r="N1791" s="28">
        <f t="shared" ca="1" si="357"/>
        <v>0</v>
      </c>
      <c r="O1791" s="29">
        <f t="shared" ca="1" si="358"/>
        <v>0</v>
      </c>
      <c r="P1791" s="30">
        <f t="shared" ca="1" si="359"/>
        <v>0</v>
      </c>
    </row>
    <row r="1792" spans="1:16" x14ac:dyDescent="0.25">
      <c r="A1792" s="3">
        <f t="shared" si="360"/>
        <v>48620</v>
      </c>
      <c r="B1792" s="21">
        <f t="shared" si="351"/>
        <v>36566</v>
      </c>
      <c r="C1792" s="21">
        <f t="shared" si="352"/>
        <v>36605</v>
      </c>
      <c r="D1792" s="1">
        <f t="shared" si="361"/>
        <v>0</v>
      </c>
      <c r="E1792" s="3">
        <f t="array" ref="E1792">INDEX($A$9:A1791, MAX(IF($D$9:D1791=1, ROW(D$9:$D1791)-ROW($D$9)+1, 0)))</f>
        <v>48568</v>
      </c>
      <c r="F1792" s="23">
        <f t="shared" si="353"/>
        <v>6.8309377138945928</v>
      </c>
      <c r="G1792" s="5">
        <f>INDEX('Default Prob'!$P$5:$P$14,MIN(1+_xlfn.IFNA(MATCH(F1792,'Default Prob'!$F$5:$F$14,1),0),COUNT('Default Prob'!$P$5:$P$14)))</f>
        <v>3.363522017633732E-2</v>
      </c>
      <c r="H1792" s="5">
        <f t="shared" si="362"/>
        <v>0.84535226317770806</v>
      </c>
      <c r="I1792" s="24">
        <f t="shared" si="363"/>
        <v>7.7850564651260612E-5</v>
      </c>
      <c r="J1792" s="25">
        <f>INDEX('Default Prob'!$C$3:$C$13, _xlfn.IFNA(MATCH(F1792, 'Default Prob'!$B$3:$B$13, 1), 1))</f>
        <v>2.1700000000000001E-2</v>
      </c>
      <c r="K1792" s="26">
        <f t="shared" si="354"/>
        <v>0.86359969549907034</v>
      </c>
      <c r="L1792" s="27">
        <f t="shared" ca="1" si="355"/>
        <v>0</v>
      </c>
      <c r="M1792" s="27">
        <f t="shared" ca="1" si="356"/>
        <v>0</v>
      </c>
      <c r="N1792" s="28">
        <f t="shared" ca="1" si="357"/>
        <v>0</v>
      </c>
      <c r="O1792" s="29">
        <f t="shared" ca="1" si="358"/>
        <v>0</v>
      </c>
      <c r="P1792" s="30">
        <f t="shared" ca="1" si="359"/>
        <v>0</v>
      </c>
    </row>
    <row r="1793" spans="1:16" x14ac:dyDescent="0.25">
      <c r="A1793" s="3">
        <f t="shared" si="360"/>
        <v>48621</v>
      </c>
      <c r="B1793" s="21">
        <f t="shared" si="351"/>
        <v>36567</v>
      </c>
      <c r="C1793" s="21">
        <f t="shared" si="352"/>
        <v>36605</v>
      </c>
      <c r="D1793" s="1">
        <f t="shared" si="361"/>
        <v>0</v>
      </c>
      <c r="E1793" s="3">
        <f t="array" ref="E1793">INDEX($A$9:A1792, MAX(IF($D$9:D1792=1, ROW(D$9:$D1792)-ROW($D$9)+1, 0)))</f>
        <v>48568</v>
      </c>
      <c r="F1793" s="23">
        <f t="shared" si="353"/>
        <v>6.8336755646817249</v>
      </c>
      <c r="G1793" s="5">
        <f>INDEX('Default Prob'!$P$5:$P$14,MIN(1+_xlfn.IFNA(MATCH(F1793,'Default Prob'!$F$5:$F$14,1),0),COUNT('Default Prob'!$P$5:$P$14)))</f>
        <v>3.363522017633732E-2</v>
      </c>
      <c r="H1793" s="5">
        <f t="shared" si="362"/>
        <v>0.84527441978184614</v>
      </c>
      <c r="I1793" s="24">
        <f t="shared" si="363"/>
        <v>7.7843395861920683E-5</v>
      </c>
      <c r="J1793" s="25">
        <f>INDEX('Default Prob'!$C$3:$C$13, _xlfn.IFNA(MATCH(F1793, 'Default Prob'!$B$3:$B$13, 1), 1))</f>
        <v>2.1700000000000001E-2</v>
      </c>
      <c r="K1793" s="26">
        <f t="shared" si="354"/>
        <v>0.86354893811978695</v>
      </c>
      <c r="L1793" s="27">
        <f t="shared" ca="1" si="355"/>
        <v>0</v>
      </c>
      <c r="M1793" s="27">
        <f t="shared" ca="1" si="356"/>
        <v>0</v>
      </c>
      <c r="N1793" s="28">
        <f t="shared" ca="1" si="357"/>
        <v>0</v>
      </c>
      <c r="O1793" s="29">
        <f t="shared" ca="1" si="358"/>
        <v>0</v>
      </c>
      <c r="P1793" s="30">
        <f t="shared" ca="1" si="359"/>
        <v>0</v>
      </c>
    </row>
    <row r="1794" spans="1:16" x14ac:dyDescent="0.25">
      <c r="A1794" s="3">
        <f t="shared" si="360"/>
        <v>48624</v>
      </c>
      <c r="B1794" s="21">
        <f t="shared" si="351"/>
        <v>36570</v>
      </c>
      <c r="C1794" s="21">
        <f t="shared" si="352"/>
        <v>36605</v>
      </c>
      <c r="D1794" s="1">
        <f t="shared" si="361"/>
        <v>0</v>
      </c>
      <c r="E1794" s="3">
        <f t="array" ref="E1794">INDEX($A$9:A1793, MAX(IF($D$9:D1793=1, ROW(D$9:$D1793)-ROW($D$9)+1, 0)))</f>
        <v>48568</v>
      </c>
      <c r="F1794" s="23">
        <f t="shared" si="353"/>
        <v>6.8418891170431211</v>
      </c>
      <c r="G1794" s="5">
        <f>INDEX('Default Prob'!$P$5:$P$14,MIN(1+_xlfn.IFNA(MATCH(F1794,'Default Prob'!$F$5:$F$14,1),0),COUNT('Default Prob'!$P$5:$P$14)))</f>
        <v>3.363522017633732E-2</v>
      </c>
      <c r="H1794" s="5">
        <f t="shared" si="362"/>
        <v>0.84504093260039548</v>
      </c>
      <c r="I1794" s="24">
        <f t="shared" si="363"/>
        <v>2.3348718145066449E-4</v>
      </c>
      <c r="J1794" s="25">
        <f>INDEX('Default Prob'!$C$3:$C$13, _xlfn.IFNA(MATCH(F1794, 'Default Prob'!$B$3:$B$13, 1), 1))</f>
        <v>2.1700000000000001E-2</v>
      </c>
      <c r="K1794" s="26">
        <f t="shared" si="354"/>
        <v>0.86339668388058111</v>
      </c>
      <c r="L1794" s="27">
        <f t="shared" ca="1" si="355"/>
        <v>0</v>
      </c>
      <c r="M1794" s="27">
        <f t="shared" ca="1" si="356"/>
        <v>0</v>
      </c>
      <c r="N1794" s="28">
        <f t="shared" ca="1" si="357"/>
        <v>0</v>
      </c>
      <c r="O1794" s="29">
        <f t="shared" ca="1" si="358"/>
        <v>0</v>
      </c>
      <c r="P1794" s="30">
        <f t="shared" ca="1" si="359"/>
        <v>0</v>
      </c>
    </row>
    <row r="1795" spans="1:16" x14ac:dyDescent="0.25">
      <c r="A1795" s="3">
        <f t="shared" si="360"/>
        <v>48625</v>
      </c>
      <c r="B1795" s="21">
        <f t="shared" si="351"/>
        <v>36571</v>
      </c>
      <c r="C1795" s="21">
        <f t="shared" si="352"/>
        <v>36605</v>
      </c>
      <c r="D1795" s="1">
        <f t="shared" si="361"/>
        <v>0</v>
      </c>
      <c r="E1795" s="3">
        <f t="array" ref="E1795">INDEX($A$9:A1794, MAX(IF($D$9:D1794=1, ROW(D$9:$D1794)-ROW($D$9)+1, 0)))</f>
        <v>48568</v>
      </c>
      <c r="F1795" s="23">
        <f t="shared" si="353"/>
        <v>6.8446269678302532</v>
      </c>
      <c r="G1795" s="5">
        <f>INDEX('Default Prob'!$P$5:$P$14,MIN(1+_xlfn.IFNA(MATCH(F1795,'Default Prob'!$F$5:$F$14,1),0),COUNT('Default Prob'!$P$5:$P$14)))</f>
        <v>3.363522017633732E-2</v>
      </c>
      <c r="H1795" s="5">
        <f t="shared" si="362"/>
        <v>0.84496311787309031</v>
      </c>
      <c r="I1795" s="24">
        <f t="shared" si="363"/>
        <v>7.7814727305169917E-5</v>
      </c>
      <c r="J1795" s="25">
        <f>INDEX('Default Prob'!$C$3:$C$13, _xlfn.IFNA(MATCH(F1795, 'Default Prob'!$B$3:$B$13, 1), 1))</f>
        <v>2.1700000000000001E-2</v>
      </c>
      <c r="K1795" s="26">
        <f t="shared" si="354"/>
        <v>0.86334593843314278</v>
      </c>
      <c r="L1795" s="27">
        <f t="shared" ca="1" si="355"/>
        <v>0</v>
      </c>
      <c r="M1795" s="27">
        <f t="shared" ca="1" si="356"/>
        <v>0</v>
      </c>
      <c r="N1795" s="28">
        <f t="shared" ca="1" si="357"/>
        <v>0</v>
      </c>
      <c r="O1795" s="29">
        <f t="shared" ca="1" si="358"/>
        <v>0</v>
      </c>
      <c r="P1795" s="30">
        <f t="shared" ca="1" si="359"/>
        <v>0</v>
      </c>
    </row>
    <row r="1796" spans="1:16" x14ac:dyDescent="0.25">
      <c r="A1796" s="3">
        <f t="shared" si="360"/>
        <v>48626</v>
      </c>
      <c r="B1796" s="21">
        <f t="shared" si="351"/>
        <v>36572</v>
      </c>
      <c r="C1796" s="21">
        <f t="shared" si="352"/>
        <v>36605</v>
      </c>
      <c r="D1796" s="1">
        <f t="shared" si="361"/>
        <v>0</v>
      </c>
      <c r="E1796" s="3">
        <f t="array" ref="E1796">INDEX($A$9:A1795, MAX(IF($D$9:D1795=1, ROW(D$9:$D1795)-ROW($D$9)+1, 0)))</f>
        <v>48568</v>
      </c>
      <c r="F1796" s="23">
        <f t="shared" si="353"/>
        <v>6.8473648186173852</v>
      </c>
      <c r="G1796" s="5">
        <f>INDEX('Default Prob'!$P$5:$P$14,MIN(1+_xlfn.IFNA(MATCH(F1796,'Default Prob'!$F$5:$F$14,1),0),COUNT('Default Prob'!$P$5:$P$14)))</f>
        <v>3.363522017633732E-2</v>
      </c>
      <c r="H1796" s="5">
        <f t="shared" si="362"/>
        <v>0.84488531031127456</v>
      </c>
      <c r="I1796" s="24">
        <f t="shared" si="363"/>
        <v>7.7807561815745885E-5</v>
      </c>
      <c r="J1796" s="25">
        <f>INDEX('Default Prob'!$C$3:$C$13, _xlfn.IFNA(MATCH(F1796, 'Default Prob'!$B$3:$B$13, 1), 1))</f>
        <v>2.1700000000000001E-2</v>
      </c>
      <c r="K1796" s="26">
        <f t="shared" si="354"/>
        <v>0.86329519596822735</v>
      </c>
      <c r="L1796" s="27">
        <f t="shared" ca="1" si="355"/>
        <v>0</v>
      </c>
      <c r="M1796" s="27">
        <f t="shared" ca="1" si="356"/>
        <v>0</v>
      </c>
      <c r="N1796" s="28">
        <f t="shared" ca="1" si="357"/>
        <v>0</v>
      </c>
      <c r="O1796" s="29">
        <f t="shared" ca="1" si="358"/>
        <v>0</v>
      </c>
      <c r="P1796" s="30">
        <f t="shared" ca="1" si="359"/>
        <v>0</v>
      </c>
    </row>
    <row r="1797" spans="1:16" x14ac:dyDescent="0.25">
      <c r="A1797" s="3">
        <f t="shared" si="360"/>
        <v>48627</v>
      </c>
      <c r="B1797" s="21">
        <f t="shared" si="351"/>
        <v>36573</v>
      </c>
      <c r="C1797" s="21">
        <f t="shared" si="352"/>
        <v>36605</v>
      </c>
      <c r="D1797" s="1">
        <f t="shared" si="361"/>
        <v>0</v>
      </c>
      <c r="E1797" s="3">
        <f t="array" ref="E1797">INDEX($A$9:A1796, MAX(IF($D$9:D1796=1, ROW(D$9:$D1796)-ROW($D$9)+1, 0)))</f>
        <v>48568</v>
      </c>
      <c r="F1797" s="23">
        <f t="shared" si="353"/>
        <v>6.8501026694045173</v>
      </c>
      <c r="G1797" s="5">
        <f>INDEX('Default Prob'!$P$5:$P$14,MIN(1+_xlfn.IFNA(MATCH(F1797,'Default Prob'!$F$5:$F$14,1),0),COUNT('Default Prob'!$P$5:$P$14)))</f>
        <v>3.363522017633732E-2</v>
      </c>
      <c r="H1797" s="5">
        <f t="shared" si="362"/>
        <v>0.84480750991428821</v>
      </c>
      <c r="I1797" s="24">
        <f t="shared" si="363"/>
        <v>7.780039698634944E-5</v>
      </c>
      <c r="J1797" s="25">
        <f>INDEX('Default Prob'!$C$3:$C$13, _xlfn.IFNA(MATCH(F1797, 'Default Prob'!$B$3:$B$13, 1), 1))</f>
        <v>2.1700000000000001E-2</v>
      </c>
      <c r="K1797" s="26">
        <f t="shared" si="354"/>
        <v>0.86324445648565951</v>
      </c>
      <c r="L1797" s="27">
        <f t="shared" ca="1" si="355"/>
        <v>0</v>
      </c>
      <c r="M1797" s="27">
        <f t="shared" ca="1" si="356"/>
        <v>0</v>
      </c>
      <c r="N1797" s="28">
        <f t="shared" ca="1" si="357"/>
        <v>0</v>
      </c>
      <c r="O1797" s="29">
        <f t="shared" ca="1" si="358"/>
        <v>0</v>
      </c>
      <c r="P1797" s="30">
        <f t="shared" ca="1" si="359"/>
        <v>0</v>
      </c>
    </row>
    <row r="1798" spans="1:16" x14ac:dyDescent="0.25">
      <c r="A1798" s="3">
        <f t="shared" si="360"/>
        <v>48628</v>
      </c>
      <c r="B1798" s="21">
        <f t="shared" si="351"/>
        <v>36574</v>
      </c>
      <c r="C1798" s="21">
        <f t="shared" si="352"/>
        <v>36605</v>
      </c>
      <c r="D1798" s="1">
        <f t="shared" si="361"/>
        <v>0</v>
      </c>
      <c r="E1798" s="3">
        <f t="array" ref="E1798">INDEX($A$9:A1797, MAX(IF($D$9:D1797=1, ROW(D$9:$D1797)-ROW($D$9)+1, 0)))</f>
        <v>48568</v>
      </c>
      <c r="F1798" s="23">
        <f t="shared" si="353"/>
        <v>6.8528405201916494</v>
      </c>
      <c r="G1798" s="5">
        <f>INDEX('Default Prob'!$P$5:$P$14,MIN(1+_xlfn.IFNA(MATCH(F1798,'Default Prob'!$F$5:$F$14,1),0),COUNT('Default Prob'!$P$5:$P$14)))</f>
        <v>3.363522017633732E-2</v>
      </c>
      <c r="H1798" s="5">
        <f t="shared" si="362"/>
        <v>0.84472971668147168</v>
      </c>
      <c r="I1798" s="24">
        <f t="shared" si="363"/>
        <v>7.7793232816536495E-5</v>
      </c>
      <c r="J1798" s="25">
        <f>INDEX('Default Prob'!$C$3:$C$13, _xlfn.IFNA(MATCH(F1798, 'Default Prob'!$B$3:$B$13, 1), 1))</f>
        <v>2.1700000000000001E-2</v>
      </c>
      <c r="K1798" s="26">
        <f t="shared" si="354"/>
        <v>0.86319371998526429</v>
      </c>
      <c r="L1798" s="27">
        <f t="shared" ca="1" si="355"/>
        <v>0</v>
      </c>
      <c r="M1798" s="27">
        <f t="shared" ca="1" si="356"/>
        <v>0</v>
      </c>
      <c r="N1798" s="28">
        <f t="shared" ca="1" si="357"/>
        <v>0</v>
      </c>
      <c r="O1798" s="29">
        <f t="shared" ca="1" si="358"/>
        <v>0</v>
      </c>
      <c r="P1798" s="30">
        <f t="shared" ca="1" si="359"/>
        <v>0</v>
      </c>
    </row>
    <row r="1799" spans="1:16" x14ac:dyDescent="0.25">
      <c r="A1799" s="3">
        <f t="shared" si="360"/>
        <v>48631</v>
      </c>
      <c r="B1799" s="21">
        <f t="shared" si="351"/>
        <v>36577</v>
      </c>
      <c r="C1799" s="21">
        <f t="shared" si="352"/>
        <v>36605</v>
      </c>
      <c r="D1799" s="1">
        <f t="shared" si="361"/>
        <v>0</v>
      </c>
      <c r="E1799" s="3">
        <f t="array" ref="E1799">INDEX($A$9:A1798, MAX(IF($D$9:D1798=1, ROW(D$9:$D1798)-ROW($D$9)+1, 0)))</f>
        <v>48568</v>
      </c>
      <c r="F1799" s="23">
        <f t="shared" si="353"/>
        <v>6.8610540725530456</v>
      </c>
      <c r="G1799" s="5">
        <f>INDEX('Default Prob'!$P$5:$P$14,MIN(1+_xlfn.IFNA(MATCH(F1799,'Default Prob'!$F$5:$F$14,1),0),COUNT('Default Prob'!$P$5:$P$14)))</f>
        <v>3.363522017633732E-2</v>
      </c>
      <c r="H1799" s="5">
        <f t="shared" si="362"/>
        <v>0.84449637996144356</v>
      </c>
      <c r="I1799" s="24">
        <f t="shared" si="363"/>
        <v>2.3333672002812111E-4</v>
      </c>
      <c r="J1799" s="25">
        <f>INDEX('Default Prob'!$C$3:$C$13, _xlfn.IFNA(MATCH(F1799, 'Default Prob'!$B$3:$B$13, 1), 1))</f>
        <v>2.1700000000000001E-2</v>
      </c>
      <c r="K1799" s="26">
        <f t="shared" si="354"/>
        <v>0.86304152837535975</v>
      </c>
      <c r="L1799" s="27">
        <f t="shared" ca="1" si="355"/>
        <v>0</v>
      </c>
      <c r="M1799" s="27">
        <f t="shared" ca="1" si="356"/>
        <v>0</v>
      </c>
      <c r="N1799" s="28">
        <f t="shared" ca="1" si="357"/>
        <v>0</v>
      </c>
      <c r="O1799" s="29">
        <f t="shared" ca="1" si="358"/>
        <v>0</v>
      </c>
      <c r="P1799" s="30">
        <f t="shared" ca="1" si="359"/>
        <v>0</v>
      </c>
    </row>
    <row r="1800" spans="1:16" x14ac:dyDescent="0.25">
      <c r="A1800" s="3">
        <f t="shared" si="360"/>
        <v>48632</v>
      </c>
      <c r="B1800" s="21">
        <f t="shared" si="351"/>
        <v>36578</v>
      </c>
      <c r="C1800" s="21">
        <f t="shared" si="352"/>
        <v>36605</v>
      </c>
      <c r="D1800" s="1">
        <f t="shared" si="361"/>
        <v>0</v>
      </c>
      <c r="E1800" s="3">
        <f t="array" ref="E1800">INDEX($A$9:A1799, MAX(IF($D$9:D1799=1, ROW(D$9:$D1799)-ROW($D$9)+1, 0)))</f>
        <v>48568</v>
      </c>
      <c r="F1800" s="23">
        <f t="shared" si="353"/>
        <v>6.8637919233401776</v>
      </c>
      <c r="G1800" s="5">
        <f>INDEX('Default Prob'!$P$5:$P$14,MIN(1+_xlfn.IFNA(MATCH(F1800,'Default Prob'!$F$5:$F$14,1),0),COUNT('Default Prob'!$P$5:$P$14)))</f>
        <v>3.363522017633732E-2</v>
      </c>
      <c r="H1800" s="5">
        <f t="shared" si="362"/>
        <v>0.84441861537870955</v>
      </c>
      <c r="I1800" s="24">
        <f t="shared" si="363"/>
        <v>7.7764582734007881E-5</v>
      </c>
      <c r="J1800" s="25">
        <f>INDEX('Default Prob'!$C$3:$C$13, _xlfn.IFNA(MATCH(F1800, 'Default Prob'!$B$3:$B$13, 1), 1))</f>
        <v>2.1700000000000001E-2</v>
      </c>
      <c r="K1800" s="26">
        <f t="shared" si="354"/>
        <v>0.8629908038019013</v>
      </c>
      <c r="L1800" s="27">
        <f t="shared" ca="1" si="355"/>
        <v>0</v>
      </c>
      <c r="M1800" s="27">
        <f t="shared" ca="1" si="356"/>
        <v>0</v>
      </c>
      <c r="N1800" s="28">
        <f t="shared" ca="1" si="357"/>
        <v>0</v>
      </c>
      <c r="O1800" s="29">
        <f t="shared" ca="1" si="358"/>
        <v>0</v>
      </c>
      <c r="P1800" s="30">
        <f t="shared" ca="1" si="359"/>
        <v>0</v>
      </c>
    </row>
    <row r="1801" spans="1:16" x14ac:dyDescent="0.25">
      <c r="A1801" s="3">
        <f t="shared" si="360"/>
        <v>48633</v>
      </c>
      <c r="B1801" s="21">
        <f t="shared" ref="B1801:B1864" si="364">DATE(2000, MONTH(A1801), DAY(A1801))</f>
        <v>36579</v>
      </c>
      <c r="C1801" s="21">
        <f t="shared" ref="C1801:C1864" si="365">VLOOKUP(B1801, $R$9:$S$13, 2)</f>
        <v>36605</v>
      </c>
      <c r="D1801" s="1">
        <f t="shared" si="361"/>
        <v>0</v>
      </c>
      <c r="E1801" s="3">
        <f t="array" ref="E1801">INDEX($A$9:A1800, MAX(IF($D$9:D1800=1, ROW(D$9:$D1800)-ROW($D$9)+1, 0)))</f>
        <v>48568</v>
      </c>
      <c r="F1801" s="23">
        <f t="shared" ref="F1801:F1864" si="366">(A1801-$A$2)/365.25</f>
        <v>6.8665297741273097</v>
      </c>
      <c r="G1801" s="5">
        <f>INDEX('Default Prob'!$P$5:$P$14,MIN(1+_xlfn.IFNA(MATCH(F1801,'Default Prob'!$F$5:$F$14,1),0),COUNT('Default Prob'!$P$5:$P$14)))</f>
        <v>3.363522017633732E-2</v>
      </c>
      <c r="H1801" s="5">
        <f t="shared" si="362"/>
        <v>0.84434085795684732</v>
      </c>
      <c r="I1801" s="24">
        <f t="shared" si="363"/>
        <v>7.7757421862223453E-5</v>
      </c>
      <c r="J1801" s="25">
        <f>INDEX('Default Prob'!$C$3:$C$13, _xlfn.IFNA(MATCH(F1801, 'Default Prob'!$B$3:$B$13, 1), 1))</f>
        <v>2.1700000000000001E-2</v>
      </c>
      <c r="K1801" s="26">
        <f t="shared" ref="K1801:K1864" si="367">1/((1+J1801)^F1801)</f>
        <v>0.86294008220973917</v>
      </c>
      <c r="L1801" s="27">
        <f t="shared" ref="L1801:L1864" ca="1" si="368">IF(AND(D1801, A1801 &lt;= $G$2), $D$5*$D$2*(A1801-E1801)/365.25, 0)</f>
        <v>0</v>
      </c>
      <c r="M1801" s="27">
        <f t="shared" ref="M1801:M1864" ca="1" si="369">IF(A1801&lt;=$G$2, $D$5*$D$2*(A1801-E1801)/365.25, 0)</f>
        <v>0</v>
      </c>
      <c r="N1801" s="28">
        <f t="shared" ref="N1801:N1864" ca="1" si="370">(L1801*H1801 + M1801*I1801) * K1801</f>
        <v>0</v>
      </c>
      <c r="O1801" s="29">
        <f t="shared" ref="O1801:O1864" ca="1" si="371">IF(A1801&lt;=$G$2, $D$2*(1-$D$3), 0)</f>
        <v>0</v>
      </c>
      <c r="P1801" s="30">
        <f t="shared" ref="P1801:P1864" ca="1" si="372">O1801*I1801*K1801</f>
        <v>0</v>
      </c>
    </row>
    <row r="1802" spans="1:16" x14ac:dyDescent="0.25">
      <c r="A1802" s="3">
        <f t="shared" ref="A1802:A1865" si="373">WORKDAY(A1801, 1)</f>
        <v>48634</v>
      </c>
      <c r="B1802" s="21">
        <f t="shared" si="364"/>
        <v>36580</v>
      </c>
      <c r="C1802" s="21">
        <f t="shared" si="365"/>
        <v>36605</v>
      </c>
      <c r="D1802" s="1">
        <f t="shared" ref="D1802:D1865" si="374">IF(OR(C1802=B1802, AND(C1802&lt;&gt;C1801, C1801&gt;B1801)), 1, 0)</f>
        <v>0</v>
      </c>
      <c r="E1802" s="3">
        <f t="array" ref="E1802">INDEX($A$9:A1801, MAX(IF($D$9:D1801=1, ROW(D$9:$D1801)-ROW($D$9)+1, 0)))</f>
        <v>48568</v>
      </c>
      <c r="F1802" s="23">
        <f t="shared" si="366"/>
        <v>6.8692676249144418</v>
      </c>
      <c r="G1802" s="5">
        <f>INDEX('Default Prob'!$P$5:$P$14,MIN(1+_xlfn.IFNA(MATCH(F1802,'Default Prob'!$F$5:$F$14,1),0),COUNT('Default Prob'!$P$5:$P$14)))</f>
        <v>3.363522017633732E-2</v>
      </c>
      <c r="H1802" s="5">
        <f t="shared" ref="H1802:H1865" si="375">H1801*EXP(-G1801*(F1802-F1801))</f>
        <v>0.84426310769519752</v>
      </c>
      <c r="I1802" s="24">
        <f t="shared" ref="I1802:I1865" si="376">H1801-H1802</f>
        <v>7.7750261649800478E-5</v>
      </c>
      <c r="J1802" s="25">
        <f>INDEX('Default Prob'!$C$3:$C$13, _xlfn.IFNA(MATCH(F1802, 'Default Prob'!$B$3:$B$13, 1), 1))</f>
        <v>2.1700000000000001E-2</v>
      </c>
      <c r="K1802" s="26">
        <f t="shared" si="367"/>
        <v>0.86288936359869761</v>
      </c>
      <c r="L1802" s="27">
        <f t="shared" ca="1" si="368"/>
        <v>0</v>
      </c>
      <c r="M1802" s="27">
        <f t="shared" ca="1" si="369"/>
        <v>0</v>
      </c>
      <c r="N1802" s="28">
        <f t="shared" ca="1" si="370"/>
        <v>0</v>
      </c>
      <c r="O1802" s="29">
        <f t="shared" ca="1" si="371"/>
        <v>0</v>
      </c>
      <c r="P1802" s="30">
        <f t="shared" ca="1" si="372"/>
        <v>0</v>
      </c>
    </row>
    <row r="1803" spans="1:16" x14ac:dyDescent="0.25">
      <c r="A1803" s="3">
        <f t="shared" si="373"/>
        <v>48635</v>
      </c>
      <c r="B1803" s="21">
        <f t="shared" si="364"/>
        <v>36581</v>
      </c>
      <c r="C1803" s="21">
        <f t="shared" si="365"/>
        <v>36605</v>
      </c>
      <c r="D1803" s="1">
        <f t="shared" si="374"/>
        <v>0</v>
      </c>
      <c r="E1803" s="3">
        <f t="array" ref="E1803">INDEX($A$9:A1802, MAX(IF($D$9:D1802=1, ROW(D$9:$D1802)-ROW($D$9)+1, 0)))</f>
        <v>48568</v>
      </c>
      <c r="F1803" s="23">
        <f t="shared" si="366"/>
        <v>6.8720054757015738</v>
      </c>
      <c r="G1803" s="5">
        <f>INDEX('Default Prob'!$P$5:$P$14,MIN(1+_xlfn.IFNA(MATCH(F1803,'Default Prob'!$F$5:$F$14,1),0),COUNT('Default Prob'!$P$5:$P$14)))</f>
        <v>3.363522017633732E-2</v>
      </c>
      <c r="H1803" s="5">
        <f t="shared" si="375"/>
        <v>0.84418536459310078</v>
      </c>
      <c r="I1803" s="24">
        <f t="shared" si="376"/>
        <v>7.7743102096738959E-5</v>
      </c>
      <c r="J1803" s="25">
        <f>INDEX('Default Prob'!$C$3:$C$13, _xlfn.IFNA(MATCH(F1803, 'Default Prob'!$B$3:$B$13, 1), 1))</f>
        <v>2.1700000000000001E-2</v>
      </c>
      <c r="K1803" s="26">
        <f t="shared" si="367"/>
        <v>0.86283864796860188</v>
      </c>
      <c r="L1803" s="27">
        <f t="shared" ca="1" si="368"/>
        <v>0</v>
      </c>
      <c r="M1803" s="27">
        <f t="shared" ca="1" si="369"/>
        <v>0</v>
      </c>
      <c r="N1803" s="28">
        <f t="shared" ca="1" si="370"/>
        <v>0</v>
      </c>
      <c r="O1803" s="29">
        <f t="shared" ca="1" si="371"/>
        <v>0</v>
      </c>
      <c r="P1803" s="30">
        <f t="shared" ca="1" si="372"/>
        <v>0</v>
      </c>
    </row>
    <row r="1804" spans="1:16" x14ac:dyDescent="0.25">
      <c r="A1804" s="3">
        <f t="shared" si="373"/>
        <v>48638</v>
      </c>
      <c r="B1804" s="21">
        <f t="shared" si="364"/>
        <v>36584</v>
      </c>
      <c r="C1804" s="21">
        <f t="shared" si="365"/>
        <v>36605</v>
      </c>
      <c r="D1804" s="1">
        <f t="shared" si="374"/>
        <v>0</v>
      </c>
      <c r="E1804" s="3">
        <f t="array" ref="E1804">INDEX($A$9:A1803, MAX(IF($D$9:D1803=1, ROW(D$9:$D1803)-ROW($D$9)+1, 0)))</f>
        <v>48568</v>
      </c>
      <c r="F1804" s="23">
        <f t="shared" si="366"/>
        <v>6.8802190280629709</v>
      </c>
      <c r="G1804" s="5">
        <f>INDEX('Default Prob'!$P$5:$P$14,MIN(1+_xlfn.IFNA(MATCH(F1804,'Default Prob'!$F$5:$F$14,1),0),COUNT('Default Prob'!$P$5:$P$14)))</f>
        <v>3.363522017633732E-2</v>
      </c>
      <c r="H1804" s="5">
        <f t="shared" si="375"/>
        <v>0.84395217823753643</v>
      </c>
      <c r="I1804" s="24">
        <f t="shared" si="376"/>
        <v>2.3318635556435208E-4</v>
      </c>
      <c r="J1804" s="25">
        <f>INDEX('Default Prob'!$C$3:$C$13, _xlfn.IFNA(MATCH(F1804, 'Default Prob'!$B$3:$B$13, 1), 1))</f>
        <v>2.1700000000000001E-2</v>
      </c>
      <c r="K1804" s="26">
        <f t="shared" si="367"/>
        <v>0.86268651896223658</v>
      </c>
      <c r="L1804" s="27">
        <f t="shared" ca="1" si="368"/>
        <v>0</v>
      </c>
      <c r="M1804" s="27">
        <f t="shared" ca="1" si="369"/>
        <v>0</v>
      </c>
      <c r="N1804" s="28">
        <f t="shared" ca="1" si="370"/>
        <v>0</v>
      </c>
      <c r="O1804" s="29">
        <f t="shared" ca="1" si="371"/>
        <v>0</v>
      </c>
      <c r="P1804" s="30">
        <f t="shared" ca="1" si="372"/>
        <v>0</v>
      </c>
    </row>
    <row r="1805" spans="1:16" x14ac:dyDescent="0.25">
      <c r="A1805" s="3">
        <f t="shared" si="373"/>
        <v>48639</v>
      </c>
      <c r="B1805" s="21">
        <f t="shared" si="364"/>
        <v>36586</v>
      </c>
      <c r="C1805" s="21">
        <f t="shared" si="365"/>
        <v>36605</v>
      </c>
      <c r="D1805" s="1">
        <f t="shared" si="374"/>
        <v>0</v>
      </c>
      <c r="E1805" s="3">
        <f t="array" ref="E1805">INDEX($A$9:A1804, MAX(IF($D$9:D1804=1, ROW(D$9:$D1804)-ROW($D$9)+1, 0)))</f>
        <v>48568</v>
      </c>
      <c r="F1805" s="23">
        <f t="shared" si="366"/>
        <v>6.882956878850103</v>
      </c>
      <c r="G1805" s="5">
        <f>INDEX('Default Prob'!$P$5:$P$14,MIN(1+_xlfn.IFNA(MATCH(F1805,'Default Prob'!$F$5:$F$14,1),0),COUNT('Default Prob'!$P$5:$P$14)))</f>
        <v>3.363522017633732E-2</v>
      </c>
      <c r="H1805" s="5">
        <f t="shared" si="375"/>
        <v>0.84387446376705977</v>
      </c>
      <c r="I1805" s="24">
        <f t="shared" si="376"/>
        <v>7.7714470476664133E-5</v>
      </c>
      <c r="J1805" s="25">
        <f>INDEX('Default Prob'!$C$3:$C$13, _xlfn.IFNA(MATCH(F1805, 'Default Prob'!$B$3:$B$13, 1), 1))</f>
        <v>2.1700000000000001E-2</v>
      </c>
      <c r="K1805" s="26">
        <f t="shared" si="367"/>
        <v>0.86263581525417155</v>
      </c>
      <c r="L1805" s="27">
        <f t="shared" ca="1" si="368"/>
        <v>0</v>
      </c>
      <c r="M1805" s="27">
        <f t="shared" ca="1" si="369"/>
        <v>0</v>
      </c>
      <c r="N1805" s="28">
        <f t="shared" ca="1" si="370"/>
        <v>0</v>
      </c>
      <c r="O1805" s="29">
        <f t="shared" ca="1" si="371"/>
        <v>0</v>
      </c>
      <c r="P1805" s="30">
        <f t="shared" ca="1" si="372"/>
        <v>0</v>
      </c>
    </row>
    <row r="1806" spans="1:16" x14ac:dyDescent="0.25">
      <c r="A1806" s="3">
        <f t="shared" si="373"/>
        <v>48640</v>
      </c>
      <c r="B1806" s="21">
        <f t="shared" si="364"/>
        <v>36587</v>
      </c>
      <c r="C1806" s="21">
        <f t="shared" si="365"/>
        <v>36605</v>
      </c>
      <c r="D1806" s="1">
        <f t="shared" si="374"/>
        <v>0</v>
      </c>
      <c r="E1806" s="3">
        <f t="array" ref="E1806">INDEX($A$9:A1805, MAX(IF($D$9:D1805=1, ROW(D$9:$D1805)-ROW($D$9)+1, 0)))</f>
        <v>48568</v>
      </c>
      <c r="F1806" s="23">
        <f t="shared" si="366"/>
        <v>6.8856947296372351</v>
      </c>
      <c r="G1806" s="5">
        <f>INDEX('Default Prob'!$P$5:$P$14,MIN(1+_xlfn.IFNA(MATCH(F1806,'Default Prob'!$F$5:$F$14,1),0),COUNT('Default Prob'!$P$5:$P$14)))</f>
        <v>3.363522017633732E-2</v>
      </c>
      <c r="H1806" s="5">
        <f t="shared" si="375"/>
        <v>0.84379675645284047</v>
      </c>
      <c r="I1806" s="24">
        <f t="shared" si="376"/>
        <v>7.7707314219299661E-5</v>
      </c>
      <c r="J1806" s="25">
        <f>INDEX('Default Prob'!$C$3:$C$13, _xlfn.IFNA(MATCH(F1806, 'Default Prob'!$B$3:$B$13, 1), 1))</f>
        <v>2.1700000000000001E-2</v>
      </c>
      <c r="K1806" s="26">
        <f t="shared" si="367"/>
        <v>0.86258511452617637</v>
      </c>
      <c r="L1806" s="27">
        <f t="shared" ca="1" si="368"/>
        <v>0</v>
      </c>
      <c r="M1806" s="27">
        <f t="shared" ca="1" si="369"/>
        <v>0</v>
      </c>
      <c r="N1806" s="28">
        <f t="shared" ca="1" si="370"/>
        <v>0</v>
      </c>
      <c r="O1806" s="29">
        <f t="shared" ca="1" si="371"/>
        <v>0</v>
      </c>
      <c r="P1806" s="30">
        <f t="shared" ca="1" si="372"/>
        <v>0</v>
      </c>
    </row>
    <row r="1807" spans="1:16" x14ac:dyDescent="0.25">
      <c r="A1807" s="3">
        <f t="shared" si="373"/>
        <v>48641</v>
      </c>
      <c r="B1807" s="21">
        <f t="shared" si="364"/>
        <v>36588</v>
      </c>
      <c r="C1807" s="21">
        <f t="shared" si="365"/>
        <v>36605</v>
      </c>
      <c r="D1807" s="1">
        <f t="shared" si="374"/>
        <v>0</v>
      </c>
      <c r="E1807" s="3">
        <f t="array" ref="E1807">INDEX($A$9:A1806, MAX(IF($D$9:D1806=1, ROW(D$9:$D1806)-ROW($D$9)+1, 0)))</f>
        <v>48568</v>
      </c>
      <c r="F1807" s="23">
        <f t="shared" si="366"/>
        <v>6.8884325804243671</v>
      </c>
      <c r="G1807" s="5">
        <f>INDEX('Default Prob'!$P$5:$P$14,MIN(1+_xlfn.IFNA(MATCH(F1807,'Default Prob'!$F$5:$F$14,1),0),COUNT('Default Prob'!$P$5:$P$14)))</f>
        <v>3.363522017633732E-2</v>
      </c>
      <c r="H1807" s="5">
        <f t="shared" si="375"/>
        <v>0.84371905629421939</v>
      </c>
      <c r="I1807" s="24">
        <f t="shared" si="376"/>
        <v>7.77001586210746E-5</v>
      </c>
      <c r="J1807" s="25">
        <f>INDEX('Default Prob'!$C$3:$C$13, _xlfn.IFNA(MATCH(F1807, 'Default Prob'!$B$3:$B$13, 1), 1))</f>
        <v>2.1700000000000001E-2</v>
      </c>
      <c r="K1807" s="26">
        <f t="shared" si="367"/>
        <v>0.86253441677807574</v>
      </c>
      <c r="L1807" s="27">
        <f t="shared" ca="1" si="368"/>
        <v>0</v>
      </c>
      <c r="M1807" s="27">
        <f t="shared" ca="1" si="369"/>
        <v>0</v>
      </c>
      <c r="N1807" s="28">
        <f t="shared" ca="1" si="370"/>
        <v>0</v>
      </c>
      <c r="O1807" s="29">
        <f t="shared" ca="1" si="371"/>
        <v>0</v>
      </c>
      <c r="P1807" s="30">
        <f t="shared" ca="1" si="372"/>
        <v>0</v>
      </c>
    </row>
    <row r="1808" spans="1:16" x14ac:dyDescent="0.25">
      <c r="A1808" s="3">
        <f t="shared" si="373"/>
        <v>48642</v>
      </c>
      <c r="B1808" s="21">
        <f t="shared" si="364"/>
        <v>36589</v>
      </c>
      <c r="C1808" s="21">
        <f t="shared" si="365"/>
        <v>36605</v>
      </c>
      <c r="D1808" s="1">
        <f t="shared" si="374"/>
        <v>0</v>
      </c>
      <c r="E1808" s="3">
        <f t="array" ref="E1808">INDEX($A$9:A1807, MAX(IF($D$9:D1807=1, ROW(D$9:$D1807)-ROW($D$9)+1, 0)))</f>
        <v>48568</v>
      </c>
      <c r="F1808" s="23">
        <f t="shared" si="366"/>
        <v>6.8911704312114992</v>
      </c>
      <c r="G1808" s="5">
        <f>INDEX('Default Prob'!$P$5:$P$14,MIN(1+_xlfn.IFNA(MATCH(F1808,'Default Prob'!$F$5:$F$14,1),0),COUNT('Default Prob'!$P$5:$P$14)))</f>
        <v>3.363522017633732E-2</v>
      </c>
      <c r="H1808" s="5">
        <f t="shared" si="375"/>
        <v>0.84364136329053774</v>
      </c>
      <c r="I1808" s="24">
        <f t="shared" si="376"/>
        <v>7.7693003681655881E-5</v>
      </c>
      <c r="J1808" s="25">
        <f>INDEX('Default Prob'!$C$3:$C$13, _xlfn.IFNA(MATCH(F1808, 'Default Prob'!$B$3:$B$13, 1), 1))</f>
        <v>2.1700000000000001E-2</v>
      </c>
      <c r="K1808" s="26">
        <f t="shared" si="367"/>
        <v>0.86248372200969459</v>
      </c>
      <c r="L1808" s="27">
        <f t="shared" ca="1" si="368"/>
        <v>0</v>
      </c>
      <c r="M1808" s="27">
        <f t="shared" ca="1" si="369"/>
        <v>0</v>
      </c>
      <c r="N1808" s="28">
        <f t="shared" ca="1" si="370"/>
        <v>0</v>
      </c>
      <c r="O1808" s="29">
        <f t="shared" ca="1" si="371"/>
        <v>0</v>
      </c>
      <c r="P1808" s="30">
        <f t="shared" ca="1" si="372"/>
        <v>0</v>
      </c>
    </row>
    <row r="1809" spans="1:16" x14ac:dyDescent="0.25">
      <c r="A1809" s="3">
        <f t="shared" si="373"/>
        <v>48645</v>
      </c>
      <c r="B1809" s="21">
        <f t="shared" si="364"/>
        <v>36592</v>
      </c>
      <c r="C1809" s="21">
        <f t="shared" si="365"/>
        <v>36605</v>
      </c>
      <c r="D1809" s="1">
        <f t="shared" si="374"/>
        <v>0</v>
      </c>
      <c r="E1809" s="3">
        <f t="array" ref="E1809">INDEX($A$9:A1808, MAX(IF($D$9:D1808=1, ROW(D$9:$D1808)-ROW($D$9)+1, 0)))</f>
        <v>48568</v>
      </c>
      <c r="F1809" s="23">
        <f t="shared" si="366"/>
        <v>6.8993839835728954</v>
      </c>
      <c r="G1809" s="5">
        <f>INDEX('Default Prob'!$P$5:$P$14,MIN(1+_xlfn.IFNA(MATCH(F1809,'Default Prob'!$F$5:$F$14,1),0),COUNT('Default Prob'!$P$5:$P$14)))</f>
        <v>3.363522017633732E-2</v>
      </c>
      <c r="H1809" s="5">
        <f t="shared" si="375"/>
        <v>0.84340832720254078</v>
      </c>
      <c r="I1809" s="24">
        <f t="shared" si="376"/>
        <v>2.3303608799696285E-4</v>
      </c>
      <c r="J1809" s="25">
        <f>INDEX('Default Prob'!$C$3:$C$13, _xlfn.IFNA(MATCH(F1809, 'Default Prob'!$B$3:$B$13, 1), 1))</f>
        <v>2.1700000000000001E-2</v>
      </c>
      <c r="K1809" s="26">
        <f t="shared" si="367"/>
        <v>0.86233165558111669</v>
      </c>
      <c r="L1809" s="27">
        <f t="shared" ca="1" si="368"/>
        <v>0</v>
      </c>
      <c r="M1809" s="27">
        <f t="shared" ca="1" si="369"/>
        <v>0</v>
      </c>
      <c r="N1809" s="28">
        <f t="shared" ca="1" si="370"/>
        <v>0</v>
      </c>
      <c r="O1809" s="29">
        <f t="shared" ca="1" si="371"/>
        <v>0</v>
      </c>
      <c r="P1809" s="30">
        <f t="shared" ca="1" si="372"/>
        <v>0</v>
      </c>
    </row>
    <row r="1810" spans="1:16" x14ac:dyDescent="0.25">
      <c r="A1810" s="3">
        <f t="shared" si="373"/>
        <v>48646</v>
      </c>
      <c r="B1810" s="21">
        <f t="shared" si="364"/>
        <v>36593</v>
      </c>
      <c r="C1810" s="21">
        <f t="shared" si="365"/>
        <v>36605</v>
      </c>
      <c r="D1810" s="1">
        <f t="shared" si="374"/>
        <v>0</v>
      </c>
      <c r="E1810" s="3">
        <f t="array" ref="E1810">INDEX($A$9:A1809, MAX(IF($D$9:D1809=1, ROW(D$9:$D1809)-ROW($D$9)+1, 0)))</f>
        <v>48568</v>
      </c>
      <c r="F1810" s="23">
        <f t="shared" si="366"/>
        <v>6.9021218343600275</v>
      </c>
      <c r="G1810" s="5">
        <f>INDEX('Default Prob'!$P$5:$P$14,MIN(1+_xlfn.IFNA(MATCH(F1810,'Default Prob'!$F$5:$F$14,1),0),COUNT('Default Prob'!$P$5:$P$14)))</f>
        <v>3.363522017633732E-2</v>
      </c>
      <c r="H1810" s="5">
        <f t="shared" si="375"/>
        <v>0.84333066281202873</v>
      </c>
      <c r="I1810" s="24">
        <f t="shared" si="376"/>
        <v>7.7664390512044434E-5</v>
      </c>
      <c r="J1810" s="25">
        <f>INDEX('Default Prob'!$C$3:$C$13, _xlfn.IFNA(MATCH(F1810, 'Default Prob'!$B$3:$B$13, 1), 1))</f>
        <v>2.1700000000000001E-2</v>
      </c>
      <c r="K1810" s="26">
        <f t="shared" si="367"/>
        <v>0.86228097272986215</v>
      </c>
      <c r="L1810" s="27">
        <f t="shared" ca="1" si="368"/>
        <v>0</v>
      </c>
      <c r="M1810" s="27">
        <f t="shared" ca="1" si="369"/>
        <v>0</v>
      </c>
      <c r="N1810" s="28">
        <f t="shared" ca="1" si="370"/>
        <v>0</v>
      </c>
      <c r="O1810" s="29">
        <f t="shared" ca="1" si="371"/>
        <v>0</v>
      </c>
      <c r="P1810" s="30">
        <f t="shared" ca="1" si="372"/>
        <v>0</v>
      </c>
    </row>
    <row r="1811" spans="1:16" x14ac:dyDescent="0.25">
      <c r="A1811" s="3">
        <f t="shared" si="373"/>
        <v>48647</v>
      </c>
      <c r="B1811" s="21">
        <f t="shared" si="364"/>
        <v>36594</v>
      </c>
      <c r="C1811" s="21">
        <f t="shared" si="365"/>
        <v>36605</v>
      </c>
      <c r="D1811" s="1">
        <f t="shared" si="374"/>
        <v>0</v>
      </c>
      <c r="E1811" s="3">
        <f t="array" ref="E1811">INDEX($A$9:A1810, MAX(IF($D$9:D1810=1, ROW(D$9:$D1810)-ROW($D$9)+1, 0)))</f>
        <v>48568</v>
      </c>
      <c r="F1811" s="23">
        <f t="shared" si="366"/>
        <v>6.9048596851471595</v>
      </c>
      <c r="G1811" s="5">
        <f>INDEX('Default Prob'!$P$5:$P$14,MIN(1+_xlfn.IFNA(MATCH(F1811,'Default Prob'!$F$5:$F$14,1),0),COUNT('Default Prob'!$P$5:$P$14)))</f>
        <v>3.363522017633732E-2</v>
      </c>
      <c r="H1811" s="5">
        <f t="shared" si="375"/>
        <v>0.84325300557316241</v>
      </c>
      <c r="I1811" s="24">
        <f t="shared" si="376"/>
        <v>7.7657238866324363E-5</v>
      </c>
      <c r="J1811" s="25">
        <f>INDEX('Default Prob'!$C$3:$C$13, _xlfn.IFNA(MATCH(F1811, 'Default Prob'!$B$3:$B$13, 1), 1))</f>
        <v>2.1700000000000001E-2</v>
      </c>
      <c r="K1811" s="26">
        <f t="shared" si="367"/>
        <v>0.86223029285745179</v>
      </c>
      <c r="L1811" s="27">
        <f t="shared" ca="1" si="368"/>
        <v>0</v>
      </c>
      <c r="M1811" s="27">
        <f t="shared" ca="1" si="369"/>
        <v>0</v>
      </c>
      <c r="N1811" s="28">
        <f t="shared" ca="1" si="370"/>
        <v>0</v>
      </c>
      <c r="O1811" s="29">
        <f t="shared" ca="1" si="371"/>
        <v>0</v>
      </c>
      <c r="P1811" s="30">
        <f t="shared" ca="1" si="372"/>
        <v>0</v>
      </c>
    </row>
    <row r="1812" spans="1:16" x14ac:dyDescent="0.25">
      <c r="A1812" s="3">
        <f t="shared" si="373"/>
        <v>48648</v>
      </c>
      <c r="B1812" s="21">
        <f t="shared" si="364"/>
        <v>36595</v>
      </c>
      <c r="C1812" s="21">
        <f t="shared" si="365"/>
        <v>36605</v>
      </c>
      <c r="D1812" s="1">
        <f t="shared" si="374"/>
        <v>0</v>
      </c>
      <c r="E1812" s="3">
        <f t="array" ref="E1812">INDEX($A$9:A1811, MAX(IF($D$9:D1811=1, ROW(D$9:$D1811)-ROW($D$9)+1, 0)))</f>
        <v>48568</v>
      </c>
      <c r="F1812" s="23">
        <f t="shared" si="366"/>
        <v>6.9075975359342916</v>
      </c>
      <c r="G1812" s="5">
        <f>INDEX('Default Prob'!$P$5:$P$14,MIN(1+_xlfn.IFNA(MATCH(F1812,'Default Prob'!$F$5:$F$14,1),0),COUNT('Default Prob'!$P$5:$P$14)))</f>
        <v>3.363522017633732E-2</v>
      </c>
      <c r="H1812" s="5">
        <f t="shared" si="375"/>
        <v>0.84317535548528322</v>
      </c>
      <c r="I1812" s="24">
        <f t="shared" si="376"/>
        <v>7.765008787918859E-5</v>
      </c>
      <c r="J1812" s="25">
        <f>INDEX('Default Prob'!$C$3:$C$13, _xlfn.IFNA(MATCH(F1812, 'Default Prob'!$B$3:$B$13, 1), 1))</f>
        <v>2.1700000000000001E-2</v>
      </c>
      <c r="K1812" s="26">
        <f t="shared" si="367"/>
        <v>0.86217961596370996</v>
      </c>
      <c r="L1812" s="27">
        <f t="shared" ca="1" si="368"/>
        <v>0</v>
      </c>
      <c r="M1812" s="27">
        <f t="shared" ca="1" si="369"/>
        <v>0</v>
      </c>
      <c r="N1812" s="28">
        <f t="shared" ca="1" si="370"/>
        <v>0</v>
      </c>
      <c r="O1812" s="29">
        <f t="shared" ca="1" si="371"/>
        <v>0</v>
      </c>
      <c r="P1812" s="30">
        <f t="shared" ca="1" si="372"/>
        <v>0</v>
      </c>
    </row>
    <row r="1813" spans="1:16" x14ac:dyDescent="0.25">
      <c r="A1813" s="3">
        <f t="shared" si="373"/>
        <v>48649</v>
      </c>
      <c r="B1813" s="21">
        <f t="shared" si="364"/>
        <v>36596</v>
      </c>
      <c r="C1813" s="21">
        <f t="shared" si="365"/>
        <v>36605</v>
      </c>
      <c r="D1813" s="1">
        <f t="shared" si="374"/>
        <v>0</v>
      </c>
      <c r="E1813" s="3">
        <f t="array" ref="E1813">INDEX($A$9:A1812, MAX(IF($D$9:D1812=1, ROW(D$9:$D1812)-ROW($D$9)+1, 0)))</f>
        <v>48568</v>
      </c>
      <c r="F1813" s="23">
        <f t="shared" si="366"/>
        <v>6.9103353867214237</v>
      </c>
      <c r="G1813" s="5">
        <f>INDEX('Default Prob'!$P$5:$P$14,MIN(1+_xlfn.IFNA(MATCH(F1813,'Default Prob'!$F$5:$F$14,1),0),COUNT('Default Prob'!$P$5:$P$14)))</f>
        <v>3.363522017633732E-2</v>
      </c>
      <c r="H1813" s="5">
        <f t="shared" si="375"/>
        <v>0.84309771254773269</v>
      </c>
      <c r="I1813" s="24">
        <f t="shared" si="376"/>
        <v>7.7642937550526092E-5</v>
      </c>
      <c r="J1813" s="25">
        <f>INDEX('Default Prob'!$C$3:$C$13, _xlfn.IFNA(MATCH(F1813, 'Default Prob'!$B$3:$B$13, 1), 1))</f>
        <v>2.1700000000000001E-2</v>
      </c>
      <c r="K1813" s="26">
        <f t="shared" si="367"/>
        <v>0.86212894204846202</v>
      </c>
      <c r="L1813" s="27">
        <f t="shared" ca="1" si="368"/>
        <v>0</v>
      </c>
      <c r="M1813" s="27">
        <f t="shared" ca="1" si="369"/>
        <v>0</v>
      </c>
      <c r="N1813" s="28">
        <f t="shared" ca="1" si="370"/>
        <v>0</v>
      </c>
      <c r="O1813" s="29">
        <f t="shared" ca="1" si="371"/>
        <v>0</v>
      </c>
      <c r="P1813" s="30">
        <f t="shared" ca="1" si="372"/>
        <v>0</v>
      </c>
    </row>
    <row r="1814" spans="1:16" x14ac:dyDescent="0.25">
      <c r="A1814" s="3">
        <f t="shared" si="373"/>
        <v>48652</v>
      </c>
      <c r="B1814" s="21">
        <f t="shared" si="364"/>
        <v>36599</v>
      </c>
      <c r="C1814" s="21">
        <f t="shared" si="365"/>
        <v>36605</v>
      </c>
      <c r="D1814" s="1">
        <f t="shared" si="374"/>
        <v>0</v>
      </c>
      <c r="E1814" s="3">
        <f t="array" ref="E1814">INDEX($A$9:A1813, MAX(IF($D$9:D1813=1, ROW(D$9:$D1813)-ROW($D$9)+1, 0)))</f>
        <v>48568</v>
      </c>
      <c r="F1814" s="23">
        <f t="shared" si="366"/>
        <v>6.9185489390828199</v>
      </c>
      <c r="G1814" s="5">
        <f>INDEX('Default Prob'!$P$5:$P$14,MIN(1+_xlfn.IFNA(MATCH(F1814,'Default Prob'!$F$5:$F$14,1),0),COUNT('Default Prob'!$P$5:$P$14)))</f>
        <v>3.363522017633732E-2</v>
      </c>
      <c r="H1814" s="5">
        <f t="shared" si="375"/>
        <v>0.84286482663046924</v>
      </c>
      <c r="I1814" s="24">
        <f t="shared" si="376"/>
        <v>2.3288591726344787E-4</v>
      </c>
      <c r="J1814" s="25">
        <f>INDEX('Default Prob'!$C$3:$C$13, _xlfn.IFNA(MATCH(F1814, 'Default Prob'!$B$3:$B$13, 1), 1))</f>
        <v>2.1700000000000001E-2</v>
      </c>
      <c r="K1814" s="26">
        <f t="shared" si="367"/>
        <v>0.86197693817193044</v>
      </c>
      <c r="L1814" s="27">
        <f t="shared" ca="1" si="368"/>
        <v>0</v>
      </c>
      <c r="M1814" s="27">
        <f t="shared" ca="1" si="369"/>
        <v>0</v>
      </c>
      <c r="N1814" s="28">
        <f t="shared" ca="1" si="370"/>
        <v>0</v>
      </c>
      <c r="O1814" s="29">
        <f t="shared" ca="1" si="371"/>
        <v>0</v>
      </c>
      <c r="P1814" s="30">
        <f t="shared" ca="1" si="372"/>
        <v>0</v>
      </c>
    </row>
    <row r="1815" spans="1:16" x14ac:dyDescent="0.25">
      <c r="A1815" s="3">
        <f t="shared" si="373"/>
        <v>48653</v>
      </c>
      <c r="B1815" s="21">
        <f t="shared" si="364"/>
        <v>36600</v>
      </c>
      <c r="C1815" s="21">
        <f t="shared" si="365"/>
        <v>36605</v>
      </c>
      <c r="D1815" s="1">
        <f t="shared" si="374"/>
        <v>0</v>
      </c>
      <c r="E1815" s="3">
        <f t="array" ref="E1815">INDEX($A$9:A1814, MAX(IF($D$9:D1814=1, ROW(D$9:$D1814)-ROW($D$9)+1, 0)))</f>
        <v>48568</v>
      </c>
      <c r="F1815" s="23">
        <f t="shared" si="366"/>
        <v>6.9212867898699519</v>
      </c>
      <c r="G1815" s="5">
        <f>INDEX('Default Prob'!$P$5:$P$14,MIN(1+_xlfn.IFNA(MATCH(F1815,'Default Prob'!$F$5:$F$14,1),0),COUNT('Default Prob'!$P$5:$P$14)))</f>
        <v>3.363522017633732E-2</v>
      </c>
      <c r="H1815" s="5">
        <f t="shared" si="375"/>
        <v>0.84278721228764975</v>
      </c>
      <c r="I1815" s="24">
        <f t="shared" si="376"/>
        <v>7.7614342819498638E-5</v>
      </c>
      <c r="J1815" s="25">
        <f>INDEX('Default Prob'!$C$3:$C$13, _xlfn.IFNA(MATCH(F1815, 'Default Prob'!$B$3:$B$13, 1), 1))</f>
        <v>2.1700000000000001E-2</v>
      </c>
      <c r="K1815" s="26">
        <f t="shared" si="367"/>
        <v>0.86192627616890716</v>
      </c>
      <c r="L1815" s="27">
        <f t="shared" ca="1" si="368"/>
        <v>0</v>
      </c>
      <c r="M1815" s="27">
        <f t="shared" ca="1" si="369"/>
        <v>0</v>
      </c>
      <c r="N1815" s="28">
        <f t="shared" ca="1" si="370"/>
        <v>0</v>
      </c>
      <c r="O1815" s="29">
        <f t="shared" ca="1" si="371"/>
        <v>0</v>
      </c>
      <c r="P1815" s="30">
        <f t="shared" ca="1" si="372"/>
        <v>0</v>
      </c>
    </row>
    <row r="1816" spans="1:16" x14ac:dyDescent="0.25">
      <c r="A1816" s="3">
        <f t="shared" si="373"/>
        <v>48654</v>
      </c>
      <c r="B1816" s="21">
        <f t="shared" si="364"/>
        <v>36601</v>
      </c>
      <c r="C1816" s="21">
        <f t="shared" si="365"/>
        <v>36605</v>
      </c>
      <c r="D1816" s="1">
        <f t="shared" si="374"/>
        <v>0</v>
      </c>
      <c r="E1816" s="3">
        <f t="array" ref="E1816">INDEX($A$9:A1815, MAX(IF($D$9:D1815=1, ROW(D$9:$D1815)-ROW($D$9)+1, 0)))</f>
        <v>48568</v>
      </c>
      <c r="F1816" s="23">
        <f t="shared" si="366"/>
        <v>6.924024640657084</v>
      </c>
      <c r="G1816" s="5">
        <f>INDEX('Default Prob'!$P$5:$P$14,MIN(1+_xlfn.IFNA(MATCH(F1816,'Default Prob'!$F$5:$F$14,1),0),COUNT('Default Prob'!$P$5:$P$14)))</f>
        <v>3.363522017633732E-2</v>
      </c>
      <c r="H1816" s="5">
        <f t="shared" si="375"/>
        <v>0.84270960509186743</v>
      </c>
      <c r="I1816" s="24">
        <f t="shared" si="376"/>
        <v>7.7607195782314342E-5</v>
      </c>
      <c r="J1816" s="25">
        <f>INDEX('Default Prob'!$C$3:$C$13, _xlfn.IFNA(MATCH(F1816, 'Default Prob'!$B$3:$B$13, 1), 1))</f>
        <v>2.1700000000000001E-2</v>
      </c>
      <c r="K1816" s="26">
        <f t="shared" si="367"/>
        <v>0.86187561714350236</v>
      </c>
      <c r="L1816" s="27">
        <f t="shared" ca="1" si="368"/>
        <v>0</v>
      </c>
      <c r="M1816" s="27">
        <f t="shared" ca="1" si="369"/>
        <v>0</v>
      </c>
      <c r="N1816" s="28">
        <f t="shared" ca="1" si="370"/>
        <v>0</v>
      </c>
      <c r="O1816" s="29">
        <f t="shared" ca="1" si="371"/>
        <v>0</v>
      </c>
      <c r="P1816" s="30">
        <f t="shared" ca="1" si="372"/>
        <v>0</v>
      </c>
    </row>
    <row r="1817" spans="1:16" x14ac:dyDescent="0.25">
      <c r="A1817" s="3">
        <f t="shared" si="373"/>
        <v>48655</v>
      </c>
      <c r="B1817" s="21">
        <f t="shared" si="364"/>
        <v>36602</v>
      </c>
      <c r="C1817" s="21">
        <f t="shared" si="365"/>
        <v>36605</v>
      </c>
      <c r="D1817" s="1">
        <f t="shared" si="374"/>
        <v>0</v>
      </c>
      <c r="E1817" s="3">
        <f t="array" ref="E1817">INDEX($A$9:A1816, MAX(IF($D$9:D1816=1, ROW(D$9:$D1816)-ROW($D$9)+1, 0)))</f>
        <v>48568</v>
      </c>
      <c r="F1817" s="23">
        <f t="shared" si="366"/>
        <v>6.9267624914442161</v>
      </c>
      <c r="G1817" s="5">
        <f>INDEX('Default Prob'!$P$5:$P$14,MIN(1+_xlfn.IFNA(MATCH(F1817,'Default Prob'!$F$5:$F$14,1),0),COUNT('Default Prob'!$P$5:$P$14)))</f>
        <v>3.363522017633732E-2</v>
      </c>
      <c r="H1817" s="5">
        <f t="shared" si="375"/>
        <v>0.84263200504246405</v>
      </c>
      <c r="I1817" s="24">
        <f t="shared" si="376"/>
        <v>7.7600049403381277E-5</v>
      </c>
      <c r="J1817" s="25">
        <f>INDEX('Default Prob'!$C$3:$C$13, _xlfn.IFNA(MATCH(F1817, 'Default Prob'!$B$3:$B$13, 1), 1))</f>
        <v>2.1700000000000001E-2</v>
      </c>
      <c r="K1817" s="26">
        <f t="shared" si="367"/>
        <v>0.86182496109554119</v>
      </c>
      <c r="L1817" s="27">
        <f t="shared" ca="1" si="368"/>
        <v>0</v>
      </c>
      <c r="M1817" s="27">
        <f t="shared" ca="1" si="369"/>
        <v>0</v>
      </c>
      <c r="N1817" s="28">
        <f t="shared" ca="1" si="370"/>
        <v>0</v>
      </c>
      <c r="O1817" s="29">
        <f t="shared" ca="1" si="371"/>
        <v>0</v>
      </c>
      <c r="P1817" s="30">
        <f t="shared" ca="1" si="372"/>
        <v>0</v>
      </c>
    </row>
    <row r="1818" spans="1:16" x14ac:dyDescent="0.25">
      <c r="A1818" s="3">
        <f t="shared" si="373"/>
        <v>48656</v>
      </c>
      <c r="B1818" s="21">
        <f t="shared" si="364"/>
        <v>36603</v>
      </c>
      <c r="C1818" s="21">
        <f t="shared" si="365"/>
        <v>36605</v>
      </c>
      <c r="D1818" s="1">
        <f t="shared" si="374"/>
        <v>0</v>
      </c>
      <c r="E1818" s="3">
        <f t="array" ref="E1818">INDEX($A$9:A1817, MAX(IF($D$9:D1817=1, ROW(D$9:$D1817)-ROW($D$9)+1, 0)))</f>
        <v>48568</v>
      </c>
      <c r="F1818" s="23">
        <f t="shared" si="366"/>
        <v>6.9295003422313481</v>
      </c>
      <c r="G1818" s="5">
        <f>INDEX('Default Prob'!$P$5:$P$14,MIN(1+_xlfn.IFNA(MATCH(F1818,'Default Prob'!$F$5:$F$14,1),0),COUNT('Default Prob'!$P$5:$P$14)))</f>
        <v>3.363522017633732E-2</v>
      </c>
      <c r="H1818" s="5">
        <f t="shared" si="375"/>
        <v>0.84255441213878168</v>
      </c>
      <c r="I1818" s="24">
        <f t="shared" si="376"/>
        <v>7.7592903682366376E-5</v>
      </c>
      <c r="J1818" s="25">
        <f>INDEX('Default Prob'!$C$3:$C$13, _xlfn.IFNA(MATCH(F1818, 'Default Prob'!$B$3:$B$13, 1), 1))</f>
        <v>2.1700000000000001E-2</v>
      </c>
      <c r="K1818" s="26">
        <f t="shared" si="367"/>
        <v>0.86177430802484867</v>
      </c>
      <c r="L1818" s="27">
        <f t="shared" ca="1" si="368"/>
        <v>0</v>
      </c>
      <c r="M1818" s="27">
        <f t="shared" ca="1" si="369"/>
        <v>0</v>
      </c>
      <c r="N1818" s="28">
        <f t="shared" ca="1" si="370"/>
        <v>0</v>
      </c>
      <c r="O1818" s="29">
        <f t="shared" ca="1" si="371"/>
        <v>0</v>
      </c>
      <c r="P1818" s="30">
        <f t="shared" ca="1" si="372"/>
        <v>0</v>
      </c>
    </row>
    <row r="1819" spans="1:16" x14ac:dyDescent="0.25">
      <c r="A1819" s="3">
        <f t="shared" si="373"/>
        <v>48659</v>
      </c>
      <c r="B1819" s="21">
        <f t="shared" si="364"/>
        <v>36606</v>
      </c>
      <c r="C1819" s="21">
        <f t="shared" si="365"/>
        <v>36697</v>
      </c>
      <c r="D1819" s="1">
        <f t="shared" si="374"/>
        <v>1</v>
      </c>
      <c r="E1819" s="3">
        <f t="array" ref="E1819">INDEX($A$9:A1818, MAX(IF($D$9:D1818=1, ROW(D$9:$D1818)-ROW($D$9)+1, 0)))</f>
        <v>48568</v>
      </c>
      <c r="F1819" s="23">
        <f t="shared" si="366"/>
        <v>6.9377138945927443</v>
      </c>
      <c r="G1819" s="5">
        <f>INDEX('Default Prob'!$P$5:$P$14,MIN(1+_xlfn.IFNA(MATCH(F1819,'Default Prob'!$F$5:$F$14,1),0),COUNT('Default Prob'!$P$5:$P$14)))</f>
        <v>3.363522017633732E-2</v>
      </c>
      <c r="H1819" s="5">
        <f t="shared" si="375"/>
        <v>0.84232167629548027</v>
      </c>
      <c r="I1819" s="24">
        <f t="shared" si="376"/>
        <v>2.3273584330141261E-4</v>
      </c>
      <c r="J1819" s="25">
        <f>INDEX('Default Prob'!$C$3:$C$13, _xlfn.IFNA(MATCH(F1819, 'Default Prob'!$B$3:$B$13, 1), 1))</f>
        <v>2.1700000000000001E-2</v>
      </c>
      <c r="K1819" s="26">
        <f t="shared" si="367"/>
        <v>0.86162236667463266</v>
      </c>
      <c r="L1819" s="27">
        <f t="shared" ca="1" si="368"/>
        <v>0</v>
      </c>
      <c r="M1819" s="27">
        <f t="shared" ca="1" si="369"/>
        <v>0</v>
      </c>
      <c r="N1819" s="28">
        <f t="shared" ca="1" si="370"/>
        <v>0</v>
      </c>
      <c r="O1819" s="29">
        <f t="shared" ca="1" si="371"/>
        <v>0</v>
      </c>
      <c r="P1819" s="30">
        <f t="shared" ca="1" si="372"/>
        <v>0</v>
      </c>
    </row>
    <row r="1820" spans="1:16" x14ac:dyDescent="0.25">
      <c r="A1820" s="3">
        <f t="shared" si="373"/>
        <v>48660</v>
      </c>
      <c r="B1820" s="21">
        <f t="shared" si="364"/>
        <v>36607</v>
      </c>
      <c r="C1820" s="21">
        <f t="shared" si="365"/>
        <v>36697</v>
      </c>
      <c r="D1820" s="1">
        <f t="shared" si="374"/>
        <v>0</v>
      </c>
      <c r="E1820" s="3">
        <f t="array" ref="E1820">INDEX($A$9:A1819, MAX(IF($D$9:D1819=1, ROW(D$9:$D1819)-ROW($D$9)+1, 0)))</f>
        <v>48659</v>
      </c>
      <c r="F1820" s="23">
        <f t="shared" si="366"/>
        <v>6.9404517453798764</v>
      </c>
      <c r="G1820" s="5">
        <f>INDEX('Default Prob'!$P$5:$P$14,MIN(1+_xlfn.IFNA(MATCH(F1820,'Default Prob'!$F$5:$F$14,1),0),COUNT('Default Prob'!$P$5:$P$14)))</f>
        <v>3.363522017633732E-2</v>
      </c>
      <c r="H1820" s="5">
        <f t="shared" si="375"/>
        <v>0.84224411196810212</v>
      </c>
      <c r="I1820" s="24">
        <f t="shared" si="376"/>
        <v>7.7564327378154552E-5</v>
      </c>
      <c r="J1820" s="25">
        <f>INDEX('Default Prob'!$C$3:$C$13, _xlfn.IFNA(MATCH(F1820, 'Default Prob'!$B$3:$B$13, 1), 1))</f>
        <v>2.1700000000000001E-2</v>
      </c>
      <c r="K1820" s="26">
        <f t="shared" si="367"/>
        <v>0.86157172551126449</v>
      </c>
      <c r="L1820" s="27">
        <f t="shared" ca="1" si="368"/>
        <v>0</v>
      </c>
      <c r="M1820" s="27">
        <f t="shared" ca="1" si="369"/>
        <v>0</v>
      </c>
      <c r="N1820" s="28">
        <f t="shared" ca="1" si="370"/>
        <v>0</v>
      </c>
      <c r="O1820" s="29">
        <f t="shared" ca="1" si="371"/>
        <v>0</v>
      </c>
      <c r="P1820" s="30">
        <f t="shared" ca="1" si="372"/>
        <v>0</v>
      </c>
    </row>
    <row r="1821" spans="1:16" x14ac:dyDescent="0.25">
      <c r="A1821" s="3">
        <f t="shared" si="373"/>
        <v>48661</v>
      </c>
      <c r="B1821" s="21">
        <f t="shared" si="364"/>
        <v>36608</v>
      </c>
      <c r="C1821" s="21">
        <f t="shared" si="365"/>
        <v>36697</v>
      </c>
      <c r="D1821" s="1">
        <f t="shared" si="374"/>
        <v>0</v>
      </c>
      <c r="E1821" s="3">
        <f t="array" ref="E1821">INDEX($A$9:A1820, MAX(IF($D$9:D1820=1, ROW(D$9:$D1820)-ROW($D$9)+1, 0)))</f>
        <v>48659</v>
      </c>
      <c r="F1821" s="23">
        <f t="shared" si="366"/>
        <v>6.9431895961670085</v>
      </c>
      <c r="G1821" s="5">
        <f>INDEX('Default Prob'!$P$5:$P$14,MIN(1+_xlfn.IFNA(MATCH(F1821,'Default Prob'!$F$5:$F$14,1),0),COUNT('Default Prob'!$P$5:$P$14)))</f>
        <v>3.363522017633732E-2</v>
      </c>
      <c r="H1821" s="5">
        <f t="shared" si="375"/>
        <v>0.8421665547831555</v>
      </c>
      <c r="I1821" s="24">
        <f t="shared" si="376"/>
        <v>7.7557184946619451E-5</v>
      </c>
      <c r="J1821" s="25">
        <f>INDEX('Default Prob'!$C$3:$C$13, _xlfn.IFNA(MATCH(F1821, 'Default Prob'!$B$3:$B$13, 1), 1))</f>
        <v>2.1700000000000001E-2</v>
      </c>
      <c r="K1821" s="26">
        <f t="shared" si="367"/>
        <v>0.86152108732429034</v>
      </c>
      <c r="L1821" s="27">
        <f t="shared" ca="1" si="368"/>
        <v>0</v>
      </c>
      <c r="M1821" s="27">
        <f t="shared" ca="1" si="369"/>
        <v>0</v>
      </c>
      <c r="N1821" s="28">
        <f t="shared" ca="1" si="370"/>
        <v>0</v>
      </c>
      <c r="O1821" s="29">
        <f t="shared" ca="1" si="371"/>
        <v>0</v>
      </c>
      <c r="P1821" s="30">
        <f t="shared" ca="1" si="372"/>
        <v>0</v>
      </c>
    </row>
    <row r="1822" spans="1:16" x14ac:dyDescent="0.25">
      <c r="A1822" s="3">
        <f t="shared" si="373"/>
        <v>48662</v>
      </c>
      <c r="B1822" s="21">
        <f t="shared" si="364"/>
        <v>36609</v>
      </c>
      <c r="C1822" s="21">
        <f t="shared" si="365"/>
        <v>36697</v>
      </c>
      <c r="D1822" s="1">
        <f t="shared" si="374"/>
        <v>0</v>
      </c>
      <c r="E1822" s="3">
        <f t="array" ref="E1822">INDEX($A$9:A1821, MAX(IF($D$9:D1821=1, ROW(D$9:$D1821)-ROW($D$9)+1, 0)))</f>
        <v>48659</v>
      </c>
      <c r="F1822" s="23">
        <f t="shared" si="366"/>
        <v>6.9459274469541414</v>
      </c>
      <c r="G1822" s="5">
        <f>INDEX('Default Prob'!$P$5:$P$14,MIN(1+_xlfn.IFNA(MATCH(F1822,'Default Prob'!$F$5:$F$14,1),0),COUNT('Default Prob'!$P$5:$P$14)))</f>
        <v>3.363522017633732E-2</v>
      </c>
      <c r="H1822" s="5">
        <f t="shared" si="375"/>
        <v>0.84208900473998272</v>
      </c>
      <c r="I1822" s="24">
        <f t="shared" si="376"/>
        <v>7.755004317278047E-5</v>
      </c>
      <c r="J1822" s="25">
        <f>INDEX('Default Prob'!$C$3:$C$13, _xlfn.IFNA(MATCH(F1822, 'Default Prob'!$B$3:$B$13, 1), 1))</f>
        <v>2.1700000000000001E-2</v>
      </c>
      <c r="K1822" s="26">
        <f t="shared" si="367"/>
        <v>0.8614704521135349</v>
      </c>
      <c r="L1822" s="27">
        <f t="shared" ca="1" si="368"/>
        <v>0</v>
      </c>
      <c r="M1822" s="27">
        <f t="shared" ca="1" si="369"/>
        <v>0</v>
      </c>
      <c r="N1822" s="28">
        <f t="shared" ca="1" si="370"/>
        <v>0</v>
      </c>
      <c r="O1822" s="29">
        <f t="shared" ca="1" si="371"/>
        <v>0</v>
      </c>
      <c r="P1822" s="30">
        <f t="shared" ca="1" si="372"/>
        <v>0</v>
      </c>
    </row>
    <row r="1823" spans="1:16" x14ac:dyDescent="0.25">
      <c r="A1823" s="3">
        <f t="shared" si="373"/>
        <v>48663</v>
      </c>
      <c r="B1823" s="21">
        <f t="shared" si="364"/>
        <v>36610</v>
      </c>
      <c r="C1823" s="21">
        <f t="shared" si="365"/>
        <v>36697</v>
      </c>
      <c r="D1823" s="1">
        <f t="shared" si="374"/>
        <v>0</v>
      </c>
      <c r="E1823" s="3">
        <f t="array" ref="E1823">INDEX($A$9:A1822, MAX(IF($D$9:D1822=1, ROW(D$9:$D1822)-ROW($D$9)+1, 0)))</f>
        <v>48659</v>
      </c>
      <c r="F1823" s="23">
        <f t="shared" si="366"/>
        <v>6.9486652977412735</v>
      </c>
      <c r="G1823" s="5">
        <f>INDEX('Default Prob'!$P$5:$P$14,MIN(1+_xlfn.IFNA(MATCH(F1823,'Default Prob'!$F$5:$F$14,1),0),COUNT('Default Prob'!$P$5:$P$14)))</f>
        <v>3.363522017633732E-2</v>
      </c>
      <c r="H1823" s="5">
        <f t="shared" si="375"/>
        <v>0.84201146183792608</v>
      </c>
      <c r="I1823" s="24">
        <f t="shared" si="376"/>
        <v>7.7542902056637608E-5</v>
      </c>
      <c r="J1823" s="25">
        <f>INDEX('Default Prob'!$C$3:$C$13, _xlfn.IFNA(MATCH(F1823, 'Default Prob'!$B$3:$B$13, 1), 1))</f>
        <v>2.1700000000000001E-2</v>
      </c>
      <c r="K1823" s="26">
        <f t="shared" si="367"/>
        <v>0.86141981987882321</v>
      </c>
      <c r="L1823" s="27">
        <f t="shared" ca="1" si="368"/>
        <v>0</v>
      </c>
      <c r="M1823" s="27">
        <f t="shared" ca="1" si="369"/>
        <v>0</v>
      </c>
      <c r="N1823" s="28">
        <f t="shared" ca="1" si="370"/>
        <v>0</v>
      </c>
      <c r="O1823" s="29">
        <f t="shared" ca="1" si="371"/>
        <v>0</v>
      </c>
      <c r="P1823" s="30">
        <f t="shared" ca="1" si="372"/>
        <v>0</v>
      </c>
    </row>
    <row r="1824" spans="1:16" x14ac:dyDescent="0.25">
      <c r="A1824" s="3">
        <f t="shared" si="373"/>
        <v>48666</v>
      </c>
      <c r="B1824" s="21">
        <f t="shared" si="364"/>
        <v>36613</v>
      </c>
      <c r="C1824" s="21">
        <f t="shared" si="365"/>
        <v>36697</v>
      </c>
      <c r="D1824" s="1">
        <f t="shared" si="374"/>
        <v>0</v>
      </c>
      <c r="E1824" s="3">
        <f t="array" ref="E1824">INDEX($A$9:A1823, MAX(IF($D$9:D1823=1, ROW(D$9:$D1823)-ROW($D$9)+1, 0)))</f>
        <v>48659</v>
      </c>
      <c r="F1824" s="23">
        <f t="shared" si="366"/>
        <v>6.9568788501026697</v>
      </c>
      <c r="G1824" s="5">
        <f>INDEX('Default Prob'!$P$5:$P$14,MIN(1+_xlfn.IFNA(MATCH(F1824,'Default Prob'!$F$5:$F$14,1),0),COUNT('Default Prob'!$P$5:$P$14)))</f>
        <v>3.363522017633732E-2</v>
      </c>
      <c r="H1824" s="5">
        <f t="shared" si="375"/>
        <v>0.8417788759718775</v>
      </c>
      <c r="I1824" s="24">
        <f t="shared" si="376"/>
        <v>2.3258586604857356E-4</v>
      </c>
      <c r="J1824" s="25">
        <f>INDEX('Default Prob'!$C$3:$C$13, _xlfn.IFNA(MATCH(F1824, 'Default Prob'!$B$3:$B$13, 1), 1))</f>
        <v>2.1700000000000001E-2</v>
      </c>
      <c r="K1824" s="26">
        <f t="shared" si="367"/>
        <v>0.86126794102920279</v>
      </c>
      <c r="L1824" s="27">
        <f t="shared" ca="1" si="368"/>
        <v>0</v>
      </c>
      <c r="M1824" s="27">
        <f t="shared" ca="1" si="369"/>
        <v>0</v>
      </c>
      <c r="N1824" s="28">
        <f t="shared" ca="1" si="370"/>
        <v>0</v>
      </c>
      <c r="O1824" s="29">
        <f t="shared" ca="1" si="371"/>
        <v>0</v>
      </c>
      <c r="P1824" s="30">
        <f t="shared" ca="1" si="372"/>
        <v>0</v>
      </c>
    </row>
    <row r="1825" spans="1:16" x14ac:dyDescent="0.25">
      <c r="A1825" s="3">
        <f t="shared" si="373"/>
        <v>48667</v>
      </c>
      <c r="B1825" s="21">
        <f t="shared" si="364"/>
        <v>36614</v>
      </c>
      <c r="C1825" s="21">
        <f t="shared" si="365"/>
        <v>36697</v>
      </c>
      <c r="D1825" s="1">
        <f t="shared" si="374"/>
        <v>0</v>
      </c>
      <c r="E1825" s="3">
        <f t="array" ref="E1825">INDEX($A$9:A1824, MAX(IF($D$9:D1824=1, ROW(D$9:$D1824)-ROW($D$9)+1, 0)))</f>
        <v>48659</v>
      </c>
      <c r="F1825" s="23">
        <f t="shared" si="366"/>
        <v>6.9596167008898018</v>
      </c>
      <c r="G1825" s="5">
        <f>INDEX('Default Prob'!$P$5:$P$14,MIN(1+_xlfn.IFNA(MATCH(F1825,'Default Prob'!$F$5:$F$14,1),0),COUNT('Default Prob'!$P$5:$P$14)))</f>
        <v>3.363522017633732E-2</v>
      </c>
      <c r="H1825" s="5">
        <f t="shared" si="375"/>
        <v>0.84170136162771025</v>
      </c>
      <c r="I1825" s="24">
        <f t="shared" si="376"/>
        <v>7.7514344167251004E-5</v>
      </c>
      <c r="J1825" s="25">
        <f>INDEX('Default Prob'!$C$3:$C$13, _xlfn.IFNA(MATCH(F1825, 'Default Prob'!$B$3:$B$13, 1), 1))</f>
        <v>2.1700000000000001E-2</v>
      </c>
      <c r="K1825" s="26">
        <f t="shared" si="367"/>
        <v>0.86121732069691781</v>
      </c>
      <c r="L1825" s="27">
        <f t="shared" ca="1" si="368"/>
        <v>0</v>
      </c>
      <c r="M1825" s="27">
        <f t="shared" ca="1" si="369"/>
        <v>0</v>
      </c>
      <c r="N1825" s="28">
        <f t="shared" ca="1" si="370"/>
        <v>0</v>
      </c>
      <c r="O1825" s="29">
        <f t="shared" ca="1" si="371"/>
        <v>0</v>
      </c>
      <c r="P1825" s="30">
        <f t="shared" ca="1" si="372"/>
        <v>0</v>
      </c>
    </row>
    <row r="1826" spans="1:16" x14ac:dyDescent="0.25">
      <c r="A1826" s="3">
        <f t="shared" si="373"/>
        <v>48668</v>
      </c>
      <c r="B1826" s="21">
        <f t="shared" si="364"/>
        <v>36615</v>
      </c>
      <c r="C1826" s="21">
        <f t="shared" si="365"/>
        <v>36697</v>
      </c>
      <c r="D1826" s="1">
        <f t="shared" si="374"/>
        <v>0</v>
      </c>
      <c r="E1826" s="3">
        <f t="array" ref="E1826">INDEX($A$9:A1825, MAX(IF($D$9:D1825=1, ROW(D$9:$D1825)-ROW($D$9)+1, 0)))</f>
        <v>48659</v>
      </c>
      <c r="F1826" s="23">
        <f t="shared" si="366"/>
        <v>6.9623545516769338</v>
      </c>
      <c r="G1826" s="5">
        <f>INDEX('Default Prob'!$P$5:$P$14,MIN(1+_xlfn.IFNA(MATCH(F1826,'Default Prob'!$F$5:$F$14,1),0),COUNT('Default Prob'!$P$5:$P$14)))</f>
        <v>3.363522017633732E-2</v>
      </c>
      <c r="H1826" s="5">
        <f t="shared" si="375"/>
        <v>0.84162385442137189</v>
      </c>
      <c r="I1826" s="24">
        <f t="shared" si="376"/>
        <v>7.7507206338367496E-5</v>
      </c>
      <c r="J1826" s="25">
        <f>INDEX('Default Prob'!$C$3:$C$13, _xlfn.IFNA(MATCH(F1826, 'Default Prob'!$B$3:$B$13, 1), 1))</f>
        <v>2.1700000000000001E-2</v>
      </c>
      <c r="K1826" s="26">
        <f t="shared" si="367"/>
        <v>0.86116670333980228</v>
      </c>
      <c r="L1826" s="27">
        <f t="shared" ca="1" si="368"/>
        <v>0</v>
      </c>
      <c r="M1826" s="27">
        <f t="shared" ca="1" si="369"/>
        <v>0</v>
      </c>
      <c r="N1826" s="28">
        <f t="shared" ca="1" si="370"/>
        <v>0</v>
      </c>
      <c r="O1826" s="29">
        <f t="shared" ca="1" si="371"/>
        <v>0</v>
      </c>
      <c r="P1826" s="30">
        <f t="shared" ca="1" si="372"/>
        <v>0</v>
      </c>
    </row>
    <row r="1827" spans="1:16" x14ac:dyDescent="0.25">
      <c r="A1827" s="3">
        <f t="shared" si="373"/>
        <v>48669</v>
      </c>
      <c r="B1827" s="21">
        <f t="shared" si="364"/>
        <v>36616</v>
      </c>
      <c r="C1827" s="21">
        <f t="shared" si="365"/>
        <v>36697</v>
      </c>
      <c r="D1827" s="1">
        <f t="shared" si="374"/>
        <v>0</v>
      </c>
      <c r="E1827" s="3">
        <f t="array" ref="E1827">INDEX($A$9:A1826, MAX(IF($D$9:D1826=1, ROW(D$9:$D1826)-ROW($D$9)+1, 0)))</f>
        <v>48659</v>
      </c>
      <c r="F1827" s="23">
        <f t="shared" si="366"/>
        <v>6.9650924024640659</v>
      </c>
      <c r="G1827" s="5">
        <f>INDEX('Default Prob'!$P$5:$P$14,MIN(1+_xlfn.IFNA(MATCH(F1827,'Default Prob'!$F$5:$F$14,1),0),COUNT('Default Prob'!$P$5:$P$14)))</f>
        <v>3.363522017633732E-2</v>
      </c>
      <c r="H1827" s="5">
        <f t="shared" si="375"/>
        <v>0.84154635435220515</v>
      </c>
      <c r="I1827" s="24">
        <f t="shared" si="376"/>
        <v>7.7500069166736019E-5</v>
      </c>
      <c r="J1827" s="25">
        <f>INDEX('Default Prob'!$C$3:$C$13, _xlfn.IFNA(MATCH(F1827, 'Default Prob'!$B$3:$B$13, 1), 1))</f>
        <v>2.1700000000000001E-2</v>
      </c>
      <c r="K1827" s="26">
        <f t="shared" si="367"/>
        <v>0.8611160889576811</v>
      </c>
      <c r="L1827" s="27">
        <f t="shared" ca="1" si="368"/>
        <v>0</v>
      </c>
      <c r="M1827" s="27">
        <f t="shared" ca="1" si="369"/>
        <v>0</v>
      </c>
      <c r="N1827" s="28">
        <f t="shared" ca="1" si="370"/>
        <v>0</v>
      </c>
      <c r="O1827" s="29">
        <f t="shared" ca="1" si="371"/>
        <v>0</v>
      </c>
      <c r="P1827" s="30">
        <f t="shared" ca="1" si="372"/>
        <v>0</v>
      </c>
    </row>
    <row r="1828" spans="1:16" x14ac:dyDescent="0.25">
      <c r="A1828" s="3">
        <f t="shared" si="373"/>
        <v>48670</v>
      </c>
      <c r="B1828" s="21">
        <f t="shared" si="364"/>
        <v>36617</v>
      </c>
      <c r="C1828" s="21">
        <f t="shared" si="365"/>
        <v>36697</v>
      </c>
      <c r="D1828" s="1">
        <f t="shared" si="374"/>
        <v>0</v>
      </c>
      <c r="E1828" s="3">
        <f t="array" ref="E1828">INDEX($A$9:A1827, MAX(IF($D$9:D1827=1, ROW(D$9:$D1827)-ROW($D$9)+1, 0)))</f>
        <v>48659</v>
      </c>
      <c r="F1828" s="23">
        <f t="shared" si="366"/>
        <v>6.967830253251198</v>
      </c>
      <c r="G1828" s="5">
        <f>INDEX('Default Prob'!$P$5:$P$14,MIN(1+_xlfn.IFNA(MATCH(F1828,'Default Prob'!$F$5:$F$14,1),0),COUNT('Default Prob'!$P$5:$P$14)))</f>
        <v>3.363522017633732E-2</v>
      </c>
      <c r="H1828" s="5">
        <f t="shared" si="375"/>
        <v>0.84146886141955268</v>
      </c>
      <c r="I1828" s="24">
        <f t="shared" si="376"/>
        <v>7.7492932652467594E-5</v>
      </c>
      <c r="J1828" s="25">
        <f>INDEX('Default Prob'!$C$3:$C$13, _xlfn.IFNA(MATCH(F1828, 'Default Prob'!$B$3:$B$13, 1), 1))</f>
        <v>2.1700000000000001E-2</v>
      </c>
      <c r="K1828" s="26">
        <f t="shared" si="367"/>
        <v>0.86106547755037988</v>
      </c>
      <c r="L1828" s="27">
        <f t="shared" ca="1" si="368"/>
        <v>0</v>
      </c>
      <c r="M1828" s="27">
        <f t="shared" ca="1" si="369"/>
        <v>0</v>
      </c>
      <c r="N1828" s="28">
        <f t="shared" ca="1" si="370"/>
        <v>0</v>
      </c>
      <c r="O1828" s="29">
        <f t="shared" ca="1" si="371"/>
        <v>0</v>
      </c>
      <c r="P1828" s="30">
        <f t="shared" ca="1" si="372"/>
        <v>0</v>
      </c>
    </row>
    <row r="1829" spans="1:16" x14ac:dyDescent="0.25">
      <c r="A1829" s="3">
        <f t="shared" si="373"/>
        <v>48673</v>
      </c>
      <c r="B1829" s="21">
        <f t="shared" si="364"/>
        <v>36620</v>
      </c>
      <c r="C1829" s="21">
        <f t="shared" si="365"/>
        <v>36697</v>
      </c>
      <c r="D1829" s="1">
        <f t="shared" si="374"/>
        <v>0</v>
      </c>
      <c r="E1829" s="3">
        <f t="array" ref="E1829">INDEX($A$9:A1828, MAX(IF($D$9:D1828=1, ROW(D$9:$D1828)-ROW($D$9)+1, 0)))</f>
        <v>48659</v>
      </c>
      <c r="F1829" s="23">
        <f t="shared" si="366"/>
        <v>6.9760438056125942</v>
      </c>
      <c r="G1829" s="5">
        <f>INDEX('Default Prob'!$P$5:$P$14,MIN(1+_xlfn.IFNA(MATCH(F1829,'Default Prob'!$F$5:$F$14,1),0),COUNT('Default Prob'!$P$5:$P$14)))</f>
        <v>3.363522017633732E-2</v>
      </c>
      <c r="H1829" s="5">
        <f t="shared" si="375"/>
        <v>0.84123642543411026</v>
      </c>
      <c r="I1829" s="24">
        <f t="shared" si="376"/>
        <v>2.3243598544242516E-4</v>
      </c>
      <c r="J1829" s="25">
        <f>INDEX('Default Prob'!$C$3:$C$13, _xlfn.IFNA(MATCH(F1829, 'Default Prob'!$B$3:$B$13, 1), 1))</f>
        <v>2.1700000000000001E-2</v>
      </c>
      <c r="K1829" s="26">
        <f t="shared" si="367"/>
        <v>0.86091366117564561</v>
      </c>
      <c r="L1829" s="27">
        <f t="shared" ca="1" si="368"/>
        <v>0</v>
      </c>
      <c r="M1829" s="27">
        <f t="shared" ca="1" si="369"/>
        <v>0</v>
      </c>
      <c r="N1829" s="28">
        <f t="shared" ca="1" si="370"/>
        <v>0</v>
      </c>
      <c r="O1829" s="29">
        <f t="shared" ca="1" si="371"/>
        <v>0</v>
      </c>
      <c r="P1829" s="30">
        <f t="shared" ca="1" si="372"/>
        <v>0</v>
      </c>
    </row>
    <row r="1830" spans="1:16" x14ac:dyDescent="0.25">
      <c r="A1830" s="3">
        <f t="shared" si="373"/>
        <v>48674</v>
      </c>
      <c r="B1830" s="21">
        <f t="shared" si="364"/>
        <v>36621</v>
      </c>
      <c r="C1830" s="21">
        <f t="shared" si="365"/>
        <v>36697</v>
      </c>
      <c r="D1830" s="1">
        <f t="shared" si="374"/>
        <v>0</v>
      </c>
      <c r="E1830" s="3">
        <f t="array" ref="E1830">INDEX($A$9:A1829, MAX(IF($D$9:D1829=1, ROW(D$9:$D1829)-ROW($D$9)+1, 0)))</f>
        <v>48659</v>
      </c>
      <c r="F1830" s="23">
        <f t="shared" si="366"/>
        <v>6.9787816563997263</v>
      </c>
      <c r="G1830" s="5">
        <f>INDEX('Default Prob'!$P$5:$P$14,MIN(1+_xlfn.IFNA(MATCH(F1830,'Default Prob'!$F$5:$F$14,1),0),COUNT('Default Prob'!$P$5:$P$14)))</f>
        <v>3.363522017633732E-2</v>
      </c>
      <c r="H1830" s="5">
        <f t="shared" si="375"/>
        <v>0.84115896104094434</v>
      </c>
      <c r="I1830" s="24">
        <f t="shared" si="376"/>
        <v>7.7464393165915801E-5</v>
      </c>
      <c r="J1830" s="25">
        <f>INDEX('Default Prob'!$C$3:$C$13, _xlfn.IFNA(MATCH(F1830, 'Default Prob'!$B$3:$B$13, 1), 1))</f>
        <v>2.1700000000000001E-2</v>
      </c>
      <c r="K1830" s="26">
        <f t="shared" si="367"/>
        <v>0.86086306166587478</v>
      </c>
      <c r="L1830" s="27">
        <f t="shared" ca="1" si="368"/>
        <v>0</v>
      </c>
      <c r="M1830" s="27">
        <f t="shared" ca="1" si="369"/>
        <v>0</v>
      </c>
      <c r="N1830" s="28">
        <f t="shared" ca="1" si="370"/>
        <v>0</v>
      </c>
      <c r="O1830" s="29">
        <f t="shared" ca="1" si="371"/>
        <v>0</v>
      </c>
      <c r="P1830" s="30">
        <f t="shared" ca="1" si="372"/>
        <v>0</v>
      </c>
    </row>
    <row r="1831" spans="1:16" x14ac:dyDescent="0.25">
      <c r="A1831" s="3">
        <f t="shared" si="373"/>
        <v>48675</v>
      </c>
      <c r="B1831" s="21">
        <f t="shared" si="364"/>
        <v>36622</v>
      </c>
      <c r="C1831" s="21">
        <f t="shared" si="365"/>
        <v>36697</v>
      </c>
      <c r="D1831" s="1">
        <f t="shared" si="374"/>
        <v>0</v>
      </c>
      <c r="E1831" s="3">
        <f t="array" ref="E1831">INDEX($A$9:A1830, MAX(IF($D$9:D1830=1, ROW(D$9:$D1830)-ROW($D$9)+1, 0)))</f>
        <v>48659</v>
      </c>
      <c r="F1831" s="23">
        <f t="shared" si="366"/>
        <v>6.9815195071868583</v>
      </c>
      <c r="G1831" s="5">
        <f>INDEX('Default Prob'!$P$5:$P$14,MIN(1+_xlfn.IFNA(MATCH(F1831,'Default Prob'!$F$5:$F$14,1),0),COUNT('Default Prob'!$P$5:$P$14)))</f>
        <v>3.363522017633732E-2</v>
      </c>
      <c r="H1831" s="5">
        <f t="shared" si="375"/>
        <v>0.84108150378100754</v>
      </c>
      <c r="I1831" s="24">
        <f t="shared" si="376"/>
        <v>7.7457259936797307E-5</v>
      </c>
      <c r="J1831" s="25">
        <f>INDEX('Default Prob'!$C$3:$C$13, _xlfn.IFNA(MATCH(F1831, 'Default Prob'!$B$3:$B$13, 1), 1))</f>
        <v>2.1700000000000001E-2</v>
      </c>
      <c r="K1831" s="26">
        <f t="shared" si="367"/>
        <v>0.86081246513004939</v>
      </c>
      <c r="L1831" s="27">
        <f t="shared" ca="1" si="368"/>
        <v>0</v>
      </c>
      <c r="M1831" s="27">
        <f t="shared" ca="1" si="369"/>
        <v>0</v>
      </c>
      <c r="N1831" s="28">
        <f t="shared" ca="1" si="370"/>
        <v>0</v>
      </c>
      <c r="O1831" s="29">
        <f t="shared" ca="1" si="371"/>
        <v>0</v>
      </c>
      <c r="P1831" s="30">
        <f t="shared" ca="1" si="372"/>
        <v>0</v>
      </c>
    </row>
    <row r="1832" spans="1:16" x14ac:dyDescent="0.25">
      <c r="A1832" s="3">
        <f t="shared" si="373"/>
        <v>48676</v>
      </c>
      <c r="B1832" s="21">
        <f t="shared" si="364"/>
        <v>36623</v>
      </c>
      <c r="C1832" s="21">
        <f t="shared" si="365"/>
        <v>36697</v>
      </c>
      <c r="D1832" s="1">
        <f t="shared" si="374"/>
        <v>0</v>
      </c>
      <c r="E1832" s="3">
        <f t="array" ref="E1832">INDEX($A$9:A1831, MAX(IF($D$9:D1831=1, ROW(D$9:$D1831)-ROW($D$9)+1, 0)))</f>
        <v>48659</v>
      </c>
      <c r="F1832" s="23">
        <f t="shared" si="366"/>
        <v>6.9842573579739904</v>
      </c>
      <c r="G1832" s="5">
        <f>INDEX('Default Prob'!$P$5:$P$14,MIN(1+_xlfn.IFNA(MATCH(F1832,'Default Prob'!$F$5:$F$14,1),0),COUNT('Default Prob'!$P$5:$P$14)))</f>
        <v>3.363522017633732E-2</v>
      </c>
      <c r="H1832" s="5">
        <f t="shared" si="375"/>
        <v>0.84100405365364306</v>
      </c>
      <c r="I1832" s="24">
        <f t="shared" si="376"/>
        <v>7.7450127364486754E-5</v>
      </c>
      <c r="J1832" s="25">
        <f>INDEX('Default Prob'!$C$3:$C$13, _xlfn.IFNA(MATCH(F1832, 'Default Prob'!$B$3:$B$13, 1), 1))</f>
        <v>2.1700000000000001E-2</v>
      </c>
      <c r="K1832" s="26">
        <f t="shared" si="367"/>
        <v>0.86076187156799489</v>
      </c>
      <c r="L1832" s="27">
        <f t="shared" ca="1" si="368"/>
        <v>0</v>
      </c>
      <c r="M1832" s="27">
        <f t="shared" ca="1" si="369"/>
        <v>0</v>
      </c>
      <c r="N1832" s="28">
        <f t="shared" ca="1" si="370"/>
        <v>0</v>
      </c>
      <c r="O1832" s="29">
        <f t="shared" ca="1" si="371"/>
        <v>0</v>
      </c>
      <c r="P1832" s="30">
        <f t="shared" ca="1" si="372"/>
        <v>0</v>
      </c>
    </row>
    <row r="1833" spans="1:16" x14ac:dyDescent="0.25">
      <c r="A1833" s="3">
        <f t="shared" si="373"/>
        <v>48677</v>
      </c>
      <c r="B1833" s="21">
        <f t="shared" si="364"/>
        <v>36624</v>
      </c>
      <c r="C1833" s="21">
        <f t="shared" si="365"/>
        <v>36697</v>
      </c>
      <c r="D1833" s="1">
        <f t="shared" si="374"/>
        <v>0</v>
      </c>
      <c r="E1833" s="3">
        <f t="array" ref="E1833">INDEX($A$9:A1832, MAX(IF($D$9:D1832=1, ROW(D$9:$D1832)-ROW($D$9)+1, 0)))</f>
        <v>48659</v>
      </c>
      <c r="F1833" s="23">
        <f t="shared" si="366"/>
        <v>6.9869952087611225</v>
      </c>
      <c r="G1833" s="5">
        <f>INDEX('Default Prob'!$P$5:$P$14,MIN(1+_xlfn.IFNA(MATCH(F1833,'Default Prob'!$F$5:$F$14,1),0),COUNT('Default Prob'!$P$5:$P$14)))</f>
        <v>3.363522017633732E-2</v>
      </c>
      <c r="H1833" s="5">
        <f t="shared" si="375"/>
        <v>0.84092661065819407</v>
      </c>
      <c r="I1833" s="24">
        <f t="shared" si="376"/>
        <v>7.7442995448984142E-5</v>
      </c>
      <c r="J1833" s="25">
        <f>INDEX('Default Prob'!$C$3:$C$13, _xlfn.IFNA(MATCH(F1833, 'Default Prob'!$B$3:$B$13, 1), 1))</f>
        <v>2.1700000000000001E-2</v>
      </c>
      <c r="K1833" s="26">
        <f t="shared" si="367"/>
        <v>0.86071128097953653</v>
      </c>
      <c r="L1833" s="27">
        <f t="shared" ca="1" si="368"/>
        <v>0</v>
      </c>
      <c r="M1833" s="27">
        <f t="shared" ca="1" si="369"/>
        <v>0</v>
      </c>
      <c r="N1833" s="28">
        <f t="shared" ca="1" si="370"/>
        <v>0</v>
      </c>
      <c r="O1833" s="29">
        <f t="shared" ca="1" si="371"/>
        <v>0</v>
      </c>
      <c r="P1833" s="30">
        <f t="shared" ca="1" si="372"/>
        <v>0</v>
      </c>
    </row>
    <row r="1834" spans="1:16" x14ac:dyDescent="0.25">
      <c r="A1834" s="3">
        <f t="shared" si="373"/>
        <v>48680</v>
      </c>
      <c r="B1834" s="21">
        <f t="shared" si="364"/>
        <v>36627</v>
      </c>
      <c r="C1834" s="21">
        <f t="shared" si="365"/>
        <v>36697</v>
      </c>
      <c r="D1834" s="1">
        <f t="shared" si="374"/>
        <v>0</v>
      </c>
      <c r="E1834" s="3">
        <f t="array" ref="E1834">INDEX($A$9:A1833, MAX(IF($D$9:D1833=1, ROW(D$9:$D1833)-ROW($D$9)+1, 0)))</f>
        <v>48659</v>
      </c>
      <c r="F1834" s="23">
        <f t="shared" si="366"/>
        <v>6.9952087611225187</v>
      </c>
      <c r="G1834" s="5">
        <f>INDEX('Default Prob'!$P$5:$P$14,MIN(1+_xlfn.IFNA(MATCH(F1834,'Default Prob'!$F$5:$F$14,1),0),COUNT('Default Prob'!$P$5:$P$14)))</f>
        <v>3.363522017633732E-2</v>
      </c>
      <c r="H1834" s="5">
        <f t="shared" si="375"/>
        <v>0.84069432445677317</v>
      </c>
      <c r="I1834" s="24">
        <f t="shared" si="376"/>
        <v>2.3228620142090595E-4</v>
      </c>
      <c r="J1834" s="25">
        <f>INDEX('Default Prob'!$C$3:$C$13, _xlfn.IFNA(MATCH(F1834, 'Default Prob'!$B$3:$B$13, 1), 1))</f>
        <v>2.1700000000000001E-2</v>
      </c>
      <c r="K1834" s="26">
        <f t="shared" si="367"/>
        <v>0.86055952705398964</v>
      </c>
      <c r="L1834" s="27">
        <f t="shared" ca="1" si="368"/>
        <v>0</v>
      </c>
      <c r="M1834" s="27">
        <f t="shared" ca="1" si="369"/>
        <v>0</v>
      </c>
      <c r="N1834" s="28">
        <f t="shared" ca="1" si="370"/>
        <v>0</v>
      </c>
      <c r="O1834" s="29">
        <f t="shared" ca="1" si="371"/>
        <v>0</v>
      </c>
      <c r="P1834" s="30">
        <f t="shared" ca="1" si="372"/>
        <v>0</v>
      </c>
    </row>
    <row r="1835" spans="1:16" x14ac:dyDescent="0.25">
      <c r="A1835" s="3">
        <f t="shared" si="373"/>
        <v>48681</v>
      </c>
      <c r="B1835" s="21">
        <f t="shared" si="364"/>
        <v>36628</v>
      </c>
      <c r="C1835" s="21">
        <f t="shared" si="365"/>
        <v>36697</v>
      </c>
      <c r="D1835" s="1">
        <f t="shared" si="374"/>
        <v>0</v>
      </c>
      <c r="E1835" s="3">
        <f t="array" ref="E1835">INDEX($A$9:A1834, MAX(IF($D$9:D1834=1, ROW(D$9:$D1834)-ROW($D$9)+1, 0)))</f>
        <v>48659</v>
      </c>
      <c r="F1835" s="23">
        <f t="shared" si="366"/>
        <v>6.9979466119096507</v>
      </c>
      <c r="G1835" s="5">
        <f>INDEX('Default Prob'!$P$5:$P$14,MIN(1+_xlfn.IFNA(MATCH(F1835,'Default Prob'!$F$5:$F$14,1),0),COUNT('Default Prob'!$P$5:$P$14)))</f>
        <v>3.363522017633732E-2</v>
      </c>
      <c r="H1835" s="5">
        <f t="shared" si="375"/>
        <v>0.84061690998241956</v>
      </c>
      <c r="I1835" s="24">
        <f t="shared" si="376"/>
        <v>7.7414474353609819E-5</v>
      </c>
      <c r="J1835" s="25">
        <f>INDEX('Default Prob'!$C$3:$C$13, _xlfn.IFNA(MATCH(F1835, 'Default Prob'!$B$3:$B$13, 1), 1))</f>
        <v>2.1700000000000001E-2</v>
      </c>
      <c r="K1835" s="26">
        <f t="shared" si="367"/>
        <v>0.8605089483581676</v>
      </c>
      <c r="L1835" s="27">
        <f t="shared" ca="1" si="368"/>
        <v>0</v>
      </c>
      <c r="M1835" s="27">
        <f t="shared" ca="1" si="369"/>
        <v>0</v>
      </c>
      <c r="N1835" s="28">
        <f t="shared" ca="1" si="370"/>
        <v>0</v>
      </c>
      <c r="O1835" s="29">
        <f t="shared" ca="1" si="371"/>
        <v>0</v>
      </c>
      <c r="P1835" s="30">
        <f t="shared" ca="1" si="372"/>
        <v>0</v>
      </c>
    </row>
    <row r="1836" spans="1:16" x14ac:dyDescent="0.25">
      <c r="A1836" s="3">
        <f t="shared" si="373"/>
        <v>48682</v>
      </c>
      <c r="B1836" s="21">
        <f t="shared" si="364"/>
        <v>36629</v>
      </c>
      <c r="C1836" s="21">
        <f t="shared" si="365"/>
        <v>36697</v>
      </c>
      <c r="D1836" s="1">
        <f t="shared" si="374"/>
        <v>0</v>
      </c>
      <c r="E1836" s="3">
        <f t="array" ref="E1836">INDEX($A$9:A1835, MAX(IF($D$9:D1835=1, ROW(D$9:$D1835)-ROW($D$9)+1, 0)))</f>
        <v>48659</v>
      </c>
      <c r="F1836" s="23">
        <f t="shared" si="366"/>
        <v>7.0006844626967828</v>
      </c>
      <c r="G1836" s="5">
        <f>INDEX('Default Prob'!$P$5:$P$14,MIN(1+_xlfn.IFNA(MATCH(F1836,'Default Prob'!$F$5:$F$14,1),0),COUNT('Default Prob'!$P$5:$P$14)))</f>
        <v>4.1094539438249027E-2</v>
      </c>
      <c r="H1836" s="5">
        <f t="shared" si="375"/>
        <v>0.84053950263669841</v>
      </c>
      <c r="I1836" s="24">
        <f t="shared" si="376"/>
        <v>7.7407345721147713E-5</v>
      </c>
      <c r="J1836" s="25">
        <f>INDEX('Default Prob'!$C$3:$C$13, _xlfn.IFNA(MATCH(F1836, 'Default Prob'!$B$3:$B$13, 1), 1))</f>
        <v>2.29E-2</v>
      </c>
      <c r="K1836" s="26">
        <f t="shared" si="367"/>
        <v>0.85341646859638176</v>
      </c>
      <c r="L1836" s="27">
        <f t="shared" ca="1" si="368"/>
        <v>0</v>
      </c>
      <c r="M1836" s="27">
        <f t="shared" ca="1" si="369"/>
        <v>0</v>
      </c>
      <c r="N1836" s="28">
        <f t="shared" ca="1" si="370"/>
        <v>0</v>
      </c>
      <c r="O1836" s="29">
        <f t="shared" ca="1" si="371"/>
        <v>0</v>
      </c>
      <c r="P1836" s="30">
        <f t="shared" ca="1" si="372"/>
        <v>0</v>
      </c>
    </row>
    <row r="1837" spans="1:16" x14ac:dyDescent="0.25">
      <c r="A1837" s="3">
        <f t="shared" si="373"/>
        <v>48683</v>
      </c>
      <c r="B1837" s="21">
        <f t="shared" si="364"/>
        <v>36630</v>
      </c>
      <c r="C1837" s="21">
        <f t="shared" si="365"/>
        <v>36697</v>
      </c>
      <c r="D1837" s="1">
        <f t="shared" si="374"/>
        <v>0</v>
      </c>
      <c r="E1837" s="3">
        <f t="array" ref="E1837">INDEX($A$9:A1836, MAX(IF($D$9:D1836=1, ROW(D$9:$D1836)-ROW($D$9)+1, 0)))</f>
        <v>48659</v>
      </c>
      <c r="F1837" s="23">
        <f t="shared" si="366"/>
        <v>7.0034223134839149</v>
      </c>
      <c r="G1837" s="5">
        <f>INDEX('Default Prob'!$P$5:$P$14,MIN(1+_xlfn.IFNA(MATCH(F1837,'Default Prob'!$F$5:$F$14,1),0),COUNT('Default Prob'!$P$5:$P$14)))</f>
        <v>4.1094539438249027E-2</v>
      </c>
      <c r="H1837" s="5">
        <f t="shared" si="375"/>
        <v>0.84044493825431865</v>
      </c>
      <c r="I1837" s="24">
        <f t="shared" si="376"/>
        <v>9.4564382379758172E-5</v>
      </c>
      <c r="J1837" s="25">
        <f>INDEX('Default Prob'!$C$3:$C$13, _xlfn.IFNA(MATCH(F1837, 'Default Prob'!$B$3:$B$13, 1), 1))</f>
        <v>2.29E-2</v>
      </c>
      <c r="K1837" s="26">
        <f t="shared" si="367"/>
        <v>0.85336356722259832</v>
      </c>
      <c r="L1837" s="27">
        <f t="shared" ca="1" si="368"/>
        <v>0</v>
      </c>
      <c r="M1837" s="27">
        <f t="shared" ca="1" si="369"/>
        <v>0</v>
      </c>
      <c r="N1837" s="28">
        <f t="shared" ca="1" si="370"/>
        <v>0</v>
      </c>
      <c r="O1837" s="29">
        <f t="shared" ca="1" si="371"/>
        <v>0</v>
      </c>
      <c r="P1837" s="30">
        <f t="shared" ca="1" si="372"/>
        <v>0</v>
      </c>
    </row>
    <row r="1838" spans="1:16" x14ac:dyDescent="0.25">
      <c r="A1838" s="3">
        <f t="shared" si="373"/>
        <v>48684</v>
      </c>
      <c r="B1838" s="21">
        <f t="shared" si="364"/>
        <v>36631</v>
      </c>
      <c r="C1838" s="21">
        <f t="shared" si="365"/>
        <v>36697</v>
      </c>
      <c r="D1838" s="1">
        <f t="shared" si="374"/>
        <v>0</v>
      </c>
      <c r="E1838" s="3">
        <f t="array" ref="E1838">INDEX($A$9:A1837, MAX(IF($D$9:D1837=1, ROW(D$9:$D1837)-ROW($D$9)+1, 0)))</f>
        <v>48659</v>
      </c>
      <c r="F1838" s="23">
        <f t="shared" si="366"/>
        <v>7.0061601642710469</v>
      </c>
      <c r="G1838" s="5">
        <f>INDEX('Default Prob'!$P$5:$P$14,MIN(1+_xlfn.IFNA(MATCH(F1838,'Default Prob'!$F$5:$F$14,1),0),COUNT('Default Prob'!$P$5:$P$14)))</f>
        <v>4.1094539438249027E-2</v>
      </c>
      <c r="H1838" s="5">
        <f t="shared" si="375"/>
        <v>0.84035038451084687</v>
      </c>
      <c r="I1838" s="24">
        <f t="shared" si="376"/>
        <v>9.455374347178136E-5</v>
      </c>
      <c r="J1838" s="25">
        <f>INDEX('Default Prob'!$C$3:$C$13, _xlfn.IFNA(MATCH(F1838, 'Default Prob'!$B$3:$B$13, 1), 1))</f>
        <v>2.29E-2</v>
      </c>
      <c r="K1838" s="26">
        <f t="shared" si="367"/>
        <v>0.85331066912805265</v>
      </c>
      <c r="L1838" s="27">
        <f t="shared" ca="1" si="368"/>
        <v>0</v>
      </c>
      <c r="M1838" s="27">
        <f t="shared" ca="1" si="369"/>
        <v>0</v>
      </c>
      <c r="N1838" s="28">
        <f t="shared" ca="1" si="370"/>
        <v>0</v>
      </c>
      <c r="O1838" s="29">
        <f t="shared" ca="1" si="371"/>
        <v>0</v>
      </c>
      <c r="P1838" s="30">
        <f t="shared" ca="1" si="372"/>
        <v>0</v>
      </c>
    </row>
    <row r="1839" spans="1:16" x14ac:dyDescent="0.25">
      <c r="A1839" s="3">
        <f t="shared" si="373"/>
        <v>48687</v>
      </c>
      <c r="B1839" s="21">
        <f t="shared" si="364"/>
        <v>36634</v>
      </c>
      <c r="C1839" s="21">
        <f t="shared" si="365"/>
        <v>36697</v>
      </c>
      <c r="D1839" s="1">
        <f t="shared" si="374"/>
        <v>0</v>
      </c>
      <c r="E1839" s="3">
        <f t="array" ref="E1839">INDEX($A$9:A1838, MAX(IF($D$9:D1838=1, ROW(D$9:$D1838)-ROW($D$9)+1, 0)))</f>
        <v>48659</v>
      </c>
      <c r="F1839" s="23">
        <f t="shared" si="366"/>
        <v>7.0143737166324431</v>
      </c>
      <c r="G1839" s="5">
        <f>INDEX('Default Prob'!$P$5:$P$14,MIN(1+_xlfn.IFNA(MATCH(F1839,'Default Prob'!$F$5:$F$14,1),0),COUNT('Default Prob'!$P$5:$P$14)))</f>
        <v>4.1094539438249027E-2</v>
      </c>
      <c r="H1839" s="5">
        <f t="shared" si="375"/>
        <v>0.84006678710191085</v>
      </c>
      <c r="I1839" s="24">
        <f t="shared" si="376"/>
        <v>2.8359740893602048E-4</v>
      </c>
      <c r="J1839" s="25">
        <f>INDEX('Default Prob'!$C$3:$C$13, _xlfn.IFNA(MATCH(F1839, 'Default Prob'!$B$3:$B$13, 1), 1))</f>
        <v>2.29E-2</v>
      </c>
      <c r="K1839" s="26">
        <f t="shared" si="367"/>
        <v>0.85315199451780832</v>
      </c>
      <c r="L1839" s="27">
        <f t="shared" ca="1" si="368"/>
        <v>0</v>
      </c>
      <c r="M1839" s="27">
        <f t="shared" ca="1" si="369"/>
        <v>0</v>
      </c>
      <c r="N1839" s="28">
        <f t="shared" ca="1" si="370"/>
        <v>0</v>
      </c>
      <c r="O1839" s="29">
        <f t="shared" ca="1" si="371"/>
        <v>0</v>
      </c>
      <c r="P1839" s="30">
        <f t="shared" ca="1" si="372"/>
        <v>0</v>
      </c>
    </row>
    <row r="1840" spans="1:16" x14ac:dyDescent="0.25">
      <c r="A1840" s="3">
        <f t="shared" si="373"/>
        <v>48688</v>
      </c>
      <c r="B1840" s="21">
        <f t="shared" si="364"/>
        <v>36635</v>
      </c>
      <c r="C1840" s="21">
        <f t="shared" si="365"/>
        <v>36697</v>
      </c>
      <c r="D1840" s="1">
        <f t="shared" si="374"/>
        <v>0</v>
      </c>
      <c r="E1840" s="3">
        <f t="array" ref="E1840">INDEX($A$9:A1839, MAX(IF($D$9:D1839=1, ROW(D$9:$D1839)-ROW($D$9)+1, 0)))</f>
        <v>48659</v>
      </c>
      <c r="F1840" s="23">
        <f t="shared" si="366"/>
        <v>7.0171115674195752</v>
      </c>
      <c r="G1840" s="5">
        <f>INDEX('Default Prob'!$P$5:$P$14,MIN(1+_xlfn.IFNA(MATCH(F1840,'Default Prob'!$F$5:$F$14,1),0),COUNT('Default Prob'!$P$5:$P$14)))</f>
        <v>4.1094539438249027E-2</v>
      </c>
      <c r="H1840" s="5">
        <f t="shared" si="375"/>
        <v>0.8399722759021031</v>
      </c>
      <c r="I1840" s="24">
        <f t="shared" si="376"/>
        <v>9.451119980774525E-5</v>
      </c>
      <c r="J1840" s="25">
        <f>INDEX('Default Prob'!$C$3:$C$13, _xlfn.IFNA(MATCH(F1840, 'Default Prob'!$B$3:$B$13, 1), 1))</f>
        <v>2.29E-2</v>
      </c>
      <c r="K1840" s="26">
        <f t="shared" si="367"/>
        <v>0.85309910953818036</v>
      </c>
      <c r="L1840" s="27">
        <f t="shared" ca="1" si="368"/>
        <v>0</v>
      </c>
      <c r="M1840" s="27">
        <f t="shared" ca="1" si="369"/>
        <v>0</v>
      </c>
      <c r="N1840" s="28">
        <f t="shared" ca="1" si="370"/>
        <v>0</v>
      </c>
      <c r="O1840" s="29">
        <f t="shared" ca="1" si="371"/>
        <v>0</v>
      </c>
      <c r="P1840" s="30">
        <f t="shared" ca="1" si="372"/>
        <v>0</v>
      </c>
    </row>
    <row r="1841" spans="1:16" x14ac:dyDescent="0.25">
      <c r="A1841" s="3">
        <f t="shared" si="373"/>
        <v>48689</v>
      </c>
      <c r="B1841" s="21">
        <f t="shared" si="364"/>
        <v>36636</v>
      </c>
      <c r="C1841" s="21">
        <f t="shared" si="365"/>
        <v>36697</v>
      </c>
      <c r="D1841" s="1">
        <f t="shared" si="374"/>
        <v>0</v>
      </c>
      <c r="E1841" s="3">
        <f t="array" ref="E1841">INDEX($A$9:A1840, MAX(IF($D$9:D1840=1, ROW(D$9:$D1840)-ROW($D$9)+1, 0)))</f>
        <v>48659</v>
      </c>
      <c r="F1841" s="23">
        <f t="shared" si="366"/>
        <v>7.0198494182067082</v>
      </c>
      <c r="G1841" s="5">
        <f>INDEX('Default Prob'!$P$5:$P$14,MIN(1+_xlfn.IFNA(MATCH(F1841,'Default Prob'!$F$5:$F$14,1),0),COUNT('Default Prob'!$P$5:$P$14)))</f>
        <v>4.1094539438249027E-2</v>
      </c>
      <c r="H1841" s="5">
        <f t="shared" si="375"/>
        <v>0.8398777753352199</v>
      </c>
      <c r="I1841" s="24">
        <f t="shared" si="376"/>
        <v>9.4500566883204407E-5</v>
      </c>
      <c r="J1841" s="25">
        <f>INDEX('Default Prob'!$C$3:$C$13, _xlfn.IFNA(MATCH(F1841, 'Default Prob'!$B$3:$B$13, 1), 1))</f>
        <v>2.29E-2</v>
      </c>
      <c r="K1841" s="26">
        <f t="shared" si="367"/>
        <v>0.85304622783677364</v>
      </c>
      <c r="L1841" s="27">
        <f t="shared" ca="1" si="368"/>
        <v>0</v>
      </c>
      <c r="M1841" s="27">
        <f t="shared" ca="1" si="369"/>
        <v>0</v>
      </c>
      <c r="N1841" s="28">
        <f t="shared" ca="1" si="370"/>
        <v>0</v>
      </c>
      <c r="O1841" s="29">
        <f t="shared" ca="1" si="371"/>
        <v>0</v>
      </c>
      <c r="P1841" s="30">
        <f t="shared" ca="1" si="372"/>
        <v>0</v>
      </c>
    </row>
    <row r="1842" spans="1:16" x14ac:dyDescent="0.25">
      <c r="A1842" s="3">
        <f t="shared" si="373"/>
        <v>48690</v>
      </c>
      <c r="B1842" s="21">
        <f t="shared" si="364"/>
        <v>36637</v>
      </c>
      <c r="C1842" s="21">
        <f t="shared" si="365"/>
        <v>36697</v>
      </c>
      <c r="D1842" s="1">
        <f t="shared" si="374"/>
        <v>0</v>
      </c>
      <c r="E1842" s="3">
        <f t="array" ref="E1842">INDEX($A$9:A1841, MAX(IF($D$9:D1841=1, ROW(D$9:$D1841)-ROW($D$9)+1, 0)))</f>
        <v>48659</v>
      </c>
      <c r="F1842" s="23">
        <f t="shared" si="366"/>
        <v>7.0225872689938402</v>
      </c>
      <c r="G1842" s="5">
        <f>INDEX('Default Prob'!$P$5:$P$14,MIN(1+_xlfn.IFNA(MATCH(F1842,'Default Prob'!$F$5:$F$14,1),0),COUNT('Default Prob'!$P$5:$P$14)))</f>
        <v>4.1094539438249027E-2</v>
      </c>
      <c r="H1842" s="5">
        <f t="shared" si="375"/>
        <v>0.8397832854000653</v>
      </c>
      <c r="I1842" s="24">
        <f t="shared" si="376"/>
        <v>9.4489935154595805E-5</v>
      </c>
      <c r="J1842" s="25">
        <f>INDEX('Default Prob'!$C$3:$C$13, _xlfn.IFNA(MATCH(F1842, 'Default Prob'!$B$3:$B$13, 1), 1))</f>
        <v>2.29E-2</v>
      </c>
      <c r="K1842" s="26">
        <f t="shared" si="367"/>
        <v>0.852993349413385</v>
      </c>
      <c r="L1842" s="27">
        <f t="shared" ca="1" si="368"/>
        <v>0</v>
      </c>
      <c r="M1842" s="27">
        <f t="shared" ca="1" si="369"/>
        <v>0</v>
      </c>
      <c r="N1842" s="28">
        <f t="shared" ca="1" si="370"/>
        <v>0</v>
      </c>
      <c r="O1842" s="29">
        <f t="shared" ca="1" si="371"/>
        <v>0</v>
      </c>
      <c r="P1842" s="30">
        <f t="shared" ca="1" si="372"/>
        <v>0</v>
      </c>
    </row>
    <row r="1843" spans="1:16" x14ac:dyDescent="0.25">
      <c r="A1843" s="3">
        <f t="shared" si="373"/>
        <v>48691</v>
      </c>
      <c r="B1843" s="21">
        <f t="shared" si="364"/>
        <v>36638</v>
      </c>
      <c r="C1843" s="21">
        <f t="shared" si="365"/>
        <v>36697</v>
      </c>
      <c r="D1843" s="1">
        <f t="shared" si="374"/>
        <v>0</v>
      </c>
      <c r="E1843" s="3">
        <f t="array" ref="E1843">INDEX($A$9:A1842, MAX(IF($D$9:D1842=1, ROW(D$9:$D1842)-ROW($D$9)+1, 0)))</f>
        <v>48659</v>
      </c>
      <c r="F1843" s="23">
        <f t="shared" si="366"/>
        <v>7.0253251197809723</v>
      </c>
      <c r="G1843" s="5">
        <f>INDEX('Default Prob'!$P$5:$P$14,MIN(1+_xlfn.IFNA(MATCH(F1843,'Default Prob'!$F$5:$F$14,1),0),COUNT('Default Prob'!$P$5:$P$14)))</f>
        <v>4.1094539438249027E-2</v>
      </c>
      <c r="H1843" s="5">
        <f t="shared" si="375"/>
        <v>0.83968880609544305</v>
      </c>
      <c r="I1843" s="24">
        <f t="shared" si="376"/>
        <v>9.4479304622252513E-5</v>
      </c>
      <c r="J1843" s="25">
        <f>INDEX('Default Prob'!$C$3:$C$13, _xlfn.IFNA(MATCH(F1843, 'Default Prob'!$B$3:$B$13, 1), 1))</f>
        <v>2.29E-2</v>
      </c>
      <c r="K1843" s="26">
        <f t="shared" si="367"/>
        <v>0.85294047426781139</v>
      </c>
      <c r="L1843" s="27">
        <f t="shared" ca="1" si="368"/>
        <v>0</v>
      </c>
      <c r="M1843" s="27">
        <f t="shared" ca="1" si="369"/>
        <v>0</v>
      </c>
      <c r="N1843" s="28">
        <f t="shared" ca="1" si="370"/>
        <v>0</v>
      </c>
      <c r="O1843" s="29">
        <f t="shared" ca="1" si="371"/>
        <v>0</v>
      </c>
      <c r="P1843" s="30">
        <f t="shared" ca="1" si="372"/>
        <v>0</v>
      </c>
    </row>
    <row r="1844" spans="1:16" x14ac:dyDescent="0.25">
      <c r="A1844" s="3">
        <f t="shared" si="373"/>
        <v>48694</v>
      </c>
      <c r="B1844" s="21">
        <f t="shared" si="364"/>
        <v>36641</v>
      </c>
      <c r="C1844" s="21">
        <f t="shared" si="365"/>
        <v>36697</v>
      </c>
      <c r="D1844" s="1">
        <f t="shared" si="374"/>
        <v>0</v>
      </c>
      <c r="E1844" s="3">
        <f t="array" ref="E1844">INDEX($A$9:A1843, MAX(IF($D$9:D1843=1, ROW(D$9:$D1843)-ROW($D$9)+1, 0)))</f>
        <v>48659</v>
      </c>
      <c r="F1844" s="23">
        <f t="shared" si="366"/>
        <v>7.0335386721423685</v>
      </c>
      <c r="G1844" s="5">
        <f>INDEX('Default Prob'!$P$5:$P$14,MIN(1+_xlfn.IFNA(MATCH(F1844,'Default Prob'!$F$5:$F$14,1),0),COUNT('Default Prob'!$P$5:$P$14)))</f>
        <v>4.1094539438249027E-2</v>
      </c>
      <c r="H1844" s="5">
        <f t="shared" si="375"/>
        <v>0.83940543195281103</v>
      </c>
      <c r="I1844" s="24">
        <f t="shared" si="376"/>
        <v>2.8337414263202021E-4</v>
      </c>
      <c r="J1844" s="25">
        <f>INDEX('Default Prob'!$C$3:$C$13, _xlfn.IFNA(MATCH(F1844, 'Default Prob'!$B$3:$B$13, 1), 1))</f>
        <v>2.29E-2</v>
      </c>
      <c r="K1844" s="26">
        <f t="shared" si="367"/>
        <v>0.85278186849594828</v>
      </c>
      <c r="L1844" s="27">
        <f t="shared" ca="1" si="368"/>
        <v>0</v>
      </c>
      <c r="M1844" s="27">
        <f t="shared" ca="1" si="369"/>
        <v>0</v>
      </c>
      <c r="N1844" s="28">
        <f t="shared" ca="1" si="370"/>
        <v>0</v>
      </c>
      <c r="O1844" s="29">
        <f t="shared" ca="1" si="371"/>
        <v>0</v>
      </c>
      <c r="P1844" s="30">
        <f t="shared" ca="1" si="372"/>
        <v>0</v>
      </c>
    </row>
    <row r="1845" spans="1:16" x14ac:dyDescent="0.25">
      <c r="A1845" s="3">
        <f t="shared" si="373"/>
        <v>48695</v>
      </c>
      <c r="B1845" s="21">
        <f t="shared" si="364"/>
        <v>36642</v>
      </c>
      <c r="C1845" s="21">
        <f t="shared" si="365"/>
        <v>36697</v>
      </c>
      <c r="D1845" s="1">
        <f t="shared" si="374"/>
        <v>0</v>
      </c>
      <c r="E1845" s="3">
        <f t="array" ref="E1845">INDEX($A$9:A1844, MAX(IF($D$9:D1844=1, ROW(D$9:$D1844)-ROW($D$9)+1, 0)))</f>
        <v>48659</v>
      </c>
      <c r="F1845" s="23">
        <f t="shared" si="366"/>
        <v>7.0362765229295006</v>
      </c>
      <c r="G1845" s="5">
        <f>INDEX('Default Prob'!$P$5:$P$14,MIN(1+_xlfn.IFNA(MATCH(F1845,'Default Prob'!$F$5:$F$14,1),0),COUNT('Default Prob'!$P$5:$P$14)))</f>
        <v>4.1094539438249027E-2</v>
      </c>
      <c r="H1845" s="5">
        <f t="shared" si="375"/>
        <v>0.83931099515835961</v>
      </c>
      <c r="I1845" s="24">
        <f t="shared" si="376"/>
        <v>9.443679445142461E-5</v>
      </c>
      <c r="J1845" s="25">
        <f>INDEX('Default Prob'!$C$3:$C$13, _xlfn.IFNA(MATCH(F1845, 'Default Prob'!$B$3:$B$13, 1), 1))</f>
        <v>2.29E-2</v>
      </c>
      <c r="K1845" s="26">
        <f t="shared" si="367"/>
        <v>0.85272900645960259</v>
      </c>
      <c r="L1845" s="27">
        <f t="shared" ca="1" si="368"/>
        <v>0</v>
      </c>
      <c r="M1845" s="27">
        <f t="shared" ca="1" si="369"/>
        <v>0</v>
      </c>
      <c r="N1845" s="28">
        <f t="shared" ca="1" si="370"/>
        <v>0</v>
      </c>
      <c r="O1845" s="29">
        <f t="shared" ca="1" si="371"/>
        <v>0</v>
      </c>
      <c r="P1845" s="30">
        <f t="shared" ca="1" si="372"/>
        <v>0</v>
      </c>
    </row>
    <row r="1846" spans="1:16" x14ac:dyDescent="0.25">
      <c r="A1846" s="3">
        <f t="shared" si="373"/>
        <v>48696</v>
      </c>
      <c r="B1846" s="21">
        <f t="shared" si="364"/>
        <v>36643</v>
      </c>
      <c r="C1846" s="21">
        <f t="shared" si="365"/>
        <v>36697</v>
      </c>
      <c r="D1846" s="1">
        <f t="shared" si="374"/>
        <v>0</v>
      </c>
      <c r="E1846" s="3">
        <f t="array" ref="E1846">INDEX($A$9:A1845, MAX(IF($D$9:D1845=1, ROW(D$9:$D1845)-ROW($D$9)+1, 0)))</f>
        <v>48659</v>
      </c>
      <c r="F1846" s="23">
        <f t="shared" si="366"/>
        <v>7.0390143737166326</v>
      </c>
      <c r="G1846" s="5">
        <f>INDEX('Default Prob'!$P$5:$P$14,MIN(1+_xlfn.IFNA(MATCH(F1846,'Default Prob'!$F$5:$F$14,1),0),COUNT('Default Prob'!$P$5:$P$14)))</f>
        <v>4.1094539438249027E-2</v>
      </c>
      <c r="H1846" s="5">
        <f t="shared" si="375"/>
        <v>0.83921656898846198</v>
      </c>
      <c r="I1846" s="24">
        <f t="shared" si="376"/>
        <v>9.4426169897632306E-5</v>
      </c>
      <c r="J1846" s="25">
        <f>INDEX('Default Prob'!$C$3:$C$13, _xlfn.IFNA(MATCH(F1846, 'Default Prob'!$B$3:$B$13, 1), 1))</f>
        <v>2.29E-2</v>
      </c>
      <c r="K1846" s="26">
        <f t="shared" si="367"/>
        <v>0.85267614770005606</v>
      </c>
      <c r="L1846" s="27">
        <f t="shared" ca="1" si="368"/>
        <v>0</v>
      </c>
      <c r="M1846" s="27">
        <f t="shared" ca="1" si="369"/>
        <v>0</v>
      </c>
      <c r="N1846" s="28">
        <f t="shared" ca="1" si="370"/>
        <v>0</v>
      </c>
      <c r="O1846" s="29">
        <f t="shared" ca="1" si="371"/>
        <v>0</v>
      </c>
      <c r="P1846" s="30">
        <f t="shared" ca="1" si="372"/>
        <v>0</v>
      </c>
    </row>
    <row r="1847" spans="1:16" x14ac:dyDescent="0.25">
      <c r="A1847" s="3">
        <f t="shared" si="373"/>
        <v>48697</v>
      </c>
      <c r="B1847" s="21">
        <f t="shared" si="364"/>
        <v>36644</v>
      </c>
      <c r="C1847" s="21">
        <f t="shared" si="365"/>
        <v>36697</v>
      </c>
      <c r="D1847" s="1">
        <f t="shared" si="374"/>
        <v>0</v>
      </c>
      <c r="E1847" s="3">
        <f t="array" ref="E1847">INDEX($A$9:A1846, MAX(IF($D$9:D1846=1, ROW(D$9:$D1846)-ROW($D$9)+1, 0)))</f>
        <v>48659</v>
      </c>
      <c r="F1847" s="23">
        <f t="shared" si="366"/>
        <v>7.0417522245037647</v>
      </c>
      <c r="G1847" s="5">
        <f>INDEX('Default Prob'!$P$5:$P$14,MIN(1+_xlfn.IFNA(MATCH(F1847,'Default Prob'!$F$5:$F$14,1),0),COUNT('Default Prob'!$P$5:$P$14)))</f>
        <v>4.1094539438249027E-2</v>
      </c>
      <c r="H1847" s="5">
        <f t="shared" si="375"/>
        <v>0.83912215344192276</v>
      </c>
      <c r="I1847" s="24">
        <f t="shared" si="376"/>
        <v>9.4415546539217132E-5</v>
      </c>
      <c r="J1847" s="25">
        <f>INDEX('Default Prob'!$C$3:$C$13, _xlfn.IFNA(MATCH(F1847, 'Default Prob'!$B$3:$B$13, 1), 1))</f>
        <v>2.29E-2</v>
      </c>
      <c r="K1847" s="26">
        <f t="shared" si="367"/>
        <v>0.85262329221710564</v>
      </c>
      <c r="L1847" s="27">
        <f t="shared" ca="1" si="368"/>
        <v>0</v>
      </c>
      <c r="M1847" s="27">
        <f t="shared" ca="1" si="369"/>
        <v>0</v>
      </c>
      <c r="N1847" s="28">
        <f t="shared" ca="1" si="370"/>
        <v>0</v>
      </c>
      <c r="O1847" s="29">
        <f t="shared" ca="1" si="371"/>
        <v>0</v>
      </c>
      <c r="P1847" s="30">
        <f t="shared" ca="1" si="372"/>
        <v>0</v>
      </c>
    </row>
    <row r="1848" spans="1:16" x14ac:dyDescent="0.25">
      <c r="A1848" s="3">
        <f t="shared" si="373"/>
        <v>48698</v>
      </c>
      <c r="B1848" s="21">
        <f t="shared" si="364"/>
        <v>36645</v>
      </c>
      <c r="C1848" s="21">
        <f t="shared" si="365"/>
        <v>36697</v>
      </c>
      <c r="D1848" s="1">
        <f t="shared" si="374"/>
        <v>0</v>
      </c>
      <c r="E1848" s="3">
        <f t="array" ref="E1848">INDEX($A$9:A1847, MAX(IF($D$9:D1847=1, ROW(D$9:$D1847)-ROW($D$9)+1, 0)))</f>
        <v>48659</v>
      </c>
      <c r="F1848" s="23">
        <f t="shared" si="366"/>
        <v>7.0444900752908968</v>
      </c>
      <c r="G1848" s="5">
        <f>INDEX('Default Prob'!$P$5:$P$14,MIN(1+_xlfn.IFNA(MATCH(F1848,'Default Prob'!$F$5:$F$14,1),0),COUNT('Default Prob'!$P$5:$P$14)))</f>
        <v>4.1094539438249027E-2</v>
      </c>
      <c r="H1848" s="5">
        <f t="shared" si="375"/>
        <v>0.8390277485175468</v>
      </c>
      <c r="I1848" s="24">
        <f t="shared" si="376"/>
        <v>9.4404924375957044E-5</v>
      </c>
      <c r="J1848" s="25">
        <f>INDEX('Default Prob'!$C$3:$C$13, _xlfn.IFNA(MATCH(F1848, 'Default Prob'!$B$3:$B$13, 1), 1))</f>
        <v>2.29E-2</v>
      </c>
      <c r="K1848" s="26">
        <f t="shared" si="367"/>
        <v>0.85257044001054805</v>
      </c>
      <c r="L1848" s="27">
        <f t="shared" ca="1" si="368"/>
        <v>0</v>
      </c>
      <c r="M1848" s="27">
        <f t="shared" ca="1" si="369"/>
        <v>0</v>
      </c>
      <c r="N1848" s="28">
        <f t="shared" ca="1" si="370"/>
        <v>0</v>
      </c>
      <c r="O1848" s="29">
        <f t="shared" ca="1" si="371"/>
        <v>0</v>
      </c>
      <c r="P1848" s="30">
        <f t="shared" ca="1" si="372"/>
        <v>0</v>
      </c>
    </row>
    <row r="1849" spans="1:16" x14ac:dyDescent="0.25">
      <c r="A1849" s="3">
        <f t="shared" si="373"/>
        <v>48701</v>
      </c>
      <c r="B1849" s="21">
        <f t="shared" si="364"/>
        <v>36648</v>
      </c>
      <c r="C1849" s="21">
        <f t="shared" si="365"/>
        <v>36697</v>
      </c>
      <c r="D1849" s="1">
        <f t="shared" si="374"/>
        <v>0</v>
      </c>
      <c r="E1849" s="3">
        <f t="array" ref="E1849">INDEX($A$9:A1848, MAX(IF($D$9:D1848=1, ROW(D$9:$D1848)-ROW($D$9)+1, 0)))</f>
        <v>48659</v>
      </c>
      <c r="F1849" s="23">
        <f t="shared" si="366"/>
        <v>7.052703627652293</v>
      </c>
      <c r="G1849" s="5">
        <f>INDEX('Default Prob'!$P$5:$P$14,MIN(1+_xlfn.IFNA(MATCH(F1849,'Default Prob'!$F$5:$F$14,1),0),COUNT('Default Prob'!$P$5:$P$14)))</f>
        <v>4.1094539438249027E-2</v>
      </c>
      <c r="H1849" s="5">
        <f t="shared" si="375"/>
        <v>0.83874459746544905</v>
      </c>
      <c r="I1849" s="24">
        <f t="shared" si="376"/>
        <v>2.8315105209775204E-4</v>
      </c>
      <c r="J1849" s="25">
        <f>INDEX('Default Prob'!$C$3:$C$13, _xlfn.IFNA(MATCH(F1849, 'Default Prob'!$B$3:$B$13, 1), 1))</f>
        <v>2.29E-2</v>
      </c>
      <c r="K1849" s="26">
        <f t="shared" si="367"/>
        <v>0.8524119030472016</v>
      </c>
      <c r="L1849" s="27">
        <f t="shared" ca="1" si="368"/>
        <v>0</v>
      </c>
      <c r="M1849" s="27">
        <f t="shared" ca="1" si="369"/>
        <v>0</v>
      </c>
      <c r="N1849" s="28">
        <f t="shared" ca="1" si="370"/>
        <v>0</v>
      </c>
      <c r="O1849" s="29">
        <f t="shared" ca="1" si="371"/>
        <v>0</v>
      </c>
      <c r="P1849" s="30">
        <f t="shared" ca="1" si="372"/>
        <v>0</v>
      </c>
    </row>
    <row r="1850" spans="1:16" x14ac:dyDescent="0.25">
      <c r="A1850" s="3">
        <f t="shared" si="373"/>
        <v>48702</v>
      </c>
      <c r="B1850" s="21">
        <f t="shared" si="364"/>
        <v>36649</v>
      </c>
      <c r="C1850" s="21">
        <f t="shared" si="365"/>
        <v>36697</v>
      </c>
      <c r="D1850" s="1">
        <f t="shared" si="374"/>
        <v>0</v>
      </c>
      <c r="E1850" s="3">
        <f t="array" ref="E1850">INDEX($A$9:A1849, MAX(IF($D$9:D1849=1, ROW(D$9:$D1849)-ROW($D$9)+1, 0)))</f>
        <v>48659</v>
      </c>
      <c r="F1850" s="23">
        <f t="shared" si="366"/>
        <v>7.055441478439425</v>
      </c>
      <c r="G1850" s="5">
        <f>INDEX('Default Prob'!$P$5:$P$14,MIN(1+_xlfn.IFNA(MATCH(F1850,'Default Prob'!$F$5:$F$14,1),0),COUNT('Default Prob'!$P$5:$P$14)))</f>
        <v>4.1094539438249027E-2</v>
      </c>
      <c r="H1850" s="5">
        <f t="shared" si="375"/>
        <v>0.83865023501777725</v>
      </c>
      <c r="I1850" s="24">
        <f t="shared" si="376"/>
        <v>9.4362447671803018E-5</v>
      </c>
      <c r="J1850" s="25">
        <f>INDEX('Default Prob'!$C$3:$C$13, _xlfn.IFNA(MATCH(F1850, 'Default Prob'!$B$3:$B$13, 1), 1))</f>
        <v>2.29E-2</v>
      </c>
      <c r="K1850" s="26">
        <f t="shared" si="367"/>
        <v>0.85235906394418481</v>
      </c>
      <c r="L1850" s="27">
        <f t="shared" ca="1" si="368"/>
        <v>0</v>
      </c>
      <c r="M1850" s="27">
        <f t="shared" ca="1" si="369"/>
        <v>0</v>
      </c>
      <c r="N1850" s="28">
        <f t="shared" ca="1" si="370"/>
        <v>0</v>
      </c>
      <c r="O1850" s="29">
        <f t="shared" ca="1" si="371"/>
        <v>0</v>
      </c>
      <c r="P1850" s="30">
        <f t="shared" ca="1" si="372"/>
        <v>0</v>
      </c>
    </row>
    <row r="1851" spans="1:16" x14ac:dyDescent="0.25">
      <c r="A1851" s="3">
        <f t="shared" si="373"/>
        <v>48703</v>
      </c>
      <c r="B1851" s="21">
        <f t="shared" si="364"/>
        <v>36650</v>
      </c>
      <c r="C1851" s="21">
        <f t="shared" si="365"/>
        <v>36697</v>
      </c>
      <c r="D1851" s="1">
        <f t="shared" si="374"/>
        <v>0</v>
      </c>
      <c r="E1851" s="3">
        <f t="array" ref="E1851">INDEX($A$9:A1850, MAX(IF($D$9:D1850=1, ROW(D$9:$D1850)-ROW($D$9)+1, 0)))</f>
        <v>48659</v>
      </c>
      <c r="F1851" s="23">
        <f t="shared" si="366"/>
        <v>7.0581793292265571</v>
      </c>
      <c r="G1851" s="5">
        <f>INDEX('Default Prob'!$P$5:$P$14,MIN(1+_xlfn.IFNA(MATCH(F1851,'Default Prob'!$F$5:$F$14,1),0),COUNT('Default Prob'!$P$5:$P$14)))</f>
        <v>4.1094539438249027E-2</v>
      </c>
      <c r="H1851" s="5">
        <f t="shared" si="375"/>
        <v>0.83855588318629481</v>
      </c>
      <c r="I1851" s="24">
        <f t="shared" si="376"/>
        <v>9.4351831482430981E-5</v>
      </c>
      <c r="J1851" s="25">
        <f>INDEX('Default Prob'!$C$3:$C$13, _xlfn.IFNA(MATCH(F1851, 'Default Prob'!$B$3:$B$13, 1), 1))</f>
        <v>2.29E-2</v>
      </c>
      <c r="K1851" s="26">
        <f t="shared" si="367"/>
        <v>0.85230622811654555</v>
      </c>
      <c r="L1851" s="27">
        <f t="shared" ca="1" si="368"/>
        <v>0</v>
      </c>
      <c r="M1851" s="27">
        <f t="shared" ca="1" si="369"/>
        <v>0</v>
      </c>
      <c r="N1851" s="28">
        <f t="shared" ca="1" si="370"/>
        <v>0</v>
      </c>
      <c r="O1851" s="29">
        <f t="shared" ca="1" si="371"/>
        <v>0</v>
      </c>
      <c r="P1851" s="30">
        <f t="shared" ca="1" si="372"/>
        <v>0</v>
      </c>
    </row>
    <row r="1852" spans="1:16" x14ac:dyDescent="0.25">
      <c r="A1852" s="3">
        <f t="shared" si="373"/>
        <v>48704</v>
      </c>
      <c r="B1852" s="21">
        <f t="shared" si="364"/>
        <v>36651</v>
      </c>
      <c r="C1852" s="21">
        <f t="shared" si="365"/>
        <v>36697</v>
      </c>
      <c r="D1852" s="1">
        <f t="shared" si="374"/>
        <v>0</v>
      </c>
      <c r="E1852" s="3">
        <f t="array" ref="E1852">INDEX($A$9:A1851, MAX(IF($D$9:D1851=1, ROW(D$9:$D1851)-ROW($D$9)+1, 0)))</f>
        <v>48659</v>
      </c>
      <c r="F1852" s="23">
        <f t="shared" si="366"/>
        <v>7.0609171800136892</v>
      </c>
      <c r="G1852" s="5">
        <f>INDEX('Default Prob'!$P$5:$P$14,MIN(1+_xlfn.IFNA(MATCH(F1852,'Default Prob'!$F$5:$F$14,1),0),COUNT('Default Prob'!$P$5:$P$14)))</f>
        <v>4.1094539438249027E-2</v>
      </c>
      <c r="H1852" s="5">
        <f t="shared" si="375"/>
        <v>0.83846154196980749</v>
      </c>
      <c r="I1852" s="24">
        <f t="shared" si="376"/>
        <v>9.4341216487325852E-5</v>
      </c>
      <c r="J1852" s="25">
        <f>INDEX('Default Prob'!$C$3:$C$13, _xlfn.IFNA(MATCH(F1852, 'Default Prob'!$B$3:$B$13, 1), 1))</f>
        <v>2.29E-2</v>
      </c>
      <c r="K1852" s="26">
        <f t="shared" si="367"/>
        <v>0.85225339556408086</v>
      </c>
      <c r="L1852" s="27">
        <f t="shared" ca="1" si="368"/>
        <v>0</v>
      </c>
      <c r="M1852" s="27">
        <f t="shared" ca="1" si="369"/>
        <v>0</v>
      </c>
      <c r="N1852" s="28">
        <f t="shared" ca="1" si="370"/>
        <v>0</v>
      </c>
      <c r="O1852" s="29">
        <f t="shared" ca="1" si="371"/>
        <v>0</v>
      </c>
      <c r="P1852" s="30">
        <f t="shared" ca="1" si="372"/>
        <v>0</v>
      </c>
    </row>
    <row r="1853" spans="1:16" x14ac:dyDescent="0.25">
      <c r="A1853" s="3">
        <f t="shared" si="373"/>
        <v>48705</v>
      </c>
      <c r="B1853" s="21">
        <f t="shared" si="364"/>
        <v>36652</v>
      </c>
      <c r="C1853" s="21">
        <f t="shared" si="365"/>
        <v>36697</v>
      </c>
      <c r="D1853" s="1">
        <f t="shared" si="374"/>
        <v>0</v>
      </c>
      <c r="E1853" s="3">
        <f t="array" ref="E1853">INDEX($A$9:A1852, MAX(IF($D$9:D1852=1, ROW(D$9:$D1852)-ROW($D$9)+1, 0)))</f>
        <v>48659</v>
      </c>
      <c r="F1853" s="23">
        <f t="shared" si="366"/>
        <v>7.0636550308008212</v>
      </c>
      <c r="G1853" s="5">
        <f>INDEX('Default Prob'!$P$5:$P$14,MIN(1+_xlfn.IFNA(MATCH(F1853,'Default Prob'!$F$5:$F$14,1),0),COUNT('Default Prob'!$P$5:$P$14)))</f>
        <v>4.1094539438249027E-2</v>
      </c>
      <c r="H1853" s="5">
        <f t="shared" si="375"/>
        <v>0.838367211367121</v>
      </c>
      <c r="I1853" s="24">
        <f t="shared" si="376"/>
        <v>9.433060268648763E-5</v>
      </c>
      <c r="J1853" s="25">
        <f>INDEX('Default Prob'!$C$3:$C$13, _xlfn.IFNA(MATCH(F1853, 'Default Prob'!$B$3:$B$13, 1), 1))</f>
        <v>2.29E-2</v>
      </c>
      <c r="K1853" s="26">
        <f t="shared" si="367"/>
        <v>0.85220056628658769</v>
      </c>
      <c r="L1853" s="27">
        <f t="shared" ca="1" si="368"/>
        <v>0</v>
      </c>
      <c r="M1853" s="27">
        <f t="shared" ca="1" si="369"/>
        <v>0</v>
      </c>
      <c r="N1853" s="28">
        <f t="shared" ca="1" si="370"/>
        <v>0</v>
      </c>
      <c r="O1853" s="29">
        <f t="shared" ca="1" si="371"/>
        <v>0</v>
      </c>
      <c r="P1853" s="30">
        <f t="shared" ca="1" si="372"/>
        <v>0</v>
      </c>
    </row>
    <row r="1854" spans="1:16" x14ac:dyDescent="0.25">
      <c r="A1854" s="3">
        <f t="shared" si="373"/>
        <v>48708</v>
      </c>
      <c r="B1854" s="21">
        <f t="shared" si="364"/>
        <v>36655</v>
      </c>
      <c r="C1854" s="21">
        <f t="shared" si="365"/>
        <v>36697</v>
      </c>
      <c r="D1854" s="1">
        <f t="shared" si="374"/>
        <v>0</v>
      </c>
      <c r="E1854" s="3">
        <f t="array" ref="E1854">INDEX($A$9:A1853, MAX(IF($D$9:D1853=1, ROW(D$9:$D1853)-ROW($D$9)+1, 0)))</f>
        <v>48659</v>
      </c>
      <c r="F1854" s="23">
        <f t="shared" si="366"/>
        <v>7.0718685831622174</v>
      </c>
      <c r="G1854" s="5">
        <f>INDEX('Default Prob'!$P$5:$P$14,MIN(1+_xlfn.IFNA(MATCH(F1854,'Default Prob'!$F$5:$F$14,1),0),COUNT('Default Prob'!$P$5:$P$14)))</f>
        <v>4.1094539438249027E-2</v>
      </c>
      <c r="H1854" s="5">
        <f t="shared" si="375"/>
        <v>0.83808428322992612</v>
      </c>
      <c r="I1854" s="24">
        <f t="shared" si="376"/>
        <v>2.8292813719488219E-4</v>
      </c>
      <c r="J1854" s="25">
        <f>INDEX('Default Prob'!$C$3:$C$13, _xlfn.IFNA(MATCH(F1854, 'Default Prob'!$B$3:$B$13, 1), 1))</f>
        <v>2.29E-2</v>
      </c>
      <c r="K1854" s="26">
        <f t="shared" si="367"/>
        <v>0.85204209810190668</v>
      </c>
      <c r="L1854" s="27">
        <f t="shared" ca="1" si="368"/>
        <v>0</v>
      </c>
      <c r="M1854" s="27">
        <f t="shared" ca="1" si="369"/>
        <v>0</v>
      </c>
      <c r="N1854" s="28">
        <f t="shared" ca="1" si="370"/>
        <v>0</v>
      </c>
      <c r="O1854" s="29">
        <f t="shared" ca="1" si="371"/>
        <v>0</v>
      </c>
      <c r="P1854" s="30">
        <f t="shared" ca="1" si="372"/>
        <v>0</v>
      </c>
    </row>
    <row r="1855" spans="1:16" x14ac:dyDescent="0.25">
      <c r="A1855" s="3">
        <f t="shared" si="373"/>
        <v>48709</v>
      </c>
      <c r="B1855" s="21">
        <f t="shared" si="364"/>
        <v>36656</v>
      </c>
      <c r="C1855" s="21">
        <f t="shared" si="365"/>
        <v>36697</v>
      </c>
      <c r="D1855" s="1">
        <f t="shared" si="374"/>
        <v>0</v>
      </c>
      <c r="E1855" s="3">
        <f t="array" ref="E1855">INDEX($A$9:A1854, MAX(IF($D$9:D1854=1, ROW(D$9:$D1854)-ROW($D$9)+1, 0)))</f>
        <v>48659</v>
      </c>
      <c r="F1855" s="23">
        <f t="shared" si="366"/>
        <v>7.0746064339493495</v>
      </c>
      <c r="G1855" s="5">
        <f>INDEX('Default Prob'!$P$5:$P$14,MIN(1+_xlfn.IFNA(MATCH(F1855,'Default Prob'!$F$5:$F$14,1),0),COUNT('Default Prob'!$P$5:$P$14)))</f>
        <v>4.1094539438249027E-2</v>
      </c>
      <c r="H1855" s="5">
        <f t="shared" si="375"/>
        <v>0.83798999507050331</v>
      </c>
      <c r="I1855" s="24">
        <f t="shared" si="376"/>
        <v>9.4288159422806217E-5</v>
      </c>
      <c r="J1855" s="25">
        <f>INDEX('Default Prob'!$C$3:$C$13, _xlfn.IFNA(MATCH(F1855, 'Default Prob'!$B$3:$B$13, 1), 1))</f>
        <v>2.29E-2</v>
      </c>
      <c r="K1855" s="26">
        <f t="shared" si="367"/>
        <v>0.85198928192226941</v>
      </c>
      <c r="L1855" s="27">
        <f t="shared" ca="1" si="368"/>
        <v>0</v>
      </c>
      <c r="M1855" s="27">
        <f t="shared" ca="1" si="369"/>
        <v>0</v>
      </c>
      <c r="N1855" s="28">
        <f t="shared" ca="1" si="370"/>
        <v>0</v>
      </c>
      <c r="O1855" s="29">
        <f t="shared" ca="1" si="371"/>
        <v>0</v>
      </c>
      <c r="P1855" s="30">
        <f t="shared" ca="1" si="372"/>
        <v>0</v>
      </c>
    </row>
    <row r="1856" spans="1:16" x14ac:dyDescent="0.25">
      <c r="A1856" s="3">
        <f t="shared" si="373"/>
        <v>48710</v>
      </c>
      <c r="B1856" s="21">
        <f t="shared" si="364"/>
        <v>36657</v>
      </c>
      <c r="C1856" s="21">
        <f t="shared" si="365"/>
        <v>36697</v>
      </c>
      <c r="D1856" s="1">
        <f t="shared" si="374"/>
        <v>0</v>
      </c>
      <c r="E1856" s="3">
        <f t="array" ref="E1856">INDEX($A$9:A1855, MAX(IF($D$9:D1855=1, ROW(D$9:$D1855)-ROW($D$9)+1, 0)))</f>
        <v>48659</v>
      </c>
      <c r="F1856" s="23">
        <f t="shared" si="366"/>
        <v>7.0773442847364816</v>
      </c>
      <c r="G1856" s="5">
        <f>INDEX('Default Prob'!$P$5:$P$14,MIN(1+_xlfn.IFNA(MATCH(F1856,'Default Prob'!$F$5:$F$14,1),0),COUNT('Default Prob'!$P$5:$P$14)))</f>
        <v>4.1094539438249027E-2</v>
      </c>
      <c r="H1856" s="5">
        <f t="shared" si="375"/>
        <v>0.83789571751891212</v>
      </c>
      <c r="I1856" s="24">
        <f t="shared" si="376"/>
        <v>9.4277551591193109E-5</v>
      </c>
      <c r="J1856" s="25">
        <f>INDEX('Default Prob'!$C$3:$C$13, _xlfn.IFNA(MATCH(F1856, 'Default Prob'!$B$3:$B$13, 1), 1))</f>
        <v>2.29E-2</v>
      </c>
      <c r="K1856" s="26">
        <f t="shared" si="367"/>
        <v>0.85193646901658882</v>
      </c>
      <c r="L1856" s="27">
        <f t="shared" ca="1" si="368"/>
        <v>0</v>
      </c>
      <c r="M1856" s="27">
        <f t="shared" ca="1" si="369"/>
        <v>0</v>
      </c>
      <c r="N1856" s="28">
        <f t="shared" ca="1" si="370"/>
        <v>0</v>
      </c>
      <c r="O1856" s="29">
        <f t="shared" ca="1" si="371"/>
        <v>0</v>
      </c>
      <c r="P1856" s="30">
        <f t="shared" ca="1" si="372"/>
        <v>0</v>
      </c>
    </row>
    <row r="1857" spans="1:16" x14ac:dyDescent="0.25">
      <c r="A1857" s="3">
        <f t="shared" si="373"/>
        <v>48711</v>
      </c>
      <c r="B1857" s="21">
        <f t="shared" si="364"/>
        <v>36658</v>
      </c>
      <c r="C1857" s="21">
        <f t="shared" si="365"/>
        <v>36697</v>
      </c>
      <c r="D1857" s="1">
        <f t="shared" si="374"/>
        <v>0</v>
      </c>
      <c r="E1857" s="3">
        <f t="array" ref="E1857">INDEX($A$9:A1856, MAX(IF($D$9:D1856=1, ROW(D$9:$D1856)-ROW($D$9)+1, 0)))</f>
        <v>48659</v>
      </c>
      <c r="F1857" s="23">
        <f t="shared" si="366"/>
        <v>7.0800821355236137</v>
      </c>
      <c r="G1857" s="5">
        <f>INDEX('Default Prob'!$P$5:$P$14,MIN(1+_xlfn.IFNA(MATCH(F1857,'Default Prob'!$F$5:$F$14,1),0),COUNT('Default Prob'!$P$5:$P$14)))</f>
        <v>4.1094539438249027E-2</v>
      </c>
      <c r="H1857" s="5">
        <f t="shared" si="375"/>
        <v>0.83780145057395927</v>
      </c>
      <c r="I1857" s="24">
        <f t="shared" si="376"/>
        <v>9.4266944952847709E-5</v>
      </c>
      <c r="J1857" s="25">
        <f>INDEX('Default Prob'!$C$3:$C$13, _xlfn.IFNA(MATCH(F1857, 'Default Prob'!$B$3:$B$13, 1), 1))</f>
        <v>2.29E-2</v>
      </c>
      <c r="K1857" s="26">
        <f t="shared" si="367"/>
        <v>0.8518836593846616</v>
      </c>
      <c r="L1857" s="27">
        <f t="shared" ca="1" si="368"/>
        <v>0</v>
      </c>
      <c r="M1857" s="27">
        <f t="shared" ca="1" si="369"/>
        <v>0</v>
      </c>
      <c r="N1857" s="28">
        <f t="shared" ca="1" si="370"/>
        <v>0</v>
      </c>
      <c r="O1857" s="29">
        <f t="shared" ca="1" si="371"/>
        <v>0</v>
      </c>
      <c r="P1857" s="30">
        <f t="shared" ca="1" si="372"/>
        <v>0</v>
      </c>
    </row>
    <row r="1858" spans="1:16" x14ac:dyDescent="0.25">
      <c r="A1858" s="3">
        <f t="shared" si="373"/>
        <v>48712</v>
      </c>
      <c r="B1858" s="21">
        <f t="shared" si="364"/>
        <v>36659</v>
      </c>
      <c r="C1858" s="21">
        <f t="shared" si="365"/>
        <v>36697</v>
      </c>
      <c r="D1858" s="1">
        <f t="shared" si="374"/>
        <v>0</v>
      </c>
      <c r="E1858" s="3">
        <f t="array" ref="E1858">INDEX($A$9:A1857, MAX(IF($D$9:D1857=1, ROW(D$9:$D1857)-ROW($D$9)+1, 0)))</f>
        <v>48659</v>
      </c>
      <c r="F1858" s="23">
        <f t="shared" si="366"/>
        <v>7.0828199863107457</v>
      </c>
      <c r="G1858" s="5">
        <f>INDEX('Default Prob'!$P$5:$P$14,MIN(1+_xlfn.IFNA(MATCH(F1858,'Default Prob'!$F$5:$F$14,1),0),COUNT('Default Prob'!$P$5:$P$14)))</f>
        <v>4.1094539438249027E-2</v>
      </c>
      <c r="H1858" s="5">
        <f t="shared" si="375"/>
        <v>0.83770719423445128</v>
      </c>
      <c r="I1858" s="24">
        <f t="shared" si="376"/>
        <v>9.425633950799206E-5</v>
      </c>
      <c r="J1858" s="25">
        <f>INDEX('Default Prob'!$C$3:$C$13, _xlfn.IFNA(MATCH(F1858, 'Default Prob'!$B$3:$B$13, 1), 1))</f>
        <v>2.29E-2</v>
      </c>
      <c r="K1858" s="26">
        <f t="shared" si="367"/>
        <v>0.85183085302628525</v>
      </c>
      <c r="L1858" s="27">
        <f t="shared" ca="1" si="368"/>
        <v>0</v>
      </c>
      <c r="M1858" s="27">
        <f t="shared" ca="1" si="369"/>
        <v>0</v>
      </c>
      <c r="N1858" s="28">
        <f t="shared" ca="1" si="370"/>
        <v>0</v>
      </c>
      <c r="O1858" s="29">
        <f t="shared" ca="1" si="371"/>
        <v>0</v>
      </c>
      <c r="P1858" s="30">
        <f t="shared" ca="1" si="372"/>
        <v>0</v>
      </c>
    </row>
    <row r="1859" spans="1:16" x14ac:dyDescent="0.25">
      <c r="A1859" s="3">
        <f t="shared" si="373"/>
        <v>48715</v>
      </c>
      <c r="B1859" s="21">
        <f t="shared" si="364"/>
        <v>36662</v>
      </c>
      <c r="C1859" s="21">
        <f t="shared" si="365"/>
        <v>36697</v>
      </c>
      <c r="D1859" s="1">
        <f t="shared" si="374"/>
        <v>0</v>
      </c>
      <c r="E1859" s="3">
        <f t="array" ref="E1859">INDEX($A$9:A1858, MAX(IF($D$9:D1858=1, ROW(D$9:$D1858)-ROW($D$9)+1, 0)))</f>
        <v>48659</v>
      </c>
      <c r="F1859" s="23">
        <f t="shared" si="366"/>
        <v>7.0910335386721428</v>
      </c>
      <c r="G1859" s="5">
        <f>INDEX('Default Prob'!$P$5:$P$14,MIN(1+_xlfn.IFNA(MATCH(F1859,'Default Prob'!$F$5:$F$14,1),0),COUNT('Default Prob'!$P$5:$P$14)))</f>
        <v>4.1094539438249027E-2</v>
      </c>
      <c r="H1859" s="5">
        <f t="shared" si="375"/>
        <v>0.8374244888366662</v>
      </c>
      <c r="I1859" s="24">
        <f t="shared" si="376"/>
        <v>2.8270539778507686E-4</v>
      </c>
      <c r="J1859" s="25">
        <f>INDEX('Default Prob'!$C$3:$C$13, _xlfn.IFNA(MATCH(F1859, 'Default Prob'!$B$3:$B$13, 1), 1))</f>
        <v>2.29E-2</v>
      </c>
      <c r="K1859" s="26">
        <f t="shared" si="367"/>
        <v>0.85167245359043131</v>
      </c>
      <c r="L1859" s="27">
        <f t="shared" ca="1" si="368"/>
        <v>0</v>
      </c>
      <c r="M1859" s="27">
        <f t="shared" ca="1" si="369"/>
        <v>0</v>
      </c>
      <c r="N1859" s="28">
        <f t="shared" ca="1" si="370"/>
        <v>0</v>
      </c>
      <c r="O1859" s="29">
        <f t="shared" ca="1" si="371"/>
        <v>0</v>
      </c>
      <c r="P1859" s="30">
        <f t="shared" ca="1" si="372"/>
        <v>0</v>
      </c>
    </row>
    <row r="1860" spans="1:16" x14ac:dyDescent="0.25">
      <c r="A1860" s="3">
        <f t="shared" si="373"/>
        <v>48716</v>
      </c>
      <c r="B1860" s="21">
        <f t="shared" si="364"/>
        <v>36663</v>
      </c>
      <c r="C1860" s="21">
        <f t="shared" si="365"/>
        <v>36697</v>
      </c>
      <c r="D1860" s="1">
        <f t="shared" si="374"/>
        <v>0</v>
      </c>
      <c r="E1860" s="3">
        <f t="array" ref="E1860">INDEX($A$9:A1859, MAX(IF($D$9:D1859=1, ROW(D$9:$D1859)-ROW($D$9)+1, 0)))</f>
        <v>48659</v>
      </c>
      <c r="F1860" s="23">
        <f t="shared" si="366"/>
        <v>7.0937713894592749</v>
      </c>
      <c r="G1860" s="5">
        <f>INDEX('Default Prob'!$P$5:$P$14,MIN(1+_xlfn.IFNA(MATCH(F1860,'Default Prob'!$F$5:$F$14,1),0),COUNT('Default Prob'!$P$5:$P$14)))</f>
        <v>4.1094539438249027E-2</v>
      </c>
      <c r="H1860" s="5">
        <f t="shared" si="375"/>
        <v>0.83733027490700784</v>
      </c>
      <c r="I1860" s="24">
        <f t="shared" si="376"/>
        <v>9.4213929658359952E-5</v>
      </c>
      <c r="J1860" s="25">
        <f>INDEX('Default Prob'!$C$3:$C$13, _xlfn.IFNA(MATCH(F1860, 'Default Prob'!$B$3:$B$13, 1), 1))</f>
        <v>2.29E-2</v>
      </c>
      <c r="K1860" s="26">
        <f t="shared" si="367"/>
        <v>0.85161966032422864</v>
      </c>
      <c r="L1860" s="27">
        <f t="shared" ca="1" si="368"/>
        <v>0</v>
      </c>
      <c r="M1860" s="27">
        <f t="shared" ca="1" si="369"/>
        <v>0</v>
      </c>
      <c r="N1860" s="28">
        <f t="shared" ca="1" si="370"/>
        <v>0</v>
      </c>
      <c r="O1860" s="29">
        <f t="shared" ca="1" si="371"/>
        <v>0</v>
      </c>
      <c r="P1860" s="30">
        <f t="shared" ca="1" si="372"/>
        <v>0</v>
      </c>
    </row>
    <row r="1861" spans="1:16" x14ac:dyDescent="0.25">
      <c r="A1861" s="3">
        <f t="shared" si="373"/>
        <v>48717</v>
      </c>
      <c r="B1861" s="21">
        <f t="shared" si="364"/>
        <v>36664</v>
      </c>
      <c r="C1861" s="21">
        <f t="shared" si="365"/>
        <v>36697</v>
      </c>
      <c r="D1861" s="1">
        <f t="shared" si="374"/>
        <v>0</v>
      </c>
      <c r="E1861" s="3">
        <f t="array" ref="E1861">INDEX($A$9:A1860, MAX(IF($D$9:D1860=1, ROW(D$9:$D1860)-ROW($D$9)+1, 0)))</f>
        <v>48659</v>
      </c>
      <c r="F1861" s="23">
        <f t="shared" si="366"/>
        <v>7.0965092402464069</v>
      </c>
      <c r="G1861" s="5">
        <f>INDEX('Default Prob'!$P$5:$P$14,MIN(1+_xlfn.IFNA(MATCH(F1861,'Default Prob'!$F$5:$F$14,1),0),COUNT('Default Prob'!$P$5:$P$14)))</f>
        <v>4.1094539438249027E-2</v>
      </c>
      <c r="H1861" s="5">
        <f t="shared" si="375"/>
        <v>0.83723607157683</v>
      </c>
      <c r="I1861" s="24">
        <f t="shared" si="376"/>
        <v>9.4203330177844435E-5</v>
      </c>
      <c r="J1861" s="25">
        <f>INDEX('Default Prob'!$C$3:$C$13, _xlfn.IFNA(MATCH(F1861, 'Default Prob'!$B$3:$B$13, 1), 1))</f>
        <v>2.29E-2</v>
      </c>
      <c r="K1861" s="26">
        <f t="shared" si="367"/>
        <v>0.85156687033056222</v>
      </c>
      <c r="L1861" s="27">
        <f t="shared" ca="1" si="368"/>
        <v>0</v>
      </c>
      <c r="M1861" s="27">
        <f t="shared" ca="1" si="369"/>
        <v>0</v>
      </c>
      <c r="N1861" s="28">
        <f t="shared" ca="1" si="370"/>
        <v>0</v>
      </c>
      <c r="O1861" s="29">
        <f t="shared" ca="1" si="371"/>
        <v>0</v>
      </c>
      <c r="P1861" s="30">
        <f t="shared" ca="1" si="372"/>
        <v>0</v>
      </c>
    </row>
    <row r="1862" spans="1:16" x14ac:dyDescent="0.25">
      <c r="A1862" s="3">
        <f t="shared" si="373"/>
        <v>48718</v>
      </c>
      <c r="B1862" s="21">
        <f t="shared" si="364"/>
        <v>36665</v>
      </c>
      <c r="C1862" s="21">
        <f t="shared" si="365"/>
        <v>36697</v>
      </c>
      <c r="D1862" s="1">
        <f t="shared" si="374"/>
        <v>0</v>
      </c>
      <c r="E1862" s="3">
        <f t="array" ref="E1862">INDEX($A$9:A1861, MAX(IF($D$9:D1861=1, ROW(D$9:$D1861)-ROW($D$9)+1, 0)))</f>
        <v>48659</v>
      </c>
      <c r="F1862" s="23">
        <f t="shared" si="366"/>
        <v>7.099247091033539</v>
      </c>
      <c r="G1862" s="5">
        <f>INDEX('Default Prob'!$P$5:$P$14,MIN(1+_xlfn.IFNA(MATCH(F1862,'Default Prob'!$F$5:$F$14,1),0),COUNT('Default Prob'!$P$5:$P$14)))</f>
        <v>4.1094539438249027E-2</v>
      </c>
      <c r="H1862" s="5">
        <f t="shared" si="375"/>
        <v>0.83714187884494018</v>
      </c>
      <c r="I1862" s="24">
        <f t="shared" si="376"/>
        <v>9.419273188981947E-5</v>
      </c>
      <c r="J1862" s="25">
        <f>INDEX('Default Prob'!$C$3:$C$13, _xlfn.IFNA(MATCH(F1862, 'Default Prob'!$B$3:$B$13, 1), 1))</f>
        <v>2.29E-2</v>
      </c>
      <c r="K1862" s="26">
        <f t="shared" si="367"/>
        <v>0.85151408360922931</v>
      </c>
      <c r="L1862" s="27">
        <f t="shared" ca="1" si="368"/>
        <v>0</v>
      </c>
      <c r="M1862" s="27">
        <f t="shared" ca="1" si="369"/>
        <v>0</v>
      </c>
      <c r="N1862" s="28">
        <f t="shared" ca="1" si="370"/>
        <v>0</v>
      </c>
      <c r="O1862" s="29">
        <f t="shared" ca="1" si="371"/>
        <v>0</v>
      </c>
      <c r="P1862" s="30">
        <f t="shared" ca="1" si="372"/>
        <v>0</v>
      </c>
    </row>
    <row r="1863" spans="1:16" x14ac:dyDescent="0.25">
      <c r="A1863" s="3">
        <f t="shared" si="373"/>
        <v>48719</v>
      </c>
      <c r="B1863" s="21">
        <f t="shared" si="364"/>
        <v>36666</v>
      </c>
      <c r="C1863" s="21">
        <f t="shared" si="365"/>
        <v>36697</v>
      </c>
      <c r="D1863" s="1">
        <f t="shared" si="374"/>
        <v>0</v>
      </c>
      <c r="E1863" s="3">
        <f t="array" ref="E1863">INDEX($A$9:A1862, MAX(IF($D$9:D1862=1, ROW(D$9:$D1862)-ROW($D$9)+1, 0)))</f>
        <v>48659</v>
      </c>
      <c r="F1863" s="23">
        <f t="shared" si="366"/>
        <v>7.1019849418206711</v>
      </c>
      <c r="G1863" s="5">
        <f>INDEX('Default Prob'!$P$5:$P$14,MIN(1+_xlfn.IFNA(MATCH(F1863,'Default Prob'!$F$5:$F$14,1),0),COUNT('Default Prob'!$P$5:$P$14)))</f>
        <v>4.1094539438249027E-2</v>
      </c>
      <c r="H1863" s="5">
        <f t="shared" si="375"/>
        <v>0.83704769671014601</v>
      </c>
      <c r="I1863" s="24">
        <f t="shared" si="376"/>
        <v>9.4182134794174033E-5</v>
      </c>
      <c r="J1863" s="25">
        <f>INDEX('Default Prob'!$C$3:$C$13, _xlfn.IFNA(MATCH(F1863, 'Default Prob'!$B$3:$B$13, 1), 1))</f>
        <v>2.29E-2</v>
      </c>
      <c r="K1863" s="26">
        <f t="shared" si="367"/>
        <v>0.85146130016002664</v>
      </c>
      <c r="L1863" s="27">
        <f t="shared" ca="1" si="368"/>
        <v>0</v>
      </c>
      <c r="M1863" s="27">
        <f t="shared" ca="1" si="369"/>
        <v>0</v>
      </c>
      <c r="N1863" s="28">
        <f t="shared" ca="1" si="370"/>
        <v>0</v>
      </c>
      <c r="O1863" s="29">
        <f t="shared" ca="1" si="371"/>
        <v>0</v>
      </c>
      <c r="P1863" s="30">
        <f t="shared" ca="1" si="372"/>
        <v>0</v>
      </c>
    </row>
    <row r="1864" spans="1:16" x14ac:dyDescent="0.25">
      <c r="A1864" s="3">
        <f t="shared" si="373"/>
        <v>48722</v>
      </c>
      <c r="B1864" s="21">
        <f t="shared" si="364"/>
        <v>36669</v>
      </c>
      <c r="C1864" s="21">
        <f t="shared" si="365"/>
        <v>36697</v>
      </c>
      <c r="D1864" s="1">
        <f t="shared" si="374"/>
        <v>0</v>
      </c>
      <c r="E1864" s="3">
        <f t="array" ref="E1864">INDEX($A$9:A1863, MAX(IF($D$9:D1863=1, ROW(D$9:$D1863)-ROW($D$9)+1, 0)))</f>
        <v>48659</v>
      </c>
      <c r="F1864" s="23">
        <f t="shared" si="366"/>
        <v>7.1101984941820673</v>
      </c>
      <c r="G1864" s="5">
        <f>INDEX('Default Prob'!$P$5:$P$14,MIN(1+_xlfn.IFNA(MATCH(F1864,'Default Prob'!$F$5:$F$14,1),0),COUNT('Default Prob'!$P$5:$P$14)))</f>
        <v>4.1094539438249027E-2</v>
      </c>
      <c r="H1864" s="5">
        <f t="shared" si="375"/>
        <v>0.83676521387641578</v>
      </c>
      <c r="I1864" s="24">
        <f t="shared" si="376"/>
        <v>2.8248283373022431E-4</v>
      </c>
      <c r="J1864" s="25">
        <f>INDEX('Default Prob'!$C$3:$C$13, _xlfn.IFNA(MATCH(F1864, 'Default Prob'!$B$3:$B$13, 1), 1))</f>
        <v>2.29E-2</v>
      </c>
      <c r="K1864" s="26">
        <f t="shared" si="367"/>
        <v>0.85130296944317418</v>
      </c>
      <c r="L1864" s="27">
        <f t="shared" ca="1" si="368"/>
        <v>0</v>
      </c>
      <c r="M1864" s="27">
        <f t="shared" ca="1" si="369"/>
        <v>0</v>
      </c>
      <c r="N1864" s="28">
        <f t="shared" ca="1" si="370"/>
        <v>0</v>
      </c>
      <c r="O1864" s="29">
        <f t="shared" ca="1" si="371"/>
        <v>0</v>
      </c>
      <c r="P1864" s="30">
        <f t="shared" ca="1" si="372"/>
        <v>0</v>
      </c>
    </row>
    <row r="1865" spans="1:16" x14ac:dyDescent="0.25">
      <c r="A1865" s="3">
        <f t="shared" si="373"/>
        <v>48723</v>
      </c>
      <c r="B1865" s="21">
        <f t="shared" ref="B1865:B1928" si="377">DATE(2000, MONTH(A1865), DAY(A1865))</f>
        <v>36670</v>
      </c>
      <c r="C1865" s="21">
        <f t="shared" ref="C1865:C1928" si="378">VLOOKUP(B1865, $R$9:$S$13, 2)</f>
        <v>36697</v>
      </c>
      <c r="D1865" s="1">
        <f t="shared" si="374"/>
        <v>0</v>
      </c>
      <c r="E1865" s="3">
        <f t="array" ref="E1865">INDEX($A$9:A1864, MAX(IF($D$9:D1864=1, ROW(D$9:$D1864)-ROW($D$9)+1, 0)))</f>
        <v>48659</v>
      </c>
      <c r="F1865" s="23">
        <f t="shared" ref="F1865:F1928" si="379">(A1865-$A$2)/365.25</f>
        <v>7.1129363449691994</v>
      </c>
      <c r="G1865" s="5">
        <f>INDEX('Default Prob'!$P$5:$P$14,MIN(1+_xlfn.IFNA(MATCH(F1865,'Default Prob'!$F$5:$F$14,1),0),COUNT('Default Prob'!$P$5:$P$14)))</f>
        <v>4.1094539438249027E-2</v>
      </c>
      <c r="H1865" s="5">
        <f t="shared" si="375"/>
        <v>0.83667107411808339</v>
      </c>
      <c r="I1865" s="24">
        <f t="shared" si="376"/>
        <v>9.4139758332389967E-5</v>
      </c>
      <c r="J1865" s="25">
        <f>INDEX('Default Prob'!$C$3:$C$13, _xlfn.IFNA(MATCH(F1865, 'Default Prob'!$B$3:$B$13, 1), 1))</f>
        <v>2.29E-2</v>
      </c>
      <c r="K1865" s="26">
        <f t="shared" ref="K1865:K1928" si="380">1/((1+J1865)^F1865)</f>
        <v>0.85125019908046551</v>
      </c>
      <c r="L1865" s="27">
        <f t="shared" ref="L1865:L1928" ca="1" si="381">IF(AND(D1865, A1865 &lt;= $G$2), $D$5*$D$2*(A1865-E1865)/365.25, 0)</f>
        <v>0</v>
      </c>
      <c r="M1865" s="27">
        <f t="shared" ref="M1865:M1928" ca="1" si="382">IF(A1865&lt;=$G$2, $D$5*$D$2*(A1865-E1865)/365.25, 0)</f>
        <v>0</v>
      </c>
      <c r="N1865" s="28">
        <f t="shared" ref="N1865:N1928" ca="1" si="383">(L1865*H1865 + M1865*I1865) * K1865</f>
        <v>0</v>
      </c>
      <c r="O1865" s="29">
        <f t="shared" ref="O1865:O1928" ca="1" si="384">IF(A1865&lt;=$G$2, $D$2*(1-$D$3), 0)</f>
        <v>0</v>
      </c>
      <c r="P1865" s="30">
        <f t="shared" ref="P1865:P1928" ca="1" si="385">O1865*I1865*K1865</f>
        <v>0</v>
      </c>
    </row>
    <row r="1866" spans="1:16" x14ac:dyDescent="0.25">
      <c r="A1866" s="3">
        <f t="shared" ref="A1866:A1929" si="386">WORKDAY(A1865, 1)</f>
        <v>48724</v>
      </c>
      <c r="B1866" s="21">
        <f t="shared" si="377"/>
        <v>36671</v>
      </c>
      <c r="C1866" s="21">
        <f t="shared" si="378"/>
        <v>36697</v>
      </c>
      <c r="D1866" s="1">
        <f t="shared" ref="D1866:D1929" si="387">IF(OR(C1866=B1866, AND(C1866&lt;&gt;C1865, C1865&gt;B1865)), 1, 0)</f>
        <v>0</v>
      </c>
      <c r="E1866" s="3">
        <f t="array" ref="E1866">INDEX($A$9:A1865, MAX(IF($D$9:D1865=1, ROW(D$9:$D1865)-ROW($D$9)+1, 0)))</f>
        <v>48659</v>
      </c>
      <c r="F1866" s="23">
        <f t="shared" si="379"/>
        <v>7.1156741957563314</v>
      </c>
      <c r="G1866" s="5">
        <f>INDEX('Default Prob'!$P$5:$P$14,MIN(1+_xlfn.IFNA(MATCH(F1866,'Default Prob'!$F$5:$F$14,1),0),COUNT('Default Prob'!$P$5:$P$14)))</f>
        <v>4.1094539438249027E-2</v>
      </c>
      <c r="H1866" s="5">
        <f t="shared" ref="H1866:H1929" si="388">H1865*EXP(-G1865*(F1866-F1865))</f>
        <v>0.83657694495088686</v>
      </c>
      <c r="I1866" s="24">
        <f t="shared" ref="I1866:I1929" si="389">H1865-H1866</f>
        <v>9.4129167196532748E-5</v>
      </c>
      <c r="J1866" s="25">
        <f>INDEX('Default Prob'!$C$3:$C$13, _xlfn.IFNA(MATCH(F1866, 'Default Prob'!$B$3:$B$13, 1), 1))</f>
        <v>2.29E-2</v>
      </c>
      <c r="K1866" s="26">
        <f t="shared" si="380"/>
        <v>0.85119743198887332</v>
      </c>
      <c r="L1866" s="27">
        <f t="shared" ca="1" si="381"/>
        <v>0</v>
      </c>
      <c r="M1866" s="27">
        <f t="shared" ca="1" si="382"/>
        <v>0</v>
      </c>
      <c r="N1866" s="28">
        <f t="shared" ca="1" si="383"/>
        <v>0</v>
      </c>
      <c r="O1866" s="29">
        <f t="shared" ca="1" si="384"/>
        <v>0</v>
      </c>
      <c r="P1866" s="30">
        <f t="shared" ca="1" si="385"/>
        <v>0</v>
      </c>
    </row>
    <row r="1867" spans="1:16" x14ac:dyDescent="0.25">
      <c r="A1867" s="3">
        <f t="shared" si="386"/>
        <v>48725</v>
      </c>
      <c r="B1867" s="21">
        <f t="shared" si="377"/>
        <v>36672</v>
      </c>
      <c r="C1867" s="21">
        <f t="shared" si="378"/>
        <v>36697</v>
      </c>
      <c r="D1867" s="1">
        <f t="shared" si="387"/>
        <v>0</v>
      </c>
      <c r="E1867" s="3">
        <f t="array" ref="E1867">INDEX($A$9:A1866, MAX(IF($D$9:D1866=1, ROW(D$9:$D1866)-ROW($D$9)+1, 0)))</f>
        <v>48659</v>
      </c>
      <c r="F1867" s="23">
        <f t="shared" si="379"/>
        <v>7.1184120465434635</v>
      </c>
      <c r="G1867" s="5">
        <f>INDEX('Default Prob'!$P$5:$P$14,MIN(1+_xlfn.IFNA(MATCH(F1867,'Default Prob'!$F$5:$F$14,1),0),COUNT('Default Prob'!$P$5:$P$14)))</f>
        <v>4.1094539438249027E-2</v>
      </c>
      <c r="H1867" s="5">
        <f t="shared" si="388"/>
        <v>0.83648282637363469</v>
      </c>
      <c r="I1867" s="24">
        <f t="shared" si="389"/>
        <v>9.411857725216688E-5</v>
      </c>
      <c r="J1867" s="25">
        <f>INDEX('Default Prob'!$C$3:$C$13, _xlfn.IFNA(MATCH(F1867, 'Default Prob'!$B$3:$B$13, 1), 1))</f>
        <v>2.29E-2</v>
      </c>
      <c r="K1867" s="26">
        <f t="shared" si="380"/>
        <v>0.85114466816819501</v>
      </c>
      <c r="L1867" s="27">
        <f t="shared" ca="1" si="381"/>
        <v>0</v>
      </c>
      <c r="M1867" s="27">
        <f t="shared" ca="1" si="382"/>
        <v>0</v>
      </c>
      <c r="N1867" s="28">
        <f t="shared" ca="1" si="383"/>
        <v>0</v>
      </c>
      <c r="O1867" s="29">
        <f t="shared" ca="1" si="384"/>
        <v>0</v>
      </c>
      <c r="P1867" s="30">
        <f t="shared" ca="1" si="385"/>
        <v>0</v>
      </c>
    </row>
    <row r="1868" spans="1:16" x14ac:dyDescent="0.25">
      <c r="A1868" s="3">
        <f t="shared" si="386"/>
        <v>48726</v>
      </c>
      <c r="B1868" s="21">
        <f t="shared" si="377"/>
        <v>36673</v>
      </c>
      <c r="C1868" s="21">
        <f t="shared" si="378"/>
        <v>36697</v>
      </c>
      <c r="D1868" s="1">
        <f t="shared" si="387"/>
        <v>0</v>
      </c>
      <c r="E1868" s="3">
        <f t="array" ref="E1868">INDEX($A$9:A1867, MAX(IF($D$9:D1867=1, ROW(D$9:$D1867)-ROW($D$9)+1, 0)))</f>
        <v>48659</v>
      </c>
      <c r="F1868" s="23">
        <f t="shared" si="379"/>
        <v>7.1211498973305956</v>
      </c>
      <c r="G1868" s="5">
        <f>INDEX('Default Prob'!$P$5:$P$14,MIN(1+_xlfn.IFNA(MATCH(F1868,'Default Prob'!$F$5:$F$14,1),0),COUNT('Default Prob'!$P$5:$P$14)))</f>
        <v>4.1094539438249027E-2</v>
      </c>
      <c r="H1868" s="5">
        <f t="shared" si="388"/>
        <v>0.83638871838513551</v>
      </c>
      <c r="I1868" s="24">
        <f t="shared" si="389"/>
        <v>9.4107988499181339E-5</v>
      </c>
      <c r="J1868" s="25">
        <f>INDEX('Default Prob'!$C$3:$C$13, _xlfn.IFNA(MATCH(F1868, 'Default Prob'!$B$3:$B$13, 1), 1))</f>
        <v>2.29E-2</v>
      </c>
      <c r="K1868" s="26">
        <f t="shared" si="380"/>
        <v>0.85109190761822762</v>
      </c>
      <c r="L1868" s="27">
        <f t="shared" ca="1" si="381"/>
        <v>0</v>
      </c>
      <c r="M1868" s="27">
        <f t="shared" ca="1" si="382"/>
        <v>0</v>
      </c>
      <c r="N1868" s="28">
        <f t="shared" ca="1" si="383"/>
        <v>0</v>
      </c>
      <c r="O1868" s="29">
        <f t="shared" ca="1" si="384"/>
        <v>0</v>
      </c>
      <c r="P1868" s="30">
        <f t="shared" ca="1" si="385"/>
        <v>0</v>
      </c>
    </row>
    <row r="1869" spans="1:16" x14ac:dyDescent="0.25">
      <c r="A1869" s="3">
        <f t="shared" si="386"/>
        <v>48729</v>
      </c>
      <c r="B1869" s="21">
        <f t="shared" si="377"/>
        <v>36676</v>
      </c>
      <c r="C1869" s="21">
        <f t="shared" si="378"/>
        <v>36697</v>
      </c>
      <c r="D1869" s="1">
        <f t="shared" si="387"/>
        <v>0</v>
      </c>
      <c r="E1869" s="3">
        <f t="array" ref="E1869">INDEX($A$9:A1868, MAX(IF($D$9:D1868=1, ROW(D$9:$D1868)-ROW($D$9)+1, 0)))</f>
        <v>48659</v>
      </c>
      <c r="F1869" s="23">
        <f t="shared" si="379"/>
        <v>7.1293634496919918</v>
      </c>
      <c r="G1869" s="5">
        <f>INDEX('Default Prob'!$P$5:$P$14,MIN(1+_xlfn.IFNA(MATCH(F1869,'Default Prob'!$F$5:$F$14,1),0),COUNT('Default Prob'!$P$5:$P$14)))</f>
        <v>4.1094539438249027E-2</v>
      </c>
      <c r="H1869" s="5">
        <f t="shared" si="388"/>
        <v>0.8361064579402433</v>
      </c>
      <c r="I1869" s="24">
        <f t="shared" si="389"/>
        <v>2.822604448922128E-4</v>
      </c>
      <c r="J1869" s="25">
        <f>INDEX('Default Prob'!$C$3:$C$13, _xlfn.IFNA(MATCH(F1869, 'Default Prob'!$B$3:$B$13, 1), 1))</f>
        <v>2.29E-2</v>
      </c>
      <c r="K1869" s="26">
        <f t="shared" si="380"/>
        <v>0.85093364559056373</v>
      </c>
      <c r="L1869" s="27">
        <f t="shared" ca="1" si="381"/>
        <v>0</v>
      </c>
      <c r="M1869" s="27">
        <f t="shared" ca="1" si="382"/>
        <v>0</v>
      </c>
      <c r="N1869" s="28">
        <f t="shared" ca="1" si="383"/>
        <v>0</v>
      </c>
      <c r="O1869" s="29">
        <f t="shared" ca="1" si="384"/>
        <v>0</v>
      </c>
      <c r="P1869" s="30">
        <f t="shared" ca="1" si="385"/>
        <v>0</v>
      </c>
    </row>
    <row r="1870" spans="1:16" x14ac:dyDescent="0.25">
      <c r="A1870" s="3">
        <f t="shared" si="386"/>
        <v>48730</v>
      </c>
      <c r="B1870" s="21">
        <f t="shared" si="377"/>
        <v>36677</v>
      </c>
      <c r="C1870" s="21">
        <f t="shared" si="378"/>
        <v>36697</v>
      </c>
      <c r="D1870" s="1">
        <f t="shared" si="387"/>
        <v>0</v>
      </c>
      <c r="E1870" s="3">
        <f t="array" ref="E1870">INDEX($A$9:A1869, MAX(IF($D$9:D1869=1, ROW(D$9:$D1869)-ROW($D$9)+1, 0)))</f>
        <v>48659</v>
      </c>
      <c r="F1870" s="23">
        <f t="shared" si="379"/>
        <v>7.1321013004791238</v>
      </c>
      <c r="G1870" s="5">
        <f>INDEX('Default Prob'!$P$5:$P$14,MIN(1+_xlfn.IFNA(MATCH(F1870,'Default Prob'!$F$5:$F$14,1),0),COUNT('Default Prob'!$P$5:$P$14)))</f>
        <v>4.1094539438249027E-2</v>
      </c>
      <c r="H1870" s="5">
        <f t="shared" si="388"/>
        <v>0.83601239229484436</v>
      </c>
      <c r="I1870" s="24">
        <f t="shared" si="389"/>
        <v>9.4065645398933029E-5</v>
      </c>
      <c r="J1870" s="25">
        <f>INDEX('Default Prob'!$C$3:$C$13, _xlfn.IFNA(MATCH(F1870, 'Default Prob'!$B$3:$B$13, 1), 1))</f>
        <v>2.29E-2</v>
      </c>
      <c r="K1870" s="26">
        <f t="shared" si="380"/>
        <v>0.85088089812141265</v>
      </c>
      <c r="L1870" s="27">
        <f t="shared" ca="1" si="381"/>
        <v>0</v>
      </c>
      <c r="M1870" s="27">
        <f t="shared" ca="1" si="382"/>
        <v>0</v>
      </c>
      <c r="N1870" s="28">
        <f t="shared" ca="1" si="383"/>
        <v>0</v>
      </c>
      <c r="O1870" s="29">
        <f t="shared" ca="1" si="384"/>
        <v>0</v>
      </c>
      <c r="P1870" s="30">
        <f t="shared" ca="1" si="385"/>
        <v>0</v>
      </c>
    </row>
    <row r="1871" spans="1:16" x14ac:dyDescent="0.25">
      <c r="A1871" s="3">
        <f t="shared" si="386"/>
        <v>48731</v>
      </c>
      <c r="B1871" s="21">
        <f t="shared" si="377"/>
        <v>36678</v>
      </c>
      <c r="C1871" s="21">
        <f t="shared" si="378"/>
        <v>36697</v>
      </c>
      <c r="D1871" s="1">
        <f t="shared" si="387"/>
        <v>0</v>
      </c>
      <c r="E1871" s="3">
        <f t="array" ref="E1871">INDEX($A$9:A1870, MAX(IF($D$9:D1870=1, ROW(D$9:$D1870)-ROW($D$9)+1, 0)))</f>
        <v>48659</v>
      </c>
      <c r="F1871" s="23">
        <f t="shared" si="379"/>
        <v>7.1348391512662559</v>
      </c>
      <c r="G1871" s="5">
        <f>INDEX('Default Prob'!$P$5:$P$14,MIN(1+_xlfn.IFNA(MATCH(F1871,'Default Prob'!$F$5:$F$14,1),0),COUNT('Default Prob'!$P$5:$P$14)))</f>
        <v>4.1094539438249027E-2</v>
      </c>
      <c r="H1871" s="5">
        <f t="shared" si="388"/>
        <v>0.83591833723224329</v>
      </c>
      <c r="I1871" s="24">
        <f t="shared" si="389"/>
        <v>9.405506260107277E-5</v>
      </c>
      <c r="J1871" s="25">
        <f>INDEX('Default Prob'!$C$3:$C$13, _xlfn.IFNA(MATCH(F1871, 'Default Prob'!$B$3:$B$13, 1), 1))</f>
        <v>2.29E-2</v>
      </c>
      <c r="K1871" s="26">
        <f t="shared" si="380"/>
        <v>0.85082815392195921</v>
      </c>
      <c r="L1871" s="27">
        <f t="shared" ca="1" si="381"/>
        <v>0</v>
      </c>
      <c r="M1871" s="27">
        <f t="shared" ca="1" si="382"/>
        <v>0</v>
      </c>
      <c r="N1871" s="28">
        <f t="shared" ca="1" si="383"/>
        <v>0</v>
      </c>
      <c r="O1871" s="29">
        <f t="shared" ca="1" si="384"/>
        <v>0</v>
      </c>
      <c r="P1871" s="30">
        <f t="shared" ca="1" si="385"/>
        <v>0</v>
      </c>
    </row>
    <row r="1872" spans="1:16" x14ac:dyDescent="0.25">
      <c r="A1872" s="3">
        <f t="shared" si="386"/>
        <v>48732</v>
      </c>
      <c r="B1872" s="21">
        <f t="shared" si="377"/>
        <v>36679</v>
      </c>
      <c r="C1872" s="21">
        <f t="shared" si="378"/>
        <v>36697</v>
      </c>
      <c r="D1872" s="1">
        <f t="shared" si="387"/>
        <v>0</v>
      </c>
      <c r="E1872" s="3">
        <f t="array" ref="E1872">INDEX($A$9:A1871, MAX(IF($D$9:D1871=1, ROW(D$9:$D1871)-ROW($D$9)+1, 0)))</f>
        <v>48659</v>
      </c>
      <c r="F1872" s="23">
        <f t="shared" si="379"/>
        <v>7.137577002053388</v>
      </c>
      <c r="G1872" s="5">
        <f>INDEX('Default Prob'!$P$5:$P$14,MIN(1+_xlfn.IFNA(MATCH(F1872,'Default Prob'!$F$5:$F$14,1),0),COUNT('Default Prob'!$P$5:$P$14)))</f>
        <v>4.1094539438249027E-2</v>
      </c>
      <c r="H1872" s="5">
        <f t="shared" si="388"/>
        <v>0.83582429275124948</v>
      </c>
      <c r="I1872" s="24">
        <f t="shared" si="389"/>
        <v>9.4044480993815682E-5</v>
      </c>
      <c r="J1872" s="25">
        <f>INDEX('Default Prob'!$C$3:$C$13, _xlfn.IFNA(MATCH(F1872, 'Default Prob'!$B$3:$B$13, 1), 1))</f>
        <v>2.29E-2</v>
      </c>
      <c r="K1872" s="26">
        <f t="shared" si="380"/>
        <v>0.85077541299200032</v>
      </c>
      <c r="L1872" s="27">
        <f t="shared" ca="1" si="381"/>
        <v>0</v>
      </c>
      <c r="M1872" s="27">
        <f t="shared" ca="1" si="382"/>
        <v>0</v>
      </c>
      <c r="N1872" s="28">
        <f t="shared" ca="1" si="383"/>
        <v>0</v>
      </c>
      <c r="O1872" s="29">
        <f t="shared" ca="1" si="384"/>
        <v>0</v>
      </c>
      <c r="P1872" s="30">
        <f t="shared" ca="1" si="385"/>
        <v>0</v>
      </c>
    </row>
    <row r="1873" spans="1:16" x14ac:dyDescent="0.25">
      <c r="A1873" s="3">
        <f t="shared" si="386"/>
        <v>48733</v>
      </c>
      <c r="B1873" s="21">
        <f t="shared" si="377"/>
        <v>36680</v>
      </c>
      <c r="C1873" s="21">
        <f t="shared" si="378"/>
        <v>36697</v>
      </c>
      <c r="D1873" s="1">
        <f t="shared" si="387"/>
        <v>0</v>
      </c>
      <c r="E1873" s="3">
        <f t="array" ref="E1873">INDEX($A$9:A1872, MAX(IF($D$9:D1872=1, ROW(D$9:$D1872)-ROW($D$9)+1, 0)))</f>
        <v>48659</v>
      </c>
      <c r="F1873" s="23">
        <f t="shared" si="379"/>
        <v>7.14031485284052</v>
      </c>
      <c r="G1873" s="5">
        <f>INDEX('Default Prob'!$P$5:$P$14,MIN(1+_xlfn.IFNA(MATCH(F1873,'Default Prob'!$F$5:$F$14,1),0),COUNT('Default Prob'!$P$5:$P$14)))</f>
        <v>4.1094539438249027E-2</v>
      </c>
      <c r="H1873" s="5">
        <f t="shared" si="388"/>
        <v>0.83573025885067243</v>
      </c>
      <c r="I1873" s="24">
        <f t="shared" si="389"/>
        <v>9.4033900577050744E-5</v>
      </c>
      <c r="J1873" s="25">
        <f>INDEX('Default Prob'!$C$3:$C$13, _xlfn.IFNA(MATCH(F1873, 'Default Prob'!$B$3:$B$13, 1), 1))</f>
        <v>2.29E-2</v>
      </c>
      <c r="K1873" s="26">
        <f t="shared" si="380"/>
        <v>0.8507226753313335</v>
      </c>
      <c r="L1873" s="27">
        <f t="shared" ca="1" si="381"/>
        <v>0</v>
      </c>
      <c r="M1873" s="27">
        <f t="shared" ca="1" si="382"/>
        <v>0</v>
      </c>
      <c r="N1873" s="28">
        <f t="shared" ca="1" si="383"/>
        <v>0</v>
      </c>
      <c r="O1873" s="29">
        <f t="shared" ca="1" si="384"/>
        <v>0</v>
      </c>
      <c r="P1873" s="30">
        <f t="shared" ca="1" si="385"/>
        <v>0</v>
      </c>
    </row>
    <row r="1874" spans="1:16" x14ac:dyDescent="0.25">
      <c r="A1874" s="3">
        <f t="shared" si="386"/>
        <v>48736</v>
      </c>
      <c r="B1874" s="21">
        <f t="shared" si="377"/>
        <v>36683</v>
      </c>
      <c r="C1874" s="21">
        <f t="shared" si="378"/>
        <v>36697</v>
      </c>
      <c r="D1874" s="1">
        <f t="shared" si="387"/>
        <v>0</v>
      </c>
      <c r="E1874" s="3">
        <f t="array" ref="E1874">INDEX($A$9:A1873, MAX(IF($D$9:D1873=1, ROW(D$9:$D1873)-ROW($D$9)+1, 0)))</f>
        <v>48659</v>
      </c>
      <c r="F1874" s="23">
        <f t="shared" si="379"/>
        <v>7.1485284052019162</v>
      </c>
      <c r="G1874" s="5">
        <f>INDEX('Default Prob'!$P$5:$P$14,MIN(1+_xlfn.IFNA(MATCH(F1874,'Default Prob'!$F$5:$F$14,1),0),COUNT('Default Prob'!$P$5:$P$14)))</f>
        <v>4.1094539438249027E-2</v>
      </c>
      <c r="H1874" s="5">
        <f t="shared" si="388"/>
        <v>0.83544822061953927</v>
      </c>
      <c r="I1874" s="24">
        <f t="shared" si="389"/>
        <v>2.8203823113315263E-4</v>
      </c>
      <c r="J1874" s="25">
        <f>INDEX('Default Prob'!$C$3:$C$13, _xlfn.IFNA(MATCH(F1874, 'Default Prob'!$B$3:$B$13, 1), 1))</f>
        <v>2.29E-2</v>
      </c>
      <c r="K1874" s="26">
        <f t="shared" si="380"/>
        <v>0.85056448196305856</v>
      </c>
      <c r="L1874" s="27">
        <f t="shared" ca="1" si="381"/>
        <v>0</v>
      </c>
      <c r="M1874" s="27">
        <f t="shared" ca="1" si="382"/>
        <v>0</v>
      </c>
      <c r="N1874" s="28">
        <f t="shared" ca="1" si="383"/>
        <v>0</v>
      </c>
      <c r="O1874" s="29">
        <f t="shared" ca="1" si="384"/>
        <v>0</v>
      </c>
      <c r="P1874" s="30">
        <f t="shared" ca="1" si="385"/>
        <v>0</v>
      </c>
    </row>
    <row r="1875" spans="1:16" x14ac:dyDescent="0.25">
      <c r="A1875" s="3">
        <f t="shared" si="386"/>
        <v>48737</v>
      </c>
      <c r="B1875" s="21">
        <f t="shared" si="377"/>
        <v>36684</v>
      </c>
      <c r="C1875" s="21">
        <f t="shared" si="378"/>
        <v>36697</v>
      </c>
      <c r="D1875" s="1">
        <f t="shared" si="387"/>
        <v>0</v>
      </c>
      <c r="E1875" s="3">
        <f t="array" ref="E1875">INDEX($A$9:A1874, MAX(IF($D$9:D1874=1, ROW(D$9:$D1874)-ROW($D$9)+1, 0)))</f>
        <v>48659</v>
      </c>
      <c r="F1875" s="23">
        <f t="shared" si="379"/>
        <v>7.1512662559890483</v>
      </c>
      <c r="G1875" s="5">
        <f>INDEX('Default Prob'!$P$5:$P$14,MIN(1+_xlfn.IFNA(MATCH(F1875,'Default Prob'!$F$5:$F$14,1),0),COUNT('Default Prob'!$P$5:$P$14)))</f>
        <v>4.1094539438249027E-2</v>
      </c>
      <c r="H1875" s="5">
        <f t="shared" si="388"/>
        <v>0.83535422902872736</v>
      </c>
      <c r="I1875" s="24">
        <f t="shared" si="389"/>
        <v>9.3991590811914882E-5</v>
      </c>
      <c r="J1875" s="25">
        <f>INDEX('Default Prob'!$C$3:$C$13, _xlfn.IFNA(MATCH(F1875, 'Default Prob'!$B$3:$B$13, 1), 1))</f>
        <v>2.29E-2</v>
      </c>
      <c r="K1875" s="26">
        <f t="shared" si="380"/>
        <v>0.85051175737753348</v>
      </c>
      <c r="L1875" s="27">
        <f t="shared" ca="1" si="381"/>
        <v>0</v>
      </c>
      <c r="M1875" s="27">
        <f t="shared" ca="1" si="382"/>
        <v>0</v>
      </c>
      <c r="N1875" s="28">
        <f t="shared" ca="1" si="383"/>
        <v>0</v>
      </c>
      <c r="O1875" s="29">
        <f t="shared" ca="1" si="384"/>
        <v>0</v>
      </c>
      <c r="P1875" s="30">
        <f t="shared" ca="1" si="385"/>
        <v>0</v>
      </c>
    </row>
    <row r="1876" spans="1:16" x14ac:dyDescent="0.25">
      <c r="A1876" s="3">
        <f t="shared" si="386"/>
        <v>48738</v>
      </c>
      <c r="B1876" s="21">
        <f t="shared" si="377"/>
        <v>36685</v>
      </c>
      <c r="C1876" s="21">
        <f t="shared" si="378"/>
        <v>36697</v>
      </c>
      <c r="D1876" s="1">
        <f t="shared" si="387"/>
        <v>0</v>
      </c>
      <c r="E1876" s="3">
        <f t="array" ref="E1876">INDEX($A$9:A1875, MAX(IF($D$9:D1875=1, ROW(D$9:$D1875)-ROW($D$9)+1, 0)))</f>
        <v>48659</v>
      </c>
      <c r="F1876" s="23">
        <f t="shared" si="379"/>
        <v>7.1540041067761804</v>
      </c>
      <c r="G1876" s="5">
        <f>INDEX('Default Prob'!$P$5:$P$14,MIN(1+_xlfn.IFNA(MATCH(F1876,'Default Prob'!$F$5:$F$14,1),0),COUNT('Default Prob'!$P$5:$P$14)))</f>
        <v>4.1094539438249027E-2</v>
      </c>
      <c r="H1876" s="5">
        <f t="shared" si="388"/>
        <v>0.83526024801238175</v>
      </c>
      <c r="I1876" s="24">
        <f t="shared" si="389"/>
        <v>9.3981016345612289E-5</v>
      </c>
      <c r="J1876" s="25">
        <f>INDEX('Default Prob'!$C$3:$C$13, _xlfn.IFNA(MATCH(F1876, 'Default Prob'!$B$3:$B$13, 1), 1))</f>
        <v>2.29E-2</v>
      </c>
      <c r="K1876" s="26">
        <f t="shared" si="380"/>
        <v>0.85045903606028717</v>
      </c>
      <c r="L1876" s="27">
        <f t="shared" ca="1" si="381"/>
        <v>0</v>
      </c>
      <c r="M1876" s="27">
        <f t="shared" ca="1" si="382"/>
        <v>0</v>
      </c>
      <c r="N1876" s="28">
        <f t="shared" ca="1" si="383"/>
        <v>0</v>
      </c>
      <c r="O1876" s="29">
        <f t="shared" ca="1" si="384"/>
        <v>0</v>
      </c>
      <c r="P1876" s="30">
        <f t="shared" ca="1" si="385"/>
        <v>0</v>
      </c>
    </row>
    <row r="1877" spans="1:16" x14ac:dyDescent="0.25">
      <c r="A1877" s="3">
        <f t="shared" si="386"/>
        <v>48739</v>
      </c>
      <c r="B1877" s="21">
        <f t="shared" si="377"/>
        <v>36686</v>
      </c>
      <c r="C1877" s="21">
        <f t="shared" si="378"/>
        <v>36697</v>
      </c>
      <c r="D1877" s="1">
        <f t="shared" si="387"/>
        <v>0</v>
      </c>
      <c r="E1877" s="3">
        <f t="array" ref="E1877">INDEX($A$9:A1876, MAX(IF($D$9:D1876=1, ROW(D$9:$D1876)-ROW($D$9)+1, 0)))</f>
        <v>48659</v>
      </c>
      <c r="F1877" s="23">
        <f t="shared" si="379"/>
        <v>7.1567419575633124</v>
      </c>
      <c r="G1877" s="5">
        <f>INDEX('Default Prob'!$P$5:$P$14,MIN(1+_xlfn.IFNA(MATCH(F1877,'Default Prob'!$F$5:$F$14,1),0),COUNT('Default Prob'!$P$5:$P$14)))</f>
        <v>4.1094539438249027E-2</v>
      </c>
      <c r="H1877" s="5">
        <f t="shared" si="388"/>
        <v>0.83516627756931294</v>
      </c>
      <c r="I1877" s="24">
        <f t="shared" si="389"/>
        <v>9.3970443068802645E-5</v>
      </c>
      <c r="J1877" s="25">
        <f>INDEX('Default Prob'!$C$3:$C$13, _xlfn.IFNA(MATCH(F1877, 'Default Prob'!$B$3:$B$13, 1), 1))</f>
        <v>2.29E-2</v>
      </c>
      <c r="K1877" s="26">
        <f t="shared" si="380"/>
        <v>0.85040631801111699</v>
      </c>
      <c r="L1877" s="27">
        <f t="shared" ca="1" si="381"/>
        <v>0</v>
      </c>
      <c r="M1877" s="27">
        <f t="shared" ca="1" si="382"/>
        <v>0</v>
      </c>
      <c r="N1877" s="28">
        <f t="shared" ca="1" si="383"/>
        <v>0</v>
      </c>
      <c r="O1877" s="29">
        <f t="shared" ca="1" si="384"/>
        <v>0</v>
      </c>
      <c r="P1877" s="30">
        <f t="shared" ca="1" si="385"/>
        <v>0</v>
      </c>
    </row>
    <row r="1878" spans="1:16" x14ac:dyDescent="0.25">
      <c r="A1878" s="3">
        <f t="shared" si="386"/>
        <v>48740</v>
      </c>
      <c r="B1878" s="21">
        <f t="shared" si="377"/>
        <v>36687</v>
      </c>
      <c r="C1878" s="21">
        <f t="shared" si="378"/>
        <v>36697</v>
      </c>
      <c r="D1878" s="1">
        <f t="shared" si="387"/>
        <v>0</v>
      </c>
      <c r="E1878" s="3">
        <f t="array" ref="E1878">INDEX($A$9:A1877, MAX(IF($D$9:D1877=1, ROW(D$9:$D1877)-ROW($D$9)+1, 0)))</f>
        <v>48659</v>
      </c>
      <c r="F1878" s="23">
        <f t="shared" si="379"/>
        <v>7.1594798083504445</v>
      </c>
      <c r="G1878" s="5">
        <f>INDEX('Default Prob'!$P$5:$P$14,MIN(1+_xlfn.IFNA(MATCH(F1878,'Default Prob'!$F$5:$F$14,1),0),COUNT('Default Prob'!$P$5:$P$14)))</f>
        <v>4.1094539438249027E-2</v>
      </c>
      <c r="H1878" s="5">
        <f t="shared" si="388"/>
        <v>0.83507231769833135</v>
      </c>
      <c r="I1878" s="24">
        <f t="shared" si="389"/>
        <v>9.3959870981596971E-5</v>
      </c>
      <c r="J1878" s="25">
        <f>INDEX('Default Prob'!$C$3:$C$13, _xlfn.IFNA(MATCH(F1878, 'Default Prob'!$B$3:$B$13, 1), 1))</f>
        <v>2.29E-2</v>
      </c>
      <c r="K1878" s="26">
        <f t="shared" si="380"/>
        <v>0.85035360322982068</v>
      </c>
      <c r="L1878" s="27">
        <f t="shared" ca="1" si="381"/>
        <v>0</v>
      </c>
      <c r="M1878" s="27">
        <f t="shared" ca="1" si="382"/>
        <v>0</v>
      </c>
      <c r="N1878" s="28">
        <f t="shared" ca="1" si="383"/>
        <v>0</v>
      </c>
      <c r="O1878" s="29">
        <f t="shared" ca="1" si="384"/>
        <v>0</v>
      </c>
      <c r="P1878" s="30">
        <f t="shared" ca="1" si="385"/>
        <v>0</v>
      </c>
    </row>
    <row r="1879" spans="1:16" x14ac:dyDescent="0.25">
      <c r="A1879" s="3">
        <f t="shared" si="386"/>
        <v>48743</v>
      </c>
      <c r="B1879" s="21">
        <f t="shared" si="377"/>
        <v>36690</v>
      </c>
      <c r="C1879" s="21">
        <f t="shared" si="378"/>
        <v>36697</v>
      </c>
      <c r="D1879" s="1">
        <f t="shared" si="387"/>
        <v>0</v>
      </c>
      <c r="E1879" s="3">
        <f t="array" ref="E1879">INDEX($A$9:A1878, MAX(IF($D$9:D1878=1, ROW(D$9:$D1878)-ROW($D$9)+1, 0)))</f>
        <v>48659</v>
      </c>
      <c r="F1879" s="23">
        <f t="shared" si="379"/>
        <v>7.1676933607118416</v>
      </c>
      <c r="G1879" s="5">
        <f>INDEX('Default Prob'!$P$5:$P$14,MIN(1+_xlfn.IFNA(MATCH(F1879,'Default Prob'!$F$5:$F$14,1),0),COUNT('Default Prob'!$P$5:$P$14)))</f>
        <v>4.1094539438249027E-2</v>
      </c>
      <c r="H1879" s="5">
        <f t="shared" si="388"/>
        <v>0.83479050150601608</v>
      </c>
      <c r="I1879" s="24">
        <f t="shared" si="389"/>
        <v>2.8181619231526511E-4</v>
      </c>
      <c r="J1879" s="25">
        <f>INDEX('Default Prob'!$C$3:$C$13, _xlfn.IFNA(MATCH(F1879, 'Default Prob'!$B$3:$B$13, 1), 1))</f>
        <v>2.29E-2</v>
      </c>
      <c r="K1879" s="26">
        <f t="shared" si="380"/>
        <v>0.85019547849114807</v>
      </c>
      <c r="L1879" s="27">
        <f t="shared" ca="1" si="381"/>
        <v>0</v>
      </c>
      <c r="M1879" s="27">
        <f t="shared" ca="1" si="382"/>
        <v>0</v>
      </c>
      <c r="N1879" s="28">
        <f t="shared" ca="1" si="383"/>
        <v>0</v>
      </c>
      <c r="O1879" s="29">
        <f t="shared" ca="1" si="384"/>
        <v>0</v>
      </c>
      <c r="P1879" s="30">
        <f t="shared" ca="1" si="385"/>
        <v>0</v>
      </c>
    </row>
    <row r="1880" spans="1:16" x14ac:dyDescent="0.25">
      <c r="A1880" s="3">
        <f t="shared" si="386"/>
        <v>48744</v>
      </c>
      <c r="B1880" s="21">
        <f t="shared" si="377"/>
        <v>36691</v>
      </c>
      <c r="C1880" s="21">
        <f t="shared" si="378"/>
        <v>36697</v>
      </c>
      <c r="D1880" s="1">
        <f t="shared" si="387"/>
        <v>0</v>
      </c>
      <c r="E1880" s="3">
        <f t="array" ref="E1880">INDEX($A$9:A1879, MAX(IF($D$9:D1879=1, ROW(D$9:$D1879)-ROW($D$9)+1, 0)))</f>
        <v>48659</v>
      </c>
      <c r="F1880" s="23">
        <f t="shared" si="379"/>
        <v>7.1704312114989737</v>
      </c>
      <c r="G1880" s="5">
        <f>INDEX('Default Prob'!$P$5:$P$14,MIN(1+_xlfn.IFNA(MATCH(F1880,'Default Prob'!$F$5:$F$14,1),0),COUNT('Default Prob'!$P$5:$P$14)))</f>
        <v>4.1094539438249027E-2</v>
      </c>
      <c r="H1880" s="5">
        <f t="shared" si="388"/>
        <v>0.83469658391149049</v>
      </c>
      <c r="I1880" s="24">
        <f t="shared" si="389"/>
        <v>9.3917594525594339E-5</v>
      </c>
      <c r="J1880" s="25">
        <f>INDEX('Default Prob'!$C$3:$C$13, _xlfn.IFNA(MATCH(F1880, 'Default Prob'!$B$3:$B$13, 1), 1))</f>
        <v>2.29E-2</v>
      </c>
      <c r="K1880" s="26">
        <f t="shared" si="380"/>
        <v>0.85014277677932093</v>
      </c>
      <c r="L1880" s="27">
        <f t="shared" ca="1" si="381"/>
        <v>0</v>
      </c>
      <c r="M1880" s="27">
        <f t="shared" ca="1" si="382"/>
        <v>0</v>
      </c>
      <c r="N1880" s="28">
        <f t="shared" ca="1" si="383"/>
        <v>0</v>
      </c>
      <c r="O1880" s="29">
        <f t="shared" ca="1" si="384"/>
        <v>0</v>
      </c>
      <c r="P1880" s="30">
        <f t="shared" ca="1" si="385"/>
        <v>0</v>
      </c>
    </row>
    <row r="1881" spans="1:16" x14ac:dyDescent="0.25">
      <c r="A1881" s="3">
        <f t="shared" si="386"/>
        <v>48745</v>
      </c>
      <c r="B1881" s="21">
        <f t="shared" si="377"/>
        <v>36692</v>
      </c>
      <c r="C1881" s="21">
        <f t="shared" si="378"/>
        <v>36697</v>
      </c>
      <c r="D1881" s="1">
        <f t="shared" si="387"/>
        <v>0</v>
      </c>
      <c r="E1881" s="3">
        <f t="array" ref="E1881">INDEX($A$9:A1880, MAX(IF($D$9:D1880=1, ROW(D$9:$D1880)-ROW($D$9)+1, 0)))</f>
        <v>48659</v>
      </c>
      <c r="F1881" s="23">
        <f t="shared" si="379"/>
        <v>7.1731690622861057</v>
      </c>
      <c r="G1881" s="5">
        <f>INDEX('Default Prob'!$P$5:$P$14,MIN(1+_xlfn.IFNA(MATCH(F1881,'Default Prob'!$F$5:$F$14,1),0),COUNT('Default Prob'!$P$5:$P$14)))</f>
        <v>4.1094539438249027E-2</v>
      </c>
      <c r="H1881" s="5">
        <f t="shared" si="388"/>
        <v>0.83460267688310641</v>
      </c>
      <c r="I1881" s="24">
        <f t="shared" si="389"/>
        <v>9.3907028384077051E-5</v>
      </c>
      <c r="J1881" s="25">
        <f>INDEX('Default Prob'!$C$3:$C$13, _xlfn.IFNA(MATCH(F1881, 'Default Prob'!$B$3:$B$13, 1), 1))</f>
        <v>2.29E-2</v>
      </c>
      <c r="K1881" s="26">
        <f t="shared" si="380"/>
        <v>0.85009007833435479</v>
      </c>
      <c r="L1881" s="27">
        <f t="shared" ca="1" si="381"/>
        <v>0</v>
      </c>
      <c r="M1881" s="27">
        <f t="shared" ca="1" si="382"/>
        <v>0</v>
      </c>
      <c r="N1881" s="28">
        <f t="shared" ca="1" si="383"/>
        <v>0</v>
      </c>
      <c r="O1881" s="29">
        <f t="shared" ca="1" si="384"/>
        <v>0</v>
      </c>
      <c r="P1881" s="30">
        <f t="shared" ca="1" si="385"/>
        <v>0</v>
      </c>
    </row>
    <row r="1882" spans="1:16" x14ac:dyDescent="0.25">
      <c r="A1882" s="3">
        <f t="shared" si="386"/>
        <v>48746</v>
      </c>
      <c r="B1882" s="21">
        <f t="shared" si="377"/>
        <v>36693</v>
      </c>
      <c r="C1882" s="21">
        <f t="shared" si="378"/>
        <v>36697</v>
      </c>
      <c r="D1882" s="1">
        <f t="shared" si="387"/>
        <v>0</v>
      </c>
      <c r="E1882" s="3">
        <f t="array" ref="E1882">INDEX($A$9:A1881, MAX(IF($D$9:D1881=1, ROW(D$9:$D1881)-ROW($D$9)+1, 0)))</f>
        <v>48659</v>
      </c>
      <c r="F1882" s="23">
        <f t="shared" si="379"/>
        <v>7.1759069130732378</v>
      </c>
      <c r="G1882" s="5">
        <f>INDEX('Default Prob'!$P$5:$P$14,MIN(1+_xlfn.IFNA(MATCH(F1882,'Default Prob'!$F$5:$F$14,1),0),COUNT('Default Prob'!$P$5:$P$14)))</f>
        <v>4.1094539438249027E-2</v>
      </c>
      <c r="H1882" s="5">
        <f t="shared" si="388"/>
        <v>0.83450878041967513</v>
      </c>
      <c r="I1882" s="24">
        <f t="shared" si="389"/>
        <v>9.3896463431275556E-5</v>
      </c>
      <c r="J1882" s="25">
        <f>INDEX('Default Prob'!$C$3:$C$13, _xlfn.IFNA(MATCH(F1882, 'Default Prob'!$B$3:$B$13, 1), 1))</f>
        <v>2.29E-2</v>
      </c>
      <c r="K1882" s="26">
        <f t="shared" si="380"/>
        <v>0.85003738315604704</v>
      </c>
      <c r="L1882" s="27">
        <f t="shared" ca="1" si="381"/>
        <v>0</v>
      </c>
      <c r="M1882" s="27">
        <f t="shared" ca="1" si="382"/>
        <v>0</v>
      </c>
      <c r="N1882" s="28">
        <f t="shared" ca="1" si="383"/>
        <v>0</v>
      </c>
      <c r="O1882" s="29">
        <f t="shared" ca="1" si="384"/>
        <v>0</v>
      </c>
      <c r="P1882" s="30">
        <f t="shared" ca="1" si="385"/>
        <v>0</v>
      </c>
    </row>
    <row r="1883" spans="1:16" x14ac:dyDescent="0.25">
      <c r="A1883" s="3">
        <f t="shared" si="386"/>
        <v>48747</v>
      </c>
      <c r="B1883" s="21">
        <f t="shared" si="377"/>
        <v>36694</v>
      </c>
      <c r="C1883" s="21">
        <f t="shared" si="378"/>
        <v>36697</v>
      </c>
      <c r="D1883" s="1">
        <f t="shared" si="387"/>
        <v>0</v>
      </c>
      <c r="E1883" s="3">
        <f t="array" ref="E1883">INDEX($A$9:A1882, MAX(IF($D$9:D1882=1, ROW(D$9:$D1882)-ROW($D$9)+1, 0)))</f>
        <v>48659</v>
      </c>
      <c r="F1883" s="23">
        <f t="shared" si="379"/>
        <v>7.1786447638603699</v>
      </c>
      <c r="G1883" s="5">
        <f>INDEX('Default Prob'!$P$5:$P$14,MIN(1+_xlfn.IFNA(MATCH(F1883,'Default Prob'!$F$5:$F$14,1),0),COUNT('Default Prob'!$P$5:$P$14)))</f>
        <v>4.1094539438249027E-2</v>
      </c>
      <c r="H1883" s="5">
        <f t="shared" si="388"/>
        <v>0.83441489452000794</v>
      </c>
      <c r="I1883" s="24">
        <f t="shared" si="389"/>
        <v>9.3885899667189854E-5</v>
      </c>
      <c r="J1883" s="25">
        <f>INDEX('Default Prob'!$C$3:$C$13, _xlfn.IFNA(MATCH(F1883, 'Default Prob'!$B$3:$B$13, 1), 1))</f>
        <v>2.29E-2</v>
      </c>
      <c r="K1883" s="26">
        <f t="shared" si="380"/>
        <v>0.8499846912441954</v>
      </c>
      <c r="L1883" s="27">
        <f t="shared" ca="1" si="381"/>
        <v>0</v>
      </c>
      <c r="M1883" s="27">
        <f t="shared" ca="1" si="382"/>
        <v>0</v>
      </c>
      <c r="N1883" s="28">
        <f t="shared" ca="1" si="383"/>
        <v>0</v>
      </c>
      <c r="O1883" s="29">
        <f t="shared" ca="1" si="384"/>
        <v>0</v>
      </c>
      <c r="P1883" s="30">
        <f t="shared" ca="1" si="385"/>
        <v>0</v>
      </c>
    </row>
    <row r="1884" spans="1:16" x14ac:dyDescent="0.25">
      <c r="A1884" s="3">
        <f t="shared" si="386"/>
        <v>48750</v>
      </c>
      <c r="B1884" s="21">
        <f t="shared" si="377"/>
        <v>36697</v>
      </c>
      <c r="C1884" s="21">
        <f t="shared" si="378"/>
        <v>36697</v>
      </c>
      <c r="D1884" s="1">
        <f t="shared" si="387"/>
        <v>1</v>
      </c>
      <c r="E1884" s="3">
        <f t="array" ref="E1884">INDEX($A$9:A1883, MAX(IF($D$9:D1883=1, ROW(D$9:$D1883)-ROW($D$9)+1, 0)))</f>
        <v>48659</v>
      </c>
      <c r="F1884" s="23">
        <f t="shared" si="379"/>
        <v>7.1868583162217661</v>
      </c>
      <c r="G1884" s="5">
        <f>INDEX('Default Prob'!$P$5:$P$14,MIN(1+_xlfn.IFNA(MATCH(F1884,'Default Prob'!$F$5:$F$14,1),0),COUNT('Default Prob'!$P$5:$P$14)))</f>
        <v>4.1094539438249027E-2</v>
      </c>
      <c r="H1884" s="5">
        <f t="shared" si="388"/>
        <v>0.83413330019170728</v>
      </c>
      <c r="I1884" s="24">
        <f t="shared" si="389"/>
        <v>2.8159432830066056E-4</v>
      </c>
      <c r="J1884" s="25">
        <f>INDEX('Default Prob'!$C$3:$C$13, _xlfn.IFNA(MATCH(F1884, 'Default Prob'!$B$3:$B$13, 1), 1))</f>
        <v>2.29E-2</v>
      </c>
      <c r="K1884" s="26">
        <f t="shared" si="380"/>
        <v>0.84982663510535117</v>
      </c>
      <c r="L1884" s="27">
        <f t="shared" ca="1" si="381"/>
        <v>0</v>
      </c>
      <c r="M1884" s="27">
        <f t="shared" ca="1" si="382"/>
        <v>0</v>
      </c>
      <c r="N1884" s="28">
        <f t="shared" ca="1" si="383"/>
        <v>0</v>
      </c>
      <c r="O1884" s="29">
        <f t="shared" ca="1" si="384"/>
        <v>0</v>
      </c>
      <c r="P1884" s="30">
        <f t="shared" ca="1" si="385"/>
        <v>0</v>
      </c>
    </row>
    <row r="1885" spans="1:16" x14ac:dyDescent="0.25">
      <c r="A1885" s="3">
        <f t="shared" si="386"/>
        <v>48751</v>
      </c>
      <c r="B1885" s="21">
        <f t="shared" si="377"/>
        <v>36698</v>
      </c>
      <c r="C1885" s="21">
        <f t="shared" si="378"/>
        <v>36789</v>
      </c>
      <c r="D1885" s="1">
        <f t="shared" si="387"/>
        <v>0</v>
      </c>
      <c r="E1885" s="3">
        <f t="array" ref="E1885">INDEX($A$9:A1884, MAX(IF($D$9:D1884=1, ROW(D$9:$D1884)-ROW($D$9)+1, 0)))</f>
        <v>48750</v>
      </c>
      <c r="F1885" s="23">
        <f t="shared" si="379"/>
        <v>7.1895961670088981</v>
      </c>
      <c r="G1885" s="5">
        <f>INDEX('Default Prob'!$P$5:$P$14,MIN(1+_xlfn.IFNA(MATCH(F1885,'Default Prob'!$F$5:$F$14,1),0),COUNT('Default Prob'!$P$5:$P$14)))</f>
        <v>4.1094539438249027E-2</v>
      </c>
      <c r="H1885" s="5">
        <f t="shared" si="388"/>
        <v>0.83403945653521339</v>
      </c>
      <c r="I1885" s="24">
        <f t="shared" si="389"/>
        <v>9.3843656493897143E-5</v>
      </c>
      <c r="J1885" s="25">
        <f>INDEX('Default Prob'!$C$3:$C$13, _xlfn.IFNA(MATCH(F1885, 'Default Prob'!$B$3:$B$13, 1), 1))</f>
        <v>2.29E-2</v>
      </c>
      <c r="K1885" s="26">
        <f t="shared" si="380"/>
        <v>0.84977395625729868</v>
      </c>
      <c r="L1885" s="27">
        <f t="shared" ca="1" si="381"/>
        <v>0</v>
      </c>
      <c r="M1885" s="27">
        <f t="shared" ca="1" si="382"/>
        <v>0</v>
      </c>
      <c r="N1885" s="28">
        <f t="shared" ca="1" si="383"/>
        <v>0</v>
      </c>
      <c r="O1885" s="29">
        <f t="shared" ca="1" si="384"/>
        <v>0</v>
      </c>
      <c r="P1885" s="30">
        <f t="shared" ca="1" si="385"/>
        <v>0</v>
      </c>
    </row>
    <row r="1886" spans="1:16" x14ac:dyDescent="0.25">
      <c r="A1886" s="3">
        <f t="shared" si="386"/>
        <v>48752</v>
      </c>
      <c r="B1886" s="21">
        <f t="shared" si="377"/>
        <v>36699</v>
      </c>
      <c r="C1886" s="21">
        <f t="shared" si="378"/>
        <v>36789</v>
      </c>
      <c r="D1886" s="1">
        <f t="shared" si="387"/>
        <v>0</v>
      </c>
      <c r="E1886" s="3">
        <f t="array" ref="E1886">INDEX($A$9:A1885, MAX(IF($D$9:D1885=1, ROW(D$9:$D1885)-ROW($D$9)+1, 0)))</f>
        <v>48750</v>
      </c>
      <c r="F1886" s="23">
        <f t="shared" si="379"/>
        <v>7.1923340177960302</v>
      </c>
      <c r="G1886" s="5">
        <f>INDEX('Default Prob'!$P$5:$P$14,MIN(1+_xlfn.IFNA(MATCH(F1886,'Default Prob'!$F$5:$F$14,1),0),COUNT('Default Prob'!$P$5:$P$14)))</f>
        <v>4.1094539438249027E-2</v>
      </c>
      <c r="H1886" s="5">
        <f t="shared" si="388"/>
        <v>0.83394562343654266</v>
      </c>
      <c r="I1886" s="24">
        <f t="shared" si="389"/>
        <v>9.3833098670725867E-5</v>
      </c>
      <c r="J1886" s="25">
        <f>INDEX('Default Prob'!$C$3:$C$13, _xlfn.IFNA(MATCH(F1886, 'Default Prob'!$B$3:$B$13, 1), 1))</f>
        <v>2.29E-2</v>
      </c>
      <c r="K1886" s="26">
        <f t="shared" si="380"/>
        <v>0.84972128067468977</v>
      </c>
      <c r="L1886" s="27">
        <f t="shared" ca="1" si="381"/>
        <v>0</v>
      </c>
      <c r="M1886" s="27">
        <f t="shared" ca="1" si="382"/>
        <v>0</v>
      </c>
      <c r="N1886" s="28">
        <f t="shared" ca="1" si="383"/>
        <v>0</v>
      </c>
      <c r="O1886" s="29">
        <f t="shared" ca="1" si="384"/>
        <v>0</v>
      </c>
      <c r="P1886" s="30">
        <f t="shared" ca="1" si="385"/>
        <v>0</v>
      </c>
    </row>
    <row r="1887" spans="1:16" x14ac:dyDescent="0.25">
      <c r="A1887" s="3">
        <f t="shared" si="386"/>
        <v>48753</v>
      </c>
      <c r="B1887" s="21">
        <f t="shared" si="377"/>
        <v>36700</v>
      </c>
      <c r="C1887" s="21">
        <f t="shared" si="378"/>
        <v>36789</v>
      </c>
      <c r="D1887" s="1">
        <f t="shared" si="387"/>
        <v>0</v>
      </c>
      <c r="E1887" s="3">
        <f t="array" ref="E1887">INDEX($A$9:A1886, MAX(IF($D$9:D1886=1, ROW(D$9:$D1886)-ROW($D$9)+1, 0)))</f>
        <v>48750</v>
      </c>
      <c r="F1887" s="23">
        <f t="shared" si="379"/>
        <v>7.1950718685831623</v>
      </c>
      <c r="G1887" s="5">
        <f>INDEX('Default Prob'!$P$5:$P$14,MIN(1+_xlfn.IFNA(MATCH(F1887,'Default Prob'!$F$5:$F$14,1),0),COUNT('Default Prob'!$P$5:$P$14)))</f>
        <v>4.1094539438249027E-2</v>
      </c>
      <c r="H1887" s="5">
        <f t="shared" si="388"/>
        <v>0.83385180089450728</v>
      </c>
      <c r="I1887" s="24">
        <f t="shared" si="389"/>
        <v>9.3822542035382206E-5</v>
      </c>
      <c r="J1887" s="25">
        <f>INDEX('Default Prob'!$C$3:$C$13, _xlfn.IFNA(MATCH(F1887, 'Default Prob'!$B$3:$B$13, 1), 1))</f>
        <v>2.29E-2</v>
      </c>
      <c r="K1887" s="26">
        <f t="shared" si="380"/>
        <v>0.84966860835732239</v>
      </c>
      <c r="L1887" s="27">
        <f t="shared" ca="1" si="381"/>
        <v>0</v>
      </c>
      <c r="M1887" s="27">
        <f t="shared" ca="1" si="382"/>
        <v>0</v>
      </c>
      <c r="N1887" s="28">
        <f t="shared" ca="1" si="383"/>
        <v>0</v>
      </c>
      <c r="O1887" s="29">
        <f t="shared" ca="1" si="384"/>
        <v>0</v>
      </c>
      <c r="P1887" s="30">
        <f t="shared" ca="1" si="385"/>
        <v>0</v>
      </c>
    </row>
    <row r="1888" spans="1:16" x14ac:dyDescent="0.25">
      <c r="A1888" s="3">
        <f t="shared" si="386"/>
        <v>48754</v>
      </c>
      <c r="B1888" s="21">
        <f t="shared" si="377"/>
        <v>36701</v>
      </c>
      <c r="C1888" s="21">
        <f t="shared" si="378"/>
        <v>36789</v>
      </c>
      <c r="D1888" s="1">
        <f t="shared" si="387"/>
        <v>0</v>
      </c>
      <c r="E1888" s="3">
        <f t="array" ref="E1888">INDEX($A$9:A1887, MAX(IF($D$9:D1887=1, ROW(D$9:$D1887)-ROW($D$9)+1, 0)))</f>
        <v>48750</v>
      </c>
      <c r="F1888" s="23">
        <f t="shared" si="379"/>
        <v>7.1978097193702943</v>
      </c>
      <c r="G1888" s="5">
        <f>INDEX('Default Prob'!$P$5:$P$14,MIN(1+_xlfn.IFNA(MATCH(F1888,'Default Prob'!$F$5:$F$14,1),0),COUNT('Default Prob'!$P$5:$P$14)))</f>
        <v>4.1094539438249027E-2</v>
      </c>
      <c r="H1888" s="5">
        <f t="shared" si="388"/>
        <v>0.83375798890791952</v>
      </c>
      <c r="I1888" s="24">
        <f t="shared" si="389"/>
        <v>9.3811986587755136E-5</v>
      </c>
      <c r="J1888" s="25">
        <f>INDEX('Default Prob'!$C$3:$C$13, _xlfn.IFNA(MATCH(F1888, 'Default Prob'!$B$3:$B$13, 1), 1))</f>
        <v>2.29E-2</v>
      </c>
      <c r="K1888" s="26">
        <f t="shared" si="380"/>
        <v>0.84961593930499379</v>
      </c>
      <c r="L1888" s="27">
        <f t="shared" ca="1" si="381"/>
        <v>0</v>
      </c>
      <c r="M1888" s="27">
        <f t="shared" ca="1" si="382"/>
        <v>0</v>
      </c>
      <c r="N1888" s="28">
        <f t="shared" ca="1" si="383"/>
        <v>0</v>
      </c>
      <c r="O1888" s="29">
        <f t="shared" ca="1" si="384"/>
        <v>0</v>
      </c>
      <c r="P1888" s="30">
        <f t="shared" ca="1" si="385"/>
        <v>0</v>
      </c>
    </row>
    <row r="1889" spans="1:16" x14ac:dyDescent="0.25">
      <c r="A1889" s="3">
        <f t="shared" si="386"/>
        <v>48757</v>
      </c>
      <c r="B1889" s="21">
        <f t="shared" si="377"/>
        <v>36704</v>
      </c>
      <c r="C1889" s="21">
        <f t="shared" si="378"/>
        <v>36789</v>
      </c>
      <c r="D1889" s="1">
        <f t="shared" si="387"/>
        <v>0</v>
      </c>
      <c r="E1889" s="3">
        <f t="array" ref="E1889">INDEX($A$9:A1888, MAX(IF($D$9:D1888=1, ROW(D$9:$D1888)-ROW($D$9)+1, 0)))</f>
        <v>48750</v>
      </c>
      <c r="F1889" s="23">
        <f t="shared" si="379"/>
        <v>7.2060232717316905</v>
      </c>
      <c r="G1889" s="5">
        <f>INDEX('Default Prob'!$P$5:$P$14,MIN(1+_xlfn.IFNA(MATCH(F1889,'Default Prob'!$F$5:$F$14,1),0),COUNT('Default Prob'!$P$5:$P$14)))</f>
        <v>4.1094539438249027E-2</v>
      </c>
      <c r="H1889" s="5">
        <f t="shared" si="388"/>
        <v>0.83347661626896763</v>
      </c>
      <c r="I1889" s="24">
        <f t="shared" si="389"/>
        <v>2.8137263895189335E-4</v>
      </c>
      <c r="J1889" s="25">
        <f>INDEX('Default Prob'!$C$3:$C$13, _xlfn.IFNA(MATCH(F1889, 'Default Prob'!$B$3:$B$13, 1), 1))</f>
        <v>2.29E-2</v>
      </c>
      <c r="K1889" s="26">
        <f t="shared" si="380"/>
        <v>0.84945795173621708</v>
      </c>
      <c r="L1889" s="27">
        <f t="shared" ca="1" si="381"/>
        <v>0</v>
      </c>
      <c r="M1889" s="27">
        <f t="shared" ca="1" si="382"/>
        <v>0</v>
      </c>
      <c r="N1889" s="28">
        <f t="shared" ca="1" si="383"/>
        <v>0</v>
      </c>
      <c r="O1889" s="29">
        <f t="shared" ca="1" si="384"/>
        <v>0</v>
      </c>
      <c r="P1889" s="30">
        <f t="shared" ca="1" si="385"/>
        <v>0</v>
      </c>
    </row>
    <row r="1890" spans="1:16" x14ac:dyDescent="0.25">
      <c r="A1890" s="3">
        <f t="shared" si="386"/>
        <v>48758</v>
      </c>
      <c r="B1890" s="21">
        <f t="shared" si="377"/>
        <v>36705</v>
      </c>
      <c r="C1890" s="21">
        <f t="shared" si="378"/>
        <v>36789</v>
      </c>
      <c r="D1890" s="1">
        <f t="shared" si="387"/>
        <v>0</v>
      </c>
      <c r="E1890" s="3">
        <f t="array" ref="E1890">INDEX($A$9:A1889, MAX(IF($D$9:D1889=1, ROW(D$9:$D1889)-ROW($D$9)+1, 0)))</f>
        <v>48750</v>
      </c>
      <c r="F1890" s="23">
        <f t="shared" si="379"/>
        <v>7.2087611225188226</v>
      </c>
      <c r="G1890" s="5">
        <f>INDEX('Default Prob'!$P$5:$P$14,MIN(1+_xlfn.IFNA(MATCH(F1890,'Default Prob'!$F$5:$F$14,1),0),COUNT('Default Prob'!$P$5:$P$14)))</f>
        <v>4.1094539438249027E-2</v>
      </c>
      <c r="H1890" s="5">
        <f t="shared" si="388"/>
        <v>0.83338284649229666</v>
      </c>
      <c r="I1890" s="24">
        <f t="shared" si="389"/>
        <v>9.3769776670971083E-5</v>
      </c>
      <c r="J1890" s="25">
        <f>INDEX('Default Prob'!$C$3:$C$13, _xlfn.IFNA(MATCH(F1890, 'Default Prob'!$B$3:$B$13, 1), 1))</f>
        <v>2.29E-2</v>
      </c>
      <c r="K1890" s="26">
        <f t="shared" si="380"/>
        <v>0.84940529574202017</v>
      </c>
      <c r="L1890" s="27">
        <f t="shared" ca="1" si="381"/>
        <v>0</v>
      </c>
      <c r="M1890" s="27">
        <f t="shared" ca="1" si="382"/>
        <v>0</v>
      </c>
      <c r="N1890" s="28">
        <f t="shared" ca="1" si="383"/>
        <v>0</v>
      </c>
      <c r="O1890" s="29">
        <f t="shared" ca="1" si="384"/>
        <v>0</v>
      </c>
      <c r="P1890" s="30">
        <f t="shared" ca="1" si="385"/>
        <v>0</v>
      </c>
    </row>
    <row r="1891" spans="1:16" x14ac:dyDescent="0.25">
      <c r="A1891" s="3">
        <f t="shared" si="386"/>
        <v>48759</v>
      </c>
      <c r="B1891" s="21">
        <f t="shared" si="377"/>
        <v>36706</v>
      </c>
      <c r="C1891" s="21">
        <f t="shared" si="378"/>
        <v>36789</v>
      </c>
      <c r="D1891" s="1">
        <f t="shared" si="387"/>
        <v>0</v>
      </c>
      <c r="E1891" s="3">
        <f t="array" ref="E1891">INDEX($A$9:A1890, MAX(IF($D$9:D1890=1, ROW(D$9:$D1890)-ROW($D$9)+1, 0)))</f>
        <v>48750</v>
      </c>
      <c r="F1891" s="23">
        <f t="shared" si="379"/>
        <v>7.2114989733059547</v>
      </c>
      <c r="G1891" s="5">
        <f>INDEX('Default Prob'!$P$5:$P$14,MIN(1+_xlfn.IFNA(MATCH(F1891,'Default Prob'!$F$5:$F$14,1),0),COUNT('Default Prob'!$P$5:$P$14)))</f>
        <v>4.1094539438249027E-2</v>
      </c>
      <c r="H1891" s="5">
        <f t="shared" si="388"/>
        <v>0.83328908726513695</v>
      </c>
      <c r="I1891" s="24">
        <f t="shared" si="389"/>
        <v>9.3759227159706526E-5</v>
      </c>
      <c r="J1891" s="25">
        <f>INDEX('Default Prob'!$C$3:$C$13, _xlfn.IFNA(MATCH(F1891, 'Default Prob'!$B$3:$B$13, 1), 1))</f>
        <v>2.29E-2</v>
      </c>
      <c r="K1891" s="26">
        <f t="shared" si="380"/>
        <v>0.84935264301185021</v>
      </c>
      <c r="L1891" s="27">
        <f t="shared" ca="1" si="381"/>
        <v>0</v>
      </c>
      <c r="M1891" s="27">
        <f t="shared" ca="1" si="382"/>
        <v>0</v>
      </c>
      <c r="N1891" s="28">
        <f t="shared" ca="1" si="383"/>
        <v>0</v>
      </c>
      <c r="O1891" s="29">
        <f t="shared" ca="1" si="384"/>
        <v>0</v>
      </c>
      <c r="P1891" s="30">
        <f t="shared" ca="1" si="385"/>
        <v>0</v>
      </c>
    </row>
    <row r="1892" spans="1:16" x14ac:dyDescent="0.25">
      <c r="A1892" s="3">
        <f t="shared" si="386"/>
        <v>48760</v>
      </c>
      <c r="B1892" s="21">
        <f t="shared" si="377"/>
        <v>36707</v>
      </c>
      <c r="C1892" s="21">
        <f t="shared" si="378"/>
        <v>36789</v>
      </c>
      <c r="D1892" s="1">
        <f t="shared" si="387"/>
        <v>0</v>
      </c>
      <c r="E1892" s="3">
        <f t="array" ref="E1892">INDEX($A$9:A1891, MAX(IF($D$9:D1891=1, ROW(D$9:$D1891)-ROW($D$9)+1, 0)))</f>
        <v>48750</v>
      </c>
      <c r="F1892" s="23">
        <f t="shared" si="379"/>
        <v>7.2142368240930868</v>
      </c>
      <c r="G1892" s="5">
        <f>INDEX('Default Prob'!$P$5:$P$14,MIN(1+_xlfn.IFNA(MATCH(F1892,'Default Prob'!$F$5:$F$14,1),0),COUNT('Default Prob'!$P$5:$P$14)))</f>
        <v>4.1094539438249027E-2</v>
      </c>
      <c r="H1892" s="5">
        <f t="shared" si="388"/>
        <v>0.83319533858630179</v>
      </c>
      <c r="I1892" s="24">
        <f t="shared" si="389"/>
        <v>9.374867883515936E-5</v>
      </c>
      <c r="J1892" s="25">
        <f>INDEX('Default Prob'!$C$3:$C$13, _xlfn.IFNA(MATCH(F1892, 'Default Prob'!$B$3:$B$13, 1), 1))</f>
        <v>2.29E-2</v>
      </c>
      <c r="K1892" s="26">
        <f t="shared" si="380"/>
        <v>0.84929999354550523</v>
      </c>
      <c r="L1892" s="27">
        <f t="shared" ca="1" si="381"/>
        <v>0</v>
      </c>
      <c r="M1892" s="27">
        <f t="shared" ca="1" si="382"/>
        <v>0</v>
      </c>
      <c r="N1892" s="28">
        <f t="shared" ca="1" si="383"/>
        <v>0</v>
      </c>
      <c r="O1892" s="29">
        <f t="shared" ca="1" si="384"/>
        <v>0</v>
      </c>
      <c r="P1892" s="30">
        <f t="shared" ca="1" si="385"/>
        <v>0</v>
      </c>
    </row>
    <row r="1893" spans="1:16" x14ac:dyDescent="0.25">
      <c r="A1893" s="3">
        <f t="shared" si="386"/>
        <v>48761</v>
      </c>
      <c r="B1893" s="21">
        <f t="shared" si="377"/>
        <v>36708</v>
      </c>
      <c r="C1893" s="21">
        <f t="shared" si="378"/>
        <v>36789</v>
      </c>
      <c r="D1893" s="1">
        <f t="shared" si="387"/>
        <v>0</v>
      </c>
      <c r="E1893" s="3">
        <f t="array" ref="E1893">INDEX($A$9:A1892, MAX(IF($D$9:D1892=1, ROW(D$9:$D1892)-ROW($D$9)+1, 0)))</f>
        <v>48750</v>
      </c>
      <c r="F1893" s="23">
        <f t="shared" si="379"/>
        <v>7.2169746748802188</v>
      </c>
      <c r="G1893" s="5">
        <f>INDEX('Default Prob'!$P$5:$P$14,MIN(1+_xlfn.IFNA(MATCH(F1893,'Default Prob'!$F$5:$F$14,1),0),COUNT('Default Prob'!$P$5:$P$14)))</f>
        <v>4.1094539438249027E-2</v>
      </c>
      <c r="H1893" s="5">
        <f t="shared" si="388"/>
        <v>0.83310160045460435</v>
      </c>
      <c r="I1893" s="24">
        <f t="shared" si="389"/>
        <v>9.3738131697440608E-5</v>
      </c>
      <c r="J1893" s="25">
        <f>INDEX('Default Prob'!$C$3:$C$13, _xlfn.IFNA(MATCH(F1893, 'Default Prob'!$B$3:$B$13, 1), 1))</f>
        <v>2.29E-2</v>
      </c>
      <c r="K1893" s="26">
        <f t="shared" si="380"/>
        <v>0.8492473473427824</v>
      </c>
      <c r="L1893" s="27">
        <f t="shared" ca="1" si="381"/>
        <v>0</v>
      </c>
      <c r="M1893" s="27">
        <f t="shared" ca="1" si="382"/>
        <v>0</v>
      </c>
      <c r="N1893" s="28">
        <f t="shared" ca="1" si="383"/>
        <v>0</v>
      </c>
      <c r="O1893" s="29">
        <f t="shared" ca="1" si="384"/>
        <v>0</v>
      </c>
      <c r="P1893" s="30">
        <f t="shared" ca="1" si="385"/>
        <v>0</v>
      </c>
    </row>
    <row r="1894" spans="1:16" x14ac:dyDescent="0.25">
      <c r="A1894" s="3">
        <f t="shared" si="386"/>
        <v>48764</v>
      </c>
      <c r="B1894" s="21">
        <f t="shared" si="377"/>
        <v>36711</v>
      </c>
      <c r="C1894" s="21">
        <f t="shared" si="378"/>
        <v>36789</v>
      </c>
      <c r="D1894" s="1">
        <f t="shared" si="387"/>
        <v>0</v>
      </c>
      <c r="E1894" s="3">
        <f t="array" ref="E1894">INDEX($A$9:A1893, MAX(IF($D$9:D1893=1, ROW(D$9:$D1893)-ROW($D$9)+1, 0)))</f>
        <v>48750</v>
      </c>
      <c r="F1894" s="23">
        <f t="shared" si="379"/>
        <v>7.225188227241615</v>
      </c>
      <c r="G1894" s="5">
        <f>INDEX('Default Prob'!$P$5:$P$14,MIN(1+_xlfn.IFNA(MATCH(F1894,'Default Prob'!$F$5:$F$14,1),0),COUNT('Default Prob'!$P$5:$P$14)))</f>
        <v>4.1094539438249027E-2</v>
      </c>
      <c r="H1894" s="5">
        <f t="shared" si="388"/>
        <v>0.83282044933047306</v>
      </c>
      <c r="I1894" s="24">
        <f t="shared" si="389"/>
        <v>2.8115112413129584E-4</v>
      </c>
      <c r="J1894" s="25">
        <f>INDEX('Default Prob'!$C$3:$C$13, _xlfn.IFNA(MATCH(F1894, 'Default Prob'!$B$3:$B$13, 1), 1))</f>
        <v>2.29E-2</v>
      </c>
      <c r="K1894" s="26">
        <f t="shared" si="380"/>
        <v>0.84908942831432532</v>
      </c>
      <c r="L1894" s="27">
        <f t="shared" ca="1" si="381"/>
        <v>0</v>
      </c>
      <c r="M1894" s="27">
        <f t="shared" ca="1" si="382"/>
        <v>0</v>
      </c>
      <c r="N1894" s="28">
        <f t="shared" ca="1" si="383"/>
        <v>0</v>
      </c>
      <c r="O1894" s="29">
        <f t="shared" ca="1" si="384"/>
        <v>0</v>
      </c>
      <c r="P1894" s="30">
        <f t="shared" ca="1" si="385"/>
        <v>0</v>
      </c>
    </row>
    <row r="1895" spans="1:16" x14ac:dyDescent="0.25">
      <c r="A1895" s="3">
        <f t="shared" si="386"/>
        <v>48765</v>
      </c>
      <c r="B1895" s="21">
        <f t="shared" si="377"/>
        <v>36712</v>
      </c>
      <c r="C1895" s="21">
        <f t="shared" si="378"/>
        <v>36789</v>
      </c>
      <c r="D1895" s="1">
        <f t="shared" si="387"/>
        <v>0</v>
      </c>
      <c r="E1895" s="3">
        <f t="array" ref="E1895">INDEX($A$9:A1894, MAX(IF($D$9:D1894=1, ROW(D$9:$D1894)-ROW($D$9)+1, 0)))</f>
        <v>48750</v>
      </c>
      <c r="F1895" s="23">
        <f t="shared" si="379"/>
        <v>7.2279260780287471</v>
      </c>
      <c r="G1895" s="5">
        <f>INDEX('Default Prob'!$P$5:$P$14,MIN(1+_xlfn.IFNA(MATCH(F1895,'Default Prob'!$F$5:$F$14,1),0),COUNT('Default Prob'!$P$5:$P$14)))</f>
        <v>4.1094539438249027E-2</v>
      </c>
      <c r="H1895" s="5">
        <f t="shared" si="388"/>
        <v>0.83272675337546187</v>
      </c>
      <c r="I1895" s="24">
        <f t="shared" si="389"/>
        <v>9.3695955011185994E-5</v>
      </c>
      <c r="J1895" s="25">
        <f>INDEX('Default Prob'!$C$3:$C$13, _xlfn.IFNA(MATCH(F1895, 'Default Prob'!$B$3:$B$13, 1), 1))</f>
        <v>2.29E-2</v>
      </c>
      <c r="K1895" s="26">
        <f t="shared" si="380"/>
        <v>0.84903679516406916</v>
      </c>
      <c r="L1895" s="27">
        <f t="shared" ca="1" si="381"/>
        <v>0</v>
      </c>
      <c r="M1895" s="27">
        <f t="shared" ca="1" si="382"/>
        <v>0</v>
      </c>
      <c r="N1895" s="28">
        <f t="shared" ca="1" si="383"/>
        <v>0</v>
      </c>
      <c r="O1895" s="29">
        <f t="shared" ca="1" si="384"/>
        <v>0</v>
      </c>
      <c r="P1895" s="30">
        <f t="shared" ca="1" si="385"/>
        <v>0</v>
      </c>
    </row>
    <row r="1896" spans="1:16" x14ac:dyDescent="0.25">
      <c r="A1896" s="3">
        <f t="shared" si="386"/>
        <v>48766</v>
      </c>
      <c r="B1896" s="21">
        <f t="shared" si="377"/>
        <v>36713</v>
      </c>
      <c r="C1896" s="21">
        <f t="shared" si="378"/>
        <v>36789</v>
      </c>
      <c r="D1896" s="1">
        <f t="shared" si="387"/>
        <v>0</v>
      </c>
      <c r="E1896" s="3">
        <f t="array" ref="E1896">INDEX($A$9:A1895, MAX(IF($D$9:D1895=1, ROW(D$9:$D1895)-ROW($D$9)+1, 0)))</f>
        <v>48750</v>
      </c>
      <c r="F1896" s="23">
        <f t="shared" si="379"/>
        <v>7.2306639288158792</v>
      </c>
      <c r="G1896" s="5">
        <f>INDEX('Default Prob'!$P$5:$P$14,MIN(1+_xlfn.IFNA(MATCH(F1896,'Default Prob'!$F$5:$F$14,1),0),COUNT('Default Prob'!$P$5:$P$14)))</f>
        <v>4.1094539438249027E-2</v>
      </c>
      <c r="H1896" s="5">
        <f t="shared" si="388"/>
        <v>0.83263306796165681</v>
      </c>
      <c r="I1896" s="24">
        <f t="shared" si="389"/>
        <v>9.3685413805055795E-5</v>
      </c>
      <c r="J1896" s="25">
        <f>INDEX('Default Prob'!$C$3:$C$13, _xlfn.IFNA(MATCH(F1896, 'Default Prob'!$B$3:$B$13, 1), 1))</f>
        <v>2.29E-2</v>
      </c>
      <c r="K1896" s="26">
        <f t="shared" si="380"/>
        <v>0.84898416527642417</v>
      </c>
      <c r="L1896" s="27">
        <f t="shared" ca="1" si="381"/>
        <v>0</v>
      </c>
      <c r="M1896" s="27">
        <f t="shared" ca="1" si="382"/>
        <v>0</v>
      </c>
      <c r="N1896" s="28">
        <f t="shared" ca="1" si="383"/>
        <v>0</v>
      </c>
      <c r="O1896" s="29">
        <f t="shared" ca="1" si="384"/>
        <v>0</v>
      </c>
      <c r="P1896" s="30">
        <f t="shared" ca="1" si="385"/>
        <v>0</v>
      </c>
    </row>
    <row r="1897" spans="1:16" x14ac:dyDescent="0.25">
      <c r="A1897" s="3">
        <f t="shared" si="386"/>
        <v>48767</v>
      </c>
      <c r="B1897" s="21">
        <f t="shared" si="377"/>
        <v>36714</v>
      </c>
      <c r="C1897" s="21">
        <f t="shared" si="378"/>
        <v>36789</v>
      </c>
      <c r="D1897" s="1">
        <f t="shared" si="387"/>
        <v>0</v>
      </c>
      <c r="E1897" s="3">
        <f t="array" ref="E1897">INDEX($A$9:A1896, MAX(IF($D$9:D1896=1, ROW(D$9:$D1896)-ROW($D$9)+1, 0)))</f>
        <v>48750</v>
      </c>
      <c r="F1897" s="23">
        <f t="shared" si="379"/>
        <v>7.2334017796030112</v>
      </c>
      <c r="G1897" s="5">
        <f>INDEX('Default Prob'!$P$5:$P$14,MIN(1+_xlfn.IFNA(MATCH(F1897,'Default Prob'!$F$5:$F$14,1),0),COUNT('Default Prob'!$P$5:$P$14)))</f>
        <v>4.1094539438249027E-2</v>
      </c>
      <c r="H1897" s="5">
        <f t="shared" si="388"/>
        <v>0.83253939308787195</v>
      </c>
      <c r="I1897" s="24">
        <f t="shared" si="389"/>
        <v>9.3674873784865831E-5</v>
      </c>
      <c r="J1897" s="25">
        <f>INDEX('Default Prob'!$C$3:$C$13, _xlfn.IFNA(MATCH(F1897, 'Default Prob'!$B$3:$B$13, 1), 1))</f>
        <v>2.29E-2</v>
      </c>
      <c r="K1897" s="26">
        <f t="shared" si="380"/>
        <v>0.84893153865118764</v>
      </c>
      <c r="L1897" s="27">
        <f t="shared" ca="1" si="381"/>
        <v>0</v>
      </c>
      <c r="M1897" s="27">
        <f t="shared" ca="1" si="382"/>
        <v>0</v>
      </c>
      <c r="N1897" s="28">
        <f t="shared" ca="1" si="383"/>
        <v>0</v>
      </c>
      <c r="O1897" s="29">
        <f t="shared" ca="1" si="384"/>
        <v>0</v>
      </c>
      <c r="P1897" s="30">
        <f t="shared" ca="1" si="385"/>
        <v>0</v>
      </c>
    </row>
    <row r="1898" spans="1:16" x14ac:dyDescent="0.25">
      <c r="A1898" s="3">
        <f t="shared" si="386"/>
        <v>48768</v>
      </c>
      <c r="B1898" s="21">
        <f t="shared" si="377"/>
        <v>36715</v>
      </c>
      <c r="C1898" s="21">
        <f t="shared" si="378"/>
        <v>36789</v>
      </c>
      <c r="D1898" s="1">
        <f t="shared" si="387"/>
        <v>0</v>
      </c>
      <c r="E1898" s="3">
        <f t="array" ref="E1898">INDEX($A$9:A1897, MAX(IF($D$9:D1897=1, ROW(D$9:$D1897)-ROW($D$9)+1, 0)))</f>
        <v>48750</v>
      </c>
      <c r="F1898" s="23">
        <f t="shared" si="379"/>
        <v>7.2361396303901433</v>
      </c>
      <c r="G1898" s="5">
        <f>INDEX('Default Prob'!$P$5:$P$14,MIN(1+_xlfn.IFNA(MATCH(F1898,'Default Prob'!$F$5:$F$14,1),0),COUNT('Default Prob'!$P$5:$P$14)))</f>
        <v>4.1094539438249027E-2</v>
      </c>
      <c r="H1898" s="5">
        <f t="shared" si="388"/>
        <v>0.83244572875292133</v>
      </c>
      <c r="I1898" s="24">
        <f t="shared" si="389"/>
        <v>9.3664334950616102E-5</v>
      </c>
      <c r="J1898" s="25">
        <f>INDEX('Default Prob'!$C$3:$C$13, _xlfn.IFNA(MATCH(F1898, 'Default Prob'!$B$3:$B$13, 1), 1))</f>
        <v>2.29E-2</v>
      </c>
      <c r="K1898" s="26">
        <f t="shared" si="380"/>
        <v>0.84887891528815784</v>
      </c>
      <c r="L1898" s="27">
        <f t="shared" ca="1" si="381"/>
        <v>0</v>
      </c>
      <c r="M1898" s="27">
        <f t="shared" ca="1" si="382"/>
        <v>0</v>
      </c>
      <c r="N1898" s="28">
        <f t="shared" ca="1" si="383"/>
        <v>0</v>
      </c>
      <c r="O1898" s="29">
        <f t="shared" ca="1" si="384"/>
        <v>0</v>
      </c>
      <c r="P1898" s="30">
        <f t="shared" ca="1" si="385"/>
        <v>0</v>
      </c>
    </row>
    <row r="1899" spans="1:16" x14ac:dyDescent="0.25">
      <c r="A1899" s="3">
        <f t="shared" si="386"/>
        <v>48771</v>
      </c>
      <c r="B1899" s="21">
        <f t="shared" si="377"/>
        <v>36718</v>
      </c>
      <c r="C1899" s="21">
        <f t="shared" si="378"/>
        <v>36789</v>
      </c>
      <c r="D1899" s="1">
        <f t="shared" si="387"/>
        <v>0</v>
      </c>
      <c r="E1899" s="3">
        <f t="array" ref="E1899">INDEX($A$9:A1898, MAX(IF($D$9:D1898=1, ROW(D$9:$D1898)-ROW($D$9)+1, 0)))</f>
        <v>48750</v>
      </c>
      <c r="F1899" s="23">
        <f t="shared" si="379"/>
        <v>7.2443531827515404</v>
      </c>
      <c r="G1899" s="5">
        <f>INDEX('Default Prob'!$P$5:$P$14,MIN(1+_xlfn.IFNA(MATCH(F1899,'Default Prob'!$F$5:$F$14,1),0),COUNT('Default Prob'!$P$5:$P$14)))</f>
        <v>4.1094539438249027E-2</v>
      </c>
      <c r="H1899" s="5">
        <f t="shared" si="388"/>
        <v>0.83216479896921969</v>
      </c>
      <c r="I1899" s="24">
        <f t="shared" si="389"/>
        <v>2.8092978370164445E-4</v>
      </c>
      <c r="J1899" s="25">
        <f>INDEX('Default Prob'!$C$3:$C$13, _xlfn.IFNA(MATCH(F1899, 'Default Prob'!$B$3:$B$13, 1), 1))</f>
        <v>2.29E-2</v>
      </c>
      <c r="K1899" s="26">
        <f t="shared" si="380"/>
        <v>0.84872106477028519</v>
      </c>
      <c r="L1899" s="27">
        <f t="shared" ca="1" si="381"/>
        <v>0</v>
      </c>
      <c r="M1899" s="27">
        <f t="shared" ca="1" si="382"/>
        <v>0</v>
      </c>
      <c r="N1899" s="28">
        <f t="shared" ca="1" si="383"/>
        <v>0</v>
      </c>
      <c r="O1899" s="29">
        <f t="shared" ca="1" si="384"/>
        <v>0</v>
      </c>
      <c r="P1899" s="30">
        <f t="shared" ca="1" si="385"/>
        <v>0</v>
      </c>
    </row>
    <row r="1900" spans="1:16" x14ac:dyDescent="0.25">
      <c r="A1900" s="3">
        <f t="shared" si="386"/>
        <v>48772</v>
      </c>
      <c r="B1900" s="21">
        <f t="shared" si="377"/>
        <v>36719</v>
      </c>
      <c r="C1900" s="21">
        <f t="shared" si="378"/>
        <v>36789</v>
      </c>
      <c r="D1900" s="1">
        <f t="shared" si="387"/>
        <v>0</v>
      </c>
      <c r="E1900" s="3">
        <f t="array" ref="E1900">INDEX($A$9:A1899, MAX(IF($D$9:D1899=1, ROW(D$9:$D1899)-ROW($D$9)+1, 0)))</f>
        <v>48750</v>
      </c>
      <c r="F1900" s="23">
        <f t="shared" si="379"/>
        <v>7.2470910335386725</v>
      </c>
      <c r="G1900" s="5">
        <f>INDEX('Default Prob'!$P$5:$P$14,MIN(1+_xlfn.IFNA(MATCH(F1900,'Default Prob'!$F$5:$F$14,1),0),COUNT('Default Prob'!$P$5:$P$14)))</f>
        <v>4.1094539438249027E-2</v>
      </c>
      <c r="H1900" s="5">
        <f t="shared" si="388"/>
        <v>0.83207117677775122</v>
      </c>
      <c r="I1900" s="24">
        <f t="shared" si="389"/>
        <v>9.3622191468467619E-5</v>
      </c>
      <c r="J1900" s="25">
        <f>INDEX('Default Prob'!$C$3:$C$13, _xlfn.IFNA(MATCH(F1900, 'Default Prob'!$B$3:$B$13, 1), 1))</f>
        <v>2.29E-2</v>
      </c>
      <c r="K1900" s="26">
        <f t="shared" si="380"/>
        <v>0.84866845445405958</v>
      </c>
      <c r="L1900" s="27">
        <f t="shared" ca="1" si="381"/>
        <v>0</v>
      </c>
      <c r="M1900" s="27">
        <f t="shared" ca="1" si="382"/>
        <v>0</v>
      </c>
      <c r="N1900" s="28">
        <f t="shared" ca="1" si="383"/>
        <v>0</v>
      </c>
      <c r="O1900" s="29">
        <f t="shared" ca="1" si="384"/>
        <v>0</v>
      </c>
      <c r="P1900" s="30">
        <f t="shared" ca="1" si="385"/>
        <v>0</v>
      </c>
    </row>
    <row r="1901" spans="1:16" x14ac:dyDescent="0.25">
      <c r="A1901" s="3">
        <f t="shared" si="386"/>
        <v>48773</v>
      </c>
      <c r="B1901" s="21">
        <f t="shared" si="377"/>
        <v>36720</v>
      </c>
      <c r="C1901" s="21">
        <f t="shared" si="378"/>
        <v>36789</v>
      </c>
      <c r="D1901" s="1">
        <f t="shared" si="387"/>
        <v>0</v>
      </c>
      <c r="E1901" s="3">
        <f t="array" ref="E1901">INDEX($A$9:A1900, MAX(IF($D$9:D1900=1, ROW(D$9:$D1900)-ROW($D$9)+1, 0)))</f>
        <v>48750</v>
      </c>
      <c r="F1901" s="23">
        <f t="shared" si="379"/>
        <v>7.2498288843258045</v>
      </c>
      <c r="G1901" s="5">
        <f>INDEX('Default Prob'!$P$5:$P$14,MIN(1+_xlfn.IFNA(MATCH(F1901,'Default Prob'!$F$5:$F$14,1),0),COUNT('Default Prob'!$P$5:$P$14)))</f>
        <v>4.1094539438249027E-2</v>
      </c>
      <c r="H1901" s="5">
        <f t="shared" si="388"/>
        <v>0.83197756511919008</v>
      </c>
      <c r="I1901" s="24">
        <f t="shared" si="389"/>
        <v>9.3611658561143507E-5</v>
      </c>
      <c r="J1901" s="25">
        <f>INDEX('Default Prob'!$C$3:$C$13, _xlfn.IFNA(MATCH(F1901, 'Default Prob'!$B$3:$B$13, 1), 1))</f>
        <v>2.29E-2</v>
      </c>
      <c r="K1901" s="26">
        <f t="shared" si="380"/>
        <v>0.84861584739902929</v>
      </c>
      <c r="L1901" s="27">
        <f t="shared" ca="1" si="381"/>
        <v>0</v>
      </c>
      <c r="M1901" s="27">
        <f t="shared" ca="1" si="382"/>
        <v>0</v>
      </c>
      <c r="N1901" s="28">
        <f t="shared" ca="1" si="383"/>
        <v>0</v>
      </c>
      <c r="O1901" s="29">
        <f t="shared" ca="1" si="384"/>
        <v>0</v>
      </c>
      <c r="P1901" s="30">
        <f t="shared" ca="1" si="385"/>
        <v>0</v>
      </c>
    </row>
    <row r="1902" spans="1:16" x14ac:dyDescent="0.25">
      <c r="A1902" s="3">
        <f t="shared" si="386"/>
        <v>48774</v>
      </c>
      <c r="B1902" s="21">
        <f t="shared" si="377"/>
        <v>36721</v>
      </c>
      <c r="C1902" s="21">
        <f t="shared" si="378"/>
        <v>36789</v>
      </c>
      <c r="D1902" s="1">
        <f t="shared" si="387"/>
        <v>0</v>
      </c>
      <c r="E1902" s="3">
        <f t="array" ref="E1902">INDEX($A$9:A1901, MAX(IF($D$9:D1901=1, ROW(D$9:$D1901)-ROW($D$9)+1, 0)))</f>
        <v>48750</v>
      </c>
      <c r="F1902" s="23">
        <f t="shared" si="379"/>
        <v>7.2525667351129366</v>
      </c>
      <c r="G1902" s="5">
        <f>INDEX('Default Prob'!$P$5:$P$14,MIN(1+_xlfn.IFNA(MATCH(F1902,'Default Prob'!$F$5:$F$14,1),0),COUNT('Default Prob'!$P$5:$P$14)))</f>
        <v>4.1094539438249027E-2</v>
      </c>
      <c r="H1902" s="5">
        <f t="shared" si="388"/>
        <v>0.83188396399235132</v>
      </c>
      <c r="I1902" s="24">
        <f t="shared" si="389"/>
        <v>9.3601126838760429E-5</v>
      </c>
      <c r="J1902" s="25">
        <f>INDEX('Default Prob'!$C$3:$C$13, _xlfn.IFNA(MATCH(F1902, 'Default Prob'!$B$3:$B$13, 1), 1))</f>
        <v>2.29E-2</v>
      </c>
      <c r="K1902" s="26">
        <f t="shared" si="380"/>
        <v>0.84856324360499247</v>
      </c>
      <c r="L1902" s="27">
        <f t="shared" ca="1" si="381"/>
        <v>0</v>
      </c>
      <c r="M1902" s="27">
        <f t="shared" ca="1" si="382"/>
        <v>0</v>
      </c>
      <c r="N1902" s="28">
        <f t="shared" ca="1" si="383"/>
        <v>0</v>
      </c>
      <c r="O1902" s="29">
        <f t="shared" ca="1" si="384"/>
        <v>0</v>
      </c>
      <c r="P1902" s="30">
        <f t="shared" ca="1" si="385"/>
        <v>0</v>
      </c>
    </row>
    <row r="1903" spans="1:16" x14ac:dyDescent="0.25">
      <c r="A1903" s="3">
        <f t="shared" si="386"/>
        <v>48775</v>
      </c>
      <c r="B1903" s="21">
        <f t="shared" si="377"/>
        <v>36722</v>
      </c>
      <c r="C1903" s="21">
        <f t="shared" si="378"/>
        <v>36789</v>
      </c>
      <c r="D1903" s="1">
        <f t="shared" si="387"/>
        <v>0</v>
      </c>
      <c r="E1903" s="3">
        <f t="array" ref="E1903">INDEX($A$9:A1902, MAX(IF($D$9:D1902=1, ROW(D$9:$D1902)-ROW($D$9)+1, 0)))</f>
        <v>48750</v>
      </c>
      <c r="F1903" s="23">
        <f t="shared" si="379"/>
        <v>7.2553045859000687</v>
      </c>
      <c r="G1903" s="5">
        <f>INDEX('Default Prob'!$P$5:$P$14,MIN(1+_xlfn.IFNA(MATCH(F1903,'Default Prob'!$F$5:$F$14,1),0),COUNT('Default Prob'!$P$5:$P$14)))</f>
        <v>4.1094539438249027E-2</v>
      </c>
      <c r="H1903" s="5">
        <f t="shared" si="388"/>
        <v>0.83179037339605011</v>
      </c>
      <c r="I1903" s="24">
        <f t="shared" si="389"/>
        <v>9.3590596301207363E-5</v>
      </c>
      <c r="J1903" s="25">
        <f>INDEX('Default Prob'!$C$3:$C$13, _xlfn.IFNA(MATCH(F1903, 'Default Prob'!$B$3:$B$13, 1), 1))</f>
        <v>2.29E-2</v>
      </c>
      <c r="K1903" s="26">
        <f t="shared" si="380"/>
        <v>0.84851064307174684</v>
      </c>
      <c r="L1903" s="27">
        <f t="shared" ca="1" si="381"/>
        <v>0</v>
      </c>
      <c r="M1903" s="27">
        <f t="shared" ca="1" si="382"/>
        <v>0</v>
      </c>
      <c r="N1903" s="28">
        <f t="shared" ca="1" si="383"/>
        <v>0</v>
      </c>
      <c r="O1903" s="29">
        <f t="shared" ca="1" si="384"/>
        <v>0</v>
      </c>
      <c r="P1903" s="30">
        <f t="shared" ca="1" si="385"/>
        <v>0</v>
      </c>
    </row>
    <row r="1904" spans="1:16" x14ac:dyDescent="0.25">
      <c r="A1904" s="3">
        <f t="shared" si="386"/>
        <v>48778</v>
      </c>
      <c r="B1904" s="21">
        <f t="shared" si="377"/>
        <v>36725</v>
      </c>
      <c r="C1904" s="21">
        <f t="shared" si="378"/>
        <v>36789</v>
      </c>
      <c r="D1904" s="1">
        <f t="shared" si="387"/>
        <v>0</v>
      </c>
      <c r="E1904" s="3">
        <f t="array" ref="E1904">INDEX($A$9:A1903, MAX(IF($D$9:D1903=1, ROW(D$9:$D1903)-ROW($D$9)+1, 0)))</f>
        <v>48750</v>
      </c>
      <c r="F1904" s="23">
        <f t="shared" si="379"/>
        <v>7.2635181382614649</v>
      </c>
      <c r="G1904" s="5">
        <f>INDEX('Default Prob'!$P$5:$P$14,MIN(1+_xlfn.IFNA(MATCH(F1904,'Default Prob'!$F$5:$F$14,1),0),COUNT('Default Prob'!$P$5:$P$14)))</f>
        <v>4.1094539438249027E-2</v>
      </c>
      <c r="H1904" s="5">
        <f t="shared" si="388"/>
        <v>0.83150966477852462</v>
      </c>
      <c r="I1904" s="24">
        <f t="shared" si="389"/>
        <v>2.8070861752549359E-4</v>
      </c>
      <c r="J1904" s="25">
        <f>INDEX('Default Prob'!$C$3:$C$13, _xlfn.IFNA(MATCH(F1904, 'Default Prob'!$B$3:$B$13, 1), 1))</f>
        <v>2.29E-2</v>
      </c>
      <c r="K1904" s="26">
        <f t="shared" si="380"/>
        <v>0.84835286103473651</v>
      </c>
      <c r="L1904" s="27">
        <f t="shared" ca="1" si="381"/>
        <v>0</v>
      </c>
      <c r="M1904" s="27">
        <f t="shared" ca="1" si="382"/>
        <v>0</v>
      </c>
      <c r="N1904" s="28">
        <f t="shared" ca="1" si="383"/>
        <v>0</v>
      </c>
      <c r="O1904" s="29">
        <f t="shared" ca="1" si="384"/>
        <v>0</v>
      </c>
      <c r="P1904" s="30">
        <f t="shared" ca="1" si="385"/>
        <v>0</v>
      </c>
    </row>
    <row r="1905" spans="1:16" x14ac:dyDescent="0.25">
      <c r="A1905" s="3">
        <f t="shared" si="386"/>
        <v>48779</v>
      </c>
      <c r="B1905" s="21">
        <f t="shared" si="377"/>
        <v>36726</v>
      </c>
      <c r="C1905" s="21">
        <f t="shared" si="378"/>
        <v>36789</v>
      </c>
      <c r="D1905" s="1">
        <f t="shared" si="387"/>
        <v>0</v>
      </c>
      <c r="E1905" s="3">
        <f t="array" ref="E1905">INDEX($A$9:A1904, MAX(IF($D$9:D1904=1, ROW(D$9:$D1904)-ROW($D$9)+1, 0)))</f>
        <v>48750</v>
      </c>
      <c r="F1905" s="23">
        <f t="shared" si="379"/>
        <v>7.2662559890485969</v>
      </c>
      <c r="G1905" s="5">
        <f>INDEX('Default Prob'!$P$5:$P$14,MIN(1+_xlfn.IFNA(MATCH(F1905,'Default Prob'!$F$5:$F$14,1),0),COUNT('Default Prob'!$P$5:$P$14)))</f>
        <v>4.1094539438249027E-2</v>
      </c>
      <c r="H1905" s="5">
        <f t="shared" si="388"/>
        <v>0.83141611629252732</v>
      </c>
      <c r="I1905" s="24">
        <f t="shared" si="389"/>
        <v>9.3548485997296815E-5</v>
      </c>
      <c r="J1905" s="25">
        <f>INDEX('Default Prob'!$C$3:$C$13, _xlfn.IFNA(MATCH(F1905, 'Default Prob'!$B$3:$B$13, 1), 1))</f>
        <v>2.29E-2</v>
      </c>
      <c r="K1905" s="26">
        <f t="shared" si="380"/>
        <v>0.84830027354263504</v>
      </c>
      <c r="L1905" s="27">
        <f t="shared" ca="1" si="381"/>
        <v>0</v>
      </c>
      <c r="M1905" s="27">
        <f t="shared" ca="1" si="382"/>
        <v>0</v>
      </c>
      <c r="N1905" s="28">
        <f t="shared" ca="1" si="383"/>
        <v>0</v>
      </c>
      <c r="O1905" s="29">
        <f t="shared" ca="1" si="384"/>
        <v>0</v>
      </c>
      <c r="P1905" s="30">
        <f t="shared" ca="1" si="385"/>
        <v>0</v>
      </c>
    </row>
    <row r="1906" spans="1:16" x14ac:dyDescent="0.25">
      <c r="A1906" s="3">
        <f t="shared" si="386"/>
        <v>48780</v>
      </c>
      <c r="B1906" s="21">
        <f t="shared" si="377"/>
        <v>36727</v>
      </c>
      <c r="C1906" s="21">
        <f t="shared" si="378"/>
        <v>36789</v>
      </c>
      <c r="D1906" s="1">
        <f t="shared" si="387"/>
        <v>0</v>
      </c>
      <c r="E1906" s="3">
        <f t="array" ref="E1906">INDEX($A$9:A1905, MAX(IF($D$9:D1905=1, ROW(D$9:$D1905)-ROW($D$9)+1, 0)))</f>
        <v>48750</v>
      </c>
      <c r="F1906" s="23">
        <f t="shared" si="379"/>
        <v>7.268993839835729</v>
      </c>
      <c r="G1906" s="5">
        <f>INDEX('Default Prob'!$P$5:$P$14,MIN(1+_xlfn.IFNA(MATCH(F1906,'Default Prob'!$F$5:$F$14,1),0),COUNT('Default Prob'!$P$5:$P$14)))</f>
        <v>4.1094539438249027E-2</v>
      </c>
      <c r="H1906" s="5">
        <f t="shared" si="388"/>
        <v>0.8313225783311452</v>
      </c>
      <c r="I1906" s="24">
        <f t="shared" si="389"/>
        <v>9.3537961382117452E-5</v>
      </c>
      <c r="J1906" s="25">
        <f>INDEX('Default Prob'!$C$3:$C$13, _xlfn.IFNA(MATCH(F1906, 'Default Prob'!$B$3:$B$13, 1), 1))</f>
        <v>2.29E-2</v>
      </c>
      <c r="K1906" s="26">
        <f t="shared" si="380"/>
        <v>0.84824768931031413</v>
      </c>
      <c r="L1906" s="27">
        <f t="shared" ca="1" si="381"/>
        <v>0</v>
      </c>
      <c r="M1906" s="27">
        <f t="shared" ca="1" si="382"/>
        <v>0</v>
      </c>
      <c r="N1906" s="28">
        <f t="shared" ca="1" si="383"/>
        <v>0</v>
      </c>
      <c r="O1906" s="29">
        <f t="shared" ca="1" si="384"/>
        <v>0</v>
      </c>
      <c r="P1906" s="30">
        <f t="shared" ca="1" si="385"/>
        <v>0</v>
      </c>
    </row>
    <row r="1907" spans="1:16" x14ac:dyDescent="0.25">
      <c r="A1907" s="3">
        <f t="shared" si="386"/>
        <v>48781</v>
      </c>
      <c r="B1907" s="21">
        <f t="shared" si="377"/>
        <v>36728</v>
      </c>
      <c r="C1907" s="21">
        <f t="shared" si="378"/>
        <v>36789</v>
      </c>
      <c r="D1907" s="1">
        <f t="shared" si="387"/>
        <v>0</v>
      </c>
      <c r="E1907" s="3">
        <f t="array" ref="E1907">INDEX($A$9:A1906, MAX(IF($D$9:D1906=1, ROW(D$9:$D1906)-ROW($D$9)+1, 0)))</f>
        <v>48750</v>
      </c>
      <c r="F1907" s="23">
        <f t="shared" si="379"/>
        <v>7.2717316906228611</v>
      </c>
      <c r="G1907" s="5">
        <f>INDEX('Default Prob'!$P$5:$P$14,MIN(1+_xlfn.IFNA(MATCH(F1907,'Default Prob'!$F$5:$F$14,1),0),COUNT('Default Prob'!$P$5:$P$14)))</f>
        <v>4.1094539438249027E-2</v>
      </c>
      <c r="H1907" s="5">
        <f t="shared" si="388"/>
        <v>0.83122905089319421</v>
      </c>
      <c r="I1907" s="24">
        <f t="shared" si="389"/>
        <v>9.3527437950990944E-5</v>
      </c>
      <c r="J1907" s="25">
        <f>INDEX('Default Prob'!$C$3:$C$13, _xlfn.IFNA(MATCH(F1907, 'Default Prob'!$B$3:$B$13, 1), 1))</f>
        <v>2.29E-2</v>
      </c>
      <c r="K1907" s="26">
        <f t="shared" si="380"/>
        <v>0.84819510833757195</v>
      </c>
      <c r="L1907" s="27">
        <f t="shared" ca="1" si="381"/>
        <v>0</v>
      </c>
      <c r="M1907" s="27">
        <f t="shared" ca="1" si="382"/>
        <v>0</v>
      </c>
      <c r="N1907" s="28">
        <f t="shared" ca="1" si="383"/>
        <v>0</v>
      </c>
      <c r="O1907" s="29">
        <f t="shared" ca="1" si="384"/>
        <v>0</v>
      </c>
      <c r="P1907" s="30">
        <f t="shared" ca="1" si="385"/>
        <v>0</v>
      </c>
    </row>
    <row r="1908" spans="1:16" x14ac:dyDescent="0.25">
      <c r="A1908" s="3">
        <f t="shared" si="386"/>
        <v>48782</v>
      </c>
      <c r="B1908" s="21">
        <f t="shared" si="377"/>
        <v>36729</v>
      </c>
      <c r="C1908" s="21">
        <f t="shared" si="378"/>
        <v>36789</v>
      </c>
      <c r="D1908" s="1">
        <f t="shared" si="387"/>
        <v>0</v>
      </c>
      <c r="E1908" s="3">
        <f t="array" ref="E1908">INDEX($A$9:A1907, MAX(IF($D$9:D1907=1, ROW(D$9:$D1907)-ROW($D$9)+1, 0)))</f>
        <v>48750</v>
      </c>
      <c r="F1908" s="23">
        <f t="shared" si="379"/>
        <v>7.2744695414099931</v>
      </c>
      <c r="G1908" s="5">
        <f>INDEX('Default Prob'!$P$5:$P$14,MIN(1+_xlfn.IFNA(MATCH(F1908,'Default Prob'!$F$5:$F$14,1),0),COUNT('Default Prob'!$P$5:$P$14)))</f>
        <v>4.1094539438249027E-2</v>
      </c>
      <c r="H1908" s="5">
        <f t="shared" si="388"/>
        <v>0.8311355339774904</v>
      </c>
      <c r="I1908" s="24">
        <f t="shared" si="389"/>
        <v>9.3516915703806269E-5</v>
      </c>
      <c r="J1908" s="25">
        <f>INDEX('Default Prob'!$C$3:$C$13, _xlfn.IFNA(MATCH(F1908, 'Default Prob'!$B$3:$B$13, 1), 1))</f>
        <v>2.29E-2</v>
      </c>
      <c r="K1908" s="26">
        <f t="shared" si="380"/>
        <v>0.8481425306242063</v>
      </c>
      <c r="L1908" s="27">
        <f t="shared" ca="1" si="381"/>
        <v>0</v>
      </c>
      <c r="M1908" s="27">
        <f t="shared" ca="1" si="382"/>
        <v>0</v>
      </c>
      <c r="N1908" s="28">
        <f t="shared" ca="1" si="383"/>
        <v>0</v>
      </c>
      <c r="O1908" s="29">
        <f t="shared" ca="1" si="384"/>
        <v>0</v>
      </c>
      <c r="P1908" s="30">
        <f t="shared" ca="1" si="385"/>
        <v>0</v>
      </c>
    </row>
    <row r="1909" spans="1:16" x14ac:dyDescent="0.25">
      <c r="A1909" s="3">
        <f t="shared" si="386"/>
        <v>48785</v>
      </c>
      <c r="B1909" s="21">
        <f t="shared" si="377"/>
        <v>36732</v>
      </c>
      <c r="C1909" s="21">
        <f t="shared" si="378"/>
        <v>36789</v>
      </c>
      <c r="D1909" s="1">
        <f t="shared" si="387"/>
        <v>0</v>
      </c>
      <c r="E1909" s="3">
        <f t="array" ref="E1909">INDEX($A$9:A1908, MAX(IF($D$9:D1908=1, ROW(D$9:$D1908)-ROW($D$9)+1, 0)))</f>
        <v>48750</v>
      </c>
      <c r="F1909" s="23">
        <f t="shared" si="379"/>
        <v>7.2826830937713893</v>
      </c>
      <c r="G1909" s="5">
        <f>INDEX('Default Prob'!$P$5:$P$14,MIN(1+_xlfn.IFNA(MATCH(F1909,'Default Prob'!$F$5:$F$14,1),0),COUNT('Default Prob'!$P$5:$P$14)))</f>
        <v>4.1094539438249027E-2</v>
      </c>
      <c r="H1909" s="5">
        <f t="shared" si="388"/>
        <v>0.83085504635202467</v>
      </c>
      <c r="I1909" s="24">
        <f t="shared" si="389"/>
        <v>2.8048762546573069E-4</v>
      </c>
      <c r="J1909" s="25">
        <f>INDEX('Default Prob'!$C$3:$C$13, _xlfn.IFNA(MATCH(F1909, 'Default Prob'!$B$3:$B$13, 1), 1))</f>
        <v>2.29E-2</v>
      </c>
      <c r="K1909" s="26">
        <f t="shared" si="380"/>
        <v>0.84798481703834905</v>
      </c>
      <c r="L1909" s="27">
        <f t="shared" ca="1" si="381"/>
        <v>0</v>
      </c>
      <c r="M1909" s="27">
        <f t="shared" ca="1" si="382"/>
        <v>0</v>
      </c>
      <c r="N1909" s="28">
        <f t="shared" ca="1" si="383"/>
        <v>0</v>
      </c>
      <c r="O1909" s="29">
        <f t="shared" ca="1" si="384"/>
        <v>0</v>
      </c>
      <c r="P1909" s="30">
        <f t="shared" ca="1" si="385"/>
        <v>0</v>
      </c>
    </row>
    <row r="1910" spans="1:16" x14ac:dyDescent="0.25">
      <c r="A1910" s="3">
        <f t="shared" si="386"/>
        <v>48786</v>
      </c>
      <c r="B1910" s="21">
        <f t="shared" si="377"/>
        <v>36733</v>
      </c>
      <c r="C1910" s="21">
        <f t="shared" si="378"/>
        <v>36789</v>
      </c>
      <c r="D1910" s="1">
        <f t="shared" si="387"/>
        <v>0</v>
      </c>
      <c r="E1910" s="3">
        <f t="array" ref="E1910">INDEX($A$9:A1909, MAX(IF($D$9:D1909=1, ROW(D$9:$D1909)-ROW($D$9)+1, 0)))</f>
        <v>48750</v>
      </c>
      <c r="F1910" s="23">
        <f t="shared" si="379"/>
        <v>7.2854209445585214</v>
      </c>
      <c r="G1910" s="5">
        <f>INDEX('Default Prob'!$P$5:$P$14,MIN(1+_xlfn.IFNA(MATCH(F1910,'Default Prob'!$F$5:$F$14,1),0),COUNT('Default Prob'!$P$5:$P$14)))</f>
        <v>4.1094539438249027E-2</v>
      </c>
      <c r="H1910" s="5">
        <f t="shared" si="388"/>
        <v>0.83076157151347285</v>
      </c>
      <c r="I1910" s="24">
        <f t="shared" si="389"/>
        <v>9.3474838551821371E-5</v>
      </c>
      <c r="J1910" s="25">
        <f>INDEX('Default Prob'!$C$3:$C$13, _xlfn.IFNA(MATCH(F1910, 'Default Prob'!$B$3:$B$13, 1), 1))</f>
        <v>2.29E-2</v>
      </c>
      <c r="K1910" s="26">
        <f t="shared" si="380"/>
        <v>0.84793225236046976</v>
      </c>
      <c r="L1910" s="27">
        <f t="shared" ca="1" si="381"/>
        <v>0</v>
      </c>
      <c r="M1910" s="27">
        <f t="shared" ca="1" si="382"/>
        <v>0</v>
      </c>
      <c r="N1910" s="28">
        <f t="shared" ca="1" si="383"/>
        <v>0</v>
      </c>
      <c r="O1910" s="29">
        <f t="shared" ca="1" si="384"/>
        <v>0</v>
      </c>
      <c r="P1910" s="30">
        <f t="shared" ca="1" si="385"/>
        <v>0</v>
      </c>
    </row>
    <row r="1911" spans="1:16" x14ac:dyDescent="0.25">
      <c r="A1911" s="3">
        <f t="shared" si="386"/>
        <v>48787</v>
      </c>
      <c r="B1911" s="21">
        <f t="shared" si="377"/>
        <v>36734</v>
      </c>
      <c r="C1911" s="21">
        <f t="shared" si="378"/>
        <v>36789</v>
      </c>
      <c r="D1911" s="1">
        <f t="shared" si="387"/>
        <v>0</v>
      </c>
      <c r="E1911" s="3">
        <f t="array" ref="E1911">INDEX($A$9:A1910, MAX(IF($D$9:D1910=1, ROW(D$9:$D1910)-ROW($D$9)+1, 0)))</f>
        <v>48750</v>
      </c>
      <c r="F1911" s="23">
        <f t="shared" si="379"/>
        <v>7.2881587953456535</v>
      </c>
      <c r="G1911" s="5">
        <f>INDEX('Default Prob'!$P$5:$P$14,MIN(1+_xlfn.IFNA(MATCH(F1911,'Default Prob'!$F$5:$F$14,1),0),COUNT('Default Prob'!$P$5:$P$14)))</f>
        <v>4.1094539438249027E-2</v>
      </c>
      <c r="H1911" s="5">
        <f t="shared" si="388"/>
        <v>0.83066810719125062</v>
      </c>
      <c r="I1911" s="24">
        <f t="shared" si="389"/>
        <v>9.346432222223644E-5</v>
      </c>
      <c r="J1911" s="25">
        <f>INDEX('Default Prob'!$C$3:$C$13, _xlfn.IFNA(MATCH(F1911, 'Default Prob'!$B$3:$B$13, 1), 1))</f>
        <v>2.29E-2</v>
      </c>
      <c r="K1911" s="26">
        <f t="shared" si="380"/>
        <v>0.84787969094095694</v>
      </c>
      <c r="L1911" s="27">
        <f t="shared" ca="1" si="381"/>
        <v>0</v>
      </c>
      <c r="M1911" s="27">
        <f t="shared" ca="1" si="382"/>
        <v>0</v>
      </c>
      <c r="N1911" s="28">
        <f t="shared" ca="1" si="383"/>
        <v>0</v>
      </c>
      <c r="O1911" s="29">
        <f t="shared" ca="1" si="384"/>
        <v>0</v>
      </c>
      <c r="P1911" s="30">
        <f t="shared" ca="1" si="385"/>
        <v>0</v>
      </c>
    </row>
    <row r="1912" spans="1:16" x14ac:dyDescent="0.25">
      <c r="A1912" s="3">
        <f t="shared" si="386"/>
        <v>48788</v>
      </c>
      <c r="B1912" s="21">
        <f t="shared" si="377"/>
        <v>36735</v>
      </c>
      <c r="C1912" s="21">
        <f t="shared" si="378"/>
        <v>36789</v>
      </c>
      <c r="D1912" s="1">
        <f t="shared" si="387"/>
        <v>0</v>
      </c>
      <c r="E1912" s="3">
        <f t="array" ref="E1912">INDEX($A$9:A1911, MAX(IF($D$9:D1911=1, ROW(D$9:$D1911)-ROW($D$9)+1, 0)))</f>
        <v>48750</v>
      </c>
      <c r="F1912" s="23">
        <f t="shared" si="379"/>
        <v>7.2908966461327855</v>
      </c>
      <c r="G1912" s="5">
        <f>INDEX('Default Prob'!$P$5:$P$14,MIN(1+_xlfn.IFNA(MATCH(F1912,'Default Prob'!$F$5:$F$14,1),0),COUNT('Default Prob'!$P$5:$P$14)))</f>
        <v>4.1094539438249027E-2</v>
      </c>
      <c r="H1912" s="5">
        <f t="shared" si="388"/>
        <v>0.83057465338417469</v>
      </c>
      <c r="I1912" s="24">
        <f t="shared" si="389"/>
        <v>9.3453807075927209E-5</v>
      </c>
      <c r="J1912" s="25">
        <f>INDEX('Default Prob'!$C$3:$C$13, _xlfn.IFNA(MATCH(F1912, 'Default Prob'!$B$3:$B$13, 1), 1))</f>
        <v>2.29E-2</v>
      </c>
      <c r="K1912" s="26">
        <f t="shared" si="380"/>
        <v>0.84782713277960875</v>
      </c>
      <c r="L1912" s="27">
        <f t="shared" ca="1" si="381"/>
        <v>0</v>
      </c>
      <c r="M1912" s="27">
        <f t="shared" ca="1" si="382"/>
        <v>0</v>
      </c>
      <c r="N1912" s="28">
        <f t="shared" ca="1" si="383"/>
        <v>0</v>
      </c>
      <c r="O1912" s="29">
        <f t="shared" ca="1" si="384"/>
        <v>0</v>
      </c>
      <c r="P1912" s="30">
        <f t="shared" ca="1" si="385"/>
        <v>0</v>
      </c>
    </row>
    <row r="1913" spans="1:16" x14ac:dyDescent="0.25">
      <c r="A1913" s="3">
        <f t="shared" si="386"/>
        <v>48789</v>
      </c>
      <c r="B1913" s="21">
        <f t="shared" si="377"/>
        <v>36736</v>
      </c>
      <c r="C1913" s="21">
        <f t="shared" si="378"/>
        <v>36789</v>
      </c>
      <c r="D1913" s="1">
        <f t="shared" si="387"/>
        <v>0</v>
      </c>
      <c r="E1913" s="3">
        <f t="array" ref="E1913">INDEX($A$9:A1912, MAX(IF($D$9:D1912=1, ROW(D$9:$D1912)-ROW($D$9)+1, 0)))</f>
        <v>48750</v>
      </c>
      <c r="F1913" s="23">
        <f t="shared" si="379"/>
        <v>7.2936344969199176</v>
      </c>
      <c r="G1913" s="5">
        <f>INDEX('Default Prob'!$P$5:$P$14,MIN(1+_xlfn.IFNA(MATCH(F1913,'Default Prob'!$F$5:$F$14,1),0),COUNT('Default Prob'!$P$5:$P$14)))</f>
        <v>4.1094539438249027E-2</v>
      </c>
      <c r="H1913" s="5">
        <f t="shared" si="388"/>
        <v>0.83048121009106213</v>
      </c>
      <c r="I1913" s="24">
        <f t="shared" si="389"/>
        <v>9.344329311256061E-5</v>
      </c>
      <c r="J1913" s="25">
        <f>INDEX('Default Prob'!$C$3:$C$13, _xlfn.IFNA(MATCH(F1913, 'Default Prob'!$B$3:$B$13, 1), 1))</f>
        <v>2.29E-2</v>
      </c>
      <c r="K1913" s="26">
        <f t="shared" si="380"/>
        <v>0.84777457787622301</v>
      </c>
      <c r="L1913" s="27">
        <f t="shared" ca="1" si="381"/>
        <v>0</v>
      </c>
      <c r="M1913" s="27">
        <f t="shared" ca="1" si="382"/>
        <v>0</v>
      </c>
      <c r="N1913" s="28">
        <f t="shared" ca="1" si="383"/>
        <v>0</v>
      </c>
      <c r="O1913" s="29">
        <f t="shared" ca="1" si="384"/>
        <v>0</v>
      </c>
      <c r="P1913" s="30">
        <f t="shared" ca="1" si="385"/>
        <v>0</v>
      </c>
    </row>
    <row r="1914" spans="1:16" x14ac:dyDescent="0.25">
      <c r="A1914" s="3">
        <f t="shared" si="386"/>
        <v>48792</v>
      </c>
      <c r="B1914" s="21">
        <f t="shared" si="377"/>
        <v>36739</v>
      </c>
      <c r="C1914" s="21">
        <f t="shared" si="378"/>
        <v>36789</v>
      </c>
      <c r="D1914" s="1">
        <f t="shared" si="387"/>
        <v>0</v>
      </c>
      <c r="E1914" s="3">
        <f t="array" ref="E1914">INDEX($A$9:A1913, MAX(IF($D$9:D1913=1, ROW(D$9:$D1913)-ROW($D$9)+1, 0)))</f>
        <v>48750</v>
      </c>
      <c r="F1914" s="23">
        <f t="shared" si="379"/>
        <v>7.3018480492813138</v>
      </c>
      <c r="G1914" s="5">
        <f>INDEX('Default Prob'!$P$5:$P$14,MIN(1+_xlfn.IFNA(MATCH(F1914,'Default Prob'!$F$5:$F$14,1),0),COUNT('Default Prob'!$P$5:$P$14)))</f>
        <v>4.1094539438249027E-2</v>
      </c>
      <c r="H1914" s="5">
        <f t="shared" si="388"/>
        <v>0.83020094328367677</v>
      </c>
      <c r="I1914" s="24">
        <f t="shared" si="389"/>
        <v>2.8026680738535426E-4</v>
      </c>
      <c r="J1914" s="25">
        <f>INDEX('Default Prob'!$C$3:$C$13, _xlfn.IFNA(MATCH(F1914, 'Default Prob'!$B$3:$B$13, 1), 1))</f>
        <v>2.29E-2</v>
      </c>
      <c r="K1914" s="26">
        <f t="shared" si="380"/>
        <v>0.84761693271182226</v>
      </c>
      <c r="L1914" s="27">
        <f t="shared" ca="1" si="381"/>
        <v>0</v>
      </c>
      <c r="M1914" s="27">
        <f t="shared" ca="1" si="382"/>
        <v>0</v>
      </c>
      <c r="N1914" s="28">
        <f t="shared" ca="1" si="383"/>
        <v>0</v>
      </c>
      <c r="O1914" s="29">
        <f t="shared" ca="1" si="384"/>
        <v>0</v>
      </c>
      <c r="P1914" s="30">
        <f t="shared" ca="1" si="385"/>
        <v>0</v>
      </c>
    </row>
    <row r="1915" spans="1:16" x14ac:dyDescent="0.25">
      <c r="A1915" s="3">
        <f t="shared" si="386"/>
        <v>48793</v>
      </c>
      <c r="B1915" s="21">
        <f t="shared" si="377"/>
        <v>36740</v>
      </c>
      <c r="C1915" s="21">
        <f t="shared" si="378"/>
        <v>36789</v>
      </c>
      <c r="D1915" s="1">
        <f t="shared" si="387"/>
        <v>0</v>
      </c>
      <c r="E1915" s="3">
        <f t="array" ref="E1915">INDEX($A$9:A1914, MAX(IF($D$9:D1914=1, ROW(D$9:$D1914)-ROW($D$9)+1, 0)))</f>
        <v>48750</v>
      </c>
      <c r="F1915" s="23">
        <f t="shared" si="379"/>
        <v>7.3045859000684459</v>
      </c>
      <c r="G1915" s="5">
        <f>INDEX('Default Prob'!$P$5:$P$14,MIN(1+_xlfn.IFNA(MATCH(F1915,'Default Prob'!$F$5:$F$14,1),0),COUNT('Default Prob'!$P$5:$P$14)))</f>
        <v>4.1094539438249027E-2</v>
      </c>
      <c r="H1915" s="5">
        <f t="shared" si="388"/>
        <v>0.83010754203459047</v>
      </c>
      <c r="I1915" s="24">
        <f t="shared" si="389"/>
        <v>9.3401249086300098E-5</v>
      </c>
      <c r="J1915" s="25">
        <f>INDEX('Default Prob'!$C$3:$C$13, _xlfn.IFNA(MATCH(F1915, 'Default Prob'!$B$3:$B$13, 1), 1))</f>
        <v>2.29E-2</v>
      </c>
      <c r="K1915" s="26">
        <f t="shared" si="380"/>
        <v>0.84756439083826762</v>
      </c>
      <c r="L1915" s="27">
        <f t="shared" ca="1" si="381"/>
        <v>0</v>
      </c>
      <c r="M1915" s="27">
        <f t="shared" ca="1" si="382"/>
        <v>0</v>
      </c>
      <c r="N1915" s="28">
        <f t="shared" ca="1" si="383"/>
        <v>0</v>
      </c>
      <c r="O1915" s="29">
        <f t="shared" ca="1" si="384"/>
        <v>0</v>
      </c>
      <c r="P1915" s="30">
        <f t="shared" ca="1" si="385"/>
        <v>0</v>
      </c>
    </row>
    <row r="1916" spans="1:16" x14ac:dyDescent="0.25">
      <c r="A1916" s="3">
        <f t="shared" si="386"/>
        <v>48794</v>
      </c>
      <c r="B1916" s="21">
        <f t="shared" si="377"/>
        <v>36741</v>
      </c>
      <c r="C1916" s="21">
        <f t="shared" si="378"/>
        <v>36789</v>
      </c>
      <c r="D1916" s="1">
        <f t="shared" si="387"/>
        <v>0</v>
      </c>
      <c r="E1916" s="3">
        <f t="array" ref="E1916">INDEX($A$9:A1915, MAX(IF($D$9:D1915=1, ROW(D$9:$D1915)-ROW($D$9)+1, 0)))</f>
        <v>48750</v>
      </c>
      <c r="F1916" s="23">
        <f t="shared" si="379"/>
        <v>7.3073237508555779</v>
      </c>
      <c r="G1916" s="5">
        <f>INDEX('Default Prob'!$P$5:$P$14,MIN(1+_xlfn.IFNA(MATCH(F1916,'Default Prob'!$F$5:$F$14,1),0),COUNT('Default Prob'!$P$5:$P$14)))</f>
        <v>4.1094539438249027E-2</v>
      </c>
      <c r="H1916" s="5">
        <f t="shared" si="388"/>
        <v>0.83001415129355449</v>
      </c>
      <c r="I1916" s="24">
        <f t="shared" si="389"/>
        <v>9.3390741035981328E-5</v>
      </c>
      <c r="J1916" s="25">
        <f>INDEX('Default Prob'!$C$3:$C$13, _xlfn.IFNA(MATCH(F1916, 'Default Prob'!$B$3:$B$13, 1), 1))</f>
        <v>2.29E-2</v>
      </c>
      <c r="K1916" s="26">
        <f t="shared" si="380"/>
        <v>0.84751185222166603</v>
      </c>
      <c r="L1916" s="27">
        <f t="shared" ca="1" si="381"/>
        <v>0</v>
      </c>
      <c r="M1916" s="27">
        <f t="shared" ca="1" si="382"/>
        <v>0</v>
      </c>
      <c r="N1916" s="28">
        <f t="shared" ca="1" si="383"/>
        <v>0</v>
      </c>
      <c r="O1916" s="29">
        <f t="shared" ca="1" si="384"/>
        <v>0</v>
      </c>
      <c r="P1916" s="30">
        <f t="shared" ca="1" si="385"/>
        <v>0</v>
      </c>
    </row>
    <row r="1917" spans="1:16" x14ac:dyDescent="0.25">
      <c r="A1917" s="3">
        <f t="shared" si="386"/>
        <v>48795</v>
      </c>
      <c r="B1917" s="21">
        <f t="shared" si="377"/>
        <v>36742</v>
      </c>
      <c r="C1917" s="21">
        <f t="shared" si="378"/>
        <v>36789</v>
      </c>
      <c r="D1917" s="1">
        <f t="shared" si="387"/>
        <v>0</v>
      </c>
      <c r="E1917" s="3">
        <f t="array" ref="E1917">INDEX($A$9:A1916, MAX(IF($D$9:D1916=1, ROW(D$9:$D1916)-ROW($D$9)+1, 0)))</f>
        <v>48750</v>
      </c>
      <c r="F1917" s="23">
        <f t="shared" si="379"/>
        <v>7.3100616016427109</v>
      </c>
      <c r="G1917" s="5">
        <f>INDEX('Default Prob'!$P$5:$P$14,MIN(1+_xlfn.IFNA(MATCH(F1917,'Default Prob'!$F$5:$F$14,1),0),COUNT('Default Prob'!$P$5:$P$14)))</f>
        <v>4.1094539438249027E-2</v>
      </c>
      <c r="H1917" s="5">
        <f t="shared" si="388"/>
        <v>0.82992077105938655</v>
      </c>
      <c r="I1917" s="24">
        <f t="shared" si="389"/>
        <v>9.3380234167939058E-5</v>
      </c>
      <c r="J1917" s="25">
        <f>INDEX('Default Prob'!$C$3:$C$13, _xlfn.IFNA(MATCH(F1917, 'Default Prob'!$B$3:$B$13, 1), 1))</f>
        <v>2.29E-2</v>
      </c>
      <c r="K1917" s="26">
        <f t="shared" si="380"/>
        <v>0.84745931686181541</v>
      </c>
      <c r="L1917" s="27">
        <f t="shared" ca="1" si="381"/>
        <v>0</v>
      </c>
      <c r="M1917" s="27">
        <f t="shared" ca="1" si="382"/>
        <v>0</v>
      </c>
      <c r="N1917" s="28">
        <f t="shared" ca="1" si="383"/>
        <v>0</v>
      </c>
      <c r="O1917" s="29">
        <f t="shared" ca="1" si="384"/>
        <v>0</v>
      </c>
      <c r="P1917" s="30">
        <f t="shared" ca="1" si="385"/>
        <v>0</v>
      </c>
    </row>
    <row r="1918" spans="1:16" x14ac:dyDescent="0.25">
      <c r="A1918" s="3">
        <f t="shared" si="386"/>
        <v>48796</v>
      </c>
      <c r="B1918" s="21">
        <f t="shared" si="377"/>
        <v>36743</v>
      </c>
      <c r="C1918" s="21">
        <f t="shared" si="378"/>
        <v>36789</v>
      </c>
      <c r="D1918" s="1">
        <f t="shared" si="387"/>
        <v>0</v>
      </c>
      <c r="E1918" s="3">
        <f t="array" ref="E1918">INDEX($A$9:A1917, MAX(IF($D$9:D1917=1, ROW(D$9:$D1917)-ROW($D$9)+1, 0)))</f>
        <v>48750</v>
      </c>
      <c r="F1918" s="23">
        <f t="shared" si="379"/>
        <v>7.312799452429843</v>
      </c>
      <c r="G1918" s="5">
        <f>INDEX('Default Prob'!$P$5:$P$14,MIN(1+_xlfn.IFNA(MATCH(F1918,'Default Prob'!$F$5:$F$14,1),0),COUNT('Default Prob'!$P$5:$P$14)))</f>
        <v>4.1094539438249027E-2</v>
      </c>
      <c r="H1918" s="5">
        <f t="shared" si="388"/>
        <v>0.82982740133090482</v>
      </c>
      <c r="I1918" s="24">
        <f t="shared" si="389"/>
        <v>9.3369728481729197E-5</v>
      </c>
      <c r="J1918" s="25">
        <f>INDEX('Default Prob'!$C$3:$C$13, _xlfn.IFNA(MATCH(F1918, 'Default Prob'!$B$3:$B$13, 1), 1))</f>
        <v>2.29E-2</v>
      </c>
      <c r="K1918" s="26">
        <f t="shared" si="380"/>
        <v>0.84740678475851394</v>
      </c>
      <c r="L1918" s="27">
        <f t="shared" ca="1" si="381"/>
        <v>0</v>
      </c>
      <c r="M1918" s="27">
        <f t="shared" ca="1" si="382"/>
        <v>0</v>
      </c>
      <c r="N1918" s="28">
        <f t="shared" ca="1" si="383"/>
        <v>0</v>
      </c>
      <c r="O1918" s="29">
        <f t="shared" ca="1" si="384"/>
        <v>0</v>
      </c>
      <c r="P1918" s="30">
        <f t="shared" ca="1" si="385"/>
        <v>0</v>
      </c>
    </row>
    <row r="1919" spans="1:16" x14ac:dyDescent="0.25">
      <c r="A1919" s="3">
        <f t="shared" si="386"/>
        <v>48799</v>
      </c>
      <c r="B1919" s="21">
        <f t="shared" si="377"/>
        <v>36746</v>
      </c>
      <c r="C1919" s="21">
        <f t="shared" si="378"/>
        <v>36789</v>
      </c>
      <c r="D1919" s="1">
        <f t="shared" si="387"/>
        <v>0</v>
      </c>
      <c r="E1919" s="3">
        <f t="array" ref="E1919">INDEX($A$9:A1918, MAX(IF($D$9:D1918=1, ROW(D$9:$D1918)-ROW($D$9)+1, 0)))</f>
        <v>48750</v>
      </c>
      <c r="F1919" s="23">
        <f t="shared" si="379"/>
        <v>7.3210130047912392</v>
      </c>
      <c r="G1919" s="5">
        <f>INDEX('Default Prob'!$P$5:$P$14,MIN(1+_xlfn.IFNA(MATCH(F1919,'Default Prob'!$F$5:$F$14,1),0),COUNT('Default Prob'!$P$5:$P$14)))</f>
        <v>4.1094539438249027E-2</v>
      </c>
      <c r="H1919" s="5">
        <f t="shared" si="388"/>
        <v>0.82954735516775757</v>
      </c>
      <c r="I1919" s="24">
        <f t="shared" si="389"/>
        <v>2.8004616314725173E-4</v>
      </c>
      <c r="J1919" s="25">
        <f>INDEX('Default Prob'!$C$3:$C$13, _xlfn.IFNA(MATCH(F1919, 'Default Prob'!$B$3:$B$13, 1), 1))</f>
        <v>2.29E-2</v>
      </c>
      <c r="K1919" s="26">
        <f t="shared" si="380"/>
        <v>0.84724920798588621</v>
      </c>
      <c r="L1919" s="27">
        <f t="shared" ca="1" si="381"/>
        <v>0</v>
      </c>
      <c r="M1919" s="27">
        <f t="shared" ca="1" si="382"/>
        <v>0</v>
      </c>
      <c r="N1919" s="28">
        <f t="shared" ca="1" si="383"/>
        <v>0</v>
      </c>
      <c r="O1919" s="29">
        <f t="shared" ca="1" si="384"/>
        <v>0</v>
      </c>
      <c r="P1919" s="30">
        <f t="shared" ca="1" si="385"/>
        <v>0</v>
      </c>
    </row>
    <row r="1920" spans="1:16" x14ac:dyDescent="0.25">
      <c r="A1920" s="3">
        <f t="shared" si="386"/>
        <v>48800</v>
      </c>
      <c r="B1920" s="21">
        <f t="shared" si="377"/>
        <v>36747</v>
      </c>
      <c r="C1920" s="21">
        <f t="shared" si="378"/>
        <v>36789</v>
      </c>
      <c r="D1920" s="1">
        <f t="shared" si="387"/>
        <v>0</v>
      </c>
      <c r="E1920" s="3">
        <f t="array" ref="E1920">INDEX($A$9:A1919, MAX(IF($D$9:D1919=1, ROW(D$9:$D1919)-ROW($D$9)+1, 0)))</f>
        <v>48750</v>
      </c>
      <c r="F1920" s="23">
        <f t="shared" si="379"/>
        <v>7.3237508555783712</v>
      </c>
      <c r="G1920" s="5">
        <f>INDEX('Default Prob'!$P$5:$P$14,MIN(1+_xlfn.IFNA(MATCH(F1920,'Default Prob'!$F$5:$F$14,1),0),COUNT('Default Prob'!$P$5:$P$14)))</f>
        <v>4.1094539438249027E-2</v>
      </c>
      <c r="H1920" s="5">
        <f t="shared" si="388"/>
        <v>0.82945402745020225</v>
      </c>
      <c r="I1920" s="24">
        <f t="shared" si="389"/>
        <v>9.3327717555324874E-5</v>
      </c>
      <c r="J1920" s="25">
        <f>INDEX('Default Prob'!$C$3:$C$13, _xlfn.IFNA(MATCH(F1920, 'Default Prob'!$B$3:$B$13, 1), 1))</f>
        <v>2.29E-2</v>
      </c>
      <c r="K1920" s="26">
        <f t="shared" si="380"/>
        <v>0.84719668890676314</v>
      </c>
      <c r="L1920" s="27">
        <f t="shared" ca="1" si="381"/>
        <v>0</v>
      </c>
      <c r="M1920" s="27">
        <f t="shared" ca="1" si="382"/>
        <v>0</v>
      </c>
      <c r="N1920" s="28">
        <f t="shared" ca="1" si="383"/>
        <v>0</v>
      </c>
      <c r="O1920" s="29">
        <f t="shared" ca="1" si="384"/>
        <v>0</v>
      </c>
      <c r="P1920" s="30">
        <f t="shared" ca="1" si="385"/>
        <v>0</v>
      </c>
    </row>
    <row r="1921" spans="1:16" x14ac:dyDescent="0.25">
      <c r="A1921" s="3">
        <f t="shared" si="386"/>
        <v>48801</v>
      </c>
      <c r="B1921" s="21">
        <f t="shared" si="377"/>
        <v>36748</v>
      </c>
      <c r="C1921" s="21">
        <f t="shared" si="378"/>
        <v>36789</v>
      </c>
      <c r="D1921" s="1">
        <f t="shared" si="387"/>
        <v>0</v>
      </c>
      <c r="E1921" s="3">
        <f t="array" ref="E1921">INDEX($A$9:A1920, MAX(IF($D$9:D1920=1, ROW(D$9:$D1920)-ROW($D$9)+1, 0)))</f>
        <v>48750</v>
      </c>
      <c r="F1921" s="23">
        <f t="shared" si="379"/>
        <v>7.3264887063655033</v>
      </c>
      <c r="G1921" s="5">
        <f>INDEX('Default Prob'!$P$5:$P$14,MIN(1+_xlfn.IFNA(MATCH(F1921,'Default Prob'!$F$5:$F$14,1),0),COUNT('Default Prob'!$P$5:$P$14)))</f>
        <v>4.1094539438249027E-2</v>
      </c>
      <c r="H1921" s="5">
        <f t="shared" si="388"/>
        <v>0.82936071023242464</v>
      </c>
      <c r="I1921" s="24">
        <f t="shared" si="389"/>
        <v>9.3317217777610928E-5</v>
      </c>
      <c r="J1921" s="25">
        <f>INDEX('Default Prob'!$C$3:$C$13, _xlfn.IFNA(MATCH(F1921, 'Default Prob'!$B$3:$B$13, 1), 1))</f>
        <v>2.29E-2</v>
      </c>
      <c r="K1921" s="26">
        <f t="shared" si="380"/>
        <v>0.84714417308317991</v>
      </c>
      <c r="L1921" s="27">
        <f t="shared" ca="1" si="381"/>
        <v>0</v>
      </c>
      <c r="M1921" s="27">
        <f t="shared" ca="1" si="382"/>
        <v>0</v>
      </c>
      <c r="N1921" s="28">
        <f t="shared" ca="1" si="383"/>
        <v>0</v>
      </c>
      <c r="O1921" s="29">
        <f t="shared" ca="1" si="384"/>
        <v>0</v>
      </c>
      <c r="P1921" s="30">
        <f t="shared" ca="1" si="385"/>
        <v>0</v>
      </c>
    </row>
    <row r="1922" spans="1:16" x14ac:dyDescent="0.25">
      <c r="A1922" s="3">
        <f t="shared" si="386"/>
        <v>48802</v>
      </c>
      <c r="B1922" s="21">
        <f t="shared" si="377"/>
        <v>36749</v>
      </c>
      <c r="C1922" s="21">
        <f t="shared" si="378"/>
        <v>36789</v>
      </c>
      <c r="D1922" s="1">
        <f t="shared" si="387"/>
        <v>0</v>
      </c>
      <c r="E1922" s="3">
        <f t="array" ref="E1922">INDEX($A$9:A1921, MAX(IF($D$9:D1921=1, ROW(D$9:$D1921)-ROW($D$9)+1, 0)))</f>
        <v>48750</v>
      </c>
      <c r="F1922" s="23">
        <f t="shared" si="379"/>
        <v>7.3292265571526354</v>
      </c>
      <c r="G1922" s="5">
        <f>INDEX('Default Prob'!$P$5:$P$14,MIN(1+_xlfn.IFNA(MATCH(F1922,'Default Prob'!$F$5:$F$14,1),0),COUNT('Default Prob'!$P$5:$P$14)))</f>
        <v>4.1094539438249027E-2</v>
      </c>
      <c r="H1922" s="5">
        <f t="shared" si="388"/>
        <v>0.82926740351324357</v>
      </c>
      <c r="I1922" s="24">
        <f t="shared" si="389"/>
        <v>9.3306719181063258E-5</v>
      </c>
      <c r="J1922" s="25">
        <f>INDEX('Default Prob'!$C$3:$C$13, _xlfn.IFNA(MATCH(F1922, 'Default Prob'!$B$3:$B$13, 1), 1))</f>
        <v>2.29E-2</v>
      </c>
      <c r="K1922" s="26">
        <f t="shared" si="380"/>
        <v>0.84709166051493467</v>
      </c>
      <c r="L1922" s="27">
        <f t="shared" ca="1" si="381"/>
        <v>0</v>
      </c>
      <c r="M1922" s="27">
        <f t="shared" ca="1" si="382"/>
        <v>0</v>
      </c>
      <c r="N1922" s="28">
        <f t="shared" ca="1" si="383"/>
        <v>0</v>
      </c>
      <c r="O1922" s="29">
        <f t="shared" ca="1" si="384"/>
        <v>0</v>
      </c>
      <c r="P1922" s="30">
        <f t="shared" ca="1" si="385"/>
        <v>0</v>
      </c>
    </row>
    <row r="1923" spans="1:16" x14ac:dyDescent="0.25">
      <c r="A1923" s="3">
        <f t="shared" si="386"/>
        <v>48803</v>
      </c>
      <c r="B1923" s="21">
        <f t="shared" si="377"/>
        <v>36750</v>
      </c>
      <c r="C1923" s="21">
        <f t="shared" si="378"/>
        <v>36789</v>
      </c>
      <c r="D1923" s="1">
        <f t="shared" si="387"/>
        <v>0</v>
      </c>
      <c r="E1923" s="3">
        <f t="array" ref="E1923">INDEX($A$9:A1922, MAX(IF($D$9:D1922=1, ROW(D$9:$D1922)-ROW($D$9)+1, 0)))</f>
        <v>48750</v>
      </c>
      <c r="F1923" s="23">
        <f t="shared" si="379"/>
        <v>7.3319644079397674</v>
      </c>
      <c r="G1923" s="5">
        <f>INDEX('Default Prob'!$P$5:$P$14,MIN(1+_xlfn.IFNA(MATCH(F1923,'Default Prob'!$F$5:$F$14,1),0),COUNT('Default Prob'!$P$5:$P$14)))</f>
        <v>4.1094539438249027E-2</v>
      </c>
      <c r="H1923" s="5">
        <f t="shared" si="388"/>
        <v>0.82917410729147778</v>
      </c>
      <c r="I1923" s="24">
        <f t="shared" si="389"/>
        <v>9.3296221765792886E-5</v>
      </c>
      <c r="J1923" s="25">
        <f>INDEX('Default Prob'!$C$3:$C$13, _xlfn.IFNA(MATCH(F1923, 'Default Prob'!$B$3:$B$13, 1), 1))</f>
        <v>2.29E-2</v>
      </c>
      <c r="K1923" s="26">
        <f t="shared" si="380"/>
        <v>0.84703915120182616</v>
      </c>
      <c r="L1923" s="27">
        <f t="shared" ca="1" si="381"/>
        <v>0</v>
      </c>
      <c r="M1923" s="27">
        <f t="shared" ca="1" si="382"/>
        <v>0</v>
      </c>
      <c r="N1923" s="28">
        <f t="shared" ca="1" si="383"/>
        <v>0</v>
      </c>
      <c r="O1923" s="29">
        <f t="shared" ca="1" si="384"/>
        <v>0</v>
      </c>
      <c r="P1923" s="30">
        <f t="shared" ca="1" si="385"/>
        <v>0</v>
      </c>
    </row>
    <row r="1924" spans="1:16" x14ac:dyDescent="0.25">
      <c r="A1924" s="3">
        <f t="shared" si="386"/>
        <v>48806</v>
      </c>
      <c r="B1924" s="21">
        <f t="shared" si="377"/>
        <v>36753</v>
      </c>
      <c r="C1924" s="21">
        <f t="shared" si="378"/>
        <v>36789</v>
      </c>
      <c r="D1924" s="1">
        <f t="shared" si="387"/>
        <v>0</v>
      </c>
      <c r="E1924" s="3">
        <f t="array" ref="E1924">INDEX($A$9:A1923, MAX(IF($D$9:D1923=1, ROW(D$9:$D1923)-ROW($D$9)+1, 0)))</f>
        <v>48750</v>
      </c>
      <c r="F1924" s="23">
        <f t="shared" si="379"/>
        <v>7.3401779603011637</v>
      </c>
      <c r="G1924" s="5">
        <f>INDEX('Default Prob'!$P$5:$P$14,MIN(1+_xlfn.IFNA(MATCH(F1924,'Default Prob'!$F$5:$F$14,1),0),COUNT('Default Prob'!$P$5:$P$14)))</f>
        <v>4.1094539438249027E-2</v>
      </c>
      <c r="H1924" s="5">
        <f t="shared" si="388"/>
        <v>0.82889428159886314</v>
      </c>
      <c r="I1924" s="24">
        <f t="shared" si="389"/>
        <v>2.7982569261464363E-4</v>
      </c>
      <c r="J1924" s="25">
        <f>INDEX('Default Prob'!$C$3:$C$13, _xlfn.IFNA(MATCH(F1924, 'Default Prob'!$B$3:$B$13, 1), 1))</f>
        <v>2.29E-2</v>
      </c>
      <c r="K1924" s="26">
        <f t="shared" si="380"/>
        <v>0.84688164279130085</v>
      </c>
      <c r="L1924" s="27">
        <f t="shared" ca="1" si="381"/>
        <v>0</v>
      </c>
      <c r="M1924" s="27">
        <f t="shared" ca="1" si="382"/>
        <v>0</v>
      </c>
      <c r="N1924" s="28">
        <f t="shared" ca="1" si="383"/>
        <v>0</v>
      </c>
      <c r="O1924" s="29">
        <f t="shared" ca="1" si="384"/>
        <v>0</v>
      </c>
      <c r="P1924" s="30">
        <f t="shared" ca="1" si="385"/>
        <v>0</v>
      </c>
    </row>
    <row r="1925" spans="1:16" x14ac:dyDescent="0.25">
      <c r="A1925" s="3">
        <f t="shared" si="386"/>
        <v>48807</v>
      </c>
      <c r="B1925" s="21">
        <f t="shared" si="377"/>
        <v>36754</v>
      </c>
      <c r="C1925" s="21">
        <f t="shared" si="378"/>
        <v>36789</v>
      </c>
      <c r="D1925" s="1">
        <f t="shared" si="387"/>
        <v>0</v>
      </c>
      <c r="E1925" s="3">
        <f t="array" ref="E1925">INDEX($A$9:A1924, MAX(IF($D$9:D1924=1, ROW(D$9:$D1924)-ROW($D$9)+1, 0)))</f>
        <v>48750</v>
      </c>
      <c r="F1925" s="23">
        <f t="shared" si="379"/>
        <v>7.3429158110882957</v>
      </c>
      <c r="G1925" s="5">
        <f>INDEX('Default Prob'!$P$5:$P$14,MIN(1+_xlfn.IFNA(MATCH(F1925,'Default Prob'!$F$5:$F$14,1),0),COUNT('Default Prob'!$P$5:$P$14)))</f>
        <v>4.1094539438249027E-2</v>
      </c>
      <c r="H1925" s="5">
        <f t="shared" si="388"/>
        <v>0.82880102735494998</v>
      </c>
      <c r="I1925" s="24">
        <f t="shared" si="389"/>
        <v>9.3254243913154511E-5</v>
      </c>
      <c r="J1925" s="25">
        <f>INDEX('Default Prob'!$C$3:$C$13, _xlfn.IFNA(MATCH(F1925, 'Default Prob'!$B$3:$B$13, 1), 1))</f>
        <v>2.29E-2</v>
      </c>
      <c r="K1925" s="26">
        <f t="shared" si="380"/>
        <v>0.84682914649672003</v>
      </c>
      <c r="L1925" s="27">
        <f t="shared" ca="1" si="381"/>
        <v>0</v>
      </c>
      <c r="M1925" s="27">
        <f t="shared" ca="1" si="382"/>
        <v>0</v>
      </c>
      <c r="N1925" s="28">
        <f t="shared" ca="1" si="383"/>
        <v>0</v>
      </c>
      <c r="O1925" s="29">
        <f t="shared" ca="1" si="384"/>
        <v>0</v>
      </c>
      <c r="P1925" s="30">
        <f t="shared" ca="1" si="385"/>
        <v>0</v>
      </c>
    </row>
    <row r="1926" spans="1:16" x14ac:dyDescent="0.25">
      <c r="A1926" s="3">
        <f t="shared" si="386"/>
        <v>48808</v>
      </c>
      <c r="B1926" s="21">
        <f t="shared" si="377"/>
        <v>36755</v>
      </c>
      <c r="C1926" s="21">
        <f t="shared" si="378"/>
        <v>36789</v>
      </c>
      <c r="D1926" s="1">
        <f t="shared" si="387"/>
        <v>0</v>
      </c>
      <c r="E1926" s="3">
        <f t="array" ref="E1926">INDEX($A$9:A1925, MAX(IF($D$9:D1925=1, ROW(D$9:$D1925)-ROW($D$9)+1, 0)))</f>
        <v>48750</v>
      </c>
      <c r="F1926" s="23">
        <f t="shared" si="379"/>
        <v>7.3456536618754278</v>
      </c>
      <c r="G1926" s="5">
        <f>INDEX('Default Prob'!$P$5:$P$14,MIN(1+_xlfn.IFNA(MATCH(F1926,'Default Prob'!$F$5:$F$14,1),0),COUNT('Default Prob'!$P$5:$P$14)))</f>
        <v>4.1094539438249027E-2</v>
      </c>
      <c r="H1926" s="5">
        <f t="shared" si="388"/>
        <v>0.82870778360254849</v>
      </c>
      <c r="I1926" s="24">
        <f t="shared" si="389"/>
        <v>9.3243752401495072E-5</v>
      </c>
      <c r="J1926" s="25">
        <f>INDEX('Default Prob'!$C$3:$C$13, _xlfn.IFNA(MATCH(F1926, 'Default Prob'!$B$3:$B$13, 1), 1))</f>
        <v>2.29E-2</v>
      </c>
      <c r="K1926" s="26">
        <f t="shared" si="380"/>
        <v>0.84677665345626685</v>
      </c>
      <c r="L1926" s="27">
        <f t="shared" ca="1" si="381"/>
        <v>0</v>
      </c>
      <c r="M1926" s="27">
        <f t="shared" ca="1" si="382"/>
        <v>0</v>
      </c>
      <c r="N1926" s="28">
        <f t="shared" ca="1" si="383"/>
        <v>0</v>
      </c>
      <c r="O1926" s="29">
        <f t="shared" ca="1" si="384"/>
        <v>0</v>
      </c>
      <c r="P1926" s="30">
        <f t="shared" ca="1" si="385"/>
        <v>0</v>
      </c>
    </row>
    <row r="1927" spans="1:16" x14ac:dyDescent="0.25">
      <c r="A1927" s="3">
        <f t="shared" si="386"/>
        <v>48809</v>
      </c>
      <c r="B1927" s="21">
        <f t="shared" si="377"/>
        <v>36756</v>
      </c>
      <c r="C1927" s="21">
        <f t="shared" si="378"/>
        <v>36789</v>
      </c>
      <c r="D1927" s="1">
        <f t="shared" si="387"/>
        <v>0</v>
      </c>
      <c r="E1927" s="3">
        <f t="array" ref="E1927">INDEX($A$9:A1926, MAX(IF($D$9:D1926=1, ROW(D$9:$D1926)-ROW($D$9)+1, 0)))</f>
        <v>48750</v>
      </c>
      <c r="F1927" s="23">
        <f t="shared" si="379"/>
        <v>7.3483915126625599</v>
      </c>
      <c r="G1927" s="5">
        <f>INDEX('Default Prob'!$P$5:$P$14,MIN(1+_xlfn.IFNA(MATCH(F1927,'Default Prob'!$F$5:$F$14,1),0),COUNT('Default Prob'!$P$5:$P$14)))</f>
        <v>4.1094539438249027E-2</v>
      </c>
      <c r="H1927" s="5">
        <f t="shared" si="388"/>
        <v>0.82861455034047837</v>
      </c>
      <c r="I1927" s="24">
        <f t="shared" si="389"/>
        <v>9.3233262070113732E-5</v>
      </c>
      <c r="J1927" s="25">
        <f>INDEX('Default Prob'!$C$3:$C$13, _xlfn.IFNA(MATCH(F1927, 'Default Prob'!$B$3:$B$13, 1), 1))</f>
        <v>2.29E-2</v>
      </c>
      <c r="K1927" s="26">
        <f t="shared" si="380"/>
        <v>0.84672416366973979</v>
      </c>
      <c r="L1927" s="27">
        <f t="shared" ca="1" si="381"/>
        <v>0</v>
      </c>
      <c r="M1927" s="27">
        <f t="shared" ca="1" si="382"/>
        <v>0</v>
      </c>
      <c r="N1927" s="28">
        <f t="shared" ca="1" si="383"/>
        <v>0</v>
      </c>
      <c r="O1927" s="29">
        <f t="shared" ca="1" si="384"/>
        <v>0</v>
      </c>
      <c r="P1927" s="30">
        <f t="shared" ca="1" si="385"/>
        <v>0</v>
      </c>
    </row>
    <row r="1928" spans="1:16" x14ac:dyDescent="0.25">
      <c r="A1928" s="3">
        <f t="shared" si="386"/>
        <v>48810</v>
      </c>
      <c r="B1928" s="21">
        <f t="shared" si="377"/>
        <v>36757</v>
      </c>
      <c r="C1928" s="21">
        <f t="shared" si="378"/>
        <v>36789</v>
      </c>
      <c r="D1928" s="1">
        <f t="shared" si="387"/>
        <v>0</v>
      </c>
      <c r="E1928" s="3">
        <f t="array" ref="E1928">INDEX($A$9:A1927, MAX(IF($D$9:D1927=1, ROW(D$9:$D1927)-ROW($D$9)+1, 0)))</f>
        <v>48750</v>
      </c>
      <c r="F1928" s="23">
        <f t="shared" si="379"/>
        <v>7.3511293634496919</v>
      </c>
      <c r="G1928" s="5">
        <f>INDEX('Default Prob'!$P$5:$P$14,MIN(1+_xlfn.IFNA(MATCH(F1928,'Default Prob'!$F$5:$F$14,1),0),COUNT('Default Prob'!$P$5:$P$14)))</f>
        <v>4.1094539438249027E-2</v>
      </c>
      <c r="H1928" s="5">
        <f t="shared" si="388"/>
        <v>0.82852132756755936</v>
      </c>
      <c r="I1928" s="24">
        <f t="shared" si="389"/>
        <v>9.3222772919010488E-5</v>
      </c>
      <c r="J1928" s="25">
        <f>INDEX('Default Prob'!$C$3:$C$13, _xlfn.IFNA(MATCH(F1928, 'Default Prob'!$B$3:$B$13, 1), 1))</f>
        <v>2.29E-2</v>
      </c>
      <c r="K1928" s="26">
        <f t="shared" si="380"/>
        <v>0.8466716771369367</v>
      </c>
      <c r="L1928" s="27">
        <f t="shared" ca="1" si="381"/>
        <v>0</v>
      </c>
      <c r="M1928" s="27">
        <f t="shared" ca="1" si="382"/>
        <v>0</v>
      </c>
      <c r="N1928" s="28">
        <f t="shared" ca="1" si="383"/>
        <v>0</v>
      </c>
      <c r="O1928" s="29">
        <f t="shared" ca="1" si="384"/>
        <v>0</v>
      </c>
      <c r="P1928" s="30">
        <f t="shared" ca="1" si="385"/>
        <v>0</v>
      </c>
    </row>
    <row r="1929" spans="1:16" x14ac:dyDescent="0.25">
      <c r="A1929" s="3">
        <f t="shared" si="386"/>
        <v>48813</v>
      </c>
      <c r="B1929" s="21">
        <f t="shared" ref="B1929:B1992" si="390">DATE(2000, MONTH(A1929), DAY(A1929))</f>
        <v>36760</v>
      </c>
      <c r="C1929" s="21">
        <f t="shared" ref="C1929:C1992" si="391">VLOOKUP(B1929, $R$9:$S$13, 2)</f>
        <v>36789</v>
      </c>
      <c r="D1929" s="1">
        <f t="shared" si="387"/>
        <v>0</v>
      </c>
      <c r="E1929" s="3">
        <f t="array" ref="E1929">INDEX($A$9:A1928, MAX(IF($D$9:D1928=1, ROW(D$9:$D1928)-ROW($D$9)+1, 0)))</f>
        <v>48750</v>
      </c>
      <c r="F1929" s="23">
        <f t="shared" ref="F1929:F1992" si="392">(A1929-$A$2)/365.25</f>
        <v>7.3593429158110881</v>
      </c>
      <c r="G1929" s="5">
        <f>INDEX('Default Prob'!$P$5:$P$14,MIN(1+_xlfn.IFNA(MATCH(F1929,'Default Prob'!$F$5:$F$14,1),0),COUNT('Default Prob'!$P$5:$P$14)))</f>
        <v>4.1094539438249027E-2</v>
      </c>
      <c r="H1929" s="5">
        <f t="shared" si="388"/>
        <v>0.82824172217190861</v>
      </c>
      <c r="I1929" s="24">
        <f t="shared" si="389"/>
        <v>2.7960539565075049E-4</v>
      </c>
      <c r="J1929" s="25">
        <f>INDEX('Default Prob'!$C$3:$C$13, _xlfn.IFNA(MATCH(F1929, 'Default Prob'!$B$3:$B$13, 1), 1))</f>
        <v>2.29E-2</v>
      </c>
      <c r="K1929" s="26">
        <f t="shared" ref="K1929:K1992" si="393">1/((1+J1929)^F1929)</f>
        <v>0.84651423705885587</v>
      </c>
      <c r="L1929" s="27">
        <f t="shared" ref="L1929:L1992" ca="1" si="394">IF(AND(D1929, A1929 &lt;= $G$2), $D$5*$D$2*(A1929-E1929)/365.25, 0)</f>
        <v>0</v>
      </c>
      <c r="M1929" s="27">
        <f t="shared" ref="M1929:M1992" ca="1" si="395">IF(A1929&lt;=$G$2, $D$5*$D$2*(A1929-E1929)/365.25, 0)</f>
        <v>0</v>
      </c>
      <c r="N1929" s="28">
        <f t="shared" ref="N1929:N1992" ca="1" si="396">(L1929*H1929 + M1929*I1929) * K1929</f>
        <v>0</v>
      </c>
      <c r="O1929" s="29">
        <f t="shared" ref="O1929:O1992" ca="1" si="397">IF(A1929&lt;=$G$2, $D$2*(1-$D$3), 0)</f>
        <v>0</v>
      </c>
      <c r="P1929" s="30">
        <f t="shared" ref="P1929:P1992" ca="1" si="398">O1929*I1929*K1929</f>
        <v>0</v>
      </c>
    </row>
    <row r="1930" spans="1:16" x14ac:dyDescent="0.25">
      <c r="A1930" s="3">
        <f t="shared" ref="A1930:A1993" si="399">WORKDAY(A1929, 1)</f>
        <v>48814</v>
      </c>
      <c r="B1930" s="21">
        <f t="shared" si="390"/>
        <v>36761</v>
      </c>
      <c r="C1930" s="21">
        <f t="shared" si="391"/>
        <v>36789</v>
      </c>
      <c r="D1930" s="1">
        <f t="shared" ref="D1930:D1993" si="400">IF(OR(C1930=B1930, AND(C1930&lt;&gt;C1929, C1929&gt;B1929)), 1, 0)</f>
        <v>0</v>
      </c>
      <c r="E1930" s="3">
        <f t="array" ref="E1930">INDEX($A$9:A1929, MAX(IF($D$9:D1929=1, ROW(D$9:$D1929)-ROW($D$9)+1, 0)))</f>
        <v>48750</v>
      </c>
      <c r="F1930" s="23">
        <f t="shared" si="392"/>
        <v>7.3620807665982202</v>
      </c>
      <c r="G1930" s="5">
        <f>INDEX('Default Prob'!$P$5:$P$14,MIN(1+_xlfn.IFNA(MATCH(F1930,'Default Prob'!$F$5:$F$14,1),0),COUNT('Default Prob'!$P$5:$P$14)))</f>
        <v>4.1094539438249027E-2</v>
      </c>
      <c r="H1930" s="5">
        <f t="shared" ref="H1930:H1993" si="401">H1929*EXP(-G1929*(F1930-F1929))</f>
        <v>0.82814854134379456</v>
      </c>
      <c r="I1930" s="24">
        <f t="shared" ref="I1930:I1993" si="402">H1929-H1930</f>
        <v>9.318082811404782E-5</v>
      </c>
      <c r="J1930" s="25">
        <f>INDEX('Default Prob'!$C$3:$C$13, _xlfn.IFNA(MATCH(F1930, 'Default Prob'!$B$3:$B$13, 1), 1))</f>
        <v>2.29E-2</v>
      </c>
      <c r="K1930" s="26">
        <f t="shared" si="393"/>
        <v>0.84646176353893277</v>
      </c>
      <c r="L1930" s="27">
        <f t="shared" ca="1" si="394"/>
        <v>0</v>
      </c>
      <c r="M1930" s="27">
        <f t="shared" ca="1" si="395"/>
        <v>0</v>
      </c>
      <c r="N1930" s="28">
        <f t="shared" ca="1" si="396"/>
        <v>0</v>
      </c>
      <c r="O1930" s="29">
        <f t="shared" ca="1" si="397"/>
        <v>0</v>
      </c>
      <c r="P1930" s="30">
        <f t="shared" ca="1" si="398"/>
        <v>0</v>
      </c>
    </row>
    <row r="1931" spans="1:16" x14ac:dyDescent="0.25">
      <c r="A1931" s="3">
        <f t="shared" si="399"/>
        <v>48815</v>
      </c>
      <c r="B1931" s="21">
        <f t="shared" si="390"/>
        <v>36762</v>
      </c>
      <c r="C1931" s="21">
        <f t="shared" si="391"/>
        <v>36789</v>
      </c>
      <c r="D1931" s="1">
        <f t="shared" si="400"/>
        <v>0</v>
      </c>
      <c r="E1931" s="3">
        <f t="array" ref="E1931">INDEX($A$9:A1930, MAX(IF($D$9:D1930=1, ROW(D$9:$D1930)-ROW($D$9)+1, 0)))</f>
        <v>48750</v>
      </c>
      <c r="F1931" s="23">
        <f t="shared" si="392"/>
        <v>7.3648186173853523</v>
      </c>
      <c r="G1931" s="5">
        <f>INDEX('Default Prob'!$P$5:$P$14,MIN(1+_xlfn.IFNA(MATCH(F1931,'Default Prob'!$F$5:$F$14,1),0),COUNT('Default Prob'!$P$5:$P$14)))</f>
        <v>4.1094539438249027E-2</v>
      </c>
      <c r="H1931" s="5">
        <f t="shared" si="401"/>
        <v>0.82805537099893256</v>
      </c>
      <c r="I1931" s="24">
        <f t="shared" si="402"/>
        <v>9.3170344862003596E-5</v>
      </c>
      <c r="J1931" s="25">
        <f>INDEX('Default Prob'!$C$3:$C$13, _xlfn.IFNA(MATCH(F1931, 'Default Prob'!$B$3:$B$13, 1), 1))</f>
        <v>2.29E-2</v>
      </c>
      <c r="K1931" s="26">
        <f t="shared" si="393"/>
        <v>0.84640929327172576</v>
      </c>
      <c r="L1931" s="27">
        <f t="shared" ca="1" si="394"/>
        <v>0</v>
      </c>
      <c r="M1931" s="27">
        <f t="shared" ca="1" si="395"/>
        <v>0</v>
      </c>
      <c r="N1931" s="28">
        <f t="shared" ca="1" si="396"/>
        <v>0</v>
      </c>
      <c r="O1931" s="29">
        <f t="shared" ca="1" si="397"/>
        <v>0</v>
      </c>
      <c r="P1931" s="30">
        <f t="shared" ca="1" si="398"/>
        <v>0</v>
      </c>
    </row>
    <row r="1932" spans="1:16" x14ac:dyDescent="0.25">
      <c r="A1932" s="3">
        <f t="shared" si="399"/>
        <v>48816</v>
      </c>
      <c r="B1932" s="21">
        <f t="shared" si="390"/>
        <v>36763</v>
      </c>
      <c r="C1932" s="21">
        <f t="shared" si="391"/>
        <v>36789</v>
      </c>
      <c r="D1932" s="1">
        <f t="shared" si="400"/>
        <v>0</v>
      </c>
      <c r="E1932" s="3">
        <f t="array" ref="E1932">INDEX($A$9:A1931, MAX(IF($D$9:D1931=1, ROW(D$9:$D1931)-ROW($D$9)+1, 0)))</f>
        <v>48750</v>
      </c>
      <c r="F1932" s="23">
        <f t="shared" si="392"/>
        <v>7.3675564681724843</v>
      </c>
      <c r="G1932" s="5">
        <f>INDEX('Default Prob'!$P$5:$P$14,MIN(1+_xlfn.IFNA(MATCH(F1932,'Default Prob'!$F$5:$F$14,1),0),COUNT('Default Prob'!$P$5:$P$14)))</f>
        <v>4.1094539438249027E-2</v>
      </c>
      <c r="H1932" s="5">
        <f t="shared" si="401"/>
        <v>0.8279622111361431</v>
      </c>
      <c r="I1932" s="24">
        <f t="shared" si="402"/>
        <v>9.3159862789460313E-5</v>
      </c>
      <c r="J1932" s="25">
        <f>INDEX('Default Prob'!$C$3:$C$13, _xlfn.IFNA(MATCH(F1932, 'Default Prob'!$B$3:$B$13, 1), 1))</f>
        <v>2.29E-2</v>
      </c>
      <c r="K1932" s="26">
        <f t="shared" si="393"/>
        <v>0.8463568262570329</v>
      </c>
      <c r="L1932" s="27">
        <f t="shared" ca="1" si="394"/>
        <v>0</v>
      </c>
      <c r="M1932" s="27">
        <f t="shared" ca="1" si="395"/>
        <v>0</v>
      </c>
      <c r="N1932" s="28">
        <f t="shared" ca="1" si="396"/>
        <v>0</v>
      </c>
      <c r="O1932" s="29">
        <f t="shared" ca="1" si="397"/>
        <v>0</v>
      </c>
      <c r="P1932" s="30">
        <f t="shared" ca="1" si="398"/>
        <v>0</v>
      </c>
    </row>
    <row r="1933" spans="1:16" x14ac:dyDescent="0.25">
      <c r="A1933" s="3">
        <f t="shared" si="399"/>
        <v>48817</v>
      </c>
      <c r="B1933" s="21">
        <f t="shared" si="390"/>
        <v>36764</v>
      </c>
      <c r="C1933" s="21">
        <f t="shared" si="391"/>
        <v>36789</v>
      </c>
      <c r="D1933" s="1">
        <f t="shared" si="400"/>
        <v>0</v>
      </c>
      <c r="E1933" s="3">
        <f t="array" ref="E1933">INDEX($A$9:A1932, MAX(IF($D$9:D1932=1, ROW(D$9:$D1932)-ROW($D$9)+1, 0)))</f>
        <v>48750</v>
      </c>
      <c r="F1933" s="23">
        <f t="shared" si="392"/>
        <v>7.3702943189596164</v>
      </c>
      <c r="G1933" s="5">
        <f>INDEX('Default Prob'!$P$5:$P$14,MIN(1+_xlfn.IFNA(MATCH(F1933,'Default Prob'!$F$5:$F$14,1),0),COUNT('Default Prob'!$P$5:$P$14)))</f>
        <v>4.1094539438249027E-2</v>
      </c>
      <c r="H1933" s="5">
        <f t="shared" si="401"/>
        <v>0.82786906175424702</v>
      </c>
      <c r="I1933" s="24">
        <f t="shared" si="402"/>
        <v>9.3149381896084904E-5</v>
      </c>
      <c r="J1933" s="25">
        <f>INDEX('Default Prob'!$C$3:$C$13, _xlfn.IFNA(MATCH(F1933, 'Default Prob'!$B$3:$B$13, 1), 1))</f>
        <v>2.29E-2</v>
      </c>
      <c r="K1933" s="26">
        <f t="shared" si="393"/>
        <v>0.84630436249465257</v>
      </c>
      <c r="L1933" s="27">
        <f t="shared" ca="1" si="394"/>
        <v>0</v>
      </c>
      <c r="M1933" s="27">
        <f t="shared" ca="1" si="395"/>
        <v>0</v>
      </c>
      <c r="N1933" s="28">
        <f t="shared" ca="1" si="396"/>
        <v>0</v>
      </c>
      <c r="O1933" s="29">
        <f t="shared" ca="1" si="397"/>
        <v>0</v>
      </c>
      <c r="P1933" s="30">
        <f t="shared" ca="1" si="398"/>
        <v>0</v>
      </c>
    </row>
    <row r="1934" spans="1:16" x14ac:dyDescent="0.25">
      <c r="A1934" s="3">
        <f t="shared" si="399"/>
        <v>48820</v>
      </c>
      <c r="B1934" s="21">
        <f t="shared" si="390"/>
        <v>36767</v>
      </c>
      <c r="C1934" s="21">
        <f t="shared" si="391"/>
        <v>36789</v>
      </c>
      <c r="D1934" s="1">
        <f t="shared" si="400"/>
        <v>0</v>
      </c>
      <c r="E1934" s="3">
        <f t="array" ref="E1934">INDEX($A$9:A1933, MAX(IF($D$9:D1933=1, ROW(D$9:$D1933)-ROW($D$9)+1, 0)))</f>
        <v>48750</v>
      </c>
      <c r="F1934" s="23">
        <f t="shared" si="392"/>
        <v>7.3785078713210126</v>
      </c>
      <c r="G1934" s="5">
        <f>INDEX('Default Prob'!$P$5:$P$14,MIN(1+_xlfn.IFNA(MATCH(F1934,'Default Prob'!$F$5:$F$14,1),0),COUNT('Default Prob'!$P$5:$P$14)))</f>
        <v>4.1094539438249027E-2</v>
      </c>
      <c r="H1934" s="5">
        <f t="shared" si="401"/>
        <v>0.82758967648212811</v>
      </c>
      <c r="I1934" s="24">
        <f t="shared" si="402"/>
        <v>2.7938527211890385E-4</v>
      </c>
      <c r="J1934" s="25">
        <f>INDEX('Default Prob'!$C$3:$C$13, _xlfn.IFNA(MATCH(F1934, 'Default Prob'!$B$3:$B$13, 1), 1))</f>
        <v>2.29E-2</v>
      </c>
      <c r="K1934" s="26">
        <f t="shared" si="393"/>
        <v>0.84614699071937138</v>
      </c>
      <c r="L1934" s="27">
        <f t="shared" ca="1" si="394"/>
        <v>0</v>
      </c>
      <c r="M1934" s="27">
        <f t="shared" ca="1" si="395"/>
        <v>0</v>
      </c>
      <c r="N1934" s="28">
        <f t="shared" ca="1" si="396"/>
        <v>0</v>
      </c>
      <c r="O1934" s="29">
        <f t="shared" ca="1" si="397"/>
        <v>0</v>
      </c>
      <c r="P1934" s="30">
        <f t="shared" ca="1" si="398"/>
        <v>0</v>
      </c>
    </row>
    <row r="1935" spans="1:16" x14ac:dyDescent="0.25">
      <c r="A1935" s="3">
        <f t="shared" si="399"/>
        <v>48821</v>
      </c>
      <c r="B1935" s="21">
        <f t="shared" si="390"/>
        <v>36768</v>
      </c>
      <c r="C1935" s="21">
        <f t="shared" si="391"/>
        <v>36789</v>
      </c>
      <c r="D1935" s="1">
        <f t="shared" si="400"/>
        <v>0</v>
      </c>
      <c r="E1935" s="3">
        <f t="array" ref="E1935">INDEX($A$9:A1934, MAX(IF($D$9:D1934=1, ROW(D$9:$D1934)-ROW($D$9)+1, 0)))</f>
        <v>48750</v>
      </c>
      <c r="F1935" s="23">
        <f t="shared" si="392"/>
        <v>7.3812457221081447</v>
      </c>
      <c r="G1935" s="5">
        <f>INDEX('Default Prob'!$P$5:$P$14,MIN(1+_xlfn.IFNA(MATCH(F1935,'Default Prob'!$F$5:$F$14,1),0),COUNT('Default Prob'!$P$5:$P$14)))</f>
        <v>4.1094539438249027E-2</v>
      </c>
      <c r="H1935" s="5">
        <f t="shared" si="401"/>
        <v>0.82749656901201529</v>
      </c>
      <c r="I1935" s="24">
        <f t="shared" si="402"/>
        <v>9.3107470112818724E-5</v>
      </c>
      <c r="J1935" s="25">
        <f>INDEX('Default Prob'!$C$3:$C$13, _xlfn.IFNA(MATCH(F1935, 'Default Prob'!$B$3:$B$13, 1), 1))</f>
        <v>2.29E-2</v>
      </c>
      <c r="K1935" s="26">
        <f t="shared" si="393"/>
        <v>0.84609453996422568</v>
      </c>
      <c r="L1935" s="27">
        <f t="shared" ca="1" si="394"/>
        <v>0</v>
      </c>
      <c r="M1935" s="27">
        <f t="shared" ca="1" si="395"/>
        <v>0</v>
      </c>
      <c r="N1935" s="28">
        <f t="shared" ca="1" si="396"/>
        <v>0</v>
      </c>
      <c r="O1935" s="29">
        <f t="shared" ca="1" si="397"/>
        <v>0</v>
      </c>
      <c r="P1935" s="30">
        <f t="shared" ca="1" si="398"/>
        <v>0</v>
      </c>
    </row>
    <row r="1936" spans="1:16" x14ac:dyDescent="0.25">
      <c r="A1936" s="3">
        <f t="shared" si="399"/>
        <v>48822</v>
      </c>
      <c r="B1936" s="21">
        <f t="shared" si="390"/>
        <v>36769</v>
      </c>
      <c r="C1936" s="21">
        <f t="shared" si="391"/>
        <v>36789</v>
      </c>
      <c r="D1936" s="1">
        <f t="shared" si="400"/>
        <v>0</v>
      </c>
      <c r="E1936" s="3">
        <f t="array" ref="E1936">INDEX($A$9:A1935, MAX(IF($D$9:D1935=1, ROW(D$9:$D1935)-ROW($D$9)+1, 0)))</f>
        <v>48750</v>
      </c>
      <c r="F1936" s="23">
        <f t="shared" si="392"/>
        <v>7.3839835728952776</v>
      </c>
      <c r="G1936" s="5">
        <f>INDEX('Default Prob'!$P$5:$P$14,MIN(1+_xlfn.IFNA(MATCH(F1936,'Default Prob'!$F$5:$F$14,1),0),COUNT('Default Prob'!$P$5:$P$14)))</f>
        <v>4.1094539438249027E-2</v>
      </c>
      <c r="H1936" s="5">
        <f t="shared" si="401"/>
        <v>0.82740347201690134</v>
      </c>
      <c r="I1936" s="24">
        <f t="shared" si="402"/>
        <v>9.309699511395042E-5</v>
      </c>
      <c r="J1936" s="25">
        <f>INDEX('Default Prob'!$C$3:$C$13, _xlfn.IFNA(MATCH(F1936, 'Default Prob'!$B$3:$B$13, 1), 1))</f>
        <v>2.29E-2</v>
      </c>
      <c r="K1936" s="26">
        <f t="shared" si="393"/>
        <v>0.84604209246038486</v>
      </c>
      <c r="L1936" s="27">
        <f t="shared" ca="1" si="394"/>
        <v>0</v>
      </c>
      <c r="M1936" s="27">
        <f t="shared" ca="1" si="395"/>
        <v>0</v>
      </c>
      <c r="N1936" s="28">
        <f t="shared" ca="1" si="396"/>
        <v>0</v>
      </c>
      <c r="O1936" s="29">
        <f t="shared" ca="1" si="397"/>
        <v>0</v>
      </c>
      <c r="P1936" s="30">
        <f t="shared" ca="1" si="398"/>
        <v>0</v>
      </c>
    </row>
    <row r="1937" spans="1:16" x14ac:dyDescent="0.25">
      <c r="A1937" s="3">
        <f t="shared" si="399"/>
        <v>48823</v>
      </c>
      <c r="B1937" s="21">
        <f t="shared" si="390"/>
        <v>36770</v>
      </c>
      <c r="C1937" s="21">
        <f t="shared" si="391"/>
        <v>36789</v>
      </c>
      <c r="D1937" s="1">
        <f t="shared" si="400"/>
        <v>0</v>
      </c>
      <c r="E1937" s="3">
        <f t="array" ref="E1937">INDEX($A$9:A1936, MAX(IF($D$9:D1936=1, ROW(D$9:$D1936)-ROW($D$9)+1, 0)))</f>
        <v>48750</v>
      </c>
      <c r="F1937" s="23">
        <f t="shared" si="392"/>
        <v>7.3867214236824097</v>
      </c>
      <c r="G1937" s="5">
        <f>INDEX('Default Prob'!$P$5:$P$14,MIN(1+_xlfn.IFNA(MATCH(F1937,'Default Prob'!$F$5:$F$14,1),0),COUNT('Default Prob'!$P$5:$P$14)))</f>
        <v>4.1094539438249027E-2</v>
      </c>
      <c r="H1937" s="5">
        <f t="shared" si="401"/>
        <v>0.82731038549560798</v>
      </c>
      <c r="I1937" s="24">
        <f t="shared" si="402"/>
        <v>9.3086521293361812E-5</v>
      </c>
      <c r="J1937" s="25">
        <f>INDEX('Default Prob'!$C$3:$C$13, _xlfn.IFNA(MATCH(F1937, 'Default Prob'!$B$3:$B$13, 1), 1))</f>
        <v>2.29E-2</v>
      </c>
      <c r="K1937" s="26">
        <f t="shared" si="393"/>
        <v>0.84598964820764699</v>
      </c>
      <c r="L1937" s="27">
        <f t="shared" ca="1" si="394"/>
        <v>0</v>
      </c>
      <c r="M1937" s="27">
        <f t="shared" ca="1" si="395"/>
        <v>0</v>
      </c>
      <c r="N1937" s="28">
        <f t="shared" ca="1" si="396"/>
        <v>0</v>
      </c>
      <c r="O1937" s="29">
        <f t="shared" ca="1" si="397"/>
        <v>0</v>
      </c>
      <c r="P1937" s="30">
        <f t="shared" ca="1" si="398"/>
        <v>0</v>
      </c>
    </row>
    <row r="1938" spans="1:16" x14ac:dyDescent="0.25">
      <c r="A1938" s="3">
        <f t="shared" si="399"/>
        <v>48824</v>
      </c>
      <c r="B1938" s="21">
        <f t="shared" si="390"/>
        <v>36771</v>
      </c>
      <c r="C1938" s="21">
        <f t="shared" si="391"/>
        <v>36789</v>
      </c>
      <c r="D1938" s="1">
        <f t="shared" si="400"/>
        <v>0</v>
      </c>
      <c r="E1938" s="3">
        <f t="array" ref="E1938">INDEX($A$9:A1937, MAX(IF($D$9:D1937=1, ROW(D$9:$D1937)-ROW($D$9)+1, 0)))</f>
        <v>48750</v>
      </c>
      <c r="F1938" s="23">
        <f t="shared" si="392"/>
        <v>7.3894592744695418</v>
      </c>
      <c r="G1938" s="5">
        <f>INDEX('Default Prob'!$P$5:$P$14,MIN(1+_xlfn.IFNA(MATCH(F1938,'Default Prob'!$F$5:$F$14,1),0),COUNT('Default Prob'!$P$5:$P$14)))</f>
        <v>4.1094539438249027E-2</v>
      </c>
      <c r="H1938" s="5">
        <f t="shared" si="401"/>
        <v>0.82721730944695671</v>
      </c>
      <c r="I1938" s="24">
        <f t="shared" si="402"/>
        <v>9.3076048651274945E-5</v>
      </c>
      <c r="J1938" s="25">
        <f>INDEX('Default Prob'!$C$3:$C$13, _xlfn.IFNA(MATCH(F1938, 'Default Prob'!$B$3:$B$13, 1), 1))</f>
        <v>2.29E-2</v>
      </c>
      <c r="K1938" s="26">
        <f t="shared" si="393"/>
        <v>0.84593720720581089</v>
      </c>
      <c r="L1938" s="27">
        <f t="shared" ca="1" si="394"/>
        <v>0</v>
      </c>
      <c r="M1938" s="27">
        <f t="shared" ca="1" si="395"/>
        <v>0</v>
      </c>
      <c r="N1938" s="28">
        <f t="shared" ca="1" si="396"/>
        <v>0</v>
      </c>
      <c r="O1938" s="29">
        <f t="shared" ca="1" si="397"/>
        <v>0</v>
      </c>
      <c r="P1938" s="30">
        <f t="shared" ca="1" si="398"/>
        <v>0</v>
      </c>
    </row>
    <row r="1939" spans="1:16" x14ac:dyDescent="0.25">
      <c r="A1939" s="3">
        <f t="shared" si="399"/>
        <v>48827</v>
      </c>
      <c r="B1939" s="21">
        <f t="shared" si="390"/>
        <v>36774</v>
      </c>
      <c r="C1939" s="21">
        <f t="shared" si="391"/>
        <v>36789</v>
      </c>
      <c r="D1939" s="1">
        <f t="shared" si="400"/>
        <v>0</v>
      </c>
      <c r="E1939" s="3">
        <f t="array" ref="E1939">INDEX($A$9:A1938, MAX(IF($D$9:D1938=1, ROW(D$9:$D1938)-ROW($D$9)+1, 0)))</f>
        <v>48750</v>
      </c>
      <c r="F1939" s="23">
        <f t="shared" si="392"/>
        <v>7.397672826830938</v>
      </c>
      <c r="G1939" s="5">
        <f>INDEX('Default Prob'!$P$5:$P$14,MIN(1+_xlfn.IFNA(MATCH(F1939,'Default Prob'!$F$5:$F$14,1),0),COUNT('Default Prob'!$P$5:$P$14)))</f>
        <v>4.1094539438249027E-2</v>
      </c>
      <c r="H1939" s="5">
        <f t="shared" si="401"/>
        <v>0.82693814412507405</v>
      </c>
      <c r="I1939" s="24">
        <f t="shared" si="402"/>
        <v>2.791653218826573E-4</v>
      </c>
      <c r="J1939" s="25">
        <f>INDEX('Default Prob'!$C$3:$C$13, _xlfn.IFNA(MATCH(F1939, 'Default Prob'!$B$3:$B$13, 1), 1))</f>
        <v>2.29E-2</v>
      </c>
      <c r="K1939" s="26">
        <f t="shared" si="393"/>
        <v>0.84577990370369749</v>
      </c>
      <c r="L1939" s="27">
        <f t="shared" ca="1" si="394"/>
        <v>0</v>
      </c>
      <c r="M1939" s="27">
        <f t="shared" ca="1" si="395"/>
        <v>0</v>
      </c>
      <c r="N1939" s="28">
        <f t="shared" ca="1" si="396"/>
        <v>0</v>
      </c>
      <c r="O1939" s="29">
        <f t="shared" ca="1" si="397"/>
        <v>0</v>
      </c>
      <c r="P1939" s="30">
        <f t="shared" ca="1" si="398"/>
        <v>0</v>
      </c>
    </row>
    <row r="1940" spans="1:16" x14ac:dyDescent="0.25">
      <c r="A1940" s="3">
        <f t="shared" si="399"/>
        <v>48828</v>
      </c>
      <c r="B1940" s="21">
        <f t="shared" si="390"/>
        <v>36775</v>
      </c>
      <c r="C1940" s="21">
        <f t="shared" si="391"/>
        <v>36789</v>
      </c>
      <c r="D1940" s="1">
        <f t="shared" si="400"/>
        <v>0</v>
      </c>
      <c r="E1940" s="3">
        <f t="array" ref="E1940">INDEX($A$9:A1939, MAX(IF($D$9:D1939=1, ROW(D$9:$D1939)-ROW($D$9)+1, 0)))</f>
        <v>48750</v>
      </c>
      <c r="F1940" s="23">
        <f t="shared" si="392"/>
        <v>7.40041067761807</v>
      </c>
      <c r="G1940" s="5">
        <f>INDEX('Default Prob'!$P$5:$P$14,MIN(1+_xlfn.IFNA(MATCH(F1940,'Default Prob'!$F$5:$F$14,1),0),COUNT('Default Prob'!$P$5:$P$14)))</f>
        <v>4.1094539438249027E-2</v>
      </c>
      <c r="H1940" s="5">
        <f t="shared" si="401"/>
        <v>0.82684510995521043</v>
      </c>
      <c r="I1940" s="24">
        <f t="shared" si="402"/>
        <v>9.3034169863615013E-5</v>
      </c>
      <c r="J1940" s="25">
        <f>INDEX('Default Prob'!$C$3:$C$13, _xlfn.IFNA(MATCH(F1940, 'Default Prob'!$B$3:$B$13, 1), 1))</f>
        <v>2.29E-2</v>
      </c>
      <c r="K1940" s="26">
        <f t="shared" si="393"/>
        <v>0.84572747570345297</v>
      </c>
      <c r="L1940" s="27">
        <f t="shared" ca="1" si="394"/>
        <v>0</v>
      </c>
      <c r="M1940" s="27">
        <f t="shared" ca="1" si="395"/>
        <v>0</v>
      </c>
      <c r="N1940" s="28">
        <f t="shared" ca="1" si="396"/>
        <v>0</v>
      </c>
      <c r="O1940" s="29">
        <f t="shared" ca="1" si="397"/>
        <v>0</v>
      </c>
      <c r="P1940" s="30">
        <f t="shared" ca="1" si="398"/>
        <v>0</v>
      </c>
    </row>
    <row r="1941" spans="1:16" x14ac:dyDescent="0.25">
      <c r="A1941" s="3">
        <f t="shared" si="399"/>
        <v>48829</v>
      </c>
      <c r="B1941" s="21">
        <f t="shared" si="390"/>
        <v>36776</v>
      </c>
      <c r="C1941" s="21">
        <f t="shared" si="391"/>
        <v>36789</v>
      </c>
      <c r="D1941" s="1">
        <f t="shared" si="400"/>
        <v>0</v>
      </c>
      <c r="E1941" s="3">
        <f t="array" ref="E1941">INDEX($A$9:A1940, MAX(IF($D$9:D1940=1, ROW(D$9:$D1940)-ROW($D$9)+1, 0)))</f>
        <v>48750</v>
      </c>
      <c r="F1941" s="23">
        <f t="shared" si="392"/>
        <v>7.4031485284052021</v>
      </c>
      <c r="G1941" s="5">
        <f>INDEX('Default Prob'!$P$5:$P$14,MIN(1+_xlfn.IFNA(MATCH(F1941,'Default Prob'!$F$5:$F$14,1),0),COUNT('Default Prob'!$P$5:$P$14)))</f>
        <v>4.1094539438249027E-2</v>
      </c>
      <c r="H1941" s="5">
        <f t="shared" si="401"/>
        <v>0.82675208625209917</v>
      </c>
      <c r="I1941" s="24">
        <f t="shared" si="402"/>
        <v>9.3023703111261291E-5</v>
      </c>
      <c r="J1941" s="25">
        <f>INDEX('Default Prob'!$C$3:$C$13, _xlfn.IFNA(MATCH(F1941, 'Default Prob'!$B$3:$B$13, 1), 1))</f>
        <v>2.29E-2</v>
      </c>
      <c r="K1941" s="26">
        <f t="shared" si="393"/>
        <v>0.84567505095310269</v>
      </c>
      <c r="L1941" s="27">
        <f t="shared" ca="1" si="394"/>
        <v>0</v>
      </c>
      <c r="M1941" s="27">
        <f t="shared" ca="1" si="395"/>
        <v>0</v>
      </c>
      <c r="N1941" s="28">
        <f t="shared" ca="1" si="396"/>
        <v>0</v>
      </c>
      <c r="O1941" s="29">
        <f t="shared" ca="1" si="397"/>
        <v>0</v>
      </c>
      <c r="P1941" s="30">
        <f t="shared" ca="1" si="398"/>
        <v>0</v>
      </c>
    </row>
    <row r="1942" spans="1:16" x14ac:dyDescent="0.25">
      <c r="A1942" s="3">
        <f t="shared" si="399"/>
        <v>48830</v>
      </c>
      <c r="B1942" s="21">
        <f t="shared" si="390"/>
        <v>36777</v>
      </c>
      <c r="C1942" s="21">
        <f t="shared" si="391"/>
        <v>36789</v>
      </c>
      <c r="D1942" s="1">
        <f t="shared" si="400"/>
        <v>0</v>
      </c>
      <c r="E1942" s="3">
        <f t="array" ref="E1942">INDEX($A$9:A1941, MAX(IF($D$9:D1941=1, ROW(D$9:$D1941)-ROW($D$9)+1, 0)))</f>
        <v>48750</v>
      </c>
      <c r="F1942" s="23">
        <f t="shared" si="392"/>
        <v>7.4058863791923342</v>
      </c>
      <c r="G1942" s="5">
        <f>INDEX('Default Prob'!$P$5:$P$14,MIN(1+_xlfn.IFNA(MATCH(F1942,'Default Prob'!$F$5:$F$14,1),0),COUNT('Default Prob'!$P$5:$P$14)))</f>
        <v>4.1094539438249027E-2</v>
      </c>
      <c r="H1942" s="5">
        <f t="shared" si="401"/>
        <v>0.82665907301456265</v>
      </c>
      <c r="I1942" s="24">
        <f t="shared" si="402"/>
        <v>9.3013237536521132E-5</v>
      </c>
      <c r="J1942" s="25">
        <f>INDEX('Default Prob'!$C$3:$C$13, _xlfn.IFNA(MATCH(F1942, 'Default Prob'!$B$3:$B$13, 1), 1))</f>
        <v>2.29E-2</v>
      </c>
      <c r="K1942" s="26">
        <f t="shared" si="393"/>
        <v>0.84562262945244526</v>
      </c>
      <c r="L1942" s="27">
        <f t="shared" ca="1" si="394"/>
        <v>0</v>
      </c>
      <c r="M1942" s="27">
        <f t="shared" ca="1" si="395"/>
        <v>0</v>
      </c>
      <c r="N1942" s="28">
        <f t="shared" ca="1" si="396"/>
        <v>0</v>
      </c>
      <c r="O1942" s="29">
        <f t="shared" ca="1" si="397"/>
        <v>0</v>
      </c>
      <c r="P1942" s="30">
        <f t="shared" ca="1" si="398"/>
        <v>0</v>
      </c>
    </row>
    <row r="1943" spans="1:16" x14ac:dyDescent="0.25">
      <c r="A1943" s="3">
        <f t="shared" si="399"/>
        <v>48831</v>
      </c>
      <c r="B1943" s="21">
        <f t="shared" si="390"/>
        <v>36778</v>
      </c>
      <c r="C1943" s="21">
        <f t="shared" si="391"/>
        <v>36789</v>
      </c>
      <c r="D1943" s="1">
        <f t="shared" si="400"/>
        <v>0</v>
      </c>
      <c r="E1943" s="3">
        <f t="array" ref="E1943">INDEX($A$9:A1942, MAX(IF($D$9:D1942=1, ROW(D$9:$D1942)-ROW($D$9)+1, 0)))</f>
        <v>48750</v>
      </c>
      <c r="F1943" s="23">
        <f t="shared" si="392"/>
        <v>7.4086242299794662</v>
      </c>
      <c r="G1943" s="5">
        <f>INDEX('Default Prob'!$P$5:$P$14,MIN(1+_xlfn.IFNA(MATCH(F1943,'Default Prob'!$F$5:$F$14,1),0),COUNT('Default Prob'!$P$5:$P$14)))</f>
        <v>4.1094539438249027E-2</v>
      </c>
      <c r="H1943" s="5">
        <f t="shared" si="401"/>
        <v>0.82656607024142348</v>
      </c>
      <c r="I1943" s="24">
        <f t="shared" si="402"/>
        <v>9.300277313917249E-5</v>
      </c>
      <c r="J1943" s="25">
        <f>INDEX('Default Prob'!$C$3:$C$13, _xlfn.IFNA(MATCH(F1943, 'Default Prob'!$B$3:$B$13, 1), 1))</f>
        <v>2.29E-2</v>
      </c>
      <c r="K1943" s="26">
        <f t="shared" si="393"/>
        <v>0.84557021120127895</v>
      </c>
      <c r="L1943" s="27">
        <f t="shared" ca="1" si="394"/>
        <v>0</v>
      </c>
      <c r="M1943" s="27">
        <f t="shared" ca="1" si="395"/>
        <v>0</v>
      </c>
      <c r="N1943" s="28">
        <f t="shared" ca="1" si="396"/>
        <v>0</v>
      </c>
      <c r="O1943" s="29">
        <f t="shared" ca="1" si="397"/>
        <v>0</v>
      </c>
      <c r="P1943" s="30">
        <f t="shared" ca="1" si="398"/>
        <v>0</v>
      </c>
    </row>
    <row r="1944" spans="1:16" x14ac:dyDescent="0.25">
      <c r="A1944" s="3">
        <f t="shared" si="399"/>
        <v>48834</v>
      </c>
      <c r="B1944" s="21">
        <f t="shared" si="390"/>
        <v>36781</v>
      </c>
      <c r="C1944" s="21">
        <f t="shared" si="391"/>
        <v>36789</v>
      </c>
      <c r="D1944" s="1">
        <f t="shared" si="400"/>
        <v>0</v>
      </c>
      <c r="E1944" s="3">
        <f t="array" ref="E1944">INDEX($A$9:A1943, MAX(IF($D$9:D1943=1, ROW(D$9:$D1943)-ROW($D$9)+1, 0)))</f>
        <v>48750</v>
      </c>
      <c r="F1944" s="23">
        <f t="shared" si="392"/>
        <v>7.4168377823408624</v>
      </c>
      <c r="G1944" s="5">
        <f>INDEX('Default Prob'!$P$5:$P$14,MIN(1+_xlfn.IFNA(MATCH(F1944,'Default Prob'!$F$5:$F$14,1),0),COUNT('Default Prob'!$P$5:$P$14)))</f>
        <v>4.1094539438249027E-2</v>
      </c>
      <c r="H1944" s="5">
        <f t="shared" si="401"/>
        <v>0.82628712469661791</v>
      </c>
      <c r="I1944" s="24">
        <f t="shared" si="402"/>
        <v>2.7894554480556444E-4</v>
      </c>
      <c r="J1944" s="25">
        <f>INDEX('Default Prob'!$C$3:$C$13, _xlfn.IFNA(MATCH(F1944, 'Default Prob'!$B$3:$B$13, 1), 1))</f>
        <v>2.29E-2</v>
      </c>
      <c r="K1944" s="26">
        <f t="shared" si="393"/>
        <v>0.84541297594271392</v>
      </c>
      <c r="L1944" s="27">
        <f t="shared" ca="1" si="394"/>
        <v>0</v>
      </c>
      <c r="M1944" s="27">
        <f t="shared" ca="1" si="395"/>
        <v>0</v>
      </c>
      <c r="N1944" s="28">
        <f t="shared" ca="1" si="396"/>
        <v>0</v>
      </c>
      <c r="O1944" s="29">
        <f t="shared" ca="1" si="397"/>
        <v>0</v>
      </c>
      <c r="P1944" s="30">
        <f t="shared" ca="1" si="398"/>
        <v>0</v>
      </c>
    </row>
    <row r="1945" spans="1:16" x14ac:dyDescent="0.25">
      <c r="A1945" s="3">
        <f t="shared" si="399"/>
        <v>48835</v>
      </c>
      <c r="B1945" s="21">
        <f t="shared" si="390"/>
        <v>36782</v>
      </c>
      <c r="C1945" s="21">
        <f t="shared" si="391"/>
        <v>36789</v>
      </c>
      <c r="D1945" s="1">
        <f t="shared" si="400"/>
        <v>0</v>
      </c>
      <c r="E1945" s="3">
        <f t="array" ref="E1945">INDEX($A$9:A1944, MAX(IF($D$9:D1944=1, ROW(D$9:$D1944)-ROW($D$9)+1, 0)))</f>
        <v>48750</v>
      </c>
      <c r="F1945" s="23">
        <f t="shared" si="392"/>
        <v>7.4195756331279945</v>
      </c>
      <c r="G1945" s="5">
        <f>INDEX('Default Prob'!$P$5:$P$14,MIN(1+_xlfn.IFNA(MATCH(F1945,'Default Prob'!$F$5:$F$14,1),0),COUNT('Default Prob'!$P$5:$P$14)))</f>
        <v>4.1094539438249027E-2</v>
      </c>
      <c r="H1945" s="5">
        <f t="shared" si="401"/>
        <v>0.82619416376929666</v>
      </c>
      <c r="I1945" s="24">
        <f t="shared" si="402"/>
        <v>9.2960927321250608E-5</v>
      </c>
      <c r="J1945" s="25">
        <f>INDEX('Default Prob'!$C$3:$C$13, _xlfn.IFNA(MATCH(F1945, 'Default Prob'!$B$3:$B$13, 1), 1))</f>
        <v>2.29E-2</v>
      </c>
      <c r="K1945" s="26">
        <f t="shared" si="393"/>
        <v>0.84536057068749892</v>
      </c>
      <c r="L1945" s="27">
        <f t="shared" ca="1" si="394"/>
        <v>0</v>
      </c>
      <c r="M1945" s="27">
        <f t="shared" ca="1" si="395"/>
        <v>0</v>
      </c>
      <c r="N1945" s="28">
        <f t="shared" ca="1" si="396"/>
        <v>0</v>
      </c>
      <c r="O1945" s="29">
        <f t="shared" ca="1" si="397"/>
        <v>0</v>
      </c>
      <c r="P1945" s="30">
        <f t="shared" ca="1" si="398"/>
        <v>0</v>
      </c>
    </row>
    <row r="1946" spans="1:16" x14ac:dyDescent="0.25">
      <c r="A1946" s="3">
        <f t="shared" si="399"/>
        <v>48836</v>
      </c>
      <c r="B1946" s="21">
        <f t="shared" si="390"/>
        <v>36783</v>
      </c>
      <c r="C1946" s="21">
        <f t="shared" si="391"/>
        <v>36789</v>
      </c>
      <c r="D1946" s="1">
        <f t="shared" si="400"/>
        <v>0</v>
      </c>
      <c r="E1946" s="3">
        <f t="array" ref="E1946">INDEX($A$9:A1945, MAX(IF($D$9:D1945=1, ROW(D$9:$D1945)-ROW($D$9)+1, 0)))</f>
        <v>48750</v>
      </c>
      <c r="F1946" s="23">
        <f t="shared" si="392"/>
        <v>7.4223134839151266</v>
      </c>
      <c r="G1946" s="5">
        <f>INDEX('Default Prob'!$P$5:$P$14,MIN(1+_xlfn.IFNA(MATCH(F1946,'Default Prob'!$F$5:$F$14,1),0),COUNT('Default Prob'!$P$5:$P$14)))</f>
        <v>4.1094539438249027E-2</v>
      </c>
      <c r="H1946" s="5">
        <f t="shared" si="401"/>
        <v>0.82610121330048769</v>
      </c>
      <c r="I1946" s="24">
        <f t="shared" si="402"/>
        <v>9.2950468808972175E-5</v>
      </c>
      <c r="J1946" s="25">
        <f>INDEX('Default Prob'!$C$3:$C$13, _xlfn.IFNA(MATCH(F1946, 'Default Prob'!$B$3:$B$13, 1), 1))</f>
        <v>2.29E-2</v>
      </c>
      <c r="K1946" s="26">
        <f t="shared" si="393"/>
        <v>0.84530816868076808</v>
      </c>
      <c r="L1946" s="27">
        <f t="shared" ca="1" si="394"/>
        <v>0</v>
      </c>
      <c r="M1946" s="27">
        <f t="shared" ca="1" si="395"/>
        <v>0</v>
      </c>
      <c r="N1946" s="28">
        <f t="shared" ca="1" si="396"/>
        <v>0</v>
      </c>
      <c r="O1946" s="29">
        <f t="shared" ca="1" si="397"/>
        <v>0</v>
      </c>
      <c r="P1946" s="30">
        <f t="shared" ca="1" si="398"/>
        <v>0</v>
      </c>
    </row>
    <row r="1947" spans="1:16" x14ac:dyDescent="0.25">
      <c r="A1947" s="3">
        <f t="shared" si="399"/>
        <v>48837</v>
      </c>
      <c r="B1947" s="21">
        <f t="shared" si="390"/>
        <v>36784</v>
      </c>
      <c r="C1947" s="21">
        <f t="shared" si="391"/>
        <v>36789</v>
      </c>
      <c r="D1947" s="1">
        <f t="shared" si="400"/>
        <v>0</v>
      </c>
      <c r="E1947" s="3">
        <f t="array" ref="E1947">INDEX($A$9:A1946, MAX(IF($D$9:D1946=1, ROW(D$9:$D1946)-ROW($D$9)+1, 0)))</f>
        <v>48750</v>
      </c>
      <c r="F1947" s="23">
        <f t="shared" si="392"/>
        <v>7.4250513347022586</v>
      </c>
      <c r="G1947" s="5">
        <f>INDEX('Default Prob'!$P$5:$P$14,MIN(1+_xlfn.IFNA(MATCH(F1947,'Default Prob'!$F$5:$F$14,1),0),COUNT('Default Prob'!$P$5:$P$14)))</f>
        <v>4.1094539438249027E-2</v>
      </c>
      <c r="H1947" s="5">
        <f t="shared" si="401"/>
        <v>0.82600827328901427</v>
      </c>
      <c r="I1947" s="24">
        <f t="shared" si="402"/>
        <v>9.2940011473419126E-5</v>
      </c>
      <c r="J1947" s="25">
        <f>INDEX('Default Prob'!$C$3:$C$13, _xlfn.IFNA(MATCH(F1947, 'Default Prob'!$B$3:$B$13, 1), 1))</f>
        <v>2.29E-2</v>
      </c>
      <c r="K1947" s="26">
        <f t="shared" si="393"/>
        <v>0.84525576992232021</v>
      </c>
      <c r="L1947" s="27">
        <f t="shared" ca="1" si="394"/>
        <v>0</v>
      </c>
      <c r="M1947" s="27">
        <f t="shared" ca="1" si="395"/>
        <v>0</v>
      </c>
      <c r="N1947" s="28">
        <f t="shared" ca="1" si="396"/>
        <v>0</v>
      </c>
      <c r="O1947" s="29">
        <f t="shared" ca="1" si="397"/>
        <v>0</v>
      </c>
      <c r="P1947" s="30">
        <f t="shared" ca="1" si="398"/>
        <v>0</v>
      </c>
    </row>
    <row r="1948" spans="1:16" x14ac:dyDescent="0.25">
      <c r="A1948" s="3">
        <f t="shared" si="399"/>
        <v>48838</v>
      </c>
      <c r="B1948" s="21">
        <f t="shared" si="390"/>
        <v>36785</v>
      </c>
      <c r="C1948" s="21">
        <f t="shared" si="391"/>
        <v>36789</v>
      </c>
      <c r="D1948" s="1">
        <f t="shared" si="400"/>
        <v>0</v>
      </c>
      <c r="E1948" s="3">
        <f t="array" ref="E1948">INDEX($A$9:A1947, MAX(IF($D$9:D1947=1, ROW(D$9:$D1947)-ROW($D$9)+1, 0)))</f>
        <v>48750</v>
      </c>
      <c r="F1948" s="23">
        <f t="shared" si="392"/>
        <v>7.4277891854893907</v>
      </c>
      <c r="G1948" s="5">
        <f>INDEX('Default Prob'!$P$5:$P$14,MIN(1+_xlfn.IFNA(MATCH(F1948,'Default Prob'!$F$5:$F$14,1),0),COUNT('Default Prob'!$P$5:$P$14)))</f>
        <v>4.1094539438249027E-2</v>
      </c>
      <c r="H1948" s="5">
        <f t="shared" si="401"/>
        <v>0.82591534373370001</v>
      </c>
      <c r="I1948" s="24">
        <f t="shared" si="402"/>
        <v>9.2929555314258394E-5</v>
      </c>
      <c r="J1948" s="25">
        <f>INDEX('Default Prob'!$C$3:$C$13, _xlfn.IFNA(MATCH(F1948, 'Default Prob'!$B$3:$B$13, 1), 1))</f>
        <v>2.29E-2</v>
      </c>
      <c r="K1948" s="26">
        <f t="shared" si="393"/>
        <v>0.8452033744119537</v>
      </c>
      <c r="L1948" s="27">
        <f t="shared" ca="1" si="394"/>
        <v>0</v>
      </c>
      <c r="M1948" s="27">
        <f t="shared" ca="1" si="395"/>
        <v>0</v>
      </c>
      <c r="N1948" s="28">
        <f t="shared" ca="1" si="396"/>
        <v>0</v>
      </c>
      <c r="O1948" s="29">
        <f t="shared" ca="1" si="397"/>
        <v>0</v>
      </c>
      <c r="P1948" s="30">
        <f t="shared" ca="1" si="398"/>
        <v>0</v>
      </c>
    </row>
    <row r="1949" spans="1:16" x14ac:dyDescent="0.25">
      <c r="A1949" s="3">
        <f t="shared" si="399"/>
        <v>48841</v>
      </c>
      <c r="B1949" s="21">
        <f t="shared" si="390"/>
        <v>36788</v>
      </c>
      <c r="C1949" s="21">
        <f t="shared" si="391"/>
        <v>36789</v>
      </c>
      <c r="D1949" s="1">
        <f t="shared" si="400"/>
        <v>0</v>
      </c>
      <c r="E1949" s="3">
        <f t="array" ref="E1949">INDEX($A$9:A1948, MAX(IF($D$9:D1948=1, ROW(D$9:$D1948)-ROW($D$9)+1, 0)))</f>
        <v>48750</v>
      </c>
      <c r="F1949" s="23">
        <f t="shared" si="392"/>
        <v>7.4360027378507869</v>
      </c>
      <c r="G1949" s="5">
        <f>INDEX('Default Prob'!$P$5:$P$14,MIN(1+_xlfn.IFNA(MATCH(F1949,'Default Prob'!$F$5:$F$14,1),0),COUNT('Default Prob'!$P$5:$P$14)))</f>
        <v>4.1094539438249027E-2</v>
      </c>
      <c r="H1949" s="5">
        <f t="shared" si="401"/>
        <v>0.82563661779294883</v>
      </c>
      <c r="I1949" s="24">
        <f t="shared" si="402"/>
        <v>2.7872594075117885E-4</v>
      </c>
      <c r="J1949" s="25">
        <f>INDEX('Default Prob'!$C$3:$C$13, _xlfn.IFNA(MATCH(F1949, 'Default Prob'!$B$3:$B$13, 1), 1))</f>
        <v>2.29E-2</v>
      </c>
      <c r="K1949" s="26">
        <f t="shared" si="393"/>
        <v>0.84504620736733094</v>
      </c>
      <c r="L1949" s="27">
        <f t="shared" ca="1" si="394"/>
        <v>0</v>
      </c>
      <c r="M1949" s="27">
        <f t="shared" ca="1" si="395"/>
        <v>0</v>
      </c>
      <c r="N1949" s="28">
        <f t="shared" ca="1" si="396"/>
        <v>0</v>
      </c>
      <c r="O1949" s="29">
        <f t="shared" ca="1" si="397"/>
        <v>0</v>
      </c>
      <c r="P1949" s="30">
        <f t="shared" ca="1" si="398"/>
        <v>0</v>
      </c>
    </row>
    <row r="1950" spans="1:16" x14ac:dyDescent="0.25">
      <c r="A1950" s="3">
        <f t="shared" si="399"/>
        <v>48842</v>
      </c>
      <c r="B1950" s="21">
        <f t="shared" si="390"/>
        <v>36789</v>
      </c>
      <c r="C1950" s="21">
        <f t="shared" si="391"/>
        <v>36789</v>
      </c>
      <c r="D1950" s="1">
        <f t="shared" si="400"/>
        <v>1</v>
      </c>
      <c r="E1950" s="3">
        <f t="array" ref="E1950">INDEX($A$9:A1949, MAX(IF($D$9:D1949=1, ROW(D$9:$D1949)-ROW($D$9)+1, 0)))</f>
        <v>48750</v>
      </c>
      <c r="F1950" s="23">
        <f t="shared" si="392"/>
        <v>7.438740588637919</v>
      </c>
      <c r="G1950" s="5">
        <f>INDEX('Default Prob'!$P$5:$P$14,MIN(1+_xlfn.IFNA(MATCH(F1950,'Default Prob'!$F$5:$F$14,1),0),COUNT('Default Prob'!$P$5:$P$14)))</f>
        <v>4.1094539438249027E-2</v>
      </c>
      <c r="H1950" s="5">
        <f t="shared" si="401"/>
        <v>0.82554373005050874</v>
      </c>
      <c r="I1950" s="24">
        <f t="shared" si="402"/>
        <v>9.2887742440095344E-5</v>
      </c>
      <c r="J1950" s="25">
        <f>INDEX('Default Prob'!$C$3:$C$13, _xlfn.IFNA(MATCH(F1950, 'Default Prob'!$B$3:$B$13, 1), 1))</f>
        <v>2.29E-2</v>
      </c>
      <c r="K1950" s="26">
        <f t="shared" si="393"/>
        <v>0.8449938248472777</v>
      </c>
      <c r="L1950" s="27">
        <f t="shared" ca="1" si="394"/>
        <v>0</v>
      </c>
      <c r="M1950" s="27">
        <f t="shared" ca="1" si="395"/>
        <v>0</v>
      </c>
      <c r="N1950" s="28">
        <f t="shared" ca="1" si="396"/>
        <v>0</v>
      </c>
      <c r="O1950" s="29">
        <f t="shared" ca="1" si="397"/>
        <v>0</v>
      </c>
      <c r="P1950" s="30">
        <f t="shared" ca="1" si="398"/>
        <v>0</v>
      </c>
    </row>
    <row r="1951" spans="1:16" x14ac:dyDescent="0.25">
      <c r="A1951" s="3">
        <f t="shared" si="399"/>
        <v>48843</v>
      </c>
      <c r="B1951" s="21">
        <f t="shared" si="390"/>
        <v>36790</v>
      </c>
      <c r="C1951" s="21">
        <f t="shared" si="391"/>
        <v>36880</v>
      </c>
      <c r="D1951" s="1">
        <f t="shared" si="400"/>
        <v>0</v>
      </c>
      <c r="E1951" s="3">
        <f t="array" ref="E1951">INDEX($A$9:A1950, MAX(IF($D$9:D1950=1, ROW(D$9:$D1950)-ROW($D$9)+1, 0)))</f>
        <v>48842</v>
      </c>
      <c r="F1951" s="23">
        <f t="shared" si="392"/>
        <v>7.4414784394250511</v>
      </c>
      <c r="G1951" s="5">
        <f>INDEX('Default Prob'!$P$5:$P$14,MIN(1+_xlfn.IFNA(MATCH(F1951,'Default Prob'!$F$5:$F$14,1),0),COUNT('Default Prob'!$P$5:$P$14)))</f>
        <v>4.1094539438249027E-2</v>
      </c>
      <c r="H1951" s="5">
        <f t="shared" si="401"/>
        <v>0.82545085275834729</v>
      </c>
      <c r="I1951" s="24">
        <f t="shared" si="402"/>
        <v>9.2877292161452907E-5</v>
      </c>
      <c r="J1951" s="25">
        <f>INDEX('Default Prob'!$C$3:$C$13, _xlfn.IFNA(MATCH(F1951, 'Default Prob'!$B$3:$B$13, 1), 1))</f>
        <v>2.29E-2</v>
      </c>
      <c r="K1951" s="26">
        <f t="shared" si="393"/>
        <v>0.84494144557429929</v>
      </c>
      <c r="L1951" s="27">
        <f t="shared" ca="1" si="394"/>
        <v>0</v>
      </c>
      <c r="M1951" s="27">
        <f t="shared" ca="1" si="395"/>
        <v>0</v>
      </c>
      <c r="N1951" s="28">
        <f t="shared" ca="1" si="396"/>
        <v>0</v>
      </c>
      <c r="O1951" s="29">
        <f t="shared" ca="1" si="397"/>
        <v>0</v>
      </c>
      <c r="P1951" s="30">
        <f t="shared" ca="1" si="398"/>
        <v>0</v>
      </c>
    </row>
    <row r="1952" spans="1:16" x14ac:dyDescent="0.25">
      <c r="A1952" s="3">
        <f t="shared" si="399"/>
        <v>48844</v>
      </c>
      <c r="B1952" s="21">
        <f t="shared" si="390"/>
        <v>36791</v>
      </c>
      <c r="C1952" s="21">
        <f t="shared" si="391"/>
        <v>36880</v>
      </c>
      <c r="D1952" s="1">
        <f t="shared" si="400"/>
        <v>0</v>
      </c>
      <c r="E1952" s="3">
        <f t="array" ref="E1952">INDEX($A$9:A1951, MAX(IF($D$9:D1951=1, ROW(D$9:$D1951)-ROW($D$9)+1, 0)))</f>
        <v>48842</v>
      </c>
      <c r="F1952" s="23">
        <f t="shared" si="392"/>
        <v>7.4442162902121831</v>
      </c>
      <c r="G1952" s="5">
        <f>INDEX('Default Prob'!$P$5:$P$14,MIN(1+_xlfn.IFNA(MATCH(F1952,'Default Prob'!$F$5:$F$14,1),0),COUNT('Default Prob'!$P$5:$P$14)))</f>
        <v>4.1094539438249027E-2</v>
      </c>
      <c r="H1952" s="5">
        <f t="shared" si="401"/>
        <v>0.82535798591528875</v>
      </c>
      <c r="I1952" s="24">
        <f t="shared" si="402"/>
        <v>9.2866843058536652E-5</v>
      </c>
      <c r="J1952" s="25">
        <f>INDEX('Default Prob'!$C$3:$C$13, _xlfn.IFNA(MATCH(F1952, 'Default Prob'!$B$3:$B$13, 1), 1))</f>
        <v>2.29E-2</v>
      </c>
      <c r="K1952" s="26">
        <f t="shared" si="393"/>
        <v>0.84488906954819454</v>
      </c>
      <c r="L1952" s="27">
        <f t="shared" ca="1" si="394"/>
        <v>0</v>
      </c>
      <c r="M1952" s="27">
        <f t="shared" ca="1" si="395"/>
        <v>0</v>
      </c>
      <c r="N1952" s="28">
        <f t="shared" ca="1" si="396"/>
        <v>0</v>
      </c>
      <c r="O1952" s="29">
        <f t="shared" ca="1" si="397"/>
        <v>0</v>
      </c>
      <c r="P1952" s="30">
        <f t="shared" ca="1" si="398"/>
        <v>0</v>
      </c>
    </row>
    <row r="1953" spans="1:16" x14ac:dyDescent="0.25">
      <c r="A1953" s="3">
        <f t="shared" si="399"/>
        <v>48845</v>
      </c>
      <c r="B1953" s="21">
        <f t="shared" si="390"/>
        <v>36792</v>
      </c>
      <c r="C1953" s="21">
        <f t="shared" si="391"/>
        <v>36880</v>
      </c>
      <c r="D1953" s="1">
        <f t="shared" si="400"/>
        <v>0</v>
      </c>
      <c r="E1953" s="3">
        <f t="array" ref="E1953">INDEX($A$9:A1952, MAX(IF($D$9:D1952=1, ROW(D$9:$D1952)-ROW($D$9)+1, 0)))</f>
        <v>48842</v>
      </c>
      <c r="F1953" s="23">
        <f t="shared" si="392"/>
        <v>7.4469541409993152</v>
      </c>
      <c r="G1953" s="5">
        <f>INDEX('Default Prob'!$P$5:$P$14,MIN(1+_xlfn.IFNA(MATCH(F1953,'Default Prob'!$F$5:$F$14,1),0),COUNT('Default Prob'!$P$5:$P$14)))</f>
        <v>4.1094539438249027E-2</v>
      </c>
      <c r="H1953" s="5">
        <f t="shared" si="401"/>
        <v>0.82526512952015751</v>
      </c>
      <c r="I1953" s="24">
        <f t="shared" si="402"/>
        <v>9.2856395131235558E-5</v>
      </c>
      <c r="J1953" s="25">
        <f>INDEX('Default Prob'!$C$3:$C$13, _xlfn.IFNA(MATCH(F1953, 'Default Prob'!$B$3:$B$13, 1), 1))</f>
        <v>2.29E-2</v>
      </c>
      <c r="K1953" s="26">
        <f t="shared" si="393"/>
        <v>0.8448366967687625</v>
      </c>
      <c r="L1953" s="27">
        <f t="shared" ca="1" si="394"/>
        <v>0</v>
      </c>
      <c r="M1953" s="27">
        <f t="shared" ca="1" si="395"/>
        <v>0</v>
      </c>
      <c r="N1953" s="28">
        <f t="shared" ca="1" si="396"/>
        <v>0</v>
      </c>
      <c r="O1953" s="29">
        <f t="shared" ca="1" si="397"/>
        <v>0</v>
      </c>
      <c r="P1953" s="30">
        <f t="shared" ca="1" si="398"/>
        <v>0</v>
      </c>
    </row>
    <row r="1954" spans="1:16" x14ac:dyDescent="0.25">
      <c r="A1954" s="3">
        <f t="shared" si="399"/>
        <v>48848</v>
      </c>
      <c r="B1954" s="21">
        <f t="shared" si="390"/>
        <v>36795</v>
      </c>
      <c r="C1954" s="21">
        <f t="shared" si="391"/>
        <v>36880</v>
      </c>
      <c r="D1954" s="1">
        <f t="shared" si="400"/>
        <v>0</v>
      </c>
      <c r="E1954" s="3">
        <f t="array" ref="E1954">INDEX($A$9:A1953, MAX(IF($D$9:D1953=1, ROW(D$9:$D1953)-ROW($D$9)+1, 0)))</f>
        <v>48842</v>
      </c>
      <c r="F1954" s="23">
        <f t="shared" si="392"/>
        <v>7.4551676933607123</v>
      </c>
      <c r="G1954" s="5">
        <f>INDEX('Default Prob'!$P$5:$P$14,MIN(1+_xlfn.IFNA(MATCH(F1954,'Default Prob'!$F$5:$F$14,1),0),COUNT('Default Prob'!$P$5:$P$14)))</f>
        <v>4.1094539438249027E-2</v>
      </c>
      <c r="H1954" s="5">
        <f t="shared" si="401"/>
        <v>0.82498662301057413</v>
      </c>
      <c r="I1954" s="24">
        <f t="shared" si="402"/>
        <v>2.7850650958338719E-4</v>
      </c>
      <c r="J1954" s="25">
        <f>INDEX('Default Prob'!$C$3:$C$13, _xlfn.IFNA(MATCH(F1954, 'Default Prob'!$B$3:$B$13, 1), 1))</f>
        <v>2.29E-2</v>
      </c>
      <c r="K1954" s="26">
        <f t="shared" si="393"/>
        <v>0.84467959790848812</v>
      </c>
      <c r="L1954" s="27">
        <f t="shared" ca="1" si="394"/>
        <v>0</v>
      </c>
      <c r="M1954" s="27">
        <f t="shared" ca="1" si="395"/>
        <v>0</v>
      </c>
      <c r="N1954" s="28">
        <f t="shared" ca="1" si="396"/>
        <v>0</v>
      </c>
      <c r="O1954" s="29">
        <f t="shared" ca="1" si="397"/>
        <v>0</v>
      </c>
      <c r="P1954" s="30">
        <f t="shared" ca="1" si="398"/>
        <v>0</v>
      </c>
    </row>
    <row r="1955" spans="1:16" x14ac:dyDescent="0.25">
      <c r="A1955" s="3">
        <f t="shared" si="399"/>
        <v>48849</v>
      </c>
      <c r="B1955" s="21">
        <f t="shared" si="390"/>
        <v>36796</v>
      </c>
      <c r="C1955" s="21">
        <f t="shared" si="391"/>
        <v>36880</v>
      </c>
      <c r="D1955" s="1">
        <f t="shared" si="400"/>
        <v>0</v>
      </c>
      <c r="E1955" s="3">
        <f t="array" ref="E1955">INDEX($A$9:A1954, MAX(IF($D$9:D1954=1, ROW(D$9:$D1954)-ROW($D$9)+1, 0)))</f>
        <v>48842</v>
      </c>
      <c r="F1955" s="23">
        <f t="shared" si="392"/>
        <v>7.4579055441478443</v>
      </c>
      <c r="G1955" s="5">
        <f>INDEX('Default Prob'!$P$5:$P$14,MIN(1+_xlfn.IFNA(MATCH(F1955,'Default Prob'!$F$5:$F$14,1),0),COUNT('Default Prob'!$P$5:$P$14)))</f>
        <v>4.1094539438249027E-2</v>
      </c>
      <c r="H1955" s="5">
        <f t="shared" si="401"/>
        <v>0.82489380839539928</v>
      </c>
      <c r="I1955" s="24">
        <f t="shared" si="402"/>
        <v>9.2814615174852122E-5</v>
      </c>
      <c r="J1955" s="25">
        <f>INDEX('Default Prob'!$C$3:$C$13, _xlfn.IFNA(MATCH(F1955, 'Default Prob'!$B$3:$B$13, 1), 1))</f>
        <v>2.29E-2</v>
      </c>
      <c r="K1955" s="26">
        <f t="shared" si="393"/>
        <v>0.8446272381137333</v>
      </c>
      <c r="L1955" s="27">
        <f t="shared" ca="1" si="394"/>
        <v>0</v>
      </c>
      <c r="M1955" s="27">
        <f t="shared" ca="1" si="395"/>
        <v>0</v>
      </c>
      <c r="N1955" s="28">
        <f t="shared" ca="1" si="396"/>
        <v>0</v>
      </c>
      <c r="O1955" s="29">
        <f t="shared" ca="1" si="397"/>
        <v>0</v>
      </c>
      <c r="P1955" s="30">
        <f t="shared" ca="1" si="398"/>
        <v>0</v>
      </c>
    </row>
    <row r="1956" spans="1:16" x14ac:dyDescent="0.25">
      <c r="A1956" s="3">
        <f t="shared" si="399"/>
        <v>48850</v>
      </c>
      <c r="B1956" s="21">
        <f t="shared" si="390"/>
        <v>36797</v>
      </c>
      <c r="C1956" s="21">
        <f t="shared" si="391"/>
        <v>36880</v>
      </c>
      <c r="D1956" s="1">
        <f t="shared" si="400"/>
        <v>0</v>
      </c>
      <c r="E1956" s="3">
        <f t="array" ref="E1956">INDEX($A$9:A1955, MAX(IF($D$9:D1955=1, ROW(D$9:$D1955)-ROW($D$9)+1, 0)))</f>
        <v>48842</v>
      </c>
      <c r="F1956" s="23">
        <f t="shared" si="392"/>
        <v>7.4606433949349764</v>
      </c>
      <c r="G1956" s="5">
        <f>INDEX('Default Prob'!$P$5:$P$14,MIN(1+_xlfn.IFNA(MATCH(F1956,'Default Prob'!$F$5:$F$14,1),0),COUNT('Default Prob'!$P$5:$P$14)))</f>
        <v>4.1094539438249027E-2</v>
      </c>
      <c r="H1956" s="5">
        <f t="shared" si="401"/>
        <v>0.82480100422227587</v>
      </c>
      <c r="I1956" s="24">
        <f t="shared" si="402"/>
        <v>9.2804173123406386E-5</v>
      </c>
      <c r="J1956" s="25">
        <f>INDEX('Default Prob'!$C$3:$C$13, _xlfn.IFNA(MATCH(F1956, 'Default Prob'!$B$3:$B$13, 1), 1))</f>
        <v>2.29E-2</v>
      </c>
      <c r="K1956" s="26">
        <f t="shared" si="393"/>
        <v>0.84457488156464477</v>
      </c>
      <c r="L1956" s="27">
        <f t="shared" ca="1" si="394"/>
        <v>0</v>
      </c>
      <c r="M1956" s="27">
        <f t="shared" ca="1" si="395"/>
        <v>0</v>
      </c>
      <c r="N1956" s="28">
        <f t="shared" ca="1" si="396"/>
        <v>0</v>
      </c>
      <c r="O1956" s="29">
        <f t="shared" ca="1" si="397"/>
        <v>0</v>
      </c>
      <c r="P1956" s="30">
        <f t="shared" ca="1" si="398"/>
        <v>0</v>
      </c>
    </row>
    <row r="1957" spans="1:16" x14ac:dyDescent="0.25">
      <c r="A1957" s="3">
        <f t="shared" si="399"/>
        <v>48851</v>
      </c>
      <c r="B1957" s="21">
        <f t="shared" si="390"/>
        <v>36798</v>
      </c>
      <c r="C1957" s="21">
        <f t="shared" si="391"/>
        <v>36880</v>
      </c>
      <c r="D1957" s="1">
        <f t="shared" si="400"/>
        <v>0</v>
      </c>
      <c r="E1957" s="3">
        <f t="array" ref="E1957">INDEX($A$9:A1956, MAX(IF($D$9:D1956=1, ROW(D$9:$D1956)-ROW($D$9)+1, 0)))</f>
        <v>48842</v>
      </c>
      <c r="F1957" s="23">
        <f t="shared" si="392"/>
        <v>7.4633812457221085</v>
      </c>
      <c r="G1957" s="5">
        <f>INDEX('Default Prob'!$P$5:$P$14,MIN(1+_xlfn.IFNA(MATCH(F1957,'Default Prob'!$F$5:$F$14,1),0),COUNT('Default Prob'!$P$5:$P$14)))</f>
        <v>4.1094539438249027E-2</v>
      </c>
      <c r="H1957" s="5">
        <f t="shared" si="401"/>
        <v>0.82470821049002918</v>
      </c>
      <c r="I1957" s="24">
        <f t="shared" si="402"/>
        <v>9.2793732246687632E-5</v>
      </c>
      <c r="J1957" s="25">
        <f>INDEX('Default Prob'!$C$3:$C$13, _xlfn.IFNA(MATCH(F1957, 'Default Prob'!$B$3:$B$13, 1), 1))</f>
        <v>2.29E-2</v>
      </c>
      <c r="K1957" s="26">
        <f t="shared" si="393"/>
        <v>0.84452252826102137</v>
      </c>
      <c r="L1957" s="27">
        <f t="shared" ca="1" si="394"/>
        <v>0</v>
      </c>
      <c r="M1957" s="27">
        <f t="shared" ca="1" si="395"/>
        <v>0</v>
      </c>
      <c r="N1957" s="28">
        <f t="shared" ca="1" si="396"/>
        <v>0</v>
      </c>
      <c r="O1957" s="29">
        <f t="shared" ca="1" si="397"/>
        <v>0</v>
      </c>
      <c r="P1957" s="30">
        <f t="shared" ca="1" si="398"/>
        <v>0</v>
      </c>
    </row>
    <row r="1958" spans="1:16" x14ac:dyDescent="0.25">
      <c r="A1958" s="3">
        <f t="shared" si="399"/>
        <v>48852</v>
      </c>
      <c r="B1958" s="21">
        <f t="shared" si="390"/>
        <v>36799</v>
      </c>
      <c r="C1958" s="21">
        <f t="shared" si="391"/>
        <v>36880</v>
      </c>
      <c r="D1958" s="1">
        <f t="shared" si="400"/>
        <v>0</v>
      </c>
      <c r="E1958" s="3">
        <f t="array" ref="E1958">INDEX($A$9:A1957, MAX(IF($D$9:D1957=1, ROW(D$9:$D1957)-ROW($D$9)+1, 0)))</f>
        <v>48842</v>
      </c>
      <c r="F1958" s="23">
        <f t="shared" si="392"/>
        <v>7.4661190965092405</v>
      </c>
      <c r="G1958" s="5">
        <f>INDEX('Default Prob'!$P$5:$P$14,MIN(1+_xlfn.IFNA(MATCH(F1958,'Default Prob'!$F$5:$F$14,1),0),COUNT('Default Prob'!$P$5:$P$14)))</f>
        <v>4.1094539438249027E-2</v>
      </c>
      <c r="H1958" s="5">
        <f t="shared" si="401"/>
        <v>0.82461542719748449</v>
      </c>
      <c r="I1958" s="24">
        <f t="shared" si="402"/>
        <v>9.2783292544695861E-5</v>
      </c>
      <c r="J1958" s="25">
        <f>INDEX('Default Prob'!$C$3:$C$13, _xlfn.IFNA(MATCH(F1958, 'Default Prob'!$B$3:$B$13, 1), 1))</f>
        <v>2.29E-2</v>
      </c>
      <c r="K1958" s="26">
        <f t="shared" si="393"/>
        <v>0.84447017820266201</v>
      </c>
      <c r="L1958" s="27">
        <f t="shared" ca="1" si="394"/>
        <v>0</v>
      </c>
      <c r="M1958" s="27">
        <f t="shared" ca="1" si="395"/>
        <v>0</v>
      </c>
      <c r="N1958" s="28">
        <f t="shared" ca="1" si="396"/>
        <v>0</v>
      </c>
      <c r="O1958" s="29">
        <f t="shared" ca="1" si="397"/>
        <v>0</v>
      </c>
      <c r="P1958" s="30">
        <f t="shared" ca="1" si="398"/>
        <v>0</v>
      </c>
    </row>
    <row r="1959" spans="1:16" x14ac:dyDescent="0.25">
      <c r="A1959" s="3">
        <f t="shared" si="399"/>
        <v>48855</v>
      </c>
      <c r="B1959" s="21">
        <f t="shared" si="390"/>
        <v>36802</v>
      </c>
      <c r="C1959" s="21">
        <f t="shared" si="391"/>
        <v>36880</v>
      </c>
      <c r="D1959" s="1">
        <f t="shared" si="400"/>
        <v>0</v>
      </c>
      <c r="E1959" s="3">
        <f t="array" ref="E1959">INDEX($A$9:A1958, MAX(IF($D$9:D1958=1, ROW(D$9:$D1958)-ROW($D$9)+1, 0)))</f>
        <v>48842</v>
      </c>
      <c r="F1959" s="23">
        <f t="shared" si="392"/>
        <v>7.4743326488706368</v>
      </c>
      <c r="G1959" s="5">
        <f>INDEX('Default Prob'!$P$5:$P$14,MIN(1+_xlfn.IFNA(MATCH(F1959,'Default Prob'!$F$5:$F$14,1),0),COUNT('Default Prob'!$P$5:$P$14)))</f>
        <v>4.1094539438249027E-2</v>
      </c>
      <c r="H1959" s="5">
        <f t="shared" si="401"/>
        <v>0.82433713994631841</v>
      </c>
      <c r="I1959" s="24">
        <f t="shared" si="402"/>
        <v>2.7828725116607611E-4</v>
      </c>
      <c r="J1959" s="25">
        <f>INDEX('Default Prob'!$C$3:$C$13, _xlfn.IFNA(MATCH(F1959, 'Default Prob'!$B$3:$B$13, 1), 1))</f>
        <v>2.29E-2</v>
      </c>
      <c r="K1959" s="26">
        <f t="shared" si="393"/>
        <v>0.84431314749715569</v>
      </c>
      <c r="L1959" s="27">
        <f t="shared" ca="1" si="394"/>
        <v>0</v>
      </c>
      <c r="M1959" s="27">
        <f t="shared" ca="1" si="395"/>
        <v>0</v>
      </c>
      <c r="N1959" s="28">
        <f t="shared" ca="1" si="396"/>
        <v>0</v>
      </c>
      <c r="O1959" s="29">
        <f t="shared" ca="1" si="397"/>
        <v>0</v>
      </c>
      <c r="P1959" s="30">
        <f t="shared" ca="1" si="398"/>
        <v>0</v>
      </c>
    </row>
    <row r="1960" spans="1:16" x14ac:dyDescent="0.25">
      <c r="A1960" s="3">
        <f t="shared" si="399"/>
        <v>48856</v>
      </c>
      <c r="B1960" s="21">
        <f t="shared" si="390"/>
        <v>36803</v>
      </c>
      <c r="C1960" s="21">
        <f t="shared" si="391"/>
        <v>36880</v>
      </c>
      <c r="D1960" s="1">
        <f t="shared" si="400"/>
        <v>0</v>
      </c>
      <c r="E1960" s="3">
        <f t="array" ref="E1960">INDEX($A$9:A1959, MAX(IF($D$9:D1959=1, ROW(D$9:$D1959)-ROW($D$9)+1, 0)))</f>
        <v>48842</v>
      </c>
      <c r="F1960" s="23">
        <f t="shared" si="392"/>
        <v>7.4770704996577688</v>
      </c>
      <c r="G1960" s="5">
        <f>INDEX('Default Prob'!$P$5:$P$14,MIN(1+_xlfn.IFNA(MATCH(F1960,'Default Prob'!$F$5:$F$14,1),0),COUNT('Default Prob'!$P$5:$P$14)))</f>
        <v>4.1094539438249027E-2</v>
      </c>
      <c r="H1960" s="5">
        <f t="shared" si="401"/>
        <v>0.82424439840083819</v>
      </c>
      <c r="I1960" s="24">
        <f t="shared" si="402"/>
        <v>9.2741545480223841E-5</v>
      </c>
      <c r="J1960" s="25">
        <f>INDEX('Default Prob'!$C$3:$C$13, _xlfn.IFNA(MATCH(F1960, 'Default Prob'!$B$3:$B$13, 1), 1))</f>
        <v>2.29E-2</v>
      </c>
      <c r="K1960" s="26">
        <f t="shared" si="393"/>
        <v>0.84426081041784029</v>
      </c>
      <c r="L1960" s="27">
        <f t="shared" ca="1" si="394"/>
        <v>0</v>
      </c>
      <c r="M1960" s="27">
        <f t="shared" ca="1" si="395"/>
        <v>0</v>
      </c>
      <c r="N1960" s="28">
        <f t="shared" ca="1" si="396"/>
        <v>0</v>
      </c>
      <c r="O1960" s="29">
        <f t="shared" ca="1" si="397"/>
        <v>0</v>
      </c>
      <c r="P1960" s="30">
        <f t="shared" ca="1" si="398"/>
        <v>0</v>
      </c>
    </row>
    <row r="1961" spans="1:16" x14ac:dyDescent="0.25">
      <c r="A1961" s="3">
        <f t="shared" si="399"/>
        <v>48857</v>
      </c>
      <c r="B1961" s="21">
        <f t="shared" si="390"/>
        <v>36804</v>
      </c>
      <c r="C1961" s="21">
        <f t="shared" si="391"/>
        <v>36880</v>
      </c>
      <c r="D1961" s="1">
        <f t="shared" si="400"/>
        <v>0</v>
      </c>
      <c r="E1961" s="3">
        <f t="array" ref="E1961">INDEX($A$9:A1960, MAX(IF($D$9:D1960=1, ROW(D$9:$D1960)-ROW($D$9)+1, 0)))</f>
        <v>48842</v>
      </c>
      <c r="F1961" s="23">
        <f t="shared" si="392"/>
        <v>7.4798083504449009</v>
      </c>
      <c r="G1961" s="5">
        <f>INDEX('Default Prob'!$P$5:$P$14,MIN(1+_xlfn.IFNA(MATCH(F1961,'Default Prob'!$F$5:$F$14,1),0),COUNT('Default Prob'!$P$5:$P$14)))</f>
        <v>4.1094539438249027E-2</v>
      </c>
      <c r="H1961" s="5">
        <f t="shared" si="401"/>
        <v>0.82415166728918876</v>
      </c>
      <c r="I1961" s="24">
        <f t="shared" si="402"/>
        <v>9.2731111649424491E-5</v>
      </c>
      <c r="J1961" s="25">
        <f>INDEX('Default Prob'!$C$3:$C$13, _xlfn.IFNA(MATCH(F1961, 'Default Prob'!$B$3:$B$13, 1), 1))</f>
        <v>2.29E-2</v>
      </c>
      <c r="K1961" s="26">
        <f t="shared" si="393"/>
        <v>0.84420847658278331</v>
      </c>
      <c r="L1961" s="27">
        <f t="shared" ca="1" si="394"/>
        <v>0</v>
      </c>
      <c r="M1961" s="27">
        <f t="shared" ca="1" si="395"/>
        <v>0</v>
      </c>
      <c r="N1961" s="28">
        <f t="shared" ca="1" si="396"/>
        <v>0</v>
      </c>
      <c r="O1961" s="29">
        <f t="shared" ca="1" si="397"/>
        <v>0</v>
      </c>
      <c r="P1961" s="30">
        <f t="shared" ca="1" si="398"/>
        <v>0</v>
      </c>
    </row>
    <row r="1962" spans="1:16" x14ac:dyDescent="0.25">
      <c r="A1962" s="3">
        <f t="shared" si="399"/>
        <v>48858</v>
      </c>
      <c r="B1962" s="21">
        <f t="shared" si="390"/>
        <v>36805</v>
      </c>
      <c r="C1962" s="21">
        <f t="shared" si="391"/>
        <v>36880</v>
      </c>
      <c r="D1962" s="1">
        <f t="shared" si="400"/>
        <v>0</v>
      </c>
      <c r="E1962" s="3">
        <f t="array" ref="E1962">INDEX($A$9:A1961, MAX(IF($D$9:D1961=1, ROW(D$9:$D1961)-ROW($D$9)+1, 0)))</f>
        <v>48842</v>
      </c>
      <c r="F1962" s="23">
        <f t="shared" si="392"/>
        <v>7.482546201232033</v>
      </c>
      <c r="G1962" s="5">
        <f>INDEX('Default Prob'!$P$5:$P$14,MIN(1+_xlfn.IFNA(MATCH(F1962,'Default Prob'!$F$5:$F$14,1),0),COUNT('Default Prob'!$P$5:$P$14)))</f>
        <v>4.1094539438249027E-2</v>
      </c>
      <c r="H1962" s="5">
        <f t="shared" si="401"/>
        <v>0.8240589466101963</v>
      </c>
      <c r="I1962" s="24">
        <f t="shared" si="402"/>
        <v>9.2720678992463945E-5</v>
      </c>
      <c r="J1962" s="25">
        <f>INDEX('Default Prob'!$C$3:$C$13, _xlfn.IFNA(MATCH(F1962, 'Default Prob'!$B$3:$B$13, 1), 1))</f>
        <v>2.29E-2</v>
      </c>
      <c r="K1962" s="26">
        <f t="shared" si="393"/>
        <v>0.84415614599178335</v>
      </c>
      <c r="L1962" s="27">
        <f t="shared" ca="1" si="394"/>
        <v>0</v>
      </c>
      <c r="M1962" s="27">
        <f t="shared" ca="1" si="395"/>
        <v>0</v>
      </c>
      <c r="N1962" s="28">
        <f t="shared" ca="1" si="396"/>
        <v>0</v>
      </c>
      <c r="O1962" s="29">
        <f t="shared" ca="1" si="397"/>
        <v>0</v>
      </c>
      <c r="P1962" s="30">
        <f t="shared" ca="1" si="398"/>
        <v>0</v>
      </c>
    </row>
    <row r="1963" spans="1:16" x14ac:dyDescent="0.25">
      <c r="A1963" s="3">
        <f t="shared" si="399"/>
        <v>48859</v>
      </c>
      <c r="B1963" s="21">
        <f t="shared" si="390"/>
        <v>36806</v>
      </c>
      <c r="C1963" s="21">
        <f t="shared" si="391"/>
        <v>36880</v>
      </c>
      <c r="D1963" s="1">
        <f t="shared" si="400"/>
        <v>0</v>
      </c>
      <c r="E1963" s="3">
        <f t="array" ref="E1963">INDEX($A$9:A1962, MAX(IF($D$9:D1962=1, ROW(D$9:$D1962)-ROW($D$9)+1, 0)))</f>
        <v>48842</v>
      </c>
      <c r="F1963" s="23">
        <f t="shared" si="392"/>
        <v>7.485284052019165</v>
      </c>
      <c r="G1963" s="5">
        <f>INDEX('Default Prob'!$P$5:$P$14,MIN(1+_xlfn.IFNA(MATCH(F1963,'Default Prob'!$F$5:$F$14,1),0),COUNT('Default Prob'!$P$5:$P$14)))</f>
        <v>4.1094539438249027E-2</v>
      </c>
      <c r="H1963" s="5">
        <f t="shared" si="401"/>
        <v>0.82396623636268718</v>
      </c>
      <c r="I1963" s="24">
        <f t="shared" si="402"/>
        <v>9.2710247509120158E-5</v>
      </c>
      <c r="J1963" s="25">
        <f>INDEX('Default Prob'!$C$3:$C$13, _xlfn.IFNA(MATCH(F1963, 'Default Prob'!$B$3:$B$13, 1), 1))</f>
        <v>2.29E-2</v>
      </c>
      <c r="K1963" s="26">
        <f t="shared" si="393"/>
        <v>0.84410381864463946</v>
      </c>
      <c r="L1963" s="27">
        <f t="shared" ca="1" si="394"/>
        <v>0</v>
      </c>
      <c r="M1963" s="27">
        <f t="shared" ca="1" si="395"/>
        <v>0</v>
      </c>
      <c r="N1963" s="28">
        <f t="shared" ca="1" si="396"/>
        <v>0</v>
      </c>
      <c r="O1963" s="29">
        <f t="shared" ca="1" si="397"/>
        <v>0</v>
      </c>
      <c r="P1963" s="30">
        <f t="shared" ca="1" si="398"/>
        <v>0</v>
      </c>
    </row>
    <row r="1964" spans="1:16" x14ac:dyDescent="0.25">
      <c r="A1964" s="3">
        <f t="shared" si="399"/>
        <v>48862</v>
      </c>
      <c r="B1964" s="21">
        <f t="shared" si="390"/>
        <v>36809</v>
      </c>
      <c r="C1964" s="21">
        <f t="shared" si="391"/>
        <v>36880</v>
      </c>
      <c r="D1964" s="1">
        <f t="shared" si="400"/>
        <v>0</v>
      </c>
      <c r="E1964" s="3">
        <f t="array" ref="E1964">INDEX($A$9:A1963, MAX(IF($D$9:D1963=1, ROW(D$9:$D1963)-ROW($D$9)+1, 0)))</f>
        <v>48842</v>
      </c>
      <c r="F1964" s="23">
        <f t="shared" si="392"/>
        <v>7.4934976043805612</v>
      </c>
      <c r="G1964" s="5">
        <f>INDEX('Default Prob'!$P$5:$P$14,MIN(1+_xlfn.IFNA(MATCH(F1964,'Default Prob'!$F$5:$F$14,1),0),COUNT('Default Prob'!$P$5:$P$14)))</f>
        <v>4.1094539438249027E-2</v>
      </c>
      <c r="H1964" s="5">
        <f t="shared" si="401"/>
        <v>0.82368816819732393</v>
      </c>
      <c r="I1964" s="24">
        <f t="shared" si="402"/>
        <v>2.780681653632433E-4</v>
      </c>
      <c r="J1964" s="25">
        <f>INDEX('Default Prob'!$C$3:$C$13, _xlfn.IFNA(MATCH(F1964, 'Default Prob'!$B$3:$B$13, 1), 1))</f>
        <v>2.29E-2</v>
      </c>
      <c r="K1964" s="26">
        <f t="shared" si="393"/>
        <v>0.84394685606433317</v>
      </c>
      <c r="L1964" s="27">
        <f t="shared" ca="1" si="394"/>
        <v>0</v>
      </c>
      <c r="M1964" s="27">
        <f t="shared" ca="1" si="395"/>
        <v>0</v>
      </c>
      <c r="N1964" s="28">
        <f t="shared" ca="1" si="396"/>
        <v>0</v>
      </c>
      <c r="O1964" s="29">
        <f t="shared" ca="1" si="397"/>
        <v>0</v>
      </c>
      <c r="P1964" s="30">
        <f t="shared" ca="1" si="398"/>
        <v>0</v>
      </c>
    </row>
    <row r="1965" spans="1:16" x14ac:dyDescent="0.25">
      <c r="A1965" s="3">
        <f t="shared" si="399"/>
        <v>48863</v>
      </c>
      <c r="B1965" s="21">
        <f t="shared" si="390"/>
        <v>36810</v>
      </c>
      <c r="C1965" s="21">
        <f t="shared" si="391"/>
        <v>36880</v>
      </c>
      <c r="D1965" s="1">
        <f t="shared" si="400"/>
        <v>0</v>
      </c>
      <c r="E1965" s="3">
        <f t="array" ref="E1965">INDEX($A$9:A1964, MAX(IF($D$9:D1964=1, ROW(D$9:$D1964)-ROW($D$9)+1, 0)))</f>
        <v>48842</v>
      </c>
      <c r="F1965" s="23">
        <f t="shared" si="392"/>
        <v>7.4962354551676933</v>
      </c>
      <c r="G1965" s="5">
        <f>INDEX('Default Prob'!$P$5:$P$14,MIN(1+_xlfn.IFNA(MATCH(F1965,'Default Prob'!$F$5:$F$14,1),0),COUNT('Default Prob'!$P$5:$P$14)))</f>
        <v>4.1094539438249027E-2</v>
      </c>
      <c r="H1965" s="5">
        <f t="shared" si="401"/>
        <v>0.82359549966401324</v>
      </c>
      <c r="I1965" s="24">
        <f t="shared" si="402"/>
        <v>9.2668533310691359E-5</v>
      </c>
      <c r="J1965" s="25">
        <f>INDEX('Default Prob'!$C$3:$C$13, _xlfn.IFNA(MATCH(F1965, 'Default Prob'!$B$3:$B$13, 1), 1))</f>
        <v>2.29E-2</v>
      </c>
      <c r="K1965" s="26">
        <f t="shared" si="393"/>
        <v>0.84389454169060274</v>
      </c>
      <c r="L1965" s="27">
        <f t="shared" ca="1" si="394"/>
        <v>0</v>
      </c>
      <c r="M1965" s="27">
        <f t="shared" ca="1" si="395"/>
        <v>0</v>
      </c>
      <c r="N1965" s="28">
        <f t="shared" ca="1" si="396"/>
        <v>0</v>
      </c>
      <c r="O1965" s="29">
        <f t="shared" ca="1" si="397"/>
        <v>0</v>
      </c>
      <c r="P1965" s="30">
        <f t="shared" ca="1" si="398"/>
        <v>0</v>
      </c>
    </row>
    <row r="1966" spans="1:16" x14ac:dyDescent="0.25">
      <c r="A1966" s="3">
        <f t="shared" si="399"/>
        <v>48864</v>
      </c>
      <c r="B1966" s="21">
        <f t="shared" si="390"/>
        <v>36811</v>
      </c>
      <c r="C1966" s="21">
        <f t="shared" si="391"/>
        <v>36880</v>
      </c>
      <c r="D1966" s="1">
        <f t="shared" si="400"/>
        <v>0</v>
      </c>
      <c r="E1966" s="3">
        <f t="array" ref="E1966">INDEX($A$9:A1965, MAX(IF($D$9:D1965=1, ROW(D$9:$D1965)-ROW($D$9)+1, 0)))</f>
        <v>48842</v>
      </c>
      <c r="F1966" s="23">
        <f t="shared" si="392"/>
        <v>7.4989733059548254</v>
      </c>
      <c r="G1966" s="5">
        <f>INDEX('Default Prob'!$P$5:$P$14,MIN(1+_xlfn.IFNA(MATCH(F1966,'Default Prob'!$F$5:$F$14,1),0),COUNT('Default Prob'!$P$5:$P$14)))</f>
        <v>4.1094539438249027E-2</v>
      </c>
      <c r="H1966" s="5">
        <f t="shared" si="401"/>
        <v>0.82350284155631914</v>
      </c>
      <c r="I1966" s="24">
        <f t="shared" si="402"/>
        <v>9.2658107694099101E-5</v>
      </c>
      <c r="J1966" s="25">
        <f>INDEX('Default Prob'!$C$3:$C$13, _xlfn.IFNA(MATCH(F1966, 'Default Prob'!$B$3:$B$13, 1), 1))</f>
        <v>2.29E-2</v>
      </c>
      <c r="K1966" s="26">
        <f t="shared" si="393"/>
        <v>0.84384223055972307</v>
      </c>
      <c r="L1966" s="27">
        <f t="shared" ca="1" si="394"/>
        <v>0</v>
      </c>
      <c r="M1966" s="27">
        <f t="shared" ca="1" si="395"/>
        <v>0</v>
      </c>
      <c r="N1966" s="28">
        <f t="shared" ca="1" si="396"/>
        <v>0</v>
      </c>
      <c r="O1966" s="29">
        <f t="shared" ca="1" si="397"/>
        <v>0</v>
      </c>
      <c r="P1966" s="30">
        <f t="shared" ca="1" si="398"/>
        <v>0</v>
      </c>
    </row>
    <row r="1967" spans="1:16" x14ac:dyDescent="0.25">
      <c r="A1967" s="3">
        <f t="shared" si="399"/>
        <v>48865</v>
      </c>
      <c r="B1967" s="21">
        <f t="shared" si="390"/>
        <v>36812</v>
      </c>
      <c r="C1967" s="21">
        <f t="shared" si="391"/>
        <v>36880</v>
      </c>
      <c r="D1967" s="1">
        <f t="shared" si="400"/>
        <v>0</v>
      </c>
      <c r="E1967" s="3">
        <f t="array" ref="E1967">INDEX($A$9:A1966, MAX(IF($D$9:D1966=1, ROW(D$9:$D1966)-ROW($D$9)+1, 0)))</f>
        <v>48842</v>
      </c>
      <c r="F1967" s="23">
        <f t="shared" si="392"/>
        <v>7.5017111567419574</v>
      </c>
      <c r="G1967" s="5">
        <f>INDEX('Default Prob'!$P$5:$P$14,MIN(1+_xlfn.IFNA(MATCH(F1967,'Default Prob'!$F$5:$F$14,1),0),COUNT('Default Prob'!$P$5:$P$14)))</f>
        <v>4.1094539438249027E-2</v>
      </c>
      <c r="H1967" s="5">
        <f t="shared" si="401"/>
        <v>0.8234101938730688</v>
      </c>
      <c r="I1967" s="24">
        <f t="shared" si="402"/>
        <v>9.2647683250346446E-5</v>
      </c>
      <c r="J1967" s="25">
        <f>INDEX('Default Prob'!$C$3:$C$13, _xlfn.IFNA(MATCH(F1967, 'Default Prob'!$B$3:$B$13, 1), 1))</f>
        <v>2.29E-2</v>
      </c>
      <c r="K1967" s="26">
        <f t="shared" si="393"/>
        <v>0.843789922671493</v>
      </c>
      <c r="L1967" s="27">
        <f t="shared" ca="1" si="394"/>
        <v>0</v>
      </c>
      <c r="M1967" s="27">
        <f t="shared" ca="1" si="395"/>
        <v>0</v>
      </c>
      <c r="N1967" s="28">
        <f t="shared" ca="1" si="396"/>
        <v>0</v>
      </c>
      <c r="O1967" s="29">
        <f t="shared" ca="1" si="397"/>
        <v>0</v>
      </c>
      <c r="P1967" s="30">
        <f t="shared" ca="1" si="398"/>
        <v>0</v>
      </c>
    </row>
    <row r="1968" spans="1:16" x14ac:dyDescent="0.25">
      <c r="A1968" s="3">
        <f t="shared" si="399"/>
        <v>48866</v>
      </c>
      <c r="B1968" s="21">
        <f t="shared" si="390"/>
        <v>36813</v>
      </c>
      <c r="C1968" s="21">
        <f t="shared" si="391"/>
        <v>36880</v>
      </c>
      <c r="D1968" s="1">
        <f t="shared" si="400"/>
        <v>0</v>
      </c>
      <c r="E1968" s="3">
        <f t="array" ref="E1968">INDEX($A$9:A1967, MAX(IF($D$9:D1967=1, ROW(D$9:$D1967)-ROW($D$9)+1, 0)))</f>
        <v>48842</v>
      </c>
      <c r="F1968" s="23">
        <f t="shared" si="392"/>
        <v>7.5044490075290895</v>
      </c>
      <c r="G1968" s="5">
        <f>INDEX('Default Prob'!$P$5:$P$14,MIN(1+_xlfn.IFNA(MATCH(F1968,'Default Prob'!$F$5:$F$14,1),0),COUNT('Default Prob'!$P$5:$P$14)))</f>
        <v>4.1094539438249027E-2</v>
      </c>
      <c r="H1968" s="5">
        <f t="shared" si="401"/>
        <v>0.82331755661308936</v>
      </c>
      <c r="I1968" s="24">
        <f t="shared" si="402"/>
        <v>9.2637259979433395E-5</v>
      </c>
      <c r="J1968" s="25">
        <f>INDEX('Default Prob'!$C$3:$C$13, _xlfn.IFNA(MATCH(F1968, 'Default Prob'!$B$3:$B$13, 1), 1))</f>
        <v>2.29E-2</v>
      </c>
      <c r="K1968" s="26">
        <f t="shared" si="393"/>
        <v>0.84373761802571179</v>
      </c>
      <c r="L1968" s="27">
        <f t="shared" ca="1" si="394"/>
        <v>0</v>
      </c>
      <c r="M1968" s="27">
        <f t="shared" ca="1" si="395"/>
        <v>0</v>
      </c>
      <c r="N1968" s="28">
        <f t="shared" ca="1" si="396"/>
        <v>0</v>
      </c>
      <c r="O1968" s="29">
        <f t="shared" ca="1" si="397"/>
        <v>0</v>
      </c>
      <c r="P1968" s="30">
        <f t="shared" ca="1" si="398"/>
        <v>0</v>
      </c>
    </row>
    <row r="1969" spans="1:16" x14ac:dyDescent="0.25">
      <c r="A1969" s="3">
        <f t="shared" si="399"/>
        <v>48869</v>
      </c>
      <c r="B1969" s="21">
        <f t="shared" si="390"/>
        <v>36816</v>
      </c>
      <c r="C1969" s="21">
        <f t="shared" si="391"/>
        <v>36880</v>
      </c>
      <c r="D1969" s="1">
        <f t="shared" si="400"/>
        <v>0</v>
      </c>
      <c r="E1969" s="3">
        <f t="array" ref="E1969">INDEX($A$9:A1968, MAX(IF($D$9:D1968=1, ROW(D$9:$D1968)-ROW($D$9)+1, 0)))</f>
        <v>48842</v>
      </c>
      <c r="F1969" s="23">
        <f t="shared" si="392"/>
        <v>7.5126625598904857</v>
      </c>
      <c r="G1969" s="5">
        <f>INDEX('Default Prob'!$P$5:$P$14,MIN(1+_xlfn.IFNA(MATCH(F1969,'Default Prob'!$F$5:$F$14,1),0),COUNT('Default Prob'!$P$5:$P$14)))</f>
        <v>4.1094539438249027E-2</v>
      </c>
      <c r="H1969" s="5">
        <f t="shared" si="401"/>
        <v>0.82303970736105037</v>
      </c>
      <c r="I1969" s="24">
        <f t="shared" si="402"/>
        <v>2.7784925203899746E-4</v>
      </c>
      <c r="J1969" s="25">
        <f>INDEX('Default Prob'!$C$3:$C$13, _xlfn.IFNA(MATCH(F1969, 'Default Prob'!$B$3:$B$13, 1), 1))</f>
        <v>2.29E-2</v>
      </c>
      <c r="K1969" s="26">
        <f t="shared" si="393"/>
        <v>0.84358072354105051</v>
      </c>
      <c r="L1969" s="27">
        <f t="shared" ca="1" si="394"/>
        <v>0</v>
      </c>
      <c r="M1969" s="27">
        <f t="shared" ca="1" si="395"/>
        <v>0</v>
      </c>
      <c r="N1969" s="28">
        <f t="shared" ca="1" si="396"/>
        <v>0</v>
      </c>
      <c r="O1969" s="29">
        <f t="shared" ca="1" si="397"/>
        <v>0</v>
      </c>
      <c r="P1969" s="30">
        <f t="shared" ca="1" si="398"/>
        <v>0</v>
      </c>
    </row>
    <row r="1970" spans="1:16" x14ac:dyDescent="0.25">
      <c r="A1970" s="3">
        <f t="shared" si="399"/>
        <v>48870</v>
      </c>
      <c r="B1970" s="21">
        <f t="shared" si="390"/>
        <v>36817</v>
      </c>
      <c r="C1970" s="21">
        <f t="shared" si="391"/>
        <v>36880</v>
      </c>
      <c r="D1970" s="1">
        <f t="shared" si="400"/>
        <v>0</v>
      </c>
      <c r="E1970" s="3">
        <f t="array" ref="E1970">INDEX($A$9:A1969, MAX(IF($D$9:D1969=1, ROW(D$9:$D1969)-ROW($D$9)+1, 0)))</f>
        <v>48842</v>
      </c>
      <c r="F1970" s="23">
        <f t="shared" si="392"/>
        <v>7.5154004106776178</v>
      </c>
      <c r="G1970" s="5">
        <f>INDEX('Default Prob'!$P$5:$P$14,MIN(1+_xlfn.IFNA(MATCH(F1970,'Default Prob'!$F$5:$F$14,1),0),COUNT('Default Prob'!$P$5:$P$14)))</f>
        <v>4.1094539438249027E-2</v>
      </c>
      <c r="H1970" s="5">
        <f t="shared" si="401"/>
        <v>0.82294711178242919</v>
      </c>
      <c r="I1970" s="24">
        <f t="shared" si="402"/>
        <v>9.2595578621179619E-5</v>
      </c>
      <c r="J1970" s="25">
        <f>INDEX('Default Prob'!$C$3:$C$13, _xlfn.IFNA(MATCH(F1970, 'Default Prob'!$B$3:$B$13, 1), 1))</f>
        <v>2.29E-2</v>
      </c>
      <c r="K1970" s="26">
        <f t="shared" si="393"/>
        <v>0.84352843186305448</v>
      </c>
      <c r="L1970" s="27">
        <f t="shared" ca="1" si="394"/>
        <v>0</v>
      </c>
      <c r="M1970" s="27">
        <f t="shared" ca="1" si="395"/>
        <v>0</v>
      </c>
      <c r="N1970" s="28">
        <f t="shared" ca="1" si="396"/>
        <v>0</v>
      </c>
      <c r="O1970" s="29">
        <f t="shared" ca="1" si="397"/>
        <v>0</v>
      </c>
      <c r="P1970" s="30">
        <f t="shared" ca="1" si="398"/>
        <v>0</v>
      </c>
    </row>
    <row r="1971" spans="1:16" x14ac:dyDescent="0.25">
      <c r="A1971" s="3">
        <f t="shared" si="399"/>
        <v>48871</v>
      </c>
      <c r="B1971" s="21">
        <f t="shared" si="390"/>
        <v>36818</v>
      </c>
      <c r="C1971" s="21">
        <f t="shared" si="391"/>
        <v>36880</v>
      </c>
      <c r="D1971" s="1">
        <f t="shared" si="400"/>
        <v>0</v>
      </c>
      <c r="E1971" s="3">
        <f t="array" ref="E1971">INDEX($A$9:A1970, MAX(IF($D$9:D1970=1, ROW(D$9:$D1970)-ROW($D$9)+1, 0)))</f>
        <v>48842</v>
      </c>
      <c r="F1971" s="23">
        <f t="shared" si="392"/>
        <v>7.5181382614647498</v>
      </c>
      <c r="G1971" s="5">
        <f>INDEX('Default Prob'!$P$5:$P$14,MIN(1+_xlfn.IFNA(MATCH(F1971,'Default Prob'!$F$5:$F$14,1),0),COUNT('Default Prob'!$P$5:$P$14)))</f>
        <v>4.1094539438249027E-2</v>
      </c>
      <c r="H1971" s="5">
        <f t="shared" si="401"/>
        <v>0.82285452662121694</v>
      </c>
      <c r="I1971" s="24">
        <f t="shared" si="402"/>
        <v>9.2585161212244138E-5</v>
      </c>
      <c r="J1971" s="25">
        <f>INDEX('Default Prob'!$C$3:$C$13, _xlfn.IFNA(MATCH(F1971, 'Default Prob'!$B$3:$B$13, 1), 1))</f>
        <v>2.29E-2</v>
      </c>
      <c r="K1971" s="26">
        <f t="shared" si="393"/>
        <v>0.84347614342650234</v>
      </c>
      <c r="L1971" s="27">
        <f t="shared" ca="1" si="394"/>
        <v>0</v>
      </c>
      <c r="M1971" s="27">
        <f t="shared" ca="1" si="395"/>
        <v>0</v>
      </c>
      <c r="N1971" s="28">
        <f t="shared" ca="1" si="396"/>
        <v>0</v>
      </c>
      <c r="O1971" s="29">
        <f t="shared" ca="1" si="397"/>
        <v>0</v>
      </c>
      <c r="P1971" s="30">
        <f t="shared" ca="1" si="398"/>
        <v>0</v>
      </c>
    </row>
    <row r="1972" spans="1:16" x14ac:dyDescent="0.25">
      <c r="A1972" s="3">
        <f t="shared" si="399"/>
        <v>48872</v>
      </c>
      <c r="B1972" s="21">
        <f t="shared" si="390"/>
        <v>36819</v>
      </c>
      <c r="C1972" s="21">
        <f t="shared" si="391"/>
        <v>36880</v>
      </c>
      <c r="D1972" s="1">
        <f t="shared" si="400"/>
        <v>0</v>
      </c>
      <c r="E1972" s="3">
        <f t="array" ref="E1972">INDEX($A$9:A1971, MAX(IF($D$9:D1971=1, ROW(D$9:$D1971)-ROW($D$9)+1, 0)))</f>
        <v>48842</v>
      </c>
      <c r="F1972" s="23">
        <f t="shared" si="392"/>
        <v>7.5208761122518819</v>
      </c>
      <c r="G1972" s="5">
        <f>INDEX('Default Prob'!$P$5:$P$14,MIN(1+_xlfn.IFNA(MATCH(F1972,'Default Prob'!$F$5:$F$14,1),0),COUNT('Default Prob'!$P$5:$P$14)))</f>
        <v>4.1094539438249027E-2</v>
      </c>
      <c r="H1972" s="5">
        <f t="shared" si="401"/>
        <v>0.82276195187624157</v>
      </c>
      <c r="I1972" s="24">
        <f t="shared" si="402"/>
        <v>9.2574744975371104E-5</v>
      </c>
      <c r="J1972" s="25">
        <f>INDEX('Default Prob'!$C$3:$C$13, _xlfn.IFNA(MATCH(F1972, 'Default Prob'!$B$3:$B$13, 1), 1))</f>
        <v>2.29E-2</v>
      </c>
      <c r="K1972" s="26">
        <f t="shared" si="393"/>
        <v>0.84342385823119304</v>
      </c>
      <c r="L1972" s="27">
        <f t="shared" ca="1" si="394"/>
        <v>0</v>
      </c>
      <c r="M1972" s="27">
        <f t="shared" ca="1" si="395"/>
        <v>0</v>
      </c>
      <c r="N1972" s="28">
        <f t="shared" ca="1" si="396"/>
        <v>0</v>
      </c>
      <c r="O1972" s="29">
        <f t="shared" ca="1" si="397"/>
        <v>0</v>
      </c>
      <c r="P1972" s="30">
        <f t="shared" ca="1" si="398"/>
        <v>0</v>
      </c>
    </row>
    <row r="1973" spans="1:16" x14ac:dyDescent="0.25">
      <c r="A1973" s="3">
        <f t="shared" si="399"/>
        <v>48873</v>
      </c>
      <c r="B1973" s="21">
        <f t="shared" si="390"/>
        <v>36820</v>
      </c>
      <c r="C1973" s="21">
        <f t="shared" si="391"/>
        <v>36880</v>
      </c>
      <c r="D1973" s="1">
        <f t="shared" si="400"/>
        <v>0</v>
      </c>
      <c r="E1973" s="3">
        <f t="array" ref="E1973">INDEX($A$9:A1972, MAX(IF($D$9:D1972=1, ROW(D$9:$D1972)-ROW($D$9)+1, 0)))</f>
        <v>48842</v>
      </c>
      <c r="F1973" s="23">
        <f t="shared" si="392"/>
        <v>7.523613963039014</v>
      </c>
      <c r="G1973" s="5">
        <f>INDEX('Default Prob'!$P$5:$P$14,MIN(1+_xlfn.IFNA(MATCH(F1973,'Default Prob'!$F$5:$F$14,1),0),COUNT('Default Prob'!$P$5:$P$14)))</f>
        <v>4.1094539438249027E-2</v>
      </c>
      <c r="H1973" s="5">
        <f t="shared" si="401"/>
        <v>0.82266938754633123</v>
      </c>
      <c r="I1973" s="24">
        <f t="shared" si="402"/>
        <v>9.2564329910338472E-5</v>
      </c>
      <c r="J1973" s="25">
        <f>INDEX('Default Prob'!$C$3:$C$13, _xlfn.IFNA(MATCH(F1973, 'Default Prob'!$B$3:$B$13, 1), 1))</f>
        <v>2.29E-2</v>
      </c>
      <c r="K1973" s="26">
        <f t="shared" si="393"/>
        <v>0.84337157627692583</v>
      </c>
      <c r="L1973" s="27">
        <f t="shared" ca="1" si="394"/>
        <v>0</v>
      </c>
      <c r="M1973" s="27">
        <f t="shared" ca="1" si="395"/>
        <v>0</v>
      </c>
      <c r="N1973" s="28">
        <f t="shared" ca="1" si="396"/>
        <v>0</v>
      </c>
      <c r="O1973" s="29">
        <f t="shared" ca="1" si="397"/>
        <v>0</v>
      </c>
      <c r="P1973" s="30">
        <f t="shared" ca="1" si="398"/>
        <v>0</v>
      </c>
    </row>
    <row r="1974" spans="1:16" x14ac:dyDescent="0.25">
      <c r="A1974" s="3">
        <f t="shared" si="399"/>
        <v>48876</v>
      </c>
      <c r="B1974" s="21">
        <f t="shared" si="390"/>
        <v>36823</v>
      </c>
      <c r="C1974" s="21">
        <f t="shared" si="391"/>
        <v>36880</v>
      </c>
      <c r="D1974" s="1">
        <f t="shared" si="400"/>
        <v>0</v>
      </c>
      <c r="E1974" s="3">
        <f t="array" ref="E1974">INDEX($A$9:A1973, MAX(IF($D$9:D1973=1, ROW(D$9:$D1973)-ROW($D$9)+1, 0)))</f>
        <v>48842</v>
      </c>
      <c r="F1974" s="23">
        <f t="shared" si="392"/>
        <v>7.5318275154004111</v>
      </c>
      <c r="G1974" s="5">
        <f>INDEX('Default Prob'!$P$5:$P$14,MIN(1+_xlfn.IFNA(MATCH(F1974,'Default Prob'!$F$5:$F$14,1),0),COUNT('Default Prob'!$P$5:$P$14)))</f>
        <v>4.1094539438249027E-2</v>
      </c>
      <c r="H1974" s="5">
        <f t="shared" si="401"/>
        <v>0.82239175703527367</v>
      </c>
      <c r="I1974" s="24">
        <f t="shared" si="402"/>
        <v>2.7763051105755832E-4</v>
      </c>
      <c r="J1974" s="25">
        <f>INDEX('Default Prob'!$C$3:$C$13, _xlfn.IFNA(MATCH(F1974, 'Default Prob'!$B$3:$B$13, 1), 1))</f>
        <v>2.29E-2</v>
      </c>
      <c r="K1974" s="26">
        <f t="shared" si="393"/>
        <v>0.84321474985836753</v>
      </c>
      <c r="L1974" s="27">
        <f t="shared" ca="1" si="394"/>
        <v>0</v>
      </c>
      <c r="M1974" s="27">
        <f t="shared" ca="1" si="395"/>
        <v>0</v>
      </c>
      <c r="N1974" s="28">
        <f t="shared" ca="1" si="396"/>
        <v>0</v>
      </c>
      <c r="O1974" s="29">
        <f t="shared" ca="1" si="397"/>
        <v>0</v>
      </c>
      <c r="P1974" s="30">
        <f t="shared" ca="1" si="398"/>
        <v>0</v>
      </c>
    </row>
    <row r="1975" spans="1:16" x14ac:dyDescent="0.25">
      <c r="A1975" s="3">
        <f t="shared" si="399"/>
        <v>48877</v>
      </c>
      <c r="B1975" s="21">
        <f t="shared" si="390"/>
        <v>36824</v>
      </c>
      <c r="C1975" s="21">
        <f t="shared" si="391"/>
        <v>36880</v>
      </c>
      <c r="D1975" s="1">
        <f t="shared" si="400"/>
        <v>0</v>
      </c>
      <c r="E1975" s="3">
        <f t="array" ref="E1975">INDEX($A$9:A1974, MAX(IF($D$9:D1974=1, ROW(D$9:$D1974)-ROW($D$9)+1, 0)))</f>
        <v>48842</v>
      </c>
      <c r="F1975" s="23">
        <f t="shared" si="392"/>
        <v>7.5345653661875431</v>
      </c>
      <c r="G1975" s="5">
        <f>INDEX('Default Prob'!$P$5:$P$14,MIN(1+_xlfn.IFNA(MATCH(F1975,'Default Prob'!$F$5:$F$14,1),0),COUNT('Default Prob'!$P$5:$P$14)))</f>
        <v>4.1094539438249027E-2</v>
      </c>
      <c r="H1975" s="5">
        <f t="shared" si="401"/>
        <v>0.82229923435390739</v>
      </c>
      <c r="I1975" s="24">
        <f t="shared" si="402"/>
        <v>9.2522681366280501E-5</v>
      </c>
      <c r="J1975" s="25">
        <f>INDEX('Default Prob'!$C$3:$C$13, _xlfn.IFNA(MATCH(F1975, 'Default Prob'!$B$3:$B$13, 1), 1))</f>
        <v>2.29E-2</v>
      </c>
      <c r="K1975" s="26">
        <f t="shared" si="393"/>
        <v>0.84316248086625967</v>
      </c>
      <c r="L1975" s="27">
        <f t="shared" ca="1" si="394"/>
        <v>0</v>
      </c>
      <c r="M1975" s="27">
        <f t="shared" ca="1" si="395"/>
        <v>0</v>
      </c>
      <c r="N1975" s="28">
        <f t="shared" ca="1" si="396"/>
        <v>0</v>
      </c>
      <c r="O1975" s="29">
        <f t="shared" ca="1" si="397"/>
        <v>0</v>
      </c>
      <c r="P1975" s="30">
        <f t="shared" ca="1" si="398"/>
        <v>0</v>
      </c>
    </row>
    <row r="1976" spans="1:16" x14ac:dyDescent="0.25">
      <c r="A1976" s="3">
        <f t="shared" si="399"/>
        <v>48878</v>
      </c>
      <c r="B1976" s="21">
        <f t="shared" si="390"/>
        <v>36825</v>
      </c>
      <c r="C1976" s="21">
        <f t="shared" si="391"/>
        <v>36880</v>
      </c>
      <c r="D1976" s="1">
        <f t="shared" si="400"/>
        <v>0</v>
      </c>
      <c r="E1976" s="3">
        <f t="array" ref="E1976">INDEX($A$9:A1975, MAX(IF($D$9:D1975=1, ROW(D$9:$D1975)-ROW($D$9)+1, 0)))</f>
        <v>48842</v>
      </c>
      <c r="F1976" s="23">
        <f t="shared" si="392"/>
        <v>7.5373032169746752</v>
      </c>
      <c r="G1976" s="5">
        <f>INDEX('Default Prob'!$P$5:$P$14,MIN(1+_xlfn.IFNA(MATCH(F1976,'Default Prob'!$F$5:$F$14,1),0),COUNT('Default Prob'!$P$5:$P$14)))</f>
        <v>4.1094539438249027E-2</v>
      </c>
      <c r="H1976" s="5">
        <f t="shared" si="401"/>
        <v>0.82220672208174883</v>
      </c>
      <c r="I1976" s="24">
        <f t="shared" si="402"/>
        <v>9.2512272158562503E-5</v>
      </c>
      <c r="J1976" s="25">
        <f>INDEX('Default Prob'!$C$3:$C$13, _xlfn.IFNA(MATCH(F1976, 'Default Prob'!$B$3:$B$13, 1), 1))</f>
        <v>2.29E-2</v>
      </c>
      <c r="K1976" s="26">
        <f t="shared" si="393"/>
        <v>0.84311021511418938</v>
      </c>
      <c r="L1976" s="27">
        <f t="shared" ca="1" si="394"/>
        <v>0</v>
      </c>
      <c r="M1976" s="27">
        <f t="shared" ca="1" si="395"/>
        <v>0</v>
      </c>
      <c r="N1976" s="28">
        <f t="shared" ca="1" si="396"/>
        <v>0</v>
      </c>
      <c r="O1976" s="29">
        <f t="shared" ca="1" si="397"/>
        <v>0</v>
      </c>
      <c r="P1976" s="30">
        <f t="shared" ca="1" si="398"/>
        <v>0</v>
      </c>
    </row>
    <row r="1977" spans="1:16" x14ac:dyDescent="0.25">
      <c r="A1977" s="3">
        <f t="shared" si="399"/>
        <v>48879</v>
      </c>
      <c r="B1977" s="21">
        <f t="shared" si="390"/>
        <v>36826</v>
      </c>
      <c r="C1977" s="21">
        <f t="shared" si="391"/>
        <v>36880</v>
      </c>
      <c r="D1977" s="1">
        <f t="shared" si="400"/>
        <v>0</v>
      </c>
      <c r="E1977" s="3">
        <f t="array" ref="E1977">INDEX($A$9:A1976, MAX(IF($D$9:D1976=1, ROW(D$9:$D1976)-ROW($D$9)+1, 0)))</f>
        <v>48842</v>
      </c>
      <c r="F1977" s="23">
        <f t="shared" si="392"/>
        <v>7.5400410677618073</v>
      </c>
      <c r="G1977" s="5">
        <f>INDEX('Default Prob'!$P$5:$P$14,MIN(1+_xlfn.IFNA(MATCH(F1977,'Default Prob'!$F$5:$F$14,1),0),COUNT('Default Prob'!$P$5:$P$14)))</f>
        <v>4.1094539438249027E-2</v>
      </c>
      <c r="H1977" s="5">
        <f t="shared" si="401"/>
        <v>0.82211422021762681</v>
      </c>
      <c r="I1977" s="24">
        <f t="shared" si="402"/>
        <v>9.2501864122018773E-5</v>
      </c>
      <c r="J1977" s="25">
        <f>INDEX('Default Prob'!$C$3:$C$13, _xlfn.IFNA(MATCH(F1977, 'Default Prob'!$B$3:$B$13, 1), 1))</f>
        <v>2.29E-2</v>
      </c>
      <c r="K1977" s="26">
        <f t="shared" si="393"/>
        <v>0.84305795260195582</v>
      </c>
      <c r="L1977" s="27">
        <f t="shared" ca="1" si="394"/>
        <v>0</v>
      </c>
      <c r="M1977" s="27">
        <f t="shared" ca="1" si="395"/>
        <v>0</v>
      </c>
      <c r="N1977" s="28">
        <f t="shared" ca="1" si="396"/>
        <v>0</v>
      </c>
      <c r="O1977" s="29">
        <f t="shared" ca="1" si="397"/>
        <v>0</v>
      </c>
      <c r="P1977" s="30">
        <f t="shared" ca="1" si="398"/>
        <v>0</v>
      </c>
    </row>
    <row r="1978" spans="1:16" x14ac:dyDescent="0.25">
      <c r="A1978" s="3">
        <f t="shared" si="399"/>
        <v>48880</v>
      </c>
      <c r="B1978" s="21">
        <f t="shared" si="390"/>
        <v>36827</v>
      </c>
      <c r="C1978" s="21">
        <f t="shared" si="391"/>
        <v>36880</v>
      </c>
      <c r="D1978" s="1">
        <f t="shared" si="400"/>
        <v>0</v>
      </c>
      <c r="E1978" s="3">
        <f t="array" ref="E1978">INDEX($A$9:A1977, MAX(IF($D$9:D1977=1, ROW(D$9:$D1977)-ROW($D$9)+1, 0)))</f>
        <v>48842</v>
      </c>
      <c r="F1978" s="23">
        <f t="shared" si="392"/>
        <v>7.5427789185489393</v>
      </c>
      <c r="G1978" s="5">
        <f>INDEX('Default Prob'!$P$5:$P$14,MIN(1+_xlfn.IFNA(MATCH(F1978,'Default Prob'!$F$5:$F$14,1),0),COUNT('Default Prob'!$P$5:$P$14)))</f>
        <v>4.1094539438249027E-2</v>
      </c>
      <c r="H1978" s="5">
        <f t="shared" si="401"/>
        <v>0.82202172876037038</v>
      </c>
      <c r="I1978" s="24">
        <f t="shared" si="402"/>
        <v>9.2491457256427267E-5</v>
      </c>
      <c r="J1978" s="25">
        <f>INDEX('Default Prob'!$C$3:$C$13, _xlfn.IFNA(MATCH(F1978, 'Default Prob'!$B$3:$B$13, 1), 1))</f>
        <v>2.29E-2</v>
      </c>
      <c r="K1978" s="26">
        <f t="shared" si="393"/>
        <v>0.84300569332935837</v>
      </c>
      <c r="L1978" s="27">
        <f t="shared" ca="1" si="394"/>
        <v>0</v>
      </c>
      <c r="M1978" s="27">
        <f t="shared" ca="1" si="395"/>
        <v>0</v>
      </c>
      <c r="N1978" s="28">
        <f t="shared" ca="1" si="396"/>
        <v>0</v>
      </c>
      <c r="O1978" s="29">
        <f t="shared" ca="1" si="397"/>
        <v>0</v>
      </c>
      <c r="P1978" s="30">
        <f t="shared" ca="1" si="398"/>
        <v>0</v>
      </c>
    </row>
    <row r="1979" spans="1:16" x14ac:dyDescent="0.25">
      <c r="A1979" s="3">
        <f t="shared" si="399"/>
        <v>48883</v>
      </c>
      <c r="B1979" s="21">
        <f t="shared" si="390"/>
        <v>36830</v>
      </c>
      <c r="C1979" s="21">
        <f t="shared" si="391"/>
        <v>36880</v>
      </c>
      <c r="D1979" s="1">
        <f t="shared" si="400"/>
        <v>0</v>
      </c>
      <c r="E1979" s="3">
        <f t="array" ref="E1979">INDEX($A$9:A1978, MAX(IF($D$9:D1978=1, ROW(D$9:$D1978)-ROW($D$9)+1, 0)))</f>
        <v>48842</v>
      </c>
      <c r="F1979" s="23">
        <f t="shared" si="392"/>
        <v>7.5509924709103355</v>
      </c>
      <c r="G1979" s="5">
        <f>INDEX('Default Prob'!$P$5:$P$14,MIN(1+_xlfn.IFNA(MATCH(F1979,'Default Prob'!$F$5:$F$14,1),0),COUNT('Default Prob'!$P$5:$P$14)))</f>
        <v>4.1094539438249027E-2</v>
      </c>
      <c r="H1979" s="5">
        <f t="shared" si="401"/>
        <v>0.82174431681808724</v>
      </c>
      <c r="I1979" s="24">
        <f t="shared" si="402"/>
        <v>2.7741194228314559E-4</v>
      </c>
      <c r="J1979" s="25">
        <f>INDEX('Default Prob'!$C$3:$C$13, _xlfn.IFNA(MATCH(F1979, 'Default Prob'!$B$3:$B$13, 1), 1))</f>
        <v>2.29E-2</v>
      </c>
      <c r="K1979" s="26">
        <f t="shared" si="393"/>
        <v>0.84284893494737367</v>
      </c>
      <c r="L1979" s="27">
        <f t="shared" ca="1" si="394"/>
        <v>0</v>
      </c>
      <c r="M1979" s="27">
        <f t="shared" ca="1" si="395"/>
        <v>0</v>
      </c>
      <c r="N1979" s="28">
        <f t="shared" ca="1" si="396"/>
        <v>0</v>
      </c>
      <c r="O1979" s="29">
        <f t="shared" ca="1" si="397"/>
        <v>0</v>
      </c>
      <c r="P1979" s="30">
        <f t="shared" ca="1" si="398"/>
        <v>0</v>
      </c>
    </row>
    <row r="1980" spans="1:16" x14ac:dyDescent="0.25">
      <c r="A1980" s="3">
        <f t="shared" si="399"/>
        <v>48884</v>
      </c>
      <c r="B1980" s="21">
        <f t="shared" si="390"/>
        <v>36831</v>
      </c>
      <c r="C1980" s="21">
        <f t="shared" si="391"/>
        <v>36880</v>
      </c>
      <c r="D1980" s="1">
        <f t="shared" si="400"/>
        <v>0</v>
      </c>
      <c r="E1980" s="3">
        <f t="array" ref="E1980">INDEX($A$9:A1979, MAX(IF($D$9:D1979=1, ROW(D$9:$D1979)-ROW($D$9)+1, 0)))</f>
        <v>48842</v>
      </c>
      <c r="F1980" s="23">
        <f t="shared" si="392"/>
        <v>7.5537303216974676</v>
      </c>
      <c r="G1980" s="5">
        <f>INDEX('Default Prob'!$P$5:$P$14,MIN(1+_xlfn.IFNA(MATCH(F1980,'Default Prob'!$F$5:$F$14,1),0),COUNT('Default Prob'!$P$5:$P$14)))</f>
        <v>4.1094539438249027E-2</v>
      </c>
      <c r="H1980" s="5">
        <f t="shared" si="401"/>
        <v>0.82165186697658643</v>
      </c>
      <c r="I1980" s="24">
        <f t="shared" si="402"/>
        <v>9.2449841500807928E-5</v>
      </c>
      <c r="J1980" s="25">
        <f>INDEX('Default Prob'!$C$3:$C$13, _xlfn.IFNA(MATCH(F1980, 'Default Prob'!$B$3:$B$13, 1), 1))</f>
        <v>2.29E-2</v>
      </c>
      <c r="K1980" s="26">
        <f t="shared" si="393"/>
        <v>0.84279668863131207</v>
      </c>
      <c r="L1980" s="27">
        <f t="shared" ca="1" si="394"/>
        <v>0</v>
      </c>
      <c r="M1980" s="27">
        <f t="shared" ca="1" si="395"/>
        <v>0</v>
      </c>
      <c r="N1980" s="28">
        <f t="shared" ca="1" si="396"/>
        <v>0</v>
      </c>
      <c r="O1980" s="29">
        <f t="shared" ca="1" si="397"/>
        <v>0</v>
      </c>
      <c r="P1980" s="30">
        <f t="shared" ca="1" si="398"/>
        <v>0</v>
      </c>
    </row>
    <row r="1981" spans="1:16" x14ac:dyDescent="0.25">
      <c r="A1981" s="3">
        <f t="shared" si="399"/>
        <v>48885</v>
      </c>
      <c r="B1981" s="21">
        <f t="shared" si="390"/>
        <v>36832</v>
      </c>
      <c r="C1981" s="21">
        <f t="shared" si="391"/>
        <v>36880</v>
      </c>
      <c r="D1981" s="1">
        <f t="shared" si="400"/>
        <v>0</v>
      </c>
      <c r="E1981" s="3">
        <f t="array" ref="E1981">INDEX($A$9:A1980, MAX(IF($D$9:D1980=1, ROW(D$9:$D1980)-ROW($D$9)+1, 0)))</f>
        <v>48842</v>
      </c>
      <c r="F1981" s="23">
        <f t="shared" si="392"/>
        <v>7.5564681724845997</v>
      </c>
      <c r="G1981" s="5">
        <f>INDEX('Default Prob'!$P$5:$P$14,MIN(1+_xlfn.IFNA(MATCH(F1981,'Default Prob'!$F$5:$F$14,1),0),COUNT('Default Prob'!$P$5:$P$14)))</f>
        <v>4.1094539438249027E-2</v>
      </c>
      <c r="H1981" s="5">
        <f t="shared" si="401"/>
        <v>0.82155942753609845</v>
      </c>
      <c r="I1981" s="24">
        <f t="shared" si="402"/>
        <v>9.2439440487979141E-5</v>
      </c>
      <c r="J1981" s="25">
        <f>INDEX('Default Prob'!$C$3:$C$13, _xlfn.IFNA(MATCH(F1981, 'Default Prob'!$B$3:$B$13, 1), 1))</f>
        <v>2.29E-2</v>
      </c>
      <c r="K1981" s="26">
        <f t="shared" si="393"/>
        <v>0.84274444555388228</v>
      </c>
      <c r="L1981" s="27">
        <f t="shared" ca="1" si="394"/>
        <v>0</v>
      </c>
      <c r="M1981" s="27">
        <f t="shared" ca="1" si="395"/>
        <v>0</v>
      </c>
      <c r="N1981" s="28">
        <f t="shared" ca="1" si="396"/>
        <v>0</v>
      </c>
      <c r="O1981" s="29">
        <f t="shared" ca="1" si="397"/>
        <v>0</v>
      </c>
      <c r="P1981" s="30">
        <f t="shared" ca="1" si="398"/>
        <v>0</v>
      </c>
    </row>
    <row r="1982" spans="1:16" x14ac:dyDescent="0.25">
      <c r="A1982" s="3">
        <f t="shared" si="399"/>
        <v>48886</v>
      </c>
      <c r="B1982" s="21">
        <f t="shared" si="390"/>
        <v>36833</v>
      </c>
      <c r="C1982" s="21">
        <f t="shared" si="391"/>
        <v>36880</v>
      </c>
      <c r="D1982" s="1">
        <f t="shared" si="400"/>
        <v>0</v>
      </c>
      <c r="E1982" s="3">
        <f t="array" ref="E1982">INDEX($A$9:A1981, MAX(IF($D$9:D1981=1, ROW(D$9:$D1981)-ROW($D$9)+1, 0)))</f>
        <v>48842</v>
      </c>
      <c r="F1982" s="23">
        <f t="shared" si="392"/>
        <v>7.5592060232717317</v>
      </c>
      <c r="G1982" s="5">
        <f>INDEX('Default Prob'!$P$5:$P$14,MIN(1+_xlfn.IFNA(MATCH(F1982,'Default Prob'!$F$5:$F$14,1),0),COUNT('Default Prob'!$P$5:$P$14)))</f>
        <v>4.1094539438249027E-2</v>
      </c>
      <c r="H1982" s="5">
        <f t="shared" si="401"/>
        <v>0.82146699849545313</v>
      </c>
      <c r="I1982" s="24">
        <f t="shared" si="402"/>
        <v>9.2429040645325422E-5</v>
      </c>
      <c r="J1982" s="25">
        <f>INDEX('Default Prob'!$C$3:$C$13, _xlfn.IFNA(MATCH(F1982, 'Default Prob'!$B$3:$B$13, 1), 1))</f>
        <v>2.29E-2</v>
      </c>
      <c r="K1982" s="26">
        <f t="shared" si="393"/>
        <v>0.8426922057148839</v>
      </c>
      <c r="L1982" s="27">
        <f t="shared" ca="1" si="394"/>
        <v>0</v>
      </c>
      <c r="M1982" s="27">
        <f t="shared" ca="1" si="395"/>
        <v>0</v>
      </c>
      <c r="N1982" s="28">
        <f t="shared" ca="1" si="396"/>
        <v>0</v>
      </c>
      <c r="O1982" s="29">
        <f t="shared" ca="1" si="397"/>
        <v>0</v>
      </c>
      <c r="P1982" s="30">
        <f t="shared" ca="1" si="398"/>
        <v>0</v>
      </c>
    </row>
    <row r="1983" spans="1:16" x14ac:dyDescent="0.25">
      <c r="A1983" s="3">
        <f t="shared" si="399"/>
        <v>48887</v>
      </c>
      <c r="B1983" s="21">
        <f t="shared" si="390"/>
        <v>36834</v>
      </c>
      <c r="C1983" s="21">
        <f t="shared" si="391"/>
        <v>36880</v>
      </c>
      <c r="D1983" s="1">
        <f t="shared" si="400"/>
        <v>0</v>
      </c>
      <c r="E1983" s="3">
        <f t="array" ref="E1983">INDEX($A$9:A1982, MAX(IF($D$9:D1982=1, ROW(D$9:$D1982)-ROW($D$9)+1, 0)))</f>
        <v>48842</v>
      </c>
      <c r="F1983" s="23">
        <f t="shared" si="392"/>
        <v>7.5619438740588638</v>
      </c>
      <c r="G1983" s="5">
        <f>INDEX('Default Prob'!$P$5:$P$14,MIN(1+_xlfn.IFNA(MATCH(F1983,'Default Prob'!$F$5:$F$14,1),0),COUNT('Default Prob'!$P$5:$P$14)))</f>
        <v>4.1094539438249027E-2</v>
      </c>
      <c r="H1983" s="5">
        <f t="shared" si="401"/>
        <v>0.8213745798534805</v>
      </c>
      <c r="I1983" s="24">
        <f t="shared" si="402"/>
        <v>9.2418641972624727E-5</v>
      </c>
      <c r="J1983" s="25">
        <f>INDEX('Default Prob'!$C$3:$C$13, _xlfn.IFNA(MATCH(F1983, 'Default Prob'!$B$3:$B$13, 1), 1))</f>
        <v>2.29E-2</v>
      </c>
      <c r="K1983" s="26">
        <f t="shared" si="393"/>
        <v>0.84263996911411609</v>
      </c>
      <c r="L1983" s="27">
        <f t="shared" ca="1" si="394"/>
        <v>0</v>
      </c>
      <c r="M1983" s="27">
        <f t="shared" ca="1" si="395"/>
        <v>0</v>
      </c>
      <c r="N1983" s="28">
        <f t="shared" ca="1" si="396"/>
        <v>0</v>
      </c>
      <c r="O1983" s="29">
        <f t="shared" ca="1" si="397"/>
        <v>0</v>
      </c>
      <c r="P1983" s="30">
        <f t="shared" ca="1" si="398"/>
        <v>0</v>
      </c>
    </row>
    <row r="1984" spans="1:16" x14ac:dyDescent="0.25">
      <c r="A1984" s="3">
        <f t="shared" si="399"/>
        <v>48890</v>
      </c>
      <c r="B1984" s="21">
        <f t="shared" si="390"/>
        <v>36837</v>
      </c>
      <c r="C1984" s="21">
        <f t="shared" si="391"/>
        <v>36880</v>
      </c>
      <c r="D1984" s="1">
        <f t="shared" si="400"/>
        <v>0</v>
      </c>
      <c r="E1984" s="3">
        <f t="array" ref="E1984">INDEX($A$9:A1983, MAX(IF($D$9:D1983=1, ROW(D$9:$D1983)-ROW($D$9)+1, 0)))</f>
        <v>48842</v>
      </c>
      <c r="F1984" s="23">
        <f t="shared" si="392"/>
        <v>7.57015742642026</v>
      </c>
      <c r="G1984" s="5">
        <f>INDEX('Default Prob'!$P$5:$P$14,MIN(1+_xlfn.IFNA(MATCH(F1984,'Default Prob'!$F$5:$F$14,1),0),COUNT('Default Prob'!$P$5:$P$14)))</f>
        <v>4.1094539438249027E-2</v>
      </c>
      <c r="H1984" s="5">
        <f t="shared" si="401"/>
        <v>0.82109738630790008</v>
      </c>
      <c r="I1984" s="24">
        <f t="shared" si="402"/>
        <v>2.7719354558042308E-4</v>
      </c>
      <c r="J1984" s="25">
        <f>INDEX('Default Prob'!$C$3:$C$13, _xlfn.IFNA(MATCH(F1984, 'Default Prob'!$B$3:$B$13, 1), 1))</f>
        <v>2.29E-2</v>
      </c>
      <c r="K1984" s="26">
        <f t="shared" si="393"/>
        <v>0.84248327873918838</v>
      </c>
      <c r="L1984" s="27">
        <f t="shared" ca="1" si="394"/>
        <v>0</v>
      </c>
      <c r="M1984" s="27">
        <f t="shared" ca="1" si="395"/>
        <v>0</v>
      </c>
      <c r="N1984" s="28">
        <f t="shared" ca="1" si="396"/>
        <v>0</v>
      </c>
      <c r="O1984" s="29">
        <f t="shared" ca="1" si="397"/>
        <v>0</v>
      </c>
      <c r="P1984" s="30">
        <f t="shared" ca="1" si="398"/>
        <v>0</v>
      </c>
    </row>
    <row r="1985" spans="1:16" x14ac:dyDescent="0.25">
      <c r="A1985" s="3">
        <f t="shared" si="399"/>
        <v>48891</v>
      </c>
      <c r="B1985" s="21">
        <f t="shared" si="390"/>
        <v>36838</v>
      </c>
      <c r="C1985" s="21">
        <f t="shared" si="391"/>
        <v>36880</v>
      </c>
      <c r="D1985" s="1">
        <f t="shared" si="400"/>
        <v>0</v>
      </c>
      <c r="E1985" s="3">
        <f t="array" ref="E1985">INDEX($A$9:A1984, MAX(IF($D$9:D1984=1, ROW(D$9:$D1984)-ROW($D$9)+1, 0)))</f>
        <v>48842</v>
      </c>
      <c r="F1985" s="23">
        <f t="shared" si="392"/>
        <v>7.5728952772073921</v>
      </c>
      <c r="G1985" s="5">
        <f>INDEX('Default Prob'!$P$5:$P$14,MIN(1+_xlfn.IFNA(MATCH(F1985,'Default Prob'!$F$5:$F$14,1),0),COUNT('Default Prob'!$P$5:$P$14)))</f>
        <v>4.1094539438249027E-2</v>
      </c>
      <c r="H1985" s="5">
        <f t="shared" si="401"/>
        <v>0.82100500924892039</v>
      </c>
      <c r="I1985" s="24">
        <f t="shared" si="402"/>
        <v>9.2377058979686844E-5</v>
      </c>
      <c r="J1985" s="25">
        <f>INDEX('Default Prob'!$C$3:$C$13, _xlfn.IFNA(MATCH(F1985, 'Default Prob'!$B$3:$B$13, 1), 1))</f>
        <v>2.29E-2</v>
      </c>
      <c r="K1985" s="26">
        <f t="shared" si="393"/>
        <v>0.84243105508933547</v>
      </c>
      <c r="L1985" s="27">
        <f t="shared" ca="1" si="394"/>
        <v>0</v>
      </c>
      <c r="M1985" s="27">
        <f t="shared" ca="1" si="395"/>
        <v>0</v>
      </c>
      <c r="N1985" s="28">
        <f t="shared" ca="1" si="396"/>
        <v>0</v>
      </c>
      <c r="O1985" s="29">
        <f t="shared" ca="1" si="397"/>
        <v>0</v>
      </c>
      <c r="P1985" s="30">
        <f t="shared" ca="1" si="398"/>
        <v>0</v>
      </c>
    </row>
    <row r="1986" spans="1:16" x14ac:dyDescent="0.25">
      <c r="A1986" s="3">
        <f t="shared" si="399"/>
        <v>48892</v>
      </c>
      <c r="B1986" s="21">
        <f t="shared" si="390"/>
        <v>36839</v>
      </c>
      <c r="C1986" s="21">
        <f t="shared" si="391"/>
        <v>36880</v>
      </c>
      <c r="D1986" s="1">
        <f t="shared" si="400"/>
        <v>0</v>
      </c>
      <c r="E1986" s="3">
        <f t="array" ref="E1986">INDEX($A$9:A1985, MAX(IF($D$9:D1985=1, ROW(D$9:$D1985)-ROW($D$9)+1, 0)))</f>
        <v>48842</v>
      </c>
      <c r="F1986" s="23">
        <f t="shared" si="392"/>
        <v>7.5756331279945242</v>
      </c>
      <c r="G1986" s="5">
        <f>INDEX('Default Prob'!$P$5:$P$14,MIN(1+_xlfn.IFNA(MATCH(F1986,'Default Prob'!$F$5:$F$14,1),0),COUNT('Default Prob'!$P$5:$P$14)))</f>
        <v>4.1094539438249027E-2</v>
      </c>
      <c r="H1986" s="5">
        <f t="shared" si="401"/>
        <v>0.8209126425827652</v>
      </c>
      <c r="I1986" s="24">
        <f t="shared" si="402"/>
        <v>9.2366666155196953E-5</v>
      </c>
      <c r="J1986" s="25">
        <f>INDEX('Default Prob'!$C$3:$C$13, _xlfn.IFNA(MATCH(F1986, 'Default Prob'!$B$3:$B$13, 1), 1))</f>
        <v>2.29E-2</v>
      </c>
      <c r="K1986" s="26">
        <f t="shared" si="393"/>
        <v>0.84237883467670938</v>
      </c>
      <c r="L1986" s="27">
        <f t="shared" ca="1" si="394"/>
        <v>0</v>
      </c>
      <c r="M1986" s="27">
        <f t="shared" ca="1" si="395"/>
        <v>0</v>
      </c>
      <c r="N1986" s="28">
        <f t="shared" ca="1" si="396"/>
        <v>0</v>
      </c>
      <c r="O1986" s="29">
        <f t="shared" ca="1" si="397"/>
        <v>0</v>
      </c>
      <c r="P1986" s="30">
        <f t="shared" ca="1" si="398"/>
        <v>0</v>
      </c>
    </row>
    <row r="1987" spans="1:16" x14ac:dyDescent="0.25">
      <c r="A1987" s="3">
        <f t="shared" si="399"/>
        <v>48893</v>
      </c>
      <c r="B1987" s="21">
        <f t="shared" si="390"/>
        <v>36840</v>
      </c>
      <c r="C1987" s="21">
        <f t="shared" si="391"/>
        <v>36880</v>
      </c>
      <c r="D1987" s="1">
        <f t="shared" si="400"/>
        <v>0</v>
      </c>
      <c r="E1987" s="3">
        <f t="array" ref="E1987">INDEX($A$9:A1986, MAX(IF($D$9:D1986=1, ROW(D$9:$D1986)-ROW($D$9)+1, 0)))</f>
        <v>48842</v>
      </c>
      <c r="F1987" s="23">
        <f t="shared" si="392"/>
        <v>7.5783709787816562</v>
      </c>
      <c r="G1987" s="5">
        <f>INDEX('Default Prob'!$P$5:$P$14,MIN(1+_xlfn.IFNA(MATCH(F1987,'Default Prob'!$F$5:$F$14,1),0),COUNT('Default Prob'!$P$5:$P$14)))</f>
        <v>4.1094539438249027E-2</v>
      </c>
      <c r="H1987" s="5">
        <f t="shared" si="401"/>
        <v>0.82082028630826531</v>
      </c>
      <c r="I1987" s="24">
        <f t="shared" si="402"/>
        <v>9.2356274499882929E-5</v>
      </c>
      <c r="J1987" s="25">
        <f>INDEX('Default Prob'!$C$3:$C$13, _xlfn.IFNA(MATCH(F1987, 'Default Prob'!$B$3:$B$13, 1), 1))</f>
        <v>2.29E-2</v>
      </c>
      <c r="K1987" s="26">
        <f t="shared" si="393"/>
        <v>0.84232661750110971</v>
      </c>
      <c r="L1987" s="27">
        <f t="shared" ca="1" si="394"/>
        <v>0</v>
      </c>
      <c r="M1987" s="27">
        <f t="shared" ca="1" si="395"/>
        <v>0</v>
      </c>
      <c r="N1987" s="28">
        <f t="shared" ca="1" si="396"/>
        <v>0</v>
      </c>
      <c r="O1987" s="29">
        <f t="shared" ca="1" si="397"/>
        <v>0</v>
      </c>
      <c r="P1987" s="30">
        <f t="shared" ca="1" si="398"/>
        <v>0</v>
      </c>
    </row>
    <row r="1988" spans="1:16" x14ac:dyDescent="0.25">
      <c r="A1988" s="3">
        <f t="shared" si="399"/>
        <v>48894</v>
      </c>
      <c r="B1988" s="21">
        <f t="shared" si="390"/>
        <v>36841</v>
      </c>
      <c r="C1988" s="21">
        <f t="shared" si="391"/>
        <v>36880</v>
      </c>
      <c r="D1988" s="1">
        <f t="shared" si="400"/>
        <v>0</v>
      </c>
      <c r="E1988" s="3">
        <f t="array" ref="E1988">INDEX($A$9:A1987, MAX(IF($D$9:D1987=1, ROW(D$9:$D1987)-ROW($D$9)+1, 0)))</f>
        <v>48842</v>
      </c>
      <c r="F1988" s="23">
        <f t="shared" si="392"/>
        <v>7.5811088295687883</v>
      </c>
      <c r="G1988" s="5">
        <f>INDEX('Default Prob'!$P$5:$P$14,MIN(1+_xlfn.IFNA(MATCH(F1988,'Default Prob'!$F$5:$F$14,1),0),COUNT('Default Prob'!$P$5:$P$14)))</f>
        <v>4.1094539438249027E-2</v>
      </c>
      <c r="H1988" s="5">
        <f t="shared" si="401"/>
        <v>0.82072794042425157</v>
      </c>
      <c r="I1988" s="24">
        <f t="shared" si="402"/>
        <v>9.2345884013744772E-5</v>
      </c>
      <c r="J1988" s="25">
        <f>INDEX('Default Prob'!$C$3:$C$13, _xlfn.IFNA(MATCH(F1988, 'Default Prob'!$B$3:$B$13, 1), 1))</f>
        <v>2.29E-2</v>
      </c>
      <c r="K1988" s="26">
        <f t="shared" si="393"/>
        <v>0.84227440356233563</v>
      </c>
      <c r="L1988" s="27">
        <f t="shared" ca="1" si="394"/>
        <v>0</v>
      </c>
      <c r="M1988" s="27">
        <f t="shared" ca="1" si="395"/>
        <v>0</v>
      </c>
      <c r="N1988" s="28">
        <f t="shared" ca="1" si="396"/>
        <v>0</v>
      </c>
      <c r="O1988" s="29">
        <f t="shared" ca="1" si="397"/>
        <v>0</v>
      </c>
      <c r="P1988" s="30">
        <f t="shared" ca="1" si="398"/>
        <v>0</v>
      </c>
    </row>
    <row r="1989" spans="1:16" x14ac:dyDescent="0.25">
      <c r="A1989" s="3">
        <f t="shared" si="399"/>
        <v>48897</v>
      </c>
      <c r="B1989" s="21">
        <f t="shared" si="390"/>
        <v>36844</v>
      </c>
      <c r="C1989" s="21">
        <f t="shared" si="391"/>
        <v>36880</v>
      </c>
      <c r="D1989" s="1">
        <f t="shared" si="400"/>
        <v>0</v>
      </c>
      <c r="E1989" s="3">
        <f t="array" ref="E1989">INDEX($A$9:A1988, MAX(IF($D$9:D1988=1, ROW(D$9:$D1988)-ROW($D$9)+1, 0)))</f>
        <v>48842</v>
      </c>
      <c r="F1989" s="23">
        <f t="shared" si="392"/>
        <v>7.5893223819301845</v>
      </c>
      <c r="G1989" s="5">
        <f>INDEX('Default Prob'!$P$5:$P$14,MIN(1+_xlfn.IFNA(MATCH(F1989,'Default Prob'!$F$5:$F$14,1),0),COUNT('Default Prob'!$P$5:$P$14)))</f>
        <v>4.1094539438249027E-2</v>
      </c>
      <c r="H1989" s="5">
        <f t="shared" si="401"/>
        <v>0.82045096510343796</v>
      </c>
      <c r="I1989" s="24">
        <f t="shared" si="402"/>
        <v>2.7697532081361054E-4</v>
      </c>
      <c r="J1989" s="25">
        <f>INDEX('Default Prob'!$C$3:$C$13, _xlfn.IFNA(MATCH(F1989, 'Default Prob'!$B$3:$B$13, 1), 1))</f>
        <v>2.29E-2</v>
      </c>
      <c r="K1989" s="26">
        <f t="shared" si="393"/>
        <v>0.84211778116496128</v>
      </c>
      <c r="L1989" s="27">
        <f t="shared" ca="1" si="394"/>
        <v>0</v>
      </c>
      <c r="M1989" s="27">
        <f t="shared" ca="1" si="395"/>
        <v>0</v>
      </c>
      <c r="N1989" s="28">
        <f t="shared" ca="1" si="396"/>
        <v>0</v>
      </c>
      <c r="O1989" s="29">
        <f t="shared" ca="1" si="397"/>
        <v>0</v>
      </c>
      <c r="P1989" s="30">
        <f t="shared" ca="1" si="398"/>
        <v>0</v>
      </c>
    </row>
    <row r="1990" spans="1:16" x14ac:dyDescent="0.25">
      <c r="A1990" s="3">
        <f t="shared" si="399"/>
        <v>48898</v>
      </c>
      <c r="B1990" s="21">
        <f t="shared" si="390"/>
        <v>36845</v>
      </c>
      <c r="C1990" s="21">
        <f t="shared" si="391"/>
        <v>36880</v>
      </c>
      <c r="D1990" s="1">
        <f t="shared" si="400"/>
        <v>0</v>
      </c>
      <c r="E1990" s="3">
        <f t="array" ref="E1990">INDEX($A$9:A1989, MAX(IF($D$9:D1989=1, ROW(D$9:$D1989)-ROW($D$9)+1, 0)))</f>
        <v>48842</v>
      </c>
      <c r="F1990" s="23">
        <f t="shared" si="392"/>
        <v>7.5920602327173166</v>
      </c>
      <c r="G1990" s="5">
        <f>INDEX('Default Prob'!$P$5:$P$14,MIN(1+_xlfn.IFNA(MATCH(F1990,'Default Prob'!$F$5:$F$14,1),0),COUNT('Default Prob'!$P$5:$P$14)))</f>
        <v>4.1094539438249027E-2</v>
      </c>
      <c r="H1990" s="5">
        <f t="shared" si="401"/>
        <v>0.82035866076968034</v>
      </c>
      <c r="I1990" s="24">
        <f t="shared" si="402"/>
        <v>9.2304333757620149E-5</v>
      </c>
      <c r="J1990" s="25">
        <f>INDEX('Default Prob'!$C$3:$C$13, _xlfn.IFNA(MATCH(F1990, 'Default Prob'!$B$3:$B$13, 1), 1))</f>
        <v>2.29E-2</v>
      </c>
      <c r="K1990" s="26">
        <f t="shared" si="393"/>
        <v>0.84206558017148347</v>
      </c>
      <c r="L1990" s="27">
        <f t="shared" ca="1" si="394"/>
        <v>0</v>
      </c>
      <c r="M1990" s="27">
        <f t="shared" ca="1" si="395"/>
        <v>0</v>
      </c>
      <c r="N1990" s="28">
        <f t="shared" ca="1" si="396"/>
        <v>0</v>
      </c>
      <c r="O1990" s="29">
        <f t="shared" ca="1" si="397"/>
        <v>0</v>
      </c>
      <c r="P1990" s="30">
        <f t="shared" ca="1" si="398"/>
        <v>0</v>
      </c>
    </row>
    <row r="1991" spans="1:16" x14ac:dyDescent="0.25">
      <c r="A1991" s="3">
        <f t="shared" si="399"/>
        <v>48899</v>
      </c>
      <c r="B1991" s="21">
        <f t="shared" si="390"/>
        <v>36846</v>
      </c>
      <c r="C1991" s="21">
        <f t="shared" si="391"/>
        <v>36880</v>
      </c>
      <c r="D1991" s="1">
        <f t="shared" si="400"/>
        <v>0</v>
      </c>
      <c r="E1991" s="3">
        <f t="array" ref="E1991">INDEX($A$9:A1990, MAX(IF($D$9:D1990=1, ROW(D$9:$D1990)-ROW($D$9)+1, 0)))</f>
        <v>48842</v>
      </c>
      <c r="F1991" s="23">
        <f t="shared" si="392"/>
        <v>7.5947980835044486</v>
      </c>
      <c r="G1991" s="5">
        <f>INDEX('Default Prob'!$P$5:$P$14,MIN(1+_xlfn.IFNA(MATCH(F1991,'Default Prob'!$F$5:$F$14,1),0),COUNT('Default Prob'!$P$5:$P$14)))</f>
        <v>4.1094539438249027E-2</v>
      </c>
      <c r="H1991" s="5">
        <f t="shared" si="401"/>
        <v>0.82026636682056531</v>
      </c>
      <c r="I1991" s="24">
        <f t="shared" si="402"/>
        <v>9.2293949115029861E-5</v>
      </c>
      <c r="J1991" s="25">
        <f>INDEX('Default Prob'!$C$3:$C$13, _xlfn.IFNA(MATCH(F1991, 'Default Prob'!$B$3:$B$13, 1), 1))</f>
        <v>2.29E-2</v>
      </c>
      <c r="K1991" s="26">
        <f t="shared" si="393"/>
        <v>0.84201338241382839</v>
      </c>
      <c r="L1991" s="27">
        <f t="shared" ca="1" si="394"/>
        <v>0</v>
      </c>
      <c r="M1991" s="27">
        <f t="shared" ca="1" si="395"/>
        <v>0</v>
      </c>
      <c r="N1991" s="28">
        <f t="shared" ca="1" si="396"/>
        <v>0</v>
      </c>
      <c r="O1991" s="29">
        <f t="shared" ca="1" si="397"/>
        <v>0</v>
      </c>
      <c r="P1991" s="30">
        <f t="shared" ca="1" si="398"/>
        <v>0</v>
      </c>
    </row>
    <row r="1992" spans="1:16" x14ac:dyDescent="0.25">
      <c r="A1992" s="3">
        <f t="shared" si="399"/>
        <v>48900</v>
      </c>
      <c r="B1992" s="21">
        <f t="shared" si="390"/>
        <v>36847</v>
      </c>
      <c r="C1992" s="21">
        <f t="shared" si="391"/>
        <v>36880</v>
      </c>
      <c r="D1992" s="1">
        <f t="shared" si="400"/>
        <v>0</v>
      </c>
      <c r="E1992" s="3">
        <f t="array" ref="E1992">INDEX($A$9:A1991, MAX(IF($D$9:D1991=1, ROW(D$9:$D1991)-ROW($D$9)+1, 0)))</f>
        <v>48842</v>
      </c>
      <c r="F1992" s="23">
        <f t="shared" si="392"/>
        <v>7.5975359342915807</v>
      </c>
      <c r="G1992" s="5">
        <f>INDEX('Default Prob'!$P$5:$P$14,MIN(1+_xlfn.IFNA(MATCH(F1992,'Default Prob'!$F$5:$F$14,1),0),COUNT('Default Prob'!$P$5:$P$14)))</f>
        <v>4.1094539438249027E-2</v>
      </c>
      <c r="H1992" s="5">
        <f t="shared" si="401"/>
        <v>0.82017408325492458</v>
      </c>
      <c r="I1992" s="24">
        <f t="shared" si="402"/>
        <v>9.2283565640727261E-5</v>
      </c>
      <c r="J1992" s="25">
        <f>INDEX('Default Prob'!$C$3:$C$13, _xlfn.IFNA(MATCH(F1992, 'Default Prob'!$B$3:$B$13, 1), 1))</f>
        <v>2.29E-2</v>
      </c>
      <c r="K1992" s="26">
        <f t="shared" si="393"/>
        <v>0.8419611878917953</v>
      </c>
      <c r="L1992" s="27">
        <f t="shared" ca="1" si="394"/>
        <v>0</v>
      </c>
      <c r="M1992" s="27">
        <f t="shared" ca="1" si="395"/>
        <v>0</v>
      </c>
      <c r="N1992" s="28">
        <f t="shared" ca="1" si="396"/>
        <v>0</v>
      </c>
      <c r="O1992" s="29">
        <f t="shared" ca="1" si="397"/>
        <v>0</v>
      </c>
      <c r="P1992" s="30">
        <f t="shared" ca="1" si="398"/>
        <v>0</v>
      </c>
    </row>
    <row r="1993" spans="1:16" x14ac:dyDescent="0.25">
      <c r="A1993" s="3">
        <f t="shared" si="399"/>
        <v>48901</v>
      </c>
      <c r="B1993" s="21">
        <f t="shared" ref="B1993:B2056" si="403">DATE(2000, MONTH(A1993), DAY(A1993))</f>
        <v>36848</v>
      </c>
      <c r="C1993" s="21">
        <f t="shared" ref="C1993:C2056" si="404">VLOOKUP(B1993, $R$9:$S$13, 2)</f>
        <v>36880</v>
      </c>
      <c r="D1993" s="1">
        <f t="shared" si="400"/>
        <v>0</v>
      </c>
      <c r="E1993" s="3">
        <f t="array" ref="E1993">INDEX($A$9:A1992, MAX(IF($D$9:D1992=1, ROW(D$9:$D1992)-ROW($D$9)+1, 0)))</f>
        <v>48842</v>
      </c>
      <c r="F1993" s="23">
        <f t="shared" ref="F1993:F2056" si="405">(A1993-$A$2)/365.25</f>
        <v>7.6002737850787137</v>
      </c>
      <c r="G1993" s="5">
        <f>INDEX('Default Prob'!$P$5:$P$14,MIN(1+_xlfn.IFNA(MATCH(F1993,'Default Prob'!$F$5:$F$14,1),0),COUNT('Default Prob'!$P$5:$P$14)))</f>
        <v>4.1094539438249027E-2</v>
      </c>
      <c r="H1993" s="5">
        <f t="shared" si="401"/>
        <v>0.82008181007158976</v>
      </c>
      <c r="I1993" s="24">
        <f t="shared" si="402"/>
        <v>9.2273183334823372E-5</v>
      </c>
      <c r="J1993" s="25">
        <f>INDEX('Default Prob'!$C$3:$C$13, _xlfn.IFNA(MATCH(F1993, 'Default Prob'!$B$3:$B$13, 1), 1))</f>
        <v>2.29E-2</v>
      </c>
      <c r="K1993" s="26">
        <f t="shared" ref="K1993:K2056" si="406">1/((1+J1993)^F1993)</f>
        <v>0.84190899660518337</v>
      </c>
      <c r="L1993" s="27">
        <f t="shared" ref="L1993:L2056" ca="1" si="407">IF(AND(D1993, A1993 &lt;= $G$2), $D$5*$D$2*(A1993-E1993)/365.25, 0)</f>
        <v>0</v>
      </c>
      <c r="M1993" s="27">
        <f t="shared" ref="M1993:M2056" ca="1" si="408">IF(A1993&lt;=$G$2, $D$5*$D$2*(A1993-E1993)/365.25, 0)</f>
        <v>0</v>
      </c>
      <c r="N1993" s="28">
        <f t="shared" ref="N1993:N2056" ca="1" si="409">(L1993*H1993 + M1993*I1993) * K1993</f>
        <v>0</v>
      </c>
      <c r="O1993" s="29">
        <f t="shared" ref="O1993:O2056" ca="1" si="410">IF(A1993&lt;=$G$2, $D$2*(1-$D$3), 0)</f>
        <v>0</v>
      </c>
      <c r="P1993" s="30">
        <f t="shared" ref="P1993:P2056" ca="1" si="411">O1993*I1993*K1993</f>
        <v>0</v>
      </c>
    </row>
    <row r="1994" spans="1:16" x14ac:dyDescent="0.25">
      <c r="A1994" s="3">
        <f t="shared" ref="A1994:A2057" si="412">WORKDAY(A1993, 1)</f>
        <v>48904</v>
      </c>
      <c r="B1994" s="21">
        <f t="shared" si="403"/>
        <v>36851</v>
      </c>
      <c r="C1994" s="21">
        <f t="shared" si="404"/>
        <v>36880</v>
      </c>
      <c r="D1994" s="1">
        <f t="shared" ref="D1994:D2057" si="413">IF(OR(C1994=B1994, AND(C1994&lt;&gt;C1993, C1993&gt;B1993)), 1, 0)</f>
        <v>0</v>
      </c>
      <c r="E1994" s="3">
        <f t="array" ref="E1994">INDEX($A$9:A1993, MAX(IF($D$9:D1993=1, ROW(D$9:$D1993)-ROW($D$9)+1, 0)))</f>
        <v>48842</v>
      </c>
      <c r="F1994" s="23">
        <f t="shared" si="405"/>
        <v>7.6084873374401099</v>
      </c>
      <c r="G1994" s="5">
        <f>INDEX('Default Prob'!$P$5:$P$14,MIN(1+_xlfn.IFNA(MATCH(F1994,'Default Prob'!$F$5:$F$14,1),0),COUNT('Default Prob'!$P$5:$P$14)))</f>
        <v>4.1094539438249027E-2</v>
      </c>
      <c r="H1994" s="5">
        <f t="shared" ref="H1994:H2057" si="414">H1993*EXP(-G1993*(F1994-F1993))</f>
        <v>0.81980505280374216</v>
      </c>
      <c r="I1994" s="24">
        <f t="shared" ref="I1994:I2057" si="415">H1993-H1994</f>
        <v>2.767572678475938E-4</v>
      </c>
      <c r="J1994" s="25">
        <f>INDEX('Default Prob'!$C$3:$C$13, _xlfn.IFNA(MATCH(F1994, 'Default Prob'!$B$3:$B$13, 1), 1))</f>
        <v>2.29E-2</v>
      </c>
      <c r="K1994" s="26">
        <f t="shared" si="406"/>
        <v>0.84175244215587131</v>
      </c>
      <c r="L1994" s="27">
        <f t="shared" ca="1" si="407"/>
        <v>0</v>
      </c>
      <c r="M1994" s="27">
        <f t="shared" ca="1" si="408"/>
        <v>0</v>
      </c>
      <c r="N1994" s="28">
        <f t="shared" ca="1" si="409"/>
        <v>0</v>
      </c>
      <c r="O1994" s="29">
        <f t="shared" ca="1" si="410"/>
        <v>0</v>
      </c>
      <c r="P1994" s="30">
        <f t="shared" ca="1" si="411"/>
        <v>0</v>
      </c>
    </row>
    <row r="1995" spans="1:16" x14ac:dyDescent="0.25">
      <c r="A1995" s="3">
        <f t="shared" si="412"/>
        <v>48905</v>
      </c>
      <c r="B1995" s="21">
        <f t="shared" si="403"/>
        <v>36852</v>
      </c>
      <c r="C1995" s="21">
        <f t="shared" si="404"/>
        <v>36880</v>
      </c>
      <c r="D1995" s="1">
        <f t="shared" si="413"/>
        <v>0</v>
      </c>
      <c r="E1995" s="3">
        <f t="array" ref="E1995">INDEX($A$9:A1994, MAX(IF($D$9:D1994=1, ROW(D$9:$D1994)-ROW($D$9)+1, 0)))</f>
        <v>48842</v>
      </c>
      <c r="F1995" s="23">
        <f t="shared" si="405"/>
        <v>7.6112251882272419</v>
      </c>
      <c r="G1995" s="5">
        <f>INDEX('Default Prob'!$P$5:$P$14,MIN(1+_xlfn.IFNA(MATCH(F1995,'Default Prob'!$F$5:$F$14,1),0),COUNT('Default Prob'!$P$5:$P$14)))</f>
        <v>4.1094539438249027E-2</v>
      </c>
      <c r="H1995" s="5">
        <f t="shared" si="414"/>
        <v>0.81971282113795252</v>
      </c>
      <c r="I1995" s="24">
        <f t="shared" si="415"/>
        <v>9.2231665789643813E-5</v>
      </c>
      <c r="J1995" s="25">
        <f>INDEX('Default Prob'!$C$3:$C$13, _xlfn.IFNA(MATCH(F1995, 'Default Prob'!$B$3:$B$13, 1), 1))</f>
        <v>2.29E-2</v>
      </c>
      <c r="K1995" s="26">
        <f t="shared" si="406"/>
        <v>0.8417002638089397</v>
      </c>
      <c r="L1995" s="27">
        <f t="shared" ca="1" si="407"/>
        <v>0</v>
      </c>
      <c r="M1995" s="27">
        <f t="shared" ca="1" si="408"/>
        <v>0</v>
      </c>
      <c r="N1995" s="28">
        <f t="shared" ca="1" si="409"/>
        <v>0</v>
      </c>
      <c r="O1995" s="29">
        <f t="shared" ca="1" si="410"/>
        <v>0</v>
      </c>
      <c r="P1995" s="30">
        <f t="shared" ca="1" si="411"/>
        <v>0</v>
      </c>
    </row>
    <row r="1996" spans="1:16" x14ac:dyDescent="0.25">
      <c r="A1996" s="3">
        <f t="shared" si="412"/>
        <v>48906</v>
      </c>
      <c r="B1996" s="21">
        <f t="shared" si="403"/>
        <v>36853</v>
      </c>
      <c r="C1996" s="21">
        <f t="shared" si="404"/>
        <v>36880</v>
      </c>
      <c r="D1996" s="1">
        <f t="shared" si="413"/>
        <v>0</v>
      </c>
      <c r="E1996" s="3">
        <f t="array" ref="E1996">INDEX($A$9:A1995, MAX(IF($D$9:D1995=1, ROW(D$9:$D1995)-ROW($D$9)+1, 0)))</f>
        <v>48842</v>
      </c>
      <c r="F1996" s="23">
        <f t="shared" si="405"/>
        <v>7.613963039014374</v>
      </c>
      <c r="G1996" s="5">
        <f>INDEX('Default Prob'!$P$5:$P$14,MIN(1+_xlfn.IFNA(MATCH(F1996,'Default Prob'!$F$5:$F$14,1),0),COUNT('Default Prob'!$P$5:$P$14)))</f>
        <v>4.1094539438249027E-2</v>
      </c>
      <c r="H1996" s="5">
        <f t="shared" si="414"/>
        <v>0.81962059984863</v>
      </c>
      <c r="I1996" s="24">
        <f t="shared" si="415"/>
        <v>9.2221289322513833E-5</v>
      </c>
      <c r="J1996" s="25">
        <f>INDEX('Default Prob'!$C$3:$C$13, _xlfn.IFNA(MATCH(F1996, 'Default Prob'!$B$3:$B$13, 1), 1))</f>
        <v>2.29E-2</v>
      </c>
      <c r="K1996" s="26">
        <f t="shared" si="406"/>
        <v>0.84164808869642704</v>
      </c>
      <c r="L1996" s="27">
        <f t="shared" ca="1" si="407"/>
        <v>0</v>
      </c>
      <c r="M1996" s="27">
        <f t="shared" ca="1" si="408"/>
        <v>0</v>
      </c>
      <c r="N1996" s="28">
        <f t="shared" ca="1" si="409"/>
        <v>0</v>
      </c>
      <c r="O1996" s="29">
        <f t="shared" ca="1" si="410"/>
        <v>0</v>
      </c>
      <c r="P1996" s="30">
        <f t="shared" ca="1" si="411"/>
        <v>0</v>
      </c>
    </row>
    <row r="1997" spans="1:16" x14ac:dyDescent="0.25">
      <c r="A1997" s="3">
        <f t="shared" si="412"/>
        <v>48907</v>
      </c>
      <c r="B1997" s="21">
        <f t="shared" si="403"/>
        <v>36854</v>
      </c>
      <c r="C1997" s="21">
        <f t="shared" si="404"/>
        <v>36880</v>
      </c>
      <c r="D1997" s="1">
        <f t="shared" si="413"/>
        <v>0</v>
      </c>
      <c r="E1997" s="3">
        <f t="array" ref="E1997">INDEX($A$9:A1996, MAX(IF($D$9:D1996=1, ROW(D$9:$D1996)-ROW($D$9)+1, 0)))</f>
        <v>48842</v>
      </c>
      <c r="F1997" s="23">
        <f t="shared" si="405"/>
        <v>7.6167008898015061</v>
      </c>
      <c r="G1997" s="5">
        <f>INDEX('Default Prob'!$P$5:$P$14,MIN(1+_xlfn.IFNA(MATCH(F1997,'Default Prob'!$F$5:$F$14,1),0),COUNT('Default Prob'!$P$5:$P$14)))</f>
        <v>4.1094539438249027E-2</v>
      </c>
      <c r="H1997" s="5">
        <f t="shared" si="414"/>
        <v>0.81952838893460722</v>
      </c>
      <c r="I1997" s="24">
        <f t="shared" si="415"/>
        <v>9.2210914022783363E-5</v>
      </c>
      <c r="J1997" s="25">
        <f>INDEX('Default Prob'!$C$3:$C$13, _xlfn.IFNA(MATCH(F1997, 'Default Prob'!$B$3:$B$13, 1), 1))</f>
        <v>2.29E-2</v>
      </c>
      <c r="K1997" s="26">
        <f t="shared" si="406"/>
        <v>0.84159591681813262</v>
      </c>
      <c r="L1997" s="27">
        <f t="shared" ca="1" si="407"/>
        <v>0</v>
      </c>
      <c r="M1997" s="27">
        <f t="shared" ca="1" si="408"/>
        <v>0</v>
      </c>
      <c r="N1997" s="28">
        <f t="shared" ca="1" si="409"/>
        <v>0</v>
      </c>
      <c r="O1997" s="29">
        <f t="shared" ca="1" si="410"/>
        <v>0</v>
      </c>
      <c r="P1997" s="30">
        <f t="shared" ca="1" si="411"/>
        <v>0</v>
      </c>
    </row>
    <row r="1998" spans="1:16" x14ac:dyDescent="0.25">
      <c r="A1998" s="3">
        <f t="shared" si="412"/>
        <v>48908</v>
      </c>
      <c r="B1998" s="21">
        <f t="shared" si="403"/>
        <v>36855</v>
      </c>
      <c r="C1998" s="21">
        <f t="shared" si="404"/>
        <v>36880</v>
      </c>
      <c r="D1998" s="1">
        <f t="shared" si="413"/>
        <v>0</v>
      </c>
      <c r="E1998" s="3">
        <f t="array" ref="E1998">INDEX($A$9:A1997, MAX(IF($D$9:D1997=1, ROW(D$9:$D1997)-ROW($D$9)+1, 0)))</f>
        <v>48842</v>
      </c>
      <c r="F1998" s="23">
        <f t="shared" si="405"/>
        <v>7.6194387405886381</v>
      </c>
      <c r="G1998" s="5">
        <f>INDEX('Default Prob'!$P$5:$P$14,MIN(1+_xlfn.IFNA(MATCH(F1998,'Default Prob'!$F$5:$F$14,1),0),COUNT('Default Prob'!$P$5:$P$14)))</f>
        <v>4.1094539438249027E-2</v>
      </c>
      <c r="H1998" s="5">
        <f t="shared" si="414"/>
        <v>0.81943618839471688</v>
      </c>
      <c r="I1998" s="24">
        <f t="shared" si="415"/>
        <v>9.2200539890341382E-5</v>
      </c>
      <c r="J1998" s="25">
        <f>INDEX('Default Prob'!$C$3:$C$13, _xlfn.IFNA(MATCH(F1998, 'Default Prob'!$B$3:$B$13, 1), 1))</f>
        <v>2.29E-2</v>
      </c>
      <c r="K1998" s="26">
        <f t="shared" si="406"/>
        <v>0.8415437481738558</v>
      </c>
      <c r="L1998" s="27">
        <f t="shared" ca="1" si="407"/>
        <v>0</v>
      </c>
      <c r="M1998" s="27">
        <f t="shared" ca="1" si="408"/>
        <v>0</v>
      </c>
      <c r="N1998" s="28">
        <f t="shared" ca="1" si="409"/>
        <v>0</v>
      </c>
      <c r="O1998" s="29">
        <f t="shared" ca="1" si="410"/>
        <v>0</v>
      </c>
      <c r="P1998" s="30">
        <f t="shared" ca="1" si="411"/>
        <v>0</v>
      </c>
    </row>
    <row r="1999" spans="1:16" x14ac:dyDescent="0.25">
      <c r="A1999" s="3">
        <f t="shared" si="412"/>
        <v>48911</v>
      </c>
      <c r="B1999" s="21">
        <f t="shared" si="403"/>
        <v>36858</v>
      </c>
      <c r="C1999" s="21">
        <f t="shared" si="404"/>
        <v>36880</v>
      </c>
      <c r="D1999" s="1">
        <f t="shared" si="413"/>
        <v>0</v>
      </c>
      <c r="E1999" s="3">
        <f t="array" ref="E1999">INDEX($A$9:A1998, MAX(IF($D$9:D1998=1, ROW(D$9:$D1998)-ROW($D$9)+1, 0)))</f>
        <v>48842</v>
      </c>
      <c r="F1999" s="23">
        <f t="shared" si="405"/>
        <v>7.6276522929500343</v>
      </c>
      <c r="G1999" s="5">
        <f>INDEX('Default Prob'!$P$5:$P$14,MIN(1+_xlfn.IFNA(MATCH(F1999,'Default Prob'!$F$5:$F$14,1),0),COUNT('Default Prob'!$P$5:$P$14)))</f>
        <v>4.1094539438249027E-2</v>
      </c>
      <c r="H1999" s="5">
        <f t="shared" si="414"/>
        <v>0.81915964900816984</v>
      </c>
      <c r="I1999" s="24">
        <f t="shared" si="415"/>
        <v>2.7653938654703669E-4</v>
      </c>
      <c r="J1999" s="25">
        <f>INDEX('Default Prob'!$C$3:$C$13, _xlfn.IFNA(MATCH(F1999, 'Default Prob'!$B$3:$B$13, 1), 1))</f>
        <v>2.29E-2</v>
      </c>
      <c r="K1999" s="26">
        <f t="shared" si="406"/>
        <v>0.84138726164312783</v>
      </c>
      <c r="L1999" s="27">
        <f t="shared" ca="1" si="407"/>
        <v>0</v>
      </c>
      <c r="M1999" s="27">
        <f t="shared" ca="1" si="408"/>
        <v>0</v>
      </c>
      <c r="N1999" s="28">
        <f t="shared" ca="1" si="409"/>
        <v>0</v>
      </c>
      <c r="O1999" s="29">
        <f t="shared" ca="1" si="410"/>
        <v>0</v>
      </c>
      <c r="P1999" s="30">
        <f t="shared" ca="1" si="411"/>
        <v>0</v>
      </c>
    </row>
    <row r="2000" spans="1:16" x14ac:dyDescent="0.25">
      <c r="A2000" s="3">
        <f t="shared" si="412"/>
        <v>48912</v>
      </c>
      <c r="B2000" s="21">
        <f t="shared" si="403"/>
        <v>36859</v>
      </c>
      <c r="C2000" s="21">
        <f t="shared" si="404"/>
        <v>36880</v>
      </c>
      <c r="D2000" s="1">
        <f t="shared" si="413"/>
        <v>0</v>
      </c>
      <c r="E2000" s="3">
        <f t="array" ref="E2000">INDEX($A$9:A1999, MAX(IF($D$9:D1999=1, ROW(D$9:$D1999)-ROW($D$9)+1, 0)))</f>
        <v>48842</v>
      </c>
      <c r="F2000" s="23">
        <f t="shared" si="405"/>
        <v>7.6303901437371664</v>
      </c>
      <c r="G2000" s="5">
        <f>INDEX('Default Prob'!$P$5:$P$14,MIN(1+_xlfn.IFNA(MATCH(F2000,'Default Prob'!$F$5:$F$14,1),0),COUNT('Default Prob'!$P$5:$P$14)))</f>
        <v>4.1094539438249027E-2</v>
      </c>
      <c r="H2000" s="5">
        <f t="shared" si="414"/>
        <v>0.81906748995313927</v>
      </c>
      <c r="I2000" s="24">
        <f t="shared" si="415"/>
        <v>9.2159055030571757E-5</v>
      </c>
      <c r="J2000" s="25">
        <f>INDEX('Default Prob'!$C$3:$C$13, _xlfn.IFNA(MATCH(F2000, 'Default Prob'!$B$3:$B$13, 1), 1))</f>
        <v>2.29E-2</v>
      </c>
      <c r="K2000" s="26">
        <f t="shared" si="406"/>
        <v>0.8413351059329176</v>
      </c>
      <c r="L2000" s="27">
        <f t="shared" ca="1" si="407"/>
        <v>0</v>
      </c>
      <c r="M2000" s="27">
        <f t="shared" ca="1" si="408"/>
        <v>0</v>
      </c>
      <c r="N2000" s="28">
        <f t="shared" ca="1" si="409"/>
        <v>0</v>
      </c>
      <c r="O2000" s="29">
        <f t="shared" ca="1" si="410"/>
        <v>0</v>
      </c>
      <c r="P2000" s="30">
        <f t="shared" ca="1" si="411"/>
        <v>0</v>
      </c>
    </row>
    <row r="2001" spans="1:16" x14ac:dyDescent="0.25">
      <c r="A2001" s="3">
        <f t="shared" si="412"/>
        <v>48913</v>
      </c>
      <c r="B2001" s="21">
        <f t="shared" si="403"/>
        <v>36860</v>
      </c>
      <c r="C2001" s="21">
        <f t="shared" si="404"/>
        <v>36880</v>
      </c>
      <c r="D2001" s="1">
        <f t="shared" si="413"/>
        <v>0</v>
      </c>
      <c r="E2001" s="3">
        <f t="array" ref="E2001">INDEX($A$9:A2000, MAX(IF($D$9:D2000=1, ROW(D$9:$D2000)-ROW($D$9)+1, 0)))</f>
        <v>48842</v>
      </c>
      <c r="F2001" s="23">
        <f t="shared" si="405"/>
        <v>7.6331279945242985</v>
      </c>
      <c r="G2001" s="5">
        <f>INDEX('Default Prob'!$P$5:$P$14,MIN(1+_xlfn.IFNA(MATCH(F2001,'Default Prob'!$F$5:$F$14,1),0),COUNT('Default Prob'!$P$5:$P$14)))</f>
        <v>4.1094539438249027E-2</v>
      </c>
      <c r="H2001" s="5">
        <f t="shared" si="414"/>
        <v>0.81897534126640681</v>
      </c>
      <c r="I2001" s="24">
        <f t="shared" si="415"/>
        <v>9.2148686732462792E-5</v>
      </c>
      <c r="J2001" s="25">
        <f>INDEX('Default Prob'!$C$3:$C$13, _xlfn.IFNA(MATCH(F2001, 'Default Prob'!$B$3:$B$13, 1), 1))</f>
        <v>2.29E-2</v>
      </c>
      <c r="K2001" s="26">
        <f t="shared" si="406"/>
        <v>0.84128295345572301</v>
      </c>
      <c r="L2001" s="27">
        <f t="shared" ca="1" si="407"/>
        <v>0</v>
      </c>
      <c r="M2001" s="27">
        <f t="shared" ca="1" si="408"/>
        <v>0</v>
      </c>
      <c r="N2001" s="28">
        <f t="shared" ca="1" si="409"/>
        <v>0</v>
      </c>
      <c r="O2001" s="29">
        <f t="shared" ca="1" si="410"/>
        <v>0</v>
      </c>
      <c r="P2001" s="30">
        <f t="shared" ca="1" si="411"/>
        <v>0</v>
      </c>
    </row>
    <row r="2002" spans="1:16" x14ac:dyDescent="0.25">
      <c r="A2002" s="3">
        <f t="shared" si="412"/>
        <v>48914</v>
      </c>
      <c r="B2002" s="21">
        <f t="shared" si="403"/>
        <v>36861</v>
      </c>
      <c r="C2002" s="21">
        <f t="shared" si="404"/>
        <v>36880</v>
      </c>
      <c r="D2002" s="1">
        <f t="shared" si="413"/>
        <v>0</v>
      </c>
      <c r="E2002" s="3">
        <f t="array" ref="E2002">INDEX($A$9:A2001, MAX(IF($D$9:D2001=1, ROW(D$9:$D2001)-ROW($D$9)+1, 0)))</f>
        <v>48842</v>
      </c>
      <c r="F2002" s="23">
        <f t="shared" si="405"/>
        <v>7.6358658453114305</v>
      </c>
      <c r="G2002" s="5">
        <f>INDEX('Default Prob'!$P$5:$P$14,MIN(1+_xlfn.IFNA(MATCH(F2002,'Default Prob'!$F$5:$F$14,1),0),COUNT('Default Prob'!$P$5:$P$14)))</f>
        <v>4.1094539438249027E-2</v>
      </c>
      <c r="H2002" s="5">
        <f t="shared" si="414"/>
        <v>0.81888320294680594</v>
      </c>
      <c r="I2002" s="24">
        <f t="shared" si="415"/>
        <v>9.2138319600865159E-5</v>
      </c>
      <c r="J2002" s="25">
        <f>INDEX('Default Prob'!$C$3:$C$13, _xlfn.IFNA(MATCH(F2002, 'Default Prob'!$B$3:$B$13, 1), 1))</f>
        <v>2.29E-2</v>
      </c>
      <c r="K2002" s="26">
        <f t="shared" si="406"/>
        <v>0.84123080421134366</v>
      </c>
      <c r="L2002" s="27">
        <f t="shared" ca="1" si="407"/>
        <v>0</v>
      </c>
      <c r="M2002" s="27">
        <f t="shared" ca="1" si="408"/>
        <v>0</v>
      </c>
      <c r="N2002" s="28">
        <f t="shared" ca="1" si="409"/>
        <v>0</v>
      </c>
      <c r="O2002" s="29">
        <f t="shared" ca="1" si="410"/>
        <v>0</v>
      </c>
      <c r="P2002" s="30">
        <f t="shared" ca="1" si="411"/>
        <v>0</v>
      </c>
    </row>
    <row r="2003" spans="1:16" x14ac:dyDescent="0.25">
      <c r="A2003" s="3">
        <f t="shared" si="412"/>
        <v>48915</v>
      </c>
      <c r="B2003" s="21">
        <f t="shared" si="403"/>
        <v>36862</v>
      </c>
      <c r="C2003" s="21">
        <f t="shared" si="404"/>
        <v>36880</v>
      </c>
      <c r="D2003" s="1">
        <f t="shared" si="413"/>
        <v>0</v>
      </c>
      <c r="E2003" s="3">
        <f t="array" ref="E2003">INDEX($A$9:A2002, MAX(IF($D$9:D2002=1, ROW(D$9:$D2002)-ROW($D$9)+1, 0)))</f>
        <v>48842</v>
      </c>
      <c r="F2003" s="23">
        <f t="shared" si="405"/>
        <v>7.6386036960985626</v>
      </c>
      <c r="G2003" s="5">
        <f>INDEX('Default Prob'!$P$5:$P$14,MIN(1+_xlfn.IFNA(MATCH(F2003,'Default Prob'!$F$5:$F$14,1),0),COUNT('Default Prob'!$P$5:$P$14)))</f>
        <v>4.1094539438249027E-2</v>
      </c>
      <c r="H2003" s="5">
        <f t="shared" si="414"/>
        <v>0.81879107499317039</v>
      </c>
      <c r="I2003" s="24">
        <f t="shared" si="415"/>
        <v>9.2127953635556814E-5</v>
      </c>
      <c r="J2003" s="25">
        <f>INDEX('Default Prob'!$C$3:$C$13, _xlfn.IFNA(MATCH(F2003, 'Default Prob'!$B$3:$B$13, 1), 1))</f>
        <v>2.29E-2</v>
      </c>
      <c r="K2003" s="26">
        <f t="shared" si="406"/>
        <v>0.84117865819957893</v>
      </c>
      <c r="L2003" s="27">
        <f t="shared" ca="1" si="407"/>
        <v>0</v>
      </c>
      <c r="M2003" s="27">
        <f t="shared" ca="1" si="408"/>
        <v>0</v>
      </c>
      <c r="N2003" s="28">
        <f t="shared" ca="1" si="409"/>
        <v>0</v>
      </c>
      <c r="O2003" s="29">
        <f t="shared" ca="1" si="410"/>
        <v>0</v>
      </c>
      <c r="P2003" s="30">
        <f t="shared" ca="1" si="411"/>
        <v>0</v>
      </c>
    </row>
    <row r="2004" spans="1:16" x14ac:dyDescent="0.25">
      <c r="A2004" s="3">
        <f t="shared" si="412"/>
        <v>48918</v>
      </c>
      <c r="B2004" s="21">
        <f t="shared" si="403"/>
        <v>36865</v>
      </c>
      <c r="C2004" s="21">
        <f t="shared" si="404"/>
        <v>36880</v>
      </c>
      <c r="D2004" s="1">
        <f t="shared" si="413"/>
        <v>0</v>
      </c>
      <c r="E2004" s="3">
        <f t="array" ref="E2004">INDEX($A$9:A2003, MAX(IF($D$9:D2003=1, ROW(D$9:$D2003)-ROW($D$9)+1, 0)))</f>
        <v>48842</v>
      </c>
      <c r="F2004" s="23">
        <f t="shared" si="405"/>
        <v>7.6468172484599588</v>
      </c>
      <c r="G2004" s="5">
        <f>INDEX('Default Prob'!$P$5:$P$14,MIN(1+_xlfn.IFNA(MATCH(F2004,'Default Prob'!$F$5:$F$14,1),0),COUNT('Default Prob'!$P$5:$P$14)))</f>
        <v>4.1094539438249027E-2</v>
      </c>
      <c r="H2004" s="5">
        <f t="shared" si="414"/>
        <v>0.81851475331639367</v>
      </c>
      <c r="I2004" s="24">
        <f t="shared" si="415"/>
        <v>2.7632167677671404E-4</v>
      </c>
      <c r="J2004" s="25">
        <f>INDEX('Default Prob'!$C$3:$C$13, _xlfn.IFNA(MATCH(F2004, 'Default Prob'!$B$3:$B$13, 1), 1))</f>
        <v>2.29E-2</v>
      </c>
      <c r="K2004" s="26">
        <f t="shared" si="406"/>
        <v>0.84102223955796962</v>
      </c>
      <c r="L2004" s="27">
        <f t="shared" ca="1" si="407"/>
        <v>0</v>
      </c>
      <c r="M2004" s="27">
        <f t="shared" ca="1" si="408"/>
        <v>0</v>
      </c>
      <c r="N2004" s="28">
        <f t="shared" ca="1" si="409"/>
        <v>0</v>
      </c>
      <c r="O2004" s="29">
        <f t="shared" ca="1" si="410"/>
        <v>0</v>
      </c>
      <c r="P2004" s="30">
        <f t="shared" ca="1" si="411"/>
        <v>0</v>
      </c>
    </row>
    <row r="2005" spans="1:16" x14ac:dyDescent="0.25">
      <c r="A2005" s="3">
        <f t="shared" si="412"/>
        <v>48919</v>
      </c>
      <c r="B2005" s="21">
        <f t="shared" si="403"/>
        <v>36866</v>
      </c>
      <c r="C2005" s="21">
        <f t="shared" si="404"/>
        <v>36880</v>
      </c>
      <c r="D2005" s="1">
        <f t="shared" si="413"/>
        <v>0</v>
      </c>
      <c r="E2005" s="3">
        <f t="array" ref="E2005">INDEX($A$9:A2004, MAX(IF($D$9:D2004=1, ROW(D$9:$D2004)-ROW($D$9)+1, 0)))</f>
        <v>48842</v>
      </c>
      <c r="F2005" s="23">
        <f t="shared" si="405"/>
        <v>7.6495550992470909</v>
      </c>
      <c r="G2005" s="5">
        <f>INDEX('Default Prob'!$P$5:$P$14,MIN(1+_xlfn.IFNA(MATCH(F2005,'Default Prob'!$F$5:$F$14,1),0),COUNT('Default Prob'!$P$5:$P$14)))</f>
        <v>4.1094539438249027E-2</v>
      </c>
      <c r="H2005" s="5">
        <f t="shared" si="414"/>
        <v>0.81842266681495823</v>
      </c>
      <c r="I2005" s="24">
        <f t="shared" si="415"/>
        <v>9.2086501435439949E-5</v>
      </c>
      <c r="J2005" s="25">
        <f>INDEX('Default Prob'!$C$3:$C$13, _xlfn.IFNA(MATCH(F2005, 'Default Prob'!$B$3:$B$13, 1), 1))</f>
        <v>2.29E-2</v>
      </c>
      <c r="K2005" s="26">
        <f t="shared" si="406"/>
        <v>0.84097010647466031</v>
      </c>
      <c r="L2005" s="27">
        <f t="shared" ca="1" si="407"/>
        <v>0</v>
      </c>
      <c r="M2005" s="27">
        <f t="shared" ca="1" si="408"/>
        <v>0</v>
      </c>
      <c r="N2005" s="28">
        <f t="shared" ca="1" si="409"/>
        <v>0</v>
      </c>
      <c r="O2005" s="29">
        <f t="shared" ca="1" si="410"/>
        <v>0</v>
      </c>
      <c r="P2005" s="30">
        <f t="shared" ca="1" si="411"/>
        <v>0</v>
      </c>
    </row>
    <row r="2006" spans="1:16" x14ac:dyDescent="0.25">
      <c r="A2006" s="3">
        <f t="shared" si="412"/>
        <v>48920</v>
      </c>
      <c r="B2006" s="21">
        <f t="shared" si="403"/>
        <v>36867</v>
      </c>
      <c r="C2006" s="21">
        <f t="shared" si="404"/>
        <v>36880</v>
      </c>
      <c r="D2006" s="1">
        <f t="shared" si="413"/>
        <v>0</v>
      </c>
      <c r="E2006" s="3">
        <f t="array" ref="E2006">INDEX($A$9:A2005, MAX(IF($D$9:D2005=1, ROW(D$9:$D2005)-ROW($D$9)+1, 0)))</f>
        <v>48842</v>
      </c>
      <c r="F2006" s="23">
        <f t="shared" si="405"/>
        <v>7.6522929500342229</v>
      </c>
      <c r="G2006" s="5">
        <f>INDEX('Default Prob'!$P$5:$P$14,MIN(1+_xlfn.IFNA(MATCH(F2006,'Default Prob'!$F$5:$F$14,1),0),COUNT('Default Prob'!$P$5:$P$14)))</f>
        <v>4.1094539438249027E-2</v>
      </c>
      <c r="H2006" s="5">
        <f t="shared" si="414"/>
        <v>0.81833059067365832</v>
      </c>
      <c r="I2006" s="24">
        <f t="shared" si="415"/>
        <v>9.2076141299912706E-5</v>
      </c>
      <c r="J2006" s="25">
        <f>INDEX('Default Prob'!$C$3:$C$13, _xlfn.IFNA(MATCH(F2006, 'Default Prob'!$B$3:$B$13, 1), 1))</f>
        <v>2.29E-2</v>
      </c>
      <c r="K2006" s="26">
        <f t="shared" si="406"/>
        <v>0.84091797662296397</v>
      </c>
      <c r="L2006" s="27">
        <f t="shared" ca="1" si="407"/>
        <v>0</v>
      </c>
      <c r="M2006" s="27">
        <f t="shared" ca="1" si="408"/>
        <v>0</v>
      </c>
      <c r="N2006" s="28">
        <f t="shared" ca="1" si="409"/>
        <v>0</v>
      </c>
      <c r="O2006" s="29">
        <f t="shared" ca="1" si="410"/>
        <v>0</v>
      </c>
      <c r="P2006" s="30">
        <f t="shared" ca="1" si="411"/>
        <v>0</v>
      </c>
    </row>
    <row r="2007" spans="1:16" x14ac:dyDescent="0.25">
      <c r="A2007" s="3">
        <f t="shared" si="412"/>
        <v>48921</v>
      </c>
      <c r="B2007" s="21">
        <f t="shared" si="403"/>
        <v>36868</v>
      </c>
      <c r="C2007" s="21">
        <f t="shared" si="404"/>
        <v>36880</v>
      </c>
      <c r="D2007" s="1">
        <f t="shared" si="413"/>
        <v>0</v>
      </c>
      <c r="E2007" s="3">
        <f t="array" ref="E2007">INDEX($A$9:A2006, MAX(IF($D$9:D2006=1, ROW(D$9:$D2006)-ROW($D$9)+1, 0)))</f>
        <v>48842</v>
      </c>
      <c r="F2007" s="23">
        <f t="shared" si="405"/>
        <v>7.655030800821355</v>
      </c>
      <c r="G2007" s="5">
        <f>INDEX('Default Prob'!$P$5:$P$14,MIN(1+_xlfn.IFNA(MATCH(F2007,'Default Prob'!$F$5:$F$14,1),0),COUNT('Default Prob'!$P$5:$P$14)))</f>
        <v>4.1094539438249027E-2</v>
      </c>
      <c r="H2007" s="5">
        <f t="shared" si="414"/>
        <v>0.81823852489132831</v>
      </c>
      <c r="I2007" s="24">
        <f t="shared" si="415"/>
        <v>9.2065782330008616E-5</v>
      </c>
      <c r="J2007" s="25">
        <f>INDEX('Default Prob'!$C$3:$C$13, _xlfn.IFNA(MATCH(F2007, 'Default Prob'!$B$3:$B$13, 1), 1))</f>
        <v>2.29E-2</v>
      </c>
      <c r="K2007" s="26">
        <f t="shared" si="406"/>
        <v>0.84086585000268022</v>
      </c>
      <c r="L2007" s="27">
        <f t="shared" ca="1" si="407"/>
        <v>0</v>
      </c>
      <c r="M2007" s="27">
        <f t="shared" ca="1" si="408"/>
        <v>0</v>
      </c>
      <c r="N2007" s="28">
        <f t="shared" ca="1" si="409"/>
        <v>0</v>
      </c>
      <c r="O2007" s="29">
        <f t="shared" ca="1" si="410"/>
        <v>0</v>
      </c>
      <c r="P2007" s="30">
        <f t="shared" ca="1" si="411"/>
        <v>0</v>
      </c>
    </row>
    <row r="2008" spans="1:16" x14ac:dyDescent="0.25">
      <c r="A2008" s="3">
        <f t="shared" si="412"/>
        <v>48922</v>
      </c>
      <c r="B2008" s="21">
        <f t="shared" si="403"/>
        <v>36869</v>
      </c>
      <c r="C2008" s="21">
        <f t="shared" si="404"/>
        <v>36880</v>
      </c>
      <c r="D2008" s="1">
        <f t="shared" si="413"/>
        <v>0</v>
      </c>
      <c r="E2008" s="3">
        <f t="array" ref="E2008">INDEX($A$9:A2007, MAX(IF($D$9:D2007=1, ROW(D$9:$D2007)-ROW($D$9)+1, 0)))</f>
        <v>48842</v>
      </c>
      <c r="F2008" s="23">
        <f t="shared" si="405"/>
        <v>7.6577686516084871</v>
      </c>
      <c r="G2008" s="5">
        <f>INDEX('Default Prob'!$P$5:$P$14,MIN(1+_xlfn.IFNA(MATCH(F2008,'Default Prob'!$F$5:$F$14,1),0),COUNT('Default Prob'!$P$5:$P$14)))</f>
        <v>4.1094539438249027E-2</v>
      </c>
      <c r="H2008" s="5">
        <f t="shared" si="414"/>
        <v>0.81814646946680281</v>
      </c>
      <c r="I2008" s="24">
        <f t="shared" si="415"/>
        <v>9.2055424525505636E-5</v>
      </c>
      <c r="J2008" s="25">
        <f>INDEX('Default Prob'!$C$3:$C$13, _xlfn.IFNA(MATCH(F2008, 'Default Prob'!$B$3:$B$13, 1), 1))</f>
        <v>2.29E-2</v>
      </c>
      <c r="K2008" s="26">
        <f t="shared" si="406"/>
        <v>0.84081372661360887</v>
      </c>
      <c r="L2008" s="27">
        <f t="shared" ca="1" si="407"/>
        <v>0</v>
      </c>
      <c r="M2008" s="27">
        <f t="shared" ca="1" si="408"/>
        <v>0</v>
      </c>
      <c r="N2008" s="28">
        <f t="shared" ca="1" si="409"/>
        <v>0</v>
      </c>
      <c r="O2008" s="29">
        <f t="shared" ca="1" si="410"/>
        <v>0</v>
      </c>
      <c r="P2008" s="30">
        <f t="shared" ca="1" si="411"/>
        <v>0</v>
      </c>
    </row>
    <row r="2009" spans="1:16" x14ac:dyDescent="0.25">
      <c r="A2009" s="3">
        <f t="shared" si="412"/>
        <v>48925</v>
      </c>
      <c r="B2009" s="21">
        <f t="shared" si="403"/>
        <v>36872</v>
      </c>
      <c r="C2009" s="21">
        <f t="shared" si="404"/>
        <v>36880</v>
      </c>
      <c r="D2009" s="1">
        <f t="shared" si="413"/>
        <v>0</v>
      </c>
      <c r="E2009" s="3">
        <f t="array" ref="E2009">INDEX($A$9:A2008, MAX(IF($D$9:D2008=1, ROW(D$9:$D2008)-ROW($D$9)+1, 0)))</f>
        <v>48842</v>
      </c>
      <c r="F2009" s="23">
        <f t="shared" si="405"/>
        <v>7.6659822039698833</v>
      </c>
      <c r="G2009" s="5">
        <f>INDEX('Default Prob'!$P$5:$P$14,MIN(1+_xlfn.IFNA(MATCH(F2009,'Default Prob'!$F$5:$F$14,1),0),COUNT('Default Prob'!$P$5:$P$14)))</f>
        <v>4.1094539438249027E-2</v>
      </c>
      <c r="H2009" s="5">
        <f t="shared" si="414"/>
        <v>0.81787036532840107</v>
      </c>
      <c r="I2009" s="24">
        <f t="shared" si="415"/>
        <v>2.7610413840173376E-4</v>
      </c>
      <c r="J2009" s="25">
        <f>INDEX('Default Prob'!$C$3:$C$13, _xlfn.IFNA(MATCH(F2009, 'Default Prob'!$B$3:$B$13, 1), 1))</f>
        <v>2.29E-2</v>
      </c>
      <c r="K2009" s="26">
        <f t="shared" si="406"/>
        <v>0.84065737583166567</v>
      </c>
      <c r="L2009" s="27">
        <f t="shared" ca="1" si="407"/>
        <v>0</v>
      </c>
      <c r="M2009" s="27">
        <f t="shared" ca="1" si="408"/>
        <v>0</v>
      </c>
      <c r="N2009" s="28">
        <f t="shared" ca="1" si="409"/>
        <v>0</v>
      </c>
      <c r="O2009" s="29">
        <f t="shared" ca="1" si="410"/>
        <v>0</v>
      </c>
      <c r="P2009" s="30">
        <f t="shared" ca="1" si="411"/>
        <v>0</v>
      </c>
    </row>
    <row r="2010" spans="1:16" x14ac:dyDescent="0.25">
      <c r="A2010" s="3">
        <f t="shared" si="412"/>
        <v>48926</v>
      </c>
      <c r="B2010" s="21">
        <f t="shared" si="403"/>
        <v>36873</v>
      </c>
      <c r="C2010" s="21">
        <f t="shared" si="404"/>
        <v>36880</v>
      </c>
      <c r="D2010" s="1">
        <f t="shared" si="413"/>
        <v>0</v>
      </c>
      <c r="E2010" s="3">
        <f t="array" ref="E2010">INDEX($A$9:A2009, MAX(IF($D$9:D2009=1, ROW(D$9:$D2009)-ROW($D$9)+1, 0)))</f>
        <v>48842</v>
      </c>
      <c r="F2010" s="23">
        <f t="shared" si="405"/>
        <v>7.6687200547570153</v>
      </c>
      <c r="G2010" s="5">
        <f>INDEX('Default Prob'!$P$5:$P$14,MIN(1+_xlfn.IFNA(MATCH(F2010,'Default Prob'!$F$5:$F$14,1),0),COUNT('Default Prob'!$P$5:$P$14)))</f>
        <v>4.1094539438249027E-2</v>
      </c>
      <c r="H2010" s="5">
        <f t="shared" si="414"/>
        <v>0.8177783513234419</v>
      </c>
      <c r="I2010" s="24">
        <f t="shared" si="415"/>
        <v>9.2014004959173334E-5</v>
      </c>
      <c r="J2010" s="25">
        <f>INDEX('Default Prob'!$C$3:$C$13, _xlfn.IFNA(MATCH(F2010, 'Default Prob'!$B$3:$B$13, 1), 1))</f>
        <v>2.29E-2</v>
      </c>
      <c r="K2010" s="26">
        <f t="shared" si="406"/>
        <v>0.84060526536544089</v>
      </c>
      <c r="L2010" s="27">
        <f t="shared" ca="1" si="407"/>
        <v>0</v>
      </c>
      <c r="M2010" s="27">
        <f t="shared" ca="1" si="408"/>
        <v>0</v>
      </c>
      <c r="N2010" s="28">
        <f t="shared" ca="1" si="409"/>
        <v>0</v>
      </c>
      <c r="O2010" s="29">
        <f t="shared" ca="1" si="410"/>
        <v>0</v>
      </c>
      <c r="P2010" s="30">
        <f t="shared" ca="1" si="411"/>
        <v>0</v>
      </c>
    </row>
    <row r="2011" spans="1:16" x14ac:dyDescent="0.25">
      <c r="A2011" s="3">
        <f t="shared" si="412"/>
        <v>48927</v>
      </c>
      <c r="B2011" s="21">
        <f t="shared" si="403"/>
        <v>36874</v>
      </c>
      <c r="C2011" s="21">
        <f t="shared" si="404"/>
        <v>36880</v>
      </c>
      <c r="D2011" s="1">
        <f t="shared" si="413"/>
        <v>0</v>
      </c>
      <c r="E2011" s="3">
        <f t="array" ref="E2011">INDEX($A$9:A2010, MAX(IF($D$9:D2010=1, ROW(D$9:$D2010)-ROW($D$9)+1, 0)))</f>
        <v>48842</v>
      </c>
      <c r="F2011" s="23">
        <f t="shared" si="405"/>
        <v>7.6714579055441474</v>
      </c>
      <c r="G2011" s="5">
        <f>INDEX('Default Prob'!$P$5:$P$14,MIN(1+_xlfn.IFNA(MATCH(F2011,'Default Prob'!$F$5:$F$14,1),0),COUNT('Default Prob'!$P$5:$P$14)))</f>
        <v>4.1094539438249027E-2</v>
      </c>
      <c r="H2011" s="5">
        <f t="shared" si="414"/>
        <v>0.81768634767046211</v>
      </c>
      <c r="I2011" s="24">
        <f t="shared" si="415"/>
        <v>9.2003652979788519E-5</v>
      </c>
      <c r="J2011" s="25">
        <f>INDEX('Default Prob'!$C$3:$C$13, _xlfn.IFNA(MATCH(F2011, 'Default Prob'!$B$3:$B$13, 1), 1))</f>
        <v>2.29E-2</v>
      </c>
      <c r="K2011" s="26">
        <f t="shared" si="406"/>
        <v>0.84055315812942699</v>
      </c>
      <c r="L2011" s="27">
        <f t="shared" ca="1" si="407"/>
        <v>0</v>
      </c>
      <c r="M2011" s="27">
        <f t="shared" ca="1" si="408"/>
        <v>0</v>
      </c>
      <c r="N2011" s="28">
        <f t="shared" ca="1" si="409"/>
        <v>0</v>
      </c>
      <c r="O2011" s="29">
        <f t="shared" ca="1" si="410"/>
        <v>0</v>
      </c>
      <c r="P2011" s="30">
        <f t="shared" ca="1" si="411"/>
        <v>0</v>
      </c>
    </row>
    <row r="2012" spans="1:16" x14ac:dyDescent="0.25">
      <c r="A2012" s="3">
        <f t="shared" si="412"/>
        <v>48928</v>
      </c>
      <c r="B2012" s="21">
        <f t="shared" si="403"/>
        <v>36875</v>
      </c>
      <c r="C2012" s="21">
        <f t="shared" si="404"/>
        <v>36880</v>
      </c>
      <c r="D2012" s="1">
        <f t="shared" si="413"/>
        <v>0</v>
      </c>
      <c r="E2012" s="3">
        <f t="array" ref="E2012">INDEX($A$9:A2011, MAX(IF($D$9:D2011=1, ROW(D$9:$D2011)-ROW($D$9)+1, 0)))</f>
        <v>48842</v>
      </c>
      <c r="F2012" s="23">
        <f t="shared" si="405"/>
        <v>7.6741957563312804</v>
      </c>
      <c r="G2012" s="5">
        <f>INDEX('Default Prob'!$P$5:$P$14,MIN(1+_xlfn.IFNA(MATCH(F2012,'Default Prob'!$F$5:$F$14,1),0),COUNT('Default Prob'!$P$5:$P$14)))</f>
        <v>4.1094539438249027E-2</v>
      </c>
      <c r="H2012" s="5">
        <f t="shared" si="414"/>
        <v>0.81759435436829686</v>
      </c>
      <c r="I2012" s="24">
        <f t="shared" si="415"/>
        <v>9.1993302165249702E-5</v>
      </c>
      <c r="J2012" s="25">
        <f>INDEX('Default Prob'!$C$3:$C$13, _xlfn.IFNA(MATCH(F2012, 'Default Prob'!$B$3:$B$13, 1), 1))</f>
        <v>2.29E-2</v>
      </c>
      <c r="K2012" s="26">
        <f t="shared" si="406"/>
        <v>0.8405010541234238</v>
      </c>
      <c r="L2012" s="27">
        <f t="shared" ca="1" si="407"/>
        <v>0</v>
      </c>
      <c r="M2012" s="27">
        <f t="shared" ca="1" si="408"/>
        <v>0</v>
      </c>
      <c r="N2012" s="28">
        <f t="shared" ca="1" si="409"/>
        <v>0</v>
      </c>
      <c r="O2012" s="29">
        <f t="shared" ca="1" si="410"/>
        <v>0</v>
      </c>
      <c r="P2012" s="30">
        <f t="shared" ca="1" si="411"/>
        <v>0</v>
      </c>
    </row>
    <row r="2013" spans="1:16" x14ac:dyDescent="0.25">
      <c r="A2013" s="3">
        <f t="shared" si="412"/>
        <v>48929</v>
      </c>
      <c r="B2013" s="21">
        <f t="shared" si="403"/>
        <v>36876</v>
      </c>
      <c r="C2013" s="21">
        <f t="shared" si="404"/>
        <v>36880</v>
      </c>
      <c r="D2013" s="1">
        <f t="shared" si="413"/>
        <v>0</v>
      </c>
      <c r="E2013" s="3">
        <f t="array" ref="E2013">INDEX($A$9:A2012, MAX(IF($D$9:D2012=1, ROW(D$9:$D2012)-ROW($D$9)+1, 0)))</f>
        <v>48842</v>
      </c>
      <c r="F2013" s="23">
        <f t="shared" si="405"/>
        <v>7.6769336071184124</v>
      </c>
      <c r="G2013" s="5">
        <f>INDEX('Default Prob'!$P$5:$P$14,MIN(1+_xlfn.IFNA(MATCH(F2013,'Default Prob'!$F$5:$F$14,1),0),COUNT('Default Prob'!$P$5:$P$14)))</f>
        <v>4.1094539438249027E-2</v>
      </c>
      <c r="H2013" s="5">
        <f t="shared" si="414"/>
        <v>0.81750237141578186</v>
      </c>
      <c r="I2013" s="24">
        <f t="shared" si="415"/>
        <v>9.198295251500177E-5</v>
      </c>
      <c r="J2013" s="25">
        <f>INDEX('Default Prob'!$C$3:$C$13, _xlfn.IFNA(MATCH(F2013, 'Default Prob'!$B$3:$B$13, 1), 1))</f>
        <v>2.29E-2</v>
      </c>
      <c r="K2013" s="26">
        <f t="shared" si="406"/>
        <v>0.84044895334723124</v>
      </c>
      <c r="L2013" s="27">
        <f t="shared" ca="1" si="407"/>
        <v>0</v>
      </c>
      <c r="M2013" s="27">
        <f t="shared" ca="1" si="408"/>
        <v>0</v>
      </c>
      <c r="N2013" s="28">
        <f t="shared" ca="1" si="409"/>
        <v>0</v>
      </c>
      <c r="O2013" s="29">
        <f t="shared" ca="1" si="410"/>
        <v>0</v>
      </c>
      <c r="P2013" s="30">
        <f t="shared" ca="1" si="411"/>
        <v>0</v>
      </c>
    </row>
    <row r="2014" spans="1:16" x14ac:dyDescent="0.25">
      <c r="A2014" s="3">
        <f t="shared" si="412"/>
        <v>48932</v>
      </c>
      <c r="B2014" s="21">
        <f t="shared" si="403"/>
        <v>36879</v>
      </c>
      <c r="C2014" s="21">
        <f t="shared" si="404"/>
        <v>36880</v>
      </c>
      <c r="D2014" s="1">
        <f t="shared" si="413"/>
        <v>0</v>
      </c>
      <c r="E2014" s="3">
        <f t="array" ref="E2014">INDEX($A$9:A2013, MAX(IF($D$9:D2013=1, ROW(D$9:$D2013)-ROW($D$9)+1, 0)))</f>
        <v>48842</v>
      </c>
      <c r="F2014" s="23">
        <f t="shared" si="405"/>
        <v>7.6851471594798086</v>
      </c>
      <c r="G2014" s="5">
        <f>INDEX('Default Prob'!$P$5:$P$14,MIN(1+_xlfn.IFNA(MATCH(F2014,'Default Prob'!$F$5:$F$14,1),0),COUNT('Default Prob'!$P$5:$P$14)))</f>
        <v>4.1094539438249027E-2</v>
      </c>
      <c r="H2014" s="5">
        <f t="shared" si="414"/>
        <v>0.81722648464449477</v>
      </c>
      <c r="I2014" s="24">
        <f t="shared" si="415"/>
        <v>2.7588677128709271E-4</v>
      </c>
      <c r="J2014" s="25">
        <f>INDEX('Default Prob'!$C$3:$C$13, _xlfn.IFNA(MATCH(F2014, 'Default Prob'!$B$3:$B$13, 1), 1))</f>
        <v>2.29E-2</v>
      </c>
      <c r="K2014" s="26">
        <f t="shared" si="406"/>
        <v>0.84029267039551458</v>
      </c>
      <c r="L2014" s="27">
        <f t="shared" ca="1" si="407"/>
        <v>0</v>
      </c>
      <c r="M2014" s="27">
        <f t="shared" ca="1" si="408"/>
        <v>0</v>
      </c>
      <c r="N2014" s="28">
        <f t="shared" ca="1" si="409"/>
        <v>0</v>
      </c>
      <c r="O2014" s="29">
        <f t="shared" ca="1" si="410"/>
        <v>0</v>
      </c>
      <c r="P2014" s="30">
        <f t="shared" ca="1" si="411"/>
        <v>0</v>
      </c>
    </row>
    <row r="2015" spans="1:16" x14ac:dyDescent="0.25">
      <c r="A2015" s="3">
        <f t="shared" si="412"/>
        <v>48933</v>
      </c>
      <c r="B2015" s="21">
        <f t="shared" si="403"/>
        <v>36880</v>
      </c>
      <c r="C2015" s="21">
        <f t="shared" si="404"/>
        <v>36880</v>
      </c>
      <c r="D2015" s="1">
        <f t="shared" si="413"/>
        <v>1</v>
      </c>
      <c r="E2015" s="3">
        <f t="array" ref="E2015">INDEX($A$9:A2014, MAX(IF($D$9:D2014=1, ROW(D$9:$D2014)-ROW($D$9)+1, 0)))</f>
        <v>48842</v>
      </c>
      <c r="F2015" s="23">
        <f t="shared" si="405"/>
        <v>7.6878850102669407</v>
      </c>
      <c r="G2015" s="5">
        <f>INDEX('Default Prob'!$P$5:$P$14,MIN(1+_xlfn.IFNA(MATCH(F2015,'Default Prob'!$F$5:$F$14,1),0),COUNT('Default Prob'!$P$5:$P$14)))</f>
        <v>4.1094539438249027E-2</v>
      </c>
      <c r="H2015" s="5">
        <f t="shared" si="414"/>
        <v>0.81713454307893796</v>
      </c>
      <c r="I2015" s="24">
        <f t="shared" si="415"/>
        <v>9.194156555680788E-5</v>
      </c>
      <c r="J2015" s="25">
        <f>INDEX('Default Prob'!$C$3:$C$13, _xlfn.IFNA(MATCH(F2015, 'Default Prob'!$B$3:$B$13, 1), 1))</f>
        <v>2.29E-2</v>
      </c>
      <c r="K2015" s="26">
        <f t="shared" si="406"/>
        <v>0.84024058253656209</v>
      </c>
      <c r="L2015" s="27">
        <f t="shared" ca="1" si="407"/>
        <v>0</v>
      </c>
      <c r="M2015" s="27">
        <f t="shared" ca="1" si="408"/>
        <v>0</v>
      </c>
      <c r="N2015" s="28">
        <f t="shared" ca="1" si="409"/>
        <v>0</v>
      </c>
      <c r="O2015" s="29">
        <f t="shared" ca="1" si="410"/>
        <v>0</v>
      </c>
      <c r="P2015" s="30">
        <f t="shared" ca="1" si="411"/>
        <v>0</v>
      </c>
    </row>
    <row r="2016" spans="1:16" x14ac:dyDescent="0.25">
      <c r="A2016" s="3">
        <f t="shared" si="412"/>
        <v>48934</v>
      </c>
      <c r="B2016" s="21">
        <f t="shared" si="403"/>
        <v>36881</v>
      </c>
      <c r="C2016" s="21">
        <f t="shared" si="404"/>
        <v>36605</v>
      </c>
      <c r="D2016" s="1">
        <f t="shared" si="413"/>
        <v>0</v>
      </c>
      <c r="E2016" s="3">
        <f t="array" ref="E2016">INDEX($A$9:A2015, MAX(IF($D$9:D2015=1, ROW(D$9:$D2015)-ROW($D$9)+1, 0)))</f>
        <v>48933</v>
      </c>
      <c r="F2016" s="23">
        <f t="shared" si="405"/>
        <v>7.6906228610540728</v>
      </c>
      <c r="G2016" s="5">
        <f>INDEX('Default Prob'!$P$5:$P$14,MIN(1+_xlfn.IFNA(MATCH(F2016,'Default Prob'!$F$5:$F$14,1),0),COUNT('Default Prob'!$P$5:$P$14)))</f>
        <v>4.1094539438249027E-2</v>
      </c>
      <c r="H2016" s="5">
        <f t="shared" si="414"/>
        <v>0.81704261185721072</v>
      </c>
      <c r="I2016" s="24">
        <f t="shared" si="415"/>
        <v>9.1931221727237222E-5</v>
      </c>
      <c r="J2016" s="25">
        <f>INDEX('Default Prob'!$C$3:$C$13, _xlfn.IFNA(MATCH(F2016, 'Default Prob'!$B$3:$B$13, 1), 1))</f>
        <v>2.29E-2</v>
      </c>
      <c r="K2016" s="26">
        <f t="shared" si="406"/>
        <v>0.84018849790641914</v>
      </c>
      <c r="L2016" s="27">
        <f t="shared" ca="1" si="407"/>
        <v>0</v>
      </c>
      <c r="M2016" s="27">
        <f t="shared" ca="1" si="408"/>
        <v>0</v>
      </c>
      <c r="N2016" s="28">
        <f t="shared" ca="1" si="409"/>
        <v>0</v>
      </c>
      <c r="O2016" s="29">
        <f t="shared" ca="1" si="410"/>
        <v>0</v>
      </c>
      <c r="P2016" s="30">
        <f t="shared" ca="1" si="411"/>
        <v>0</v>
      </c>
    </row>
    <row r="2017" spans="1:16" x14ac:dyDescent="0.25">
      <c r="A2017" s="3">
        <f t="shared" si="412"/>
        <v>48935</v>
      </c>
      <c r="B2017" s="21">
        <f t="shared" si="403"/>
        <v>36882</v>
      </c>
      <c r="C2017" s="21">
        <f t="shared" si="404"/>
        <v>36605</v>
      </c>
      <c r="D2017" s="1">
        <f t="shared" si="413"/>
        <v>0</v>
      </c>
      <c r="E2017" s="3">
        <f t="array" ref="E2017">INDEX($A$9:A2016, MAX(IF($D$9:D2016=1, ROW(D$9:$D2016)-ROW($D$9)+1, 0)))</f>
        <v>48933</v>
      </c>
      <c r="F2017" s="23">
        <f t="shared" si="405"/>
        <v>7.6933607118412048</v>
      </c>
      <c r="G2017" s="5">
        <f>INDEX('Default Prob'!$P$5:$P$14,MIN(1+_xlfn.IFNA(MATCH(F2017,'Default Prob'!$F$5:$F$14,1),0),COUNT('Default Prob'!$P$5:$P$14)))</f>
        <v>4.1094539438249027E-2</v>
      </c>
      <c r="H2017" s="5">
        <f t="shared" si="414"/>
        <v>0.81695069097814932</v>
      </c>
      <c r="I2017" s="24">
        <f t="shared" si="415"/>
        <v>9.1920879061402339E-5</v>
      </c>
      <c r="J2017" s="25">
        <f>INDEX('Default Prob'!$C$3:$C$13, _xlfn.IFNA(MATCH(F2017, 'Default Prob'!$B$3:$B$13, 1), 1))</f>
        <v>2.29E-2</v>
      </c>
      <c r="K2017" s="26">
        <f t="shared" si="406"/>
        <v>0.84013641650488591</v>
      </c>
      <c r="L2017" s="27">
        <f t="shared" ca="1" si="407"/>
        <v>0</v>
      </c>
      <c r="M2017" s="27">
        <f t="shared" ca="1" si="408"/>
        <v>0</v>
      </c>
      <c r="N2017" s="28">
        <f t="shared" ca="1" si="409"/>
        <v>0</v>
      </c>
      <c r="O2017" s="29">
        <f t="shared" ca="1" si="410"/>
        <v>0</v>
      </c>
      <c r="P2017" s="30">
        <f t="shared" ca="1" si="411"/>
        <v>0</v>
      </c>
    </row>
    <row r="2018" spans="1:16" x14ac:dyDescent="0.25">
      <c r="A2018" s="3">
        <f t="shared" si="412"/>
        <v>48936</v>
      </c>
      <c r="B2018" s="21">
        <f t="shared" si="403"/>
        <v>36883</v>
      </c>
      <c r="C2018" s="21">
        <f t="shared" si="404"/>
        <v>36605</v>
      </c>
      <c r="D2018" s="1">
        <f t="shared" si="413"/>
        <v>0</v>
      </c>
      <c r="E2018" s="3">
        <f t="array" ref="E2018">INDEX($A$9:A2017, MAX(IF($D$9:D2017=1, ROW(D$9:$D2017)-ROW($D$9)+1, 0)))</f>
        <v>48933</v>
      </c>
      <c r="F2018" s="23">
        <f t="shared" si="405"/>
        <v>7.6960985626283369</v>
      </c>
      <c r="G2018" s="5">
        <f>INDEX('Default Prob'!$P$5:$P$14,MIN(1+_xlfn.IFNA(MATCH(F2018,'Default Prob'!$F$5:$F$14,1),0),COUNT('Default Prob'!$P$5:$P$14)))</f>
        <v>4.1094539438249027E-2</v>
      </c>
      <c r="H2018" s="5">
        <f t="shared" si="414"/>
        <v>0.81685878044059013</v>
      </c>
      <c r="I2018" s="24">
        <f t="shared" si="415"/>
        <v>9.1910537559192207E-5</v>
      </c>
      <c r="J2018" s="25">
        <f>INDEX('Default Prob'!$C$3:$C$13, _xlfn.IFNA(MATCH(F2018, 'Default Prob'!$B$3:$B$13, 1), 1))</f>
        <v>2.29E-2</v>
      </c>
      <c r="K2018" s="26">
        <f t="shared" si="406"/>
        <v>0.84008433833176188</v>
      </c>
      <c r="L2018" s="27">
        <f t="shared" ca="1" si="407"/>
        <v>0</v>
      </c>
      <c r="M2018" s="27">
        <f t="shared" ca="1" si="408"/>
        <v>0</v>
      </c>
      <c r="N2018" s="28">
        <f t="shared" ca="1" si="409"/>
        <v>0</v>
      </c>
      <c r="O2018" s="29">
        <f t="shared" ca="1" si="410"/>
        <v>0</v>
      </c>
      <c r="P2018" s="30">
        <f t="shared" ca="1" si="411"/>
        <v>0</v>
      </c>
    </row>
    <row r="2019" spans="1:16" x14ac:dyDescent="0.25">
      <c r="A2019" s="3">
        <f t="shared" si="412"/>
        <v>48939</v>
      </c>
      <c r="B2019" s="21">
        <f t="shared" si="403"/>
        <v>36886</v>
      </c>
      <c r="C2019" s="21">
        <f t="shared" si="404"/>
        <v>36605</v>
      </c>
      <c r="D2019" s="1">
        <f t="shared" si="413"/>
        <v>0</v>
      </c>
      <c r="E2019" s="3">
        <f t="array" ref="E2019">INDEX($A$9:A2018, MAX(IF($D$9:D2018=1, ROW(D$9:$D2018)-ROW($D$9)+1, 0)))</f>
        <v>48933</v>
      </c>
      <c r="F2019" s="23">
        <f t="shared" si="405"/>
        <v>7.7043121149897331</v>
      </c>
      <c r="G2019" s="5">
        <f>INDEX('Default Prob'!$P$5:$P$14,MIN(1+_xlfn.IFNA(MATCH(F2019,'Default Prob'!$F$5:$F$14,1),0),COUNT('Default Prob'!$P$5:$P$14)))</f>
        <v>4.1094539438249027E-2</v>
      </c>
      <c r="H2019" s="5">
        <f t="shared" si="414"/>
        <v>0.81658311086529212</v>
      </c>
      <c r="I2019" s="24">
        <f t="shared" si="415"/>
        <v>2.7566957529800984E-4</v>
      </c>
      <c r="J2019" s="25">
        <f>INDEX('Default Prob'!$C$3:$C$13, _xlfn.IFNA(MATCH(F2019, 'Default Prob'!$B$3:$B$13, 1), 1))</f>
        <v>2.29E-2</v>
      </c>
      <c r="K2019" s="26">
        <f t="shared" si="406"/>
        <v>0.83992812318084442</v>
      </c>
      <c r="L2019" s="27">
        <f t="shared" ca="1" si="407"/>
        <v>0</v>
      </c>
      <c r="M2019" s="27">
        <f t="shared" ca="1" si="408"/>
        <v>0</v>
      </c>
      <c r="N2019" s="28">
        <f t="shared" ca="1" si="409"/>
        <v>0</v>
      </c>
      <c r="O2019" s="29">
        <f t="shared" ca="1" si="410"/>
        <v>0</v>
      </c>
      <c r="P2019" s="30">
        <f t="shared" ca="1" si="411"/>
        <v>0</v>
      </c>
    </row>
    <row r="2020" spans="1:16" x14ac:dyDescent="0.25">
      <c r="A2020" s="3">
        <f t="shared" si="412"/>
        <v>48940</v>
      </c>
      <c r="B2020" s="21">
        <f t="shared" si="403"/>
        <v>36887</v>
      </c>
      <c r="C2020" s="21">
        <f t="shared" si="404"/>
        <v>36605</v>
      </c>
      <c r="D2020" s="1">
        <f t="shared" si="413"/>
        <v>0</v>
      </c>
      <c r="E2020" s="3">
        <f t="array" ref="E2020">INDEX($A$9:A2019, MAX(IF($D$9:D2019=1, ROW(D$9:$D2019)-ROW($D$9)+1, 0)))</f>
        <v>48933</v>
      </c>
      <c r="F2020" s="23">
        <f t="shared" si="405"/>
        <v>7.7070499657768652</v>
      </c>
      <c r="G2020" s="5">
        <f>INDEX('Default Prob'!$P$5:$P$14,MIN(1+_xlfn.IFNA(MATCH(F2020,'Default Prob'!$F$5:$F$14,1),0),COUNT('Default Prob'!$P$5:$P$14)))</f>
        <v>4.1094539438249027E-2</v>
      </c>
      <c r="H2020" s="5">
        <f t="shared" si="414"/>
        <v>0.81649124168210863</v>
      </c>
      <c r="I2020" s="24">
        <f t="shared" si="415"/>
        <v>9.1869183183490577E-5</v>
      </c>
      <c r="J2020" s="25">
        <f>INDEX('Default Prob'!$C$3:$C$13, _xlfn.IFNA(MATCH(F2020, 'Default Prob'!$B$3:$B$13, 1), 1))</f>
        <v>2.29E-2</v>
      </c>
      <c r="K2020" s="26">
        <f t="shared" si="406"/>
        <v>0.8398760579193566</v>
      </c>
      <c r="L2020" s="27">
        <f t="shared" ca="1" si="407"/>
        <v>0</v>
      </c>
      <c r="M2020" s="27">
        <f t="shared" ca="1" si="408"/>
        <v>0</v>
      </c>
      <c r="N2020" s="28">
        <f t="shared" ca="1" si="409"/>
        <v>0</v>
      </c>
      <c r="O2020" s="29">
        <f t="shared" ca="1" si="410"/>
        <v>0</v>
      </c>
      <c r="P2020" s="30">
        <f t="shared" ca="1" si="411"/>
        <v>0</v>
      </c>
    </row>
    <row r="2021" spans="1:16" x14ac:dyDescent="0.25">
      <c r="A2021" s="3">
        <f t="shared" si="412"/>
        <v>48941</v>
      </c>
      <c r="B2021" s="21">
        <f t="shared" si="403"/>
        <v>36888</v>
      </c>
      <c r="C2021" s="21">
        <f t="shared" si="404"/>
        <v>36605</v>
      </c>
      <c r="D2021" s="1">
        <f t="shared" si="413"/>
        <v>0</v>
      </c>
      <c r="E2021" s="3">
        <f t="array" ref="E2021">INDEX($A$9:A2020, MAX(IF($D$9:D2020=1, ROW(D$9:$D2020)-ROW($D$9)+1, 0)))</f>
        <v>48933</v>
      </c>
      <c r="F2021" s="23">
        <f t="shared" si="405"/>
        <v>7.7097878165639973</v>
      </c>
      <c r="G2021" s="5">
        <f>INDEX('Default Prob'!$P$5:$P$14,MIN(1+_xlfn.IFNA(MATCH(F2021,'Default Prob'!$F$5:$F$14,1),0),COUNT('Default Prob'!$P$5:$P$14)))</f>
        <v>4.1094539438249027E-2</v>
      </c>
      <c r="H2021" s="5">
        <f t="shared" si="414"/>
        <v>0.81639938283461133</v>
      </c>
      <c r="I2021" s="24">
        <f t="shared" si="415"/>
        <v>9.1858847497294782E-5</v>
      </c>
      <c r="J2021" s="25">
        <f>INDEX('Default Prob'!$C$3:$C$13, _xlfn.IFNA(MATCH(F2021, 'Default Prob'!$B$3:$B$13, 1), 1))</f>
        <v>2.29E-2</v>
      </c>
      <c r="K2021" s="26">
        <f t="shared" si="406"/>
        <v>0.83982399588527767</v>
      </c>
      <c r="L2021" s="27">
        <f t="shared" ca="1" si="407"/>
        <v>0</v>
      </c>
      <c r="M2021" s="27">
        <f t="shared" ca="1" si="408"/>
        <v>0</v>
      </c>
      <c r="N2021" s="28">
        <f t="shared" ca="1" si="409"/>
        <v>0</v>
      </c>
      <c r="O2021" s="29">
        <f t="shared" ca="1" si="410"/>
        <v>0</v>
      </c>
      <c r="P2021" s="30">
        <f t="shared" ca="1" si="411"/>
        <v>0</v>
      </c>
    </row>
    <row r="2022" spans="1:16" x14ac:dyDescent="0.25">
      <c r="A2022" s="3">
        <f t="shared" si="412"/>
        <v>48942</v>
      </c>
      <c r="B2022" s="21">
        <f t="shared" si="403"/>
        <v>36889</v>
      </c>
      <c r="C2022" s="21">
        <f t="shared" si="404"/>
        <v>36605</v>
      </c>
      <c r="D2022" s="1">
        <f t="shared" si="413"/>
        <v>0</v>
      </c>
      <c r="E2022" s="3">
        <f t="array" ref="E2022">INDEX($A$9:A2021, MAX(IF($D$9:D2021=1, ROW(D$9:$D2021)-ROW($D$9)+1, 0)))</f>
        <v>48933</v>
      </c>
      <c r="F2022" s="23">
        <f t="shared" si="405"/>
        <v>7.7125256673511293</v>
      </c>
      <c r="G2022" s="5">
        <f>INDEX('Default Prob'!$P$5:$P$14,MIN(1+_xlfn.IFNA(MATCH(F2022,'Default Prob'!$F$5:$F$14,1),0),COUNT('Default Prob'!$P$5:$P$14)))</f>
        <v>4.1094539438249027E-2</v>
      </c>
      <c r="H2022" s="5">
        <f t="shared" si="414"/>
        <v>0.8163075343216375</v>
      </c>
      <c r="I2022" s="24">
        <f t="shared" si="415"/>
        <v>9.1848512973835561E-5</v>
      </c>
      <c r="J2022" s="25">
        <f>INDEX('Default Prob'!$C$3:$C$13, _xlfn.IFNA(MATCH(F2022, 'Default Prob'!$B$3:$B$13, 1), 1))</f>
        <v>2.29E-2</v>
      </c>
      <c r="K2022" s="26">
        <f t="shared" si="406"/>
        <v>0.83977193707840758</v>
      </c>
      <c r="L2022" s="27">
        <f t="shared" ca="1" si="407"/>
        <v>0</v>
      </c>
      <c r="M2022" s="27">
        <f t="shared" ca="1" si="408"/>
        <v>0</v>
      </c>
      <c r="N2022" s="28">
        <f t="shared" ca="1" si="409"/>
        <v>0</v>
      </c>
      <c r="O2022" s="29">
        <f t="shared" ca="1" si="410"/>
        <v>0</v>
      </c>
      <c r="P2022" s="30">
        <f t="shared" ca="1" si="411"/>
        <v>0</v>
      </c>
    </row>
    <row r="2023" spans="1:16" x14ac:dyDescent="0.25">
      <c r="A2023" s="3">
        <f t="shared" si="412"/>
        <v>48943</v>
      </c>
      <c r="B2023" s="21">
        <f t="shared" si="403"/>
        <v>36890</v>
      </c>
      <c r="C2023" s="21">
        <f t="shared" si="404"/>
        <v>36605</v>
      </c>
      <c r="D2023" s="1">
        <f t="shared" si="413"/>
        <v>0</v>
      </c>
      <c r="E2023" s="3">
        <f t="array" ref="E2023">INDEX($A$9:A2022, MAX(IF($D$9:D2022=1, ROW(D$9:$D2022)-ROW($D$9)+1, 0)))</f>
        <v>48933</v>
      </c>
      <c r="F2023" s="23">
        <f t="shared" si="405"/>
        <v>7.7152635181382614</v>
      </c>
      <c r="G2023" s="5">
        <f>INDEX('Default Prob'!$P$5:$P$14,MIN(1+_xlfn.IFNA(MATCH(F2023,'Default Prob'!$F$5:$F$14,1),0),COUNT('Default Prob'!$P$5:$P$14)))</f>
        <v>4.1094539438249027E-2</v>
      </c>
      <c r="H2023" s="5">
        <f t="shared" si="414"/>
        <v>0.81621569614202438</v>
      </c>
      <c r="I2023" s="24">
        <f t="shared" si="415"/>
        <v>9.1838179613112914E-5</v>
      </c>
      <c r="J2023" s="25">
        <f>INDEX('Default Prob'!$C$3:$C$13, _xlfn.IFNA(MATCH(F2023, 'Default Prob'!$B$3:$B$13, 1), 1))</f>
        <v>2.29E-2</v>
      </c>
      <c r="K2023" s="26">
        <f t="shared" si="406"/>
        <v>0.83971988149854604</v>
      </c>
      <c r="L2023" s="27">
        <f t="shared" ca="1" si="407"/>
        <v>0</v>
      </c>
      <c r="M2023" s="27">
        <f t="shared" ca="1" si="408"/>
        <v>0</v>
      </c>
      <c r="N2023" s="28">
        <f t="shared" ca="1" si="409"/>
        <v>0</v>
      </c>
      <c r="O2023" s="29">
        <f t="shared" ca="1" si="410"/>
        <v>0</v>
      </c>
      <c r="P2023" s="30">
        <f t="shared" ca="1" si="411"/>
        <v>0</v>
      </c>
    </row>
    <row r="2024" spans="1:16" x14ac:dyDescent="0.25">
      <c r="A2024" s="3">
        <f t="shared" si="412"/>
        <v>48946</v>
      </c>
      <c r="B2024" s="21">
        <f t="shared" si="403"/>
        <v>36527</v>
      </c>
      <c r="C2024" s="21">
        <f t="shared" si="404"/>
        <v>36605</v>
      </c>
      <c r="D2024" s="1">
        <f t="shared" si="413"/>
        <v>0</v>
      </c>
      <c r="E2024" s="3">
        <f t="array" ref="E2024">INDEX($A$9:A2023, MAX(IF($D$9:D2023=1, ROW(D$9:$D2023)-ROW($D$9)+1, 0)))</f>
        <v>48933</v>
      </c>
      <c r="F2024" s="23">
        <f t="shared" si="405"/>
        <v>7.7234770704996576</v>
      </c>
      <c r="G2024" s="5">
        <f>INDEX('Default Prob'!$P$5:$P$14,MIN(1+_xlfn.IFNA(MATCH(F2024,'Default Prob'!$F$5:$F$14,1),0),COUNT('Default Prob'!$P$5:$P$14)))</f>
        <v>4.1094539438249027E-2</v>
      </c>
      <c r="H2024" s="5">
        <f t="shared" si="414"/>
        <v>0.81594024359172468</v>
      </c>
      <c r="I2024" s="24">
        <f t="shared" si="415"/>
        <v>2.7545255029970406E-4</v>
      </c>
      <c r="J2024" s="25">
        <f>INDEX('Default Prob'!$C$3:$C$13, _xlfn.IFNA(MATCH(F2024, 'Default Prob'!$B$3:$B$13, 1), 1))</f>
        <v>2.29E-2</v>
      </c>
      <c r="K2024" s="26">
        <f t="shared" si="406"/>
        <v>0.83956373411901386</v>
      </c>
      <c r="L2024" s="27">
        <f t="shared" ca="1" si="407"/>
        <v>0</v>
      </c>
      <c r="M2024" s="27">
        <f t="shared" ca="1" si="408"/>
        <v>0</v>
      </c>
      <c r="N2024" s="28">
        <f t="shared" ca="1" si="409"/>
        <v>0</v>
      </c>
      <c r="O2024" s="29">
        <f t="shared" ca="1" si="410"/>
        <v>0</v>
      </c>
      <c r="P2024" s="30">
        <f t="shared" ca="1" si="411"/>
        <v>0</v>
      </c>
    </row>
    <row r="2025" spans="1:16" x14ac:dyDescent="0.25">
      <c r="A2025" s="3">
        <f t="shared" si="412"/>
        <v>48947</v>
      </c>
      <c r="B2025" s="21">
        <f t="shared" si="403"/>
        <v>36528</v>
      </c>
      <c r="C2025" s="21">
        <f t="shared" si="404"/>
        <v>36605</v>
      </c>
      <c r="D2025" s="1">
        <f t="shared" si="413"/>
        <v>0</v>
      </c>
      <c r="E2025" s="3">
        <f t="array" ref="E2025">INDEX($A$9:A2024, MAX(IF($D$9:D2024=1, ROW(D$9:$D2024)-ROW($D$9)+1, 0)))</f>
        <v>48933</v>
      </c>
      <c r="F2025" s="23">
        <f t="shared" si="405"/>
        <v>7.7262149212867897</v>
      </c>
      <c r="G2025" s="5">
        <f>INDEX('Default Prob'!$P$5:$P$14,MIN(1+_xlfn.IFNA(MATCH(F2025,'Default Prob'!$F$5:$F$14,1),0),COUNT('Default Prob'!$P$5:$P$14)))</f>
        <v>4.1094539438249027E-2</v>
      </c>
      <c r="H2025" s="5">
        <f t="shared" si="414"/>
        <v>0.81584844673393042</v>
      </c>
      <c r="I2025" s="24">
        <f t="shared" si="415"/>
        <v>9.1796857794257392E-5</v>
      </c>
      <c r="J2025" s="25">
        <f>INDEX('Default Prob'!$C$3:$C$13, _xlfn.IFNA(MATCH(F2025, 'Default Prob'!$B$3:$B$13, 1), 1))</f>
        <v>2.29E-2</v>
      </c>
      <c r="K2025" s="26">
        <f t="shared" si="406"/>
        <v>0.83951169144518711</v>
      </c>
      <c r="L2025" s="27">
        <f t="shared" ca="1" si="407"/>
        <v>0</v>
      </c>
      <c r="M2025" s="27">
        <f t="shared" ca="1" si="408"/>
        <v>0</v>
      </c>
      <c r="N2025" s="28">
        <f t="shared" ca="1" si="409"/>
        <v>0</v>
      </c>
      <c r="O2025" s="29">
        <f t="shared" ca="1" si="410"/>
        <v>0</v>
      </c>
      <c r="P2025" s="30">
        <f t="shared" ca="1" si="411"/>
        <v>0</v>
      </c>
    </row>
    <row r="2026" spans="1:16" x14ac:dyDescent="0.25">
      <c r="A2026" s="3">
        <f t="shared" si="412"/>
        <v>48948</v>
      </c>
      <c r="B2026" s="21">
        <f t="shared" si="403"/>
        <v>36529</v>
      </c>
      <c r="C2026" s="21">
        <f t="shared" si="404"/>
        <v>36605</v>
      </c>
      <c r="D2026" s="1">
        <f t="shared" si="413"/>
        <v>0</v>
      </c>
      <c r="E2026" s="3">
        <f t="array" ref="E2026">INDEX($A$9:A2025, MAX(IF($D$9:D2025=1, ROW(D$9:$D2025)-ROW($D$9)+1, 0)))</f>
        <v>48933</v>
      </c>
      <c r="F2026" s="23">
        <f t="shared" si="405"/>
        <v>7.7289527720739217</v>
      </c>
      <c r="G2026" s="5">
        <f>INDEX('Default Prob'!$P$5:$P$14,MIN(1+_xlfn.IFNA(MATCH(F2026,'Default Prob'!$F$5:$F$14,1),0),COUNT('Default Prob'!$P$5:$P$14)))</f>
        <v>4.1094539438249027E-2</v>
      </c>
      <c r="H2026" s="5">
        <f t="shared" si="414"/>
        <v>0.81575666020368542</v>
      </c>
      <c r="I2026" s="24">
        <f t="shared" si="415"/>
        <v>9.1786530244997167E-5</v>
      </c>
      <c r="J2026" s="25">
        <f>INDEX('Default Prob'!$C$3:$C$13, _xlfn.IFNA(MATCH(F2026, 'Default Prob'!$B$3:$B$13, 1), 1))</f>
        <v>2.29E-2</v>
      </c>
      <c r="K2026" s="26">
        <f t="shared" si="406"/>
        <v>0.83945965199736905</v>
      </c>
      <c r="L2026" s="27">
        <f t="shared" ca="1" si="407"/>
        <v>0</v>
      </c>
      <c r="M2026" s="27">
        <f t="shared" ca="1" si="408"/>
        <v>0</v>
      </c>
      <c r="N2026" s="28">
        <f t="shared" ca="1" si="409"/>
        <v>0</v>
      </c>
      <c r="O2026" s="29">
        <f t="shared" ca="1" si="410"/>
        <v>0</v>
      </c>
      <c r="P2026" s="30">
        <f t="shared" ca="1" si="411"/>
        <v>0</v>
      </c>
    </row>
    <row r="2027" spans="1:16" x14ac:dyDescent="0.25">
      <c r="A2027" s="3">
        <f t="shared" si="412"/>
        <v>48949</v>
      </c>
      <c r="B2027" s="21">
        <f t="shared" si="403"/>
        <v>36530</v>
      </c>
      <c r="C2027" s="21">
        <f t="shared" si="404"/>
        <v>36605</v>
      </c>
      <c r="D2027" s="1">
        <f t="shared" si="413"/>
        <v>0</v>
      </c>
      <c r="E2027" s="3">
        <f t="array" ref="E2027">INDEX($A$9:A2026, MAX(IF($D$9:D2026=1, ROW(D$9:$D2026)-ROW($D$9)+1, 0)))</f>
        <v>48933</v>
      </c>
      <c r="F2027" s="23">
        <f t="shared" si="405"/>
        <v>7.7316906228610538</v>
      </c>
      <c r="G2027" s="5">
        <f>INDEX('Default Prob'!$P$5:$P$14,MIN(1+_xlfn.IFNA(MATCH(F2027,'Default Prob'!$F$5:$F$14,1),0),COUNT('Default Prob'!$P$5:$P$14)))</f>
        <v>4.1094539438249027E-2</v>
      </c>
      <c r="H2027" s="5">
        <f t="shared" si="414"/>
        <v>0.81566488399982784</v>
      </c>
      <c r="I2027" s="24">
        <f t="shared" si="415"/>
        <v>9.1776203857585337E-5</v>
      </c>
      <c r="J2027" s="25">
        <f>INDEX('Default Prob'!$C$3:$C$13, _xlfn.IFNA(MATCH(F2027, 'Default Prob'!$B$3:$B$13, 1), 1))</f>
        <v>2.29E-2</v>
      </c>
      <c r="K2027" s="26">
        <f t="shared" si="406"/>
        <v>0.83940761577535972</v>
      </c>
      <c r="L2027" s="27">
        <f t="shared" ca="1" si="407"/>
        <v>0</v>
      </c>
      <c r="M2027" s="27">
        <f t="shared" ca="1" si="408"/>
        <v>0</v>
      </c>
      <c r="N2027" s="28">
        <f t="shared" ca="1" si="409"/>
        <v>0</v>
      </c>
      <c r="O2027" s="29">
        <f t="shared" ca="1" si="410"/>
        <v>0</v>
      </c>
      <c r="P2027" s="30">
        <f t="shared" ca="1" si="411"/>
        <v>0</v>
      </c>
    </row>
    <row r="2028" spans="1:16" x14ac:dyDescent="0.25">
      <c r="A2028" s="3">
        <f t="shared" si="412"/>
        <v>48950</v>
      </c>
      <c r="B2028" s="21">
        <f t="shared" si="403"/>
        <v>36531</v>
      </c>
      <c r="C2028" s="21">
        <f t="shared" si="404"/>
        <v>36605</v>
      </c>
      <c r="D2028" s="1">
        <f t="shared" si="413"/>
        <v>0</v>
      </c>
      <c r="E2028" s="3">
        <f t="array" ref="E2028">INDEX($A$9:A2027, MAX(IF($D$9:D2027=1, ROW(D$9:$D2027)-ROW($D$9)+1, 0)))</f>
        <v>48933</v>
      </c>
      <c r="F2028" s="23">
        <f t="shared" si="405"/>
        <v>7.7344284736481859</v>
      </c>
      <c r="G2028" s="5">
        <f>INDEX('Default Prob'!$P$5:$P$14,MIN(1+_xlfn.IFNA(MATCH(F2028,'Default Prob'!$F$5:$F$14,1),0),COUNT('Default Prob'!$P$5:$P$14)))</f>
        <v>4.1094539438249027E-2</v>
      </c>
      <c r="H2028" s="5">
        <f t="shared" si="414"/>
        <v>0.81557311812119593</v>
      </c>
      <c r="I2028" s="24">
        <f t="shared" si="415"/>
        <v>9.176587863191088E-5</v>
      </c>
      <c r="J2028" s="25">
        <f>INDEX('Default Prob'!$C$3:$C$13, _xlfn.IFNA(MATCH(F2028, 'Default Prob'!$B$3:$B$13, 1), 1))</f>
        <v>2.29E-2</v>
      </c>
      <c r="K2028" s="26">
        <f t="shared" si="406"/>
        <v>0.83935558277895916</v>
      </c>
      <c r="L2028" s="27">
        <f t="shared" ca="1" si="407"/>
        <v>0</v>
      </c>
      <c r="M2028" s="27">
        <f t="shared" ca="1" si="408"/>
        <v>0</v>
      </c>
      <c r="N2028" s="28">
        <f t="shared" ca="1" si="409"/>
        <v>0</v>
      </c>
      <c r="O2028" s="29">
        <f t="shared" ca="1" si="410"/>
        <v>0</v>
      </c>
      <c r="P2028" s="30">
        <f t="shared" ca="1" si="411"/>
        <v>0</v>
      </c>
    </row>
    <row r="2029" spans="1:16" x14ac:dyDescent="0.25">
      <c r="A2029" s="3">
        <f t="shared" si="412"/>
        <v>48953</v>
      </c>
      <c r="B2029" s="21">
        <f t="shared" si="403"/>
        <v>36534</v>
      </c>
      <c r="C2029" s="21">
        <f t="shared" si="404"/>
        <v>36605</v>
      </c>
      <c r="D2029" s="1">
        <f t="shared" si="413"/>
        <v>0</v>
      </c>
      <c r="E2029" s="3">
        <f t="array" ref="E2029">INDEX($A$9:A2028, MAX(IF($D$9:D2028=1, ROW(D$9:$D2028)-ROW($D$9)+1, 0)))</f>
        <v>48933</v>
      </c>
      <c r="F2029" s="23">
        <f t="shared" si="405"/>
        <v>7.7426420260095821</v>
      </c>
      <c r="G2029" s="5">
        <f>INDEX('Default Prob'!$P$5:$P$14,MIN(1+_xlfn.IFNA(MATCH(F2029,'Default Prob'!$F$5:$F$14,1),0),COUNT('Default Prob'!$P$5:$P$14)))</f>
        <v>4.1094539438249027E-2</v>
      </c>
      <c r="H2029" s="5">
        <f t="shared" si="414"/>
        <v>0.81529788242503842</v>
      </c>
      <c r="I2029" s="24">
        <f t="shared" si="415"/>
        <v>2.7523569615750532E-4</v>
      </c>
      <c r="J2029" s="25">
        <f>INDEX('Default Prob'!$C$3:$C$13, _xlfn.IFNA(MATCH(F2029, 'Default Prob'!$B$3:$B$13, 1), 1))</f>
        <v>2.29E-2</v>
      </c>
      <c r="K2029" s="26">
        <f t="shared" si="406"/>
        <v>0.83919950314141045</v>
      </c>
      <c r="L2029" s="27">
        <f t="shared" ca="1" si="407"/>
        <v>0</v>
      </c>
      <c r="M2029" s="27">
        <f t="shared" ca="1" si="408"/>
        <v>0</v>
      </c>
      <c r="N2029" s="28">
        <f t="shared" ca="1" si="409"/>
        <v>0</v>
      </c>
      <c r="O2029" s="29">
        <f t="shared" ca="1" si="410"/>
        <v>0</v>
      </c>
      <c r="P2029" s="30">
        <f t="shared" ca="1" si="411"/>
        <v>0</v>
      </c>
    </row>
    <row r="2030" spans="1:16" x14ac:dyDescent="0.25">
      <c r="A2030" s="3">
        <f t="shared" si="412"/>
        <v>48954</v>
      </c>
      <c r="B2030" s="21">
        <f t="shared" si="403"/>
        <v>36535</v>
      </c>
      <c r="C2030" s="21">
        <f t="shared" si="404"/>
        <v>36605</v>
      </c>
      <c r="D2030" s="1">
        <f t="shared" si="413"/>
        <v>0</v>
      </c>
      <c r="E2030" s="3">
        <f t="array" ref="E2030">INDEX($A$9:A2029, MAX(IF($D$9:D2029=1, ROW(D$9:$D2029)-ROW($D$9)+1, 0)))</f>
        <v>48933</v>
      </c>
      <c r="F2030" s="23">
        <f t="shared" si="405"/>
        <v>7.7453798767967141</v>
      </c>
      <c r="G2030" s="5">
        <f>INDEX('Default Prob'!$P$5:$P$14,MIN(1+_xlfn.IFNA(MATCH(F2030,'Default Prob'!$F$5:$F$14,1),0),COUNT('Default Prob'!$P$5:$P$14)))</f>
        <v>4.1094539438249027E-2</v>
      </c>
      <c r="H2030" s="5">
        <f t="shared" si="414"/>
        <v>0.81520615783569417</v>
      </c>
      <c r="I2030" s="24">
        <f t="shared" si="415"/>
        <v>9.1724589344255314E-5</v>
      </c>
      <c r="J2030" s="25">
        <f>INDEX('Default Prob'!$C$3:$C$13, _xlfn.IFNA(MATCH(F2030, 'Default Prob'!$B$3:$B$13, 1), 1))</f>
        <v>2.29E-2</v>
      </c>
      <c r="K2030" s="26">
        <f t="shared" si="406"/>
        <v>0.83914748304544551</v>
      </c>
      <c r="L2030" s="27">
        <f t="shared" ca="1" si="407"/>
        <v>0</v>
      </c>
      <c r="M2030" s="27">
        <f t="shared" ca="1" si="408"/>
        <v>0</v>
      </c>
      <c r="N2030" s="28">
        <f t="shared" ca="1" si="409"/>
        <v>0</v>
      </c>
      <c r="O2030" s="29">
        <f t="shared" ca="1" si="410"/>
        <v>0</v>
      </c>
      <c r="P2030" s="30">
        <f t="shared" ca="1" si="411"/>
        <v>0</v>
      </c>
    </row>
    <row r="2031" spans="1:16" x14ac:dyDescent="0.25">
      <c r="A2031" s="3">
        <f t="shared" si="412"/>
        <v>48955</v>
      </c>
      <c r="B2031" s="21">
        <f t="shared" si="403"/>
        <v>36536</v>
      </c>
      <c r="C2031" s="21">
        <f t="shared" si="404"/>
        <v>36605</v>
      </c>
      <c r="D2031" s="1">
        <f t="shared" si="413"/>
        <v>0</v>
      </c>
      <c r="E2031" s="3">
        <f t="array" ref="E2031">INDEX($A$9:A2030, MAX(IF($D$9:D2030=1, ROW(D$9:$D2030)-ROW($D$9)+1, 0)))</f>
        <v>48933</v>
      </c>
      <c r="F2031" s="23">
        <f t="shared" si="405"/>
        <v>7.7481177275838471</v>
      </c>
      <c r="G2031" s="5">
        <f>INDEX('Default Prob'!$P$5:$P$14,MIN(1+_xlfn.IFNA(MATCH(F2031,'Default Prob'!$F$5:$F$14,1),0),COUNT('Default Prob'!$P$5:$P$14)))</f>
        <v>4.1094539438249027E-2</v>
      </c>
      <c r="H2031" s="5">
        <f t="shared" si="414"/>
        <v>0.81511444356576856</v>
      </c>
      <c r="I2031" s="24">
        <f t="shared" si="415"/>
        <v>9.1714269925602387E-5</v>
      </c>
      <c r="J2031" s="25">
        <f>INDEX('Default Prob'!$C$3:$C$13, _xlfn.IFNA(MATCH(F2031, 'Default Prob'!$B$3:$B$13, 1), 1))</f>
        <v>2.29E-2</v>
      </c>
      <c r="K2031" s="26">
        <f t="shared" si="406"/>
        <v>0.8390954661740897</v>
      </c>
      <c r="L2031" s="27">
        <f t="shared" ca="1" si="407"/>
        <v>0</v>
      </c>
      <c r="M2031" s="27">
        <f t="shared" ca="1" si="408"/>
        <v>0</v>
      </c>
      <c r="N2031" s="28">
        <f t="shared" ca="1" si="409"/>
        <v>0</v>
      </c>
      <c r="O2031" s="29">
        <f t="shared" ca="1" si="410"/>
        <v>0</v>
      </c>
      <c r="P2031" s="30">
        <f t="shared" ca="1" si="411"/>
        <v>0</v>
      </c>
    </row>
    <row r="2032" spans="1:16" x14ac:dyDescent="0.25">
      <c r="A2032" s="3">
        <f t="shared" si="412"/>
        <v>48956</v>
      </c>
      <c r="B2032" s="21">
        <f t="shared" si="403"/>
        <v>36537</v>
      </c>
      <c r="C2032" s="21">
        <f t="shared" si="404"/>
        <v>36605</v>
      </c>
      <c r="D2032" s="1">
        <f t="shared" si="413"/>
        <v>0</v>
      </c>
      <c r="E2032" s="3">
        <f t="array" ref="E2032">INDEX($A$9:A2031, MAX(IF($D$9:D2031=1, ROW(D$9:$D2031)-ROW($D$9)+1, 0)))</f>
        <v>48933</v>
      </c>
      <c r="F2032" s="23">
        <f t="shared" si="405"/>
        <v>7.7508555783709792</v>
      </c>
      <c r="G2032" s="5">
        <f>INDEX('Default Prob'!$P$5:$P$14,MIN(1+_xlfn.IFNA(MATCH(F2032,'Default Prob'!$F$5:$F$14,1),0),COUNT('Default Prob'!$P$5:$P$14)))</f>
        <v>4.1094539438249027E-2</v>
      </c>
      <c r="H2032" s="5">
        <f t="shared" si="414"/>
        <v>0.81502273961410088</v>
      </c>
      <c r="I2032" s="24">
        <f t="shared" si="415"/>
        <v>9.1703951667687633E-5</v>
      </c>
      <c r="J2032" s="25">
        <f>INDEX('Default Prob'!$C$3:$C$13, _xlfn.IFNA(MATCH(F2032, 'Default Prob'!$B$3:$B$13, 1), 1))</f>
        <v>2.29E-2</v>
      </c>
      <c r="K2032" s="26">
        <f t="shared" si="406"/>
        <v>0.83904345252714319</v>
      </c>
      <c r="L2032" s="27">
        <f t="shared" ca="1" si="407"/>
        <v>0</v>
      </c>
      <c r="M2032" s="27">
        <f t="shared" ca="1" si="408"/>
        <v>0</v>
      </c>
      <c r="N2032" s="28">
        <f t="shared" ca="1" si="409"/>
        <v>0</v>
      </c>
      <c r="O2032" s="29">
        <f t="shared" ca="1" si="410"/>
        <v>0</v>
      </c>
      <c r="P2032" s="30">
        <f t="shared" ca="1" si="411"/>
        <v>0</v>
      </c>
    </row>
    <row r="2033" spans="1:16" x14ac:dyDescent="0.25">
      <c r="A2033" s="3">
        <f t="shared" si="412"/>
        <v>48957</v>
      </c>
      <c r="B2033" s="21">
        <f t="shared" si="403"/>
        <v>36538</v>
      </c>
      <c r="C2033" s="21">
        <f t="shared" si="404"/>
        <v>36605</v>
      </c>
      <c r="D2033" s="1">
        <f t="shared" si="413"/>
        <v>0</v>
      </c>
      <c r="E2033" s="3">
        <f t="array" ref="E2033">INDEX($A$9:A2032, MAX(IF($D$9:D2032=1, ROW(D$9:$D2032)-ROW($D$9)+1, 0)))</f>
        <v>48933</v>
      </c>
      <c r="F2033" s="23">
        <f t="shared" si="405"/>
        <v>7.7535934291581112</v>
      </c>
      <c r="G2033" s="5">
        <f>INDEX('Default Prob'!$P$5:$P$14,MIN(1+_xlfn.IFNA(MATCH(F2033,'Default Prob'!$F$5:$F$14,1),0),COUNT('Default Prob'!$P$5:$P$14)))</f>
        <v>4.1094539438249027E-2</v>
      </c>
      <c r="H2033" s="5">
        <f t="shared" si="414"/>
        <v>0.81493104597953014</v>
      </c>
      <c r="I2033" s="24">
        <f t="shared" si="415"/>
        <v>9.1693634570733096E-5</v>
      </c>
      <c r="J2033" s="25">
        <f>INDEX('Default Prob'!$C$3:$C$13, _xlfn.IFNA(MATCH(F2033, 'Default Prob'!$B$3:$B$13, 1), 1))</f>
        <v>2.29E-2</v>
      </c>
      <c r="K2033" s="26">
        <f t="shared" si="406"/>
        <v>0.83899144210440602</v>
      </c>
      <c r="L2033" s="27">
        <f t="shared" ca="1" si="407"/>
        <v>0</v>
      </c>
      <c r="M2033" s="27">
        <f t="shared" ca="1" si="408"/>
        <v>0</v>
      </c>
      <c r="N2033" s="28">
        <f t="shared" ca="1" si="409"/>
        <v>0</v>
      </c>
      <c r="O2033" s="29">
        <f t="shared" ca="1" si="410"/>
        <v>0</v>
      </c>
      <c r="P2033" s="30">
        <f t="shared" ca="1" si="411"/>
        <v>0</v>
      </c>
    </row>
    <row r="2034" spans="1:16" x14ac:dyDescent="0.25">
      <c r="A2034" s="3">
        <f t="shared" si="412"/>
        <v>48960</v>
      </c>
      <c r="B2034" s="21">
        <f t="shared" si="403"/>
        <v>36541</v>
      </c>
      <c r="C2034" s="21">
        <f t="shared" si="404"/>
        <v>36605</v>
      </c>
      <c r="D2034" s="1">
        <f t="shared" si="413"/>
        <v>0</v>
      </c>
      <c r="E2034" s="3">
        <f t="array" ref="E2034">INDEX($A$9:A2033, MAX(IF($D$9:D2033=1, ROW(D$9:$D2033)-ROW($D$9)+1, 0)))</f>
        <v>48933</v>
      </c>
      <c r="F2034" s="23">
        <f t="shared" si="405"/>
        <v>7.7618069815195074</v>
      </c>
      <c r="G2034" s="5">
        <f>INDEX('Default Prob'!$P$5:$P$14,MIN(1+_xlfn.IFNA(MATCH(F2034,'Default Prob'!$F$5:$F$14,1),0),COUNT('Default Prob'!$P$5:$P$14)))</f>
        <v>4.1094539438249027E-2</v>
      </c>
      <c r="H2034" s="5">
        <f t="shared" si="414"/>
        <v>0.81465602696679318</v>
      </c>
      <c r="I2034" s="24">
        <f t="shared" si="415"/>
        <v>2.7501901273696561E-4</v>
      </c>
      <c r="J2034" s="25">
        <f>INDEX('Default Prob'!$C$3:$C$13, _xlfn.IFNA(MATCH(F2034, 'Default Prob'!$B$3:$B$13, 1), 1))</f>
        <v>2.29E-2</v>
      </c>
      <c r="K2034" s="26">
        <f t="shared" si="406"/>
        <v>0.83883543017945228</v>
      </c>
      <c r="L2034" s="27">
        <f t="shared" ca="1" si="407"/>
        <v>0</v>
      </c>
      <c r="M2034" s="27">
        <f t="shared" ca="1" si="408"/>
        <v>0</v>
      </c>
      <c r="N2034" s="28">
        <f t="shared" ca="1" si="409"/>
        <v>0</v>
      </c>
      <c r="O2034" s="29">
        <f t="shared" ca="1" si="410"/>
        <v>0</v>
      </c>
      <c r="P2034" s="30">
        <f t="shared" ca="1" si="411"/>
        <v>0</v>
      </c>
    </row>
    <row r="2035" spans="1:16" x14ac:dyDescent="0.25">
      <c r="A2035" s="3">
        <f t="shared" si="412"/>
        <v>48961</v>
      </c>
      <c r="B2035" s="21">
        <f t="shared" si="403"/>
        <v>36542</v>
      </c>
      <c r="C2035" s="21">
        <f t="shared" si="404"/>
        <v>36605</v>
      </c>
      <c r="D2035" s="1">
        <f t="shared" si="413"/>
        <v>0</v>
      </c>
      <c r="E2035" s="3">
        <f t="array" ref="E2035">INDEX($A$9:A2034, MAX(IF($D$9:D2034=1, ROW(D$9:$D2034)-ROW($D$9)+1, 0)))</f>
        <v>48933</v>
      </c>
      <c r="F2035" s="23">
        <f t="shared" si="405"/>
        <v>7.7645448323066395</v>
      </c>
      <c r="G2035" s="5">
        <f>INDEX('Default Prob'!$P$5:$P$14,MIN(1+_xlfn.IFNA(MATCH(F2035,'Default Prob'!$F$5:$F$14,1),0),COUNT('Default Prob'!$P$5:$P$14)))</f>
        <v>4.1094539438249027E-2</v>
      </c>
      <c r="H2035" s="5">
        <f t="shared" si="414"/>
        <v>0.81456437458900444</v>
      </c>
      <c r="I2035" s="24">
        <f t="shared" si="415"/>
        <v>9.1652377788742356E-5</v>
      </c>
      <c r="J2035" s="25">
        <f>INDEX('Default Prob'!$C$3:$C$13, _xlfn.IFNA(MATCH(F2035, 'Default Prob'!$B$3:$B$13, 1), 1))</f>
        <v>2.29E-2</v>
      </c>
      <c r="K2035" s="26">
        <f t="shared" si="406"/>
        <v>0.83878343265155408</v>
      </c>
      <c r="L2035" s="27">
        <f t="shared" ca="1" si="407"/>
        <v>0</v>
      </c>
      <c r="M2035" s="27">
        <f t="shared" ca="1" si="408"/>
        <v>0</v>
      </c>
      <c r="N2035" s="28">
        <f t="shared" ca="1" si="409"/>
        <v>0</v>
      </c>
      <c r="O2035" s="29">
        <f t="shared" ca="1" si="410"/>
        <v>0</v>
      </c>
      <c r="P2035" s="30">
        <f t="shared" ca="1" si="411"/>
        <v>0</v>
      </c>
    </row>
    <row r="2036" spans="1:16" x14ac:dyDescent="0.25">
      <c r="A2036" s="3">
        <f t="shared" si="412"/>
        <v>48962</v>
      </c>
      <c r="B2036" s="21">
        <f t="shared" si="403"/>
        <v>36543</v>
      </c>
      <c r="C2036" s="21">
        <f t="shared" si="404"/>
        <v>36605</v>
      </c>
      <c r="D2036" s="1">
        <f t="shared" si="413"/>
        <v>0</v>
      </c>
      <c r="E2036" s="3">
        <f t="array" ref="E2036">INDEX($A$9:A2035, MAX(IF($D$9:D2035=1, ROW(D$9:$D2035)-ROW($D$9)+1, 0)))</f>
        <v>48933</v>
      </c>
      <c r="F2036" s="23">
        <f t="shared" si="405"/>
        <v>7.7672826830937716</v>
      </c>
      <c r="G2036" s="5">
        <f>INDEX('Default Prob'!$P$5:$P$14,MIN(1+_xlfn.IFNA(MATCH(F2036,'Default Prob'!$F$5:$F$14,1),0),COUNT('Default Prob'!$P$5:$P$14)))</f>
        <v>4.1094539438249027E-2</v>
      </c>
      <c r="H2036" s="5">
        <f t="shared" si="414"/>
        <v>0.8144727325225104</v>
      </c>
      <c r="I2036" s="24">
        <f t="shared" si="415"/>
        <v>9.164206649403539E-5</v>
      </c>
      <c r="J2036" s="25">
        <f>INDEX('Default Prob'!$C$3:$C$13, _xlfn.IFNA(MATCH(F2036, 'Default Prob'!$B$3:$B$13, 1), 1))</f>
        <v>2.29E-2</v>
      </c>
      <c r="K2036" s="26">
        <f t="shared" si="406"/>
        <v>0.83873143834686614</v>
      </c>
      <c r="L2036" s="27">
        <f t="shared" ca="1" si="407"/>
        <v>0</v>
      </c>
      <c r="M2036" s="27">
        <f t="shared" ca="1" si="408"/>
        <v>0</v>
      </c>
      <c r="N2036" s="28">
        <f t="shared" ca="1" si="409"/>
        <v>0</v>
      </c>
      <c r="O2036" s="29">
        <f t="shared" ca="1" si="410"/>
        <v>0</v>
      </c>
      <c r="P2036" s="30">
        <f t="shared" ca="1" si="411"/>
        <v>0</v>
      </c>
    </row>
    <row r="2037" spans="1:16" x14ac:dyDescent="0.25">
      <c r="A2037" s="3">
        <f t="shared" si="412"/>
        <v>48963</v>
      </c>
      <c r="B2037" s="21">
        <f t="shared" si="403"/>
        <v>36544</v>
      </c>
      <c r="C2037" s="21">
        <f t="shared" si="404"/>
        <v>36605</v>
      </c>
      <c r="D2037" s="1">
        <f t="shared" si="413"/>
        <v>0</v>
      </c>
      <c r="E2037" s="3">
        <f t="array" ref="E2037">INDEX($A$9:A2036, MAX(IF($D$9:D2036=1, ROW(D$9:$D2036)-ROW($D$9)+1, 0)))</f>
        <v>48933</v>
      </c>
      <c r="F2037" s="23">
        <f t="shared" si="405"/>
        <v>7.7700205338809036</v>
      </c>
      <c r="G2037" s="5">
        <f>INDEX('Default Prob'!$P$5:$P$14,MIN(1+_xlfn.IFNA(MATCH(F2037,'Default Prob'!$F$5:$F$14,1),0),COUNT('Default Prob'!$P$5:$P$14)))</f>
        <v>4.1094539438249027E-2</v>
      </c>
      <c r="H2037" s="5">
        <f t="shared" si="414"/>
        <v>0.81438110076615089</v>
      </c>
      <c r="I2037" s="24">
        <f t="shared" si="415"/>
        <v>9.1631756359511485E-5</v>
      </c>
      <c r="J2037" s="25">
        <f>INDEX('Default Prob'!$C$3:$C$13, _xlfn.IFNA(MATCH(F2037, 'Default Prob'!$B$3:$B$13, 1), 1))</f>
        <v>2.29E-2</v>
      </c>
      <c r="K2037" s="26">
        <f t="shared" si="406"/>
        <v>0.83867944726518862</v>
      </c>
      <c r="L2037" s="27">
        <f t="shared" ca="1" si="407"/>
        <v>0</v>
      </c>
      <c r="M2037" s="27">
        <f t="shared" ca="1" si="408"/>
        <v>0</v>
      </c>
      <c r="N2037" s="28">
        <f t="shared" ca="1" si="409"/>
        <v>0</v>
      </c>
      <c r="O2037" s="29">
        <f t="shared" ca="1" si="410"/>
        <v>0</v>
      </c>
      <c r="P2037" s="30">
        <f t="shared" ca="1" si="411"/>
        <v>0</v>
      </c>
    </row>
    <row r="2038" spans="1:16" x14ac:dyDescent="0.25">
      <c r="A2038" s="3">
        <f t="shared" si="412"/>
        <v>48964</v>
      </c>
      <c r="B2038" s="21">
        <f t="shared" si="403"/>
        <v>36545</v>
      </c>
      <c r="C2038" s="21">
        <f t="shared" si="404"/>
        <v>36605</v>
      </c>
      <c r="D2038" s="1">
        <f t="shared" si="413"/>
        <v>0</v>
      </c>
      <c r="E2038" s="3">
        <f t="array" ref="E2038">INDEX($A$9:A2037, MAX(IF($D$9:D2037=1, ROW(D$9:$D2037)-ROW($D$9)+1, 0)))</f>
        <v>48933</v>
      </c>
      <c r="F2038" s="23">
        <f t="shared" si="405"/>
        <v>7.7727583846680357</v>
      </c>
      <c r="G2038" s="5">
        <f>INDEX('Default Prob'!$P$5:$P$14,MIN(1+_xlfn.IFNA(MATCH(F2038,'Default Prob'!$F$5:$F$14,1),0),COUNT('Default Prob'!$P$5:$P$14)))</f>
        <v>4.1094539438249027E-2</v>
      </c>
      <c r="H2038" s="5">
        <f t="shared" si="414"/>
        <v>0.81428947931876605</v>
      </c>
      <c r="I2038" s="24">
        <f t="shared" si="415"/>
        <v>9.1621447384837573E-5</v>
      </c>
      <c r="J2038" s="25">
        <f>INDEX('Default Prob'!$C$3:$C$13, _xlfn.IFNA(MATCH(F2038, 'Default Prob'!$B$3:$B$13, 1), 1))</f>
        <v>2.29E-2</v>
      </c>
      <c r="K2038" s="26">
        <f t="shared" si="406"/>
        <v>0.83862745940632155</v>
      </c>
      <c r="L2038" s="27">
        <f t="shared" ca="1" si="407"/>
        <v>0</v>
      </c>
      <c r="M2038" s="27">
        <f t="shared" ca="1" si="408"/>
        <v>0</v>
      </c>
      <c r="N2038" s="28">
        <f t="shared" ca="1" si="409"/>
        <v>0</v>
      </c>
      <c r="O2038" s="29">
        <f t="shared" ca="1" si="410"/>
        <v>0</v>
      </c>
      <c r="P2038" s="30">
        <f t="shared" ca="1" si="411"/>
        <v>0</v>
      </c>
    </row>
    <row r="2039" spans="1:16" x14ac:dyDescent="0.25">
      <c r="A2039" s="3">
        <f t="shared" si="412"/>
        <v>48967</v>
      </c>
      <c r="B2039" s="21">
        <f t="shared" si="403"/>
        <v>36548</v>
      </c>
      <c r="C2039" s="21">
        <f t="shared" si="404"/>
        <v>36605</v>
      </c>
      <c r="D2039" s="1">
        <f t="shared" si="413"/>
        <v>0</v>
      </c>
      <c r="E2039" s="3">
        <f t="array" ref="E2039">INDEX($A$9:A2038, MAX(IF($D$9:D2038=1, ROW(D$9:$D2038)-ROW($D$9)+1, 0)))</f>
        <v>48933</v>
      </c>
      <c r="F2039" s="23">
        <f t="shared" si="405"/>
        <v>7.7809719370294319</v>
      </c>
      <c r="G2039" s="5">
        <f>INDEX('Default Prob'!$P$5:$P$14,MIN(1+_xlfn.IFNA(MATCH(F2039,'Default Prob'!$F$5:$F$14,1),0),COUNT('Default Prob'!$P$5:$P$14)))</f>
        <v>4.1094539438249027E-2</v>
      </c>
      <c r="H2039" s="5">
        <f t="shared" si="414"/>
        <v>0.8140146768188623</v>
      </c>
      <c r="I2039" s="24">
        <f t="shared" si="415"/>
        <v>2.7480249990374794E-4</v>
      </c>
      <c r="J2039" s="25">
        <f>INDEX('Default Prob'!$C$3:$C$13, _xlfn.IFNA(MATCH(F2039, 'Default Prob'!$B$3:$B$13, 1), 1))</f>
        <v>2.29E-2</v>
      </c>
      <c r="K2039" s="26">
        <f t="shared" si="406"/>
        <v>0.83847151516458662</v>
      </c>
      <c r="L2039" s="27">
        <f t="shared" ca="1" si="407"/>
        <v>0</v>
      </c>
      <c r="M2039" s="27">
        <f t="shared" ca="1" si="408"/>
        <v>0</v>
      </c>
      <c r="N2039" s="28">
        <f t="shared" ca="1" si="409"/>
        <v>0</v>
      </c>
      <c r="O2039" s="29">
        <f t="shared" ca="1" si="410"/>
        <v>0</v>
      </c>
      <c r="P2039" s="30">
        <f t="shared" ca="1" si="411"/>
        <v>0</v>
      </c>
    </row>
    <row r="2040" spans="1:16" x14ac:dyDescent="0.25">
      <c r="A2040" s="3">
        <f t="shared" si="412"/>
        <v>48968</v>
      </c>
      <c r="B2040" s="21">
        <f t="shared" si="403"/>
        <v>36549</v>
      </c>
      <c r="C2040" s="21">
        <f t="shared" si="404"/>
        <v>36605</v>
      </c>
      <c r="D2040" s="1">
        <f t="shared" si="413"/>
        <v>0</v>
      </c>
      <c r="E2040" s="3">
        <f t="array" ref="E2040">INDEX($A$9:A2039, MAX(IF($D$9:D2039=1, ROW(D$9:$D2039)-ROW($D$9)+1, 0)))</f>
        <v>48933</v>
      </c>
      <c r="F2040" s="23">
        <f t="shared" si="405"/>
        <v>7.783709787816564</v>
      </c>
      <c r="G2040" s="5">
        <f>INDEX('Default Prob'!$P$5:$P$14,MIN(1+_xlfn.IFNA(MATCH(F2040,'Default Prob'!$F$5:$F$14,1),0),COUNT('Default Prob'!$P$5:$P$14)))</f>
        <v>4.1094539438249027E-2</v>
      </c>
      <c r="H2040" s="5">
        <f t="shared" si="414"/>
        <v>0.81392309659577944</v>
      </c>
      <c r="I2040" s="24">
        <f t="shared" si="415"/>
        <v>9.1580223082865508E-5</v>
      </c>
      <c r="J2040" s="25">
        <f>INDEX('Default Prob'!$C$3:$C$13, _xlfn.IFNA(MATCH(F2040, 'Default Prob'!$B$3:$B$13, 1), 1))</f>
        <v>2.29E-2</v>
      </c>
      <c r="K2040" s="26">
        <f t="shared" si="406"/>
        <v>0.83841954019496445</v>
      </c>
      <c r="L2040" s="27">
        <f t="shared" ca="1" si="407"/>
        <v>0</v>
      </c>
      <c r="M2040" s="27">
        <f t="shared" ca="1" si="408"/>
        <v>0</v>
      </c>
      <c r="N2040" s="28">
        <f t="shared" ca="1" si="409"/>
        <v>0</v>
      </c>
      <c r="O2040" s="29">
        <f t="shared" ca="1" si="410"/>
        <v>0</v>
      </c>
      <c r="P2040" s="30">
        <f t="shared" ca="1" si="411"/>
        <v>0</v>
      </c>
    </row>
    <row r="2041" spans="1:16" x14ac:dyDescent="0.25">
      <c r="A2041" s="3">
        <f t="shared" si="412"/>
        <v>48969</v>
      </c>
      <c r="B2041" s="21">
        <f t="shared" si="403"/>
        <v>36550</v>
      </c>
      <c r="C2041" s="21">
        <f t="shared" si="404"/>
        <v>36605</v>
      </c>
      <c r="D2041" s="1">
        <f t="shared" si="413"/>
        <v>0</v>
      </c>
      <c r="E2041" s="3">
        <f t="array" ref="E2041">INDEX($A$9:A2040, MAX(IF($D$9:D2040=1, ROW(D$9:$D2040)-ROW($D$9)+1, 0)))</f>
        <v>48933</v>
      </c>
      <c r="F2041" s="23">
        <f t="shared" si="405"/>
        <v>7.786447638603696</v>
      </c>
      <c r="G2041" s="5">
        <f>INDEX('Default Prob'!$P$5:$P$14,MIN(1+_xlfn.IFNA(MATCH(F2041,'Default Prob'!$F$5:$F$14,1),0),COUNT('Default Prob'!$P$5:$P$14)))</f>
        <v>4.1094539438249027E-2</v>
      </c>
      <c r="H2041" s="5">
        <f t="shared" si="414"/>
        <v>0.81383152667587355</v>
      </c>
      <c r="I2041" s="24">
        <f t="shared" si="415"/>
        <v>9.1569919905887254E-5</v>
      </c>
      <c r="J2041" s="25">
        <f>INDEX('Default Prob'!$C$3:$C$13, _xlfn.IFNA(MATCH(F2041, 'Default Prob'!$B$3:$B$13, 1), 1))</f>
        <v>2.29E-2</v>
      </c>
      <c r="K2041" s="26">
        <f t="shared" si="406"/>
        <v>0.8383675684471541</v>
      </c>
      <c r="L2041" s="27">
        <f t="shared" ca="1" si="407"/>
        <v>0</v>
      </c>
      <c r="M2041" s="27">
        <f t="shared" ca="1" si="408"/>
        <v>0</v>
      </c>
      <c r="N2041" s="28">
        <f t="shared" ca="1" si="409"/>
        <v>0</v>
      </c>
      <c r="O2041" s="29">
        <f t="shared" ca="1" si="410"/>
        <v>0</v>
      </c>
      <c r="P2041" s="30">
        <f t="shared" ca="1" si="411"/>
        <v>0</v>
      </c>
    </row>
    <row r="2042" spans="1:16" x14ac:dyDescent="0.25">
      <c r="A2042" s="3">
        <f t="shared" si="412"/>
        <v>48970</v>
      </c>
      <c r="B2042" s="21">
        <f t="shared" si="403"/>
        <v>36551</v>
      </c>
      <c r="C2042" s="21">
        <f t="shared" si="404"/>
        <v>36605</v>
      </c>
      <c r="D2042" s="1">
        <f t="shared" si="413"/>
        <v>0</v>
      </c>
      <c r="E2042" s="3">
        <f t="array" ref="E2042">INDEX($A$9:A2041, MAX(IF($D$9:D2041=1, ROW(D$9:$D2041)-ROW($D$9)+1, 0)))</f>
        <v>48933</v>
      </c>
      <c r="F2042" s="23">
        <f t="shared" si="405"/>
        <v>7.7891854893908281</v>
      </c>
      <c r="G2042" s="5">
        <f>INDEX('Default Prob'!$P$5:$P$14,MIN(1+_xlfn.IFNA(MATCH(F2042,'Default Prob'!$F$5:$F$14,1),0),COUNT('Default Prob'!$P$5:$P$14)))</f>
        <v>4.1094539438249027E-2</v>
      </c>
      <c r="H2042" s="5">
        <f t="shared" si="414"/>
        <v>0.81373996705798546</v>
      </c>
      <c r="I2042" s="24">
        <f t="shared" si="415"/>
        <v>9.1559617888092859E-5</v>
      </c>
      <c r="J2042" s="25">
        <f>INDEX('Default Prob'!$C$3:$C$13, _xlfn.IFNA(MATCH(F2042, 'Default Prob'!$B$3:$B$13, 1), 1))</f>
        <v>2.29E-2</v>
      </c>
      <c r="K2042" s="26">
        <f t="shared" si="406"/>
        <v>0.83831559992095606</v>
      </c>
      <c r="L2042" s="27">
        <f t="shared" ca="1" si="407"/>
        <v>0</v>
      </c>
      <c r="M2042" s="27">
        <f t="shared" ca="1" si="408"/>
        <v>0</v>
      </c>
      <c r="N2042" s="28">
        <f t="shared" ca="1" si="409"/>
        <v>0</v>
      </c>
      <c r="O2042" s="29">
        <f t="shared" ca="1" si="410"/>
        <v>0</v>
      </c>
      <c r="P2042" s="30">
        <f t="shared" ca="1" si="411"/>
        <v>0</v>
      </c>
    </row>
    <row r="2043" spans="1:16" x14ac:dyDescent="0.25">
      <c r="A2043" s="3">
        <f t="shared" si="412"/>
        <v>48971</v>
      </c>
      <c r="B2043" s="21">
        <f t="shared" si="403"/>
        <v>36552</v>
      </c>
      <c r="C2043" s="21">
        <f t="shared" si="404"/>
        <v>36605</v>
      </c>
      <c r="D2043" s="1">
        <f t="shared" si="413"/>
        <v>0</v>
      </c>
      <c r="E2043" s="3">
        <f t="array" ref="E2043">INDEX($A$9:A2042, MAX(IF($D$9:D2042=1, ROW(D$9:$D2042)-ROW($D$9)+1, 0)))</f>
        <v>48933</v>
      </c>
      <c r="F2043" s="23">
        <f t="shared" si="405"/>
        <v>7.7919233401779602</v>
      </c>
      <c r="G2043" s="5">
        <f>INDEX('Default Prob'!$P$5:$P$14,MIN(1+_xlfn.IFNA(MATCH(F2043,'Default Prob'!$F$5:$F$14,1),0),COUNT('Default Prob'!$P$5:$P$14)))</f>
        <v>4.1094539438249027E-2</v>
      </c>
      <c r="H2043" s="5">
        <f t="shared" si="414"/>
        <v>0.8136484177409562</v>
      </c>
      <c r="I2043" s="24">
        <f t="shared" si="415"/>
        <v>9.154931702926028E-5</v>
      </c>
      <c r="J2043" s="25">
        <f>INDEX('Default Prob'!$C$3:$C$13, _xlfn.IFNA(MATCH(F2043, 'Default Prob'!$B$3:$B$13, 1), 1))</f>
        <v>2.29E-2</v>
      </c>
      <c r="K2043" s="26">
        <f t="shared" si="406"/>
        <v>0.83826363461617015</v>
      </c>
      <c r="L2043" s="27">
        <f t="shared" ca="1" si="407"/>
        <v>0</v>
      </c>
      <c r="M2043" s="27">
        <f t="shared" ca="1" si="408"/>
        <v>0</v>
      </c>
      <c r="N2043" s="28">
        <f t="shared" ca="1" si="409"/>
        <v>0</v>
      </c>
      <c r="O2043" s="29">
        <f t="shared" ca="1" si="410"/>
        <v>0</v>
      </c>
      <c r="P2043" s="30">
        <f t="shared" ca="1" si="411"/>
        <v>0</v>
      </c>
    </row>
    <row r="2044" spans="1:16" x14ac:dyDescent="0.25">
      <c r="A2044" s="3">
        <f t="shared" si="412"/>
        <v>48974</v>
      </c>
      <c r="B2044" s="21">
        <f t="shared" si="403"/>
        <v>36555</v>
      </c>
      <c r="C2044" s="21">
        <f t="shared" si="404"/>
        <v>36605</v>
      </c>
      <c r="D2044" s="1">
        <f t="shared" si="413"/>
        <v>0</v>
      </c>
      <c r="E2044" s="3">
        <f t="array" ref="E2044">INDEX($A$9:A2043, MAX(IF($D$9:D2043=1, ROW(D$9:$D2043)-ROW($D$9)+1, 0)))</f>
        <v>48933</v>
      </c>
      <c r="F2044" s="23">
        <f t="shared" si="405"/>
        <v>7.8001368925393564</v>
      </c>
      <c r="G2044" s="5">
        <f>INDEX('Default Prob'!$P$5:$P$14,MIN(1+_xlfn.IFNA(MATCH(F2044,'Default Prob'!$F$5:$F$14,1),0),COUNT('Default Prob'!$P$5:$P$14)))</f>
        <v>4.1094539438249027E-2</v>
      </c>
      <c r="H2044" s="5">
        <f t="shared" si="414"/>
        <v>0.81337383158343268</v>
      </c>
      <c r="I2044" s="24">
        <f t="shared" si="415"/>
        <v>2.7458615752351534E-4</v>
      </c>
      <c r="J2044" s="25">
        <f>INDEX('Default Prob'!$C$3:$C$13, _xlfn.IFNA(MATCH(F2044, 'Default Prob'!$B$3:$B$13, 1), 1))</f>
        <v>2.29E-2</v>
      </c>
      <c r="K2044" s="26">
        <f t="shared" si="406"/>
        <v>0.83810775802829096</v>
      </c>
      <c r="L2044" s="27">
        <f t="shared" ca="1" si="407"/>
        <v>0</v>
      </c>
      <c r="M2044" s="27">
        <f t="shared" ca="1" si="408"/>
        <v>0</v>
      </c>
      <c r="N2044" s="28">
        <f t="shared" ca="1" si="409"/>
        <v>0</v>
      </c>
      <c r="O2044" s="29">
        <f t="shared" ca="1" si="410"/>
        <v>0</v>
      </c>
      <c r="P2044" s="30">
        <f t="shared" ca="1" si="411"/>
        <v>0</v>
      </c>
    </row>
    <row r="2045" spans="1:16" x14ac:dyDescent="0.25">
      <c r="A2045" s="3">
        <f t="shared" si="412"/>
        <v>48975</v>
      </c>
      <c r="B2045" s="21">
        <f t="shared" si="403"/>
        <v>36556</v>
      </c>
      <c r="C2045" s="21">
        <f t="shared" si="404"/>
        <v>36605</v>
      </c>
      <c r="D2045" s="1">
        <f t="shared" si="413"/>
        <v>0</v>
      </c>
      <c r="E2045" s="3">
        <f t="array" ref="E2045">INDEX($A$9:A2044, MAX(IF($D$9:D2044=1, ROW(D$9:$D2044)-ROW($D$9)+1, 0)))</f>
        <v>48933</v>
      </c>
      <c r="F2045" s="23">
        <f t="shared" si="405"/>
        <v>7.8028747433264884</v>
      </c>
      <c r="G2045" s="5">
        <f>INDEX('Default Prob'!$P$5:$P$14,MIN(1+_xlfn.IFNA(MATCH(F2045,'Default Prob'!$F$5:$F$14,1),0),COUNT('Default Prob'!$P$5:$P$14)))</f>
        <v>4.1094539438249027E-2</v>
      </c>
      <c r="H2045" s="5">
        <f t="shared" si="414"/>
        <v>0.81328232345825091</v>
      </c>
      <c r="I2045" s="24">
        <f t="shared" si="415"/>
        <v>9.150812518177176E-5</v>
      </c>
      <c r="J2045" s="25">
        <f>INDEX('Default Prob'!$C$3:$C$13, _xlfn.IFNA(MATCH(F2045, 'Default Prob'!$B$3:$B$13, 1), 1))</f>
        <v>2.29E-2</v>
      </c>
      <c r="K2045" s="26">
        <f t="shared" si="406"/>
        <v>0.83805580560715809</v>
      </c>
      <c r="L2045" s="27">
        <f t="shared" ca="1" si="407"/>
        <v>0</v>
      </c>
      <c r="M2045" s="27">
        <f t="shared" ca="1" si="408"/>
        <v>0</v>
      </c>
      <c r="N2045" s="28">
        <f t="shared" ca="1" si="409"/>
        <v>0</v>
      </c>
      <c r="O2045" s="29">
        <f t="shared" ca="1" si="410"/>
        <v>0</v>
      </c>
      <c r="P2045" s="30">
        <f t="shared" ca="1" si="411"/>
        <v>0</v>
      </c>
    </row>
    <row r="2046" spans="1:16" x14ac:dyDescent="0.25">
      <c r="A2046" s="3">
        <f t="shared" si="412"/>
        <v>48976</v>
      </c>
      <c r="B2046" s="21">
        <f t="shared" si="403"/>
        <v>36557</v>
      </c>
      <c r="C2046" s="21">
        <f t="shared" si="404"/>
        <v>36605</v>
      </c>
      <c r="D2046" s="1">
        <f t="shared" si="413"/>
        <v>0</v>
      </c>
      <c r="E2046" s="3">
        <f t="array" ref="E2046">INDEX($A$9:A2045, MAX(IF($D$9:D2045=1, ROW(D$9:$D2045)-ROW($D$9)+1, 0)))</f>
        <v>48933</v>
      </c>
      <c r="F2046" s="23">
        <f t="shared" si="405"/>
        <v>7.8056125941136205</v>
      </c>
      <c r="G2046" s="5">
        <f>INDEX('Default Prob'!$P$5:$P$14,MIN(1+_xlfn.IFNA(MATCH(F2046,'Default Prob'!$F$5:$F$14,1),0),COUNT('Default Prob'!$P$5:$P$14)))</f>
        <v>4.1094539438249027E-2</v>
      </c>
      <c r="H2046" s="5">
        <f t="shared" si="414"/>
        <v>0.81319082562813472</v>
      </c>
      <c r="I2046" s="24">
        <f t="shared" si="415"/>
        <v>9.1497830116193946E-5</v>
      </c>
      <c r="J2046" s="25">
        <f>INDEX('Default Prob'!$C$3:$C$13, _xlfn.IFNA(MATCH(F2046, 'Default Prob'!$B$3:$B$13, 1), 1))</f>
        <v>2.29E-2</v>
      </c>
      <c r="K2046" s="26">
        <f t="shared" si="406"/>
        <v>0.8380038564064396</v>
      </c>
      <c r="L2046" s="27">
        <f t="shared" ca="1" si="407"/>
        <v>0</v>
      </c>
      <c r="M2046" s="27">
        <f t="shared" ca="1" si="408"/>
        <v>0</v>
      </c>
      <c r="N2046" s="28">
        <f t="shared" ca="1" si="409"/>
        <v>0</v>
      </c>
      <c r="O2046" s="29">
        <f t="shared" ca="1" si="410"/>
        <v>0</v>
      </c>
      <c r="P2046" s="30">
        <f t="shared" ca="1" si="411"/>
        <v>0</v>
      </c>
    </row>
    <row r="2047" spans="1:16" x14ac:dyDescent="0.25">
      <c r="A2047" s="3">
        <f t="shared" si="412"/>
        <v>48977</v>
      </c>
      <c r="B2047" s="21">
        <f t="shared" si="403"/>
        <v>36558</v>
      </c>
      <c r="C2047" s="21">
        <f t="shared" si="404"/>
        <v>36605</v>
      </c>
      <c r="D2047" s="1">
        <f t="shared" si="413"/>
        <v>0</v>
      </c>
      <c r="E2047" s="3">
        <f t="array" ref="E2047">INDEX($A$9:A2046, MAX(IF($D$9:D2046=1, ROW(D$9:$D2046)-ROW($D$9)+1, 0)))</f>
        <v>48933</v>
      </c>
      <c r="F2047" s="23">
        <f t="shared" si="405"/>
        <v>7.8083504449007526</v>
      </c>
      <c r="G2047" s="5">
        <f>INDEX('Default Prob'!$P$5:$P$14,MIN(1+_xlfn.IFNA(MATCH(F2047,'Default Prob'!$F$5:$F$14,1),0),COUNT('Default Prob'!$P$5:$P$14)))</f>
        <v>4.1094539438249027E-2</v>
      </c>
      <c r="H2047" s="5">
        <f t="shared" si="414"/>
        <v>0.81309933809192592</v>
      </c>
      <c r="I2047" s="24">
        <f t="shared" si="415"/>
        <v>9.148753620880079E-5</v>
      </c>
      <c r="J2047" s="25">
        <f>INDEX('Default Prob'!$C$3:$C$13, _xlfn.IFNA(MATCH(F2047, 'Default Prob'!$B$3:$B$13, 1), 1))</f>
        <v>2.29E-2</v>
      </c>
      <c r="K2047" s="26">
        <f t="shared" si="406"/>
        <v>0.83795191042593542</v>
      </c>
      <c r="L2047" s="27">
        <f t="shared" ca="1" si="407"/>
        <v>0</v>
      </c>
      <c r="M2047" s="27">
        <f t="shared" ca="1" si="408"/>
        <v>0</v>
      </c>
      <c r="N2047" s="28">
        <f t="shared" ca="1" si="409"/>
        <v>0</v>
      </c>
      <c r="O2047" s="29">
        <f t="shared" ca="1" si="410"/>
        <v>0</v>
      </c>
      <c r="P2047" s="30">
        <f t="shared" ca="1" si="411"/>
        <v>0</v>
      </c>
    </row>
    <row r="2048" spans="1:16" x14ac:dyDescent="0.25">
      <c r="A2048" s="3">
        <f t="shared" si="412"/>
        <v>48978</v>
      </c>
      <c r="B2048" s="21">
        <f t="shared" si="403"/>
        <v>36559</v>
      </c>
      <c r="C2048" s="21">
        <f t="shared" si="404"/>
        <v>36605</v>
      </c>
      <c r="D2048" s="1">
        <f t="shared" si="413"/>
        <v>0</v>
      </c>
      <c r="E2048" s="3">
        <f t="array" ref="E2048">INDEX($A$9:A2047, MAX(IF($D$9:D2047=1, ROW(D$9:$D2047)-ROW($D$9)+1, 0)))</f>
        <v>48933</v>
      </c>
      <c r="F2048" s="23">
        <f t="shared" si="405"/>
        <v>7.8110882956878847</v>
      </c>
      <c r="G2048" s="5">
        <f>INDEX('Default Prob'!$P$5:$P$14,MIN(1+_xlfn.IFNA(MATCH(F2048,'Default Prob'!$F$5:$F$14,1),0),COUNT('Default Prob'!$P$5:$P$14)))</f>
        <v>4.1094539438249027E-2</v>
      </c>
      <c r="H2048" s="5">
        <f t="shared" si="414"/>
        <v>0.81300786084846643</v>
      </c>
      <c r="I2048" s="24">
        <f t="shared" si="415"/>
        <v>9.1477243459481272E-5</v>
      </c>
      <c r="J2048" s="25">
        <f>INDEX('Default Prob'!$C$3:$C$13, _xlfn.IFNA(MATCH(F2048, 'Default Prob'!$B$3:$B$13, 1), 1))</f>
        <v>2.29E-2</v>
      </c>
      <c r="K2048" s="26">
        <f t="shared" si="406"/>
        <v>0.83789996766544617</v>
      </c>
      <c r="L2048" s="27">
        <f t="shared" ca="1" si="407"/>
        <v>0</v>
      </c>
      <c r="M2048" s="27">
        <f t="shared" ca="1" si="408"/>
        <v>0</v>
      </c>
      <c r="N2048" s="28">
        <f t="shared" ca="1" si="409"/>
        <v>0</v>
      </c>
      <c r="O2048" s="29">
        <f t="shared" ca="1" si="410"/>
        <v>0</v>
      </c>
      <c r="P2048" s="30">
        <f t="shared" ca="1" si="411"/>
        <v>0</v>
      </c>
    </row>
    <row r="2049" spans="1:16" x14ac:dyDescent="0.25">
      <c r="A2049" s="3">
        <f t="shared" si="412"/>
        <v>48981</v>
      </c>
      <c r="B2049" s="21">
        <f t="shared" si="403"/>
        <v>36562</v>
      </c>
      <c r="C2049" s="21">
        <f t="shared" si="404"/>
        <v>36605</v>
      </c>
      <c r="D2049" s="1">
        <f t="shared" si="413"/>
        <v>0</v>
      </c>
      <c r="E2049" s="3">
        <f t="array" ref="E2049">INDEX($A$9:A2048, MAX(IF($D$9:D2048=1, ROW(D$9:$D2048)-ROW($D$9)+1, 0)))</f>
        <v>48933</v>
      </c>
      <c r="F2049" s="23">
        <f t="shared" si="405"/>
        <v>7.8193018480492817</v>
      </c>
      <c r="G2049" s="5">
        <f>INDEX('Default Prob'!$P$5:$P$14,MIN(1+_xlfn.IFNA(MATCH(F2049,'Default Prob'!$F$5:$F$14,1),0),COUNT('Default Prob'!$P$5:$P$14)))</f>
        <v>4.1094539438249027E-2</v>
      </c>
      <c r="H2049" s="5">
        <f t="shared" si="414"/>
        <v>0.81273349086300439</v>
      </c>
      <c r="I2049" s="24">
        <f t="shared" si="415"/>
        <v>2.7436998546204183E-4</v>
      </c>
      <c r="J2049" s="25">
        <f>INDEX('Default Prob'!$C$3:$C$13, _xlfn.IFNA(MATCH(F2049, 'Default Prob'!$B$3:$B$13, 1), 1))</f>
        <v>2.29E-2</v>
      </c>
      <c r="K2049" s="26">
        <f t="shared" si="406"/>
        <v>0.83774415870207197</v>
      </c>
      <c r="L2049" s="27">
        <f t="shared" ca="1" si="407"/>
        <v>0</v>
      </c>
      <c r="M2049" s="27">
        <f t="shared" ca="1" si="408"/>
        <v>0</v>
      </c>
      <c r="N2049" s="28">
        <f t="shared" ca="1" si="409"/>
        <v>0</v>
      </c>
      <c r="O2049" s="29">
        <f t="shared" ca="1" si="410"/>
        <v>0</v>
      </c>
      <c r="P2049" s="30">
        <f t="shared" ca="1" si="411"/>
        <v>0</v>
      </c>
    </row>
    <row r="2050" spans="1:16" x14ac:dyDescent="0.25">
      <c r="A2050" s="3">
        <f t="shared" si="412"/>
        <v>48982</v>
      </c>
      <c r="B2050" s="21">
        <f t="shared" si="403"/>
        <v>36563</v>
      </c>
      <c r="C2050" s="21">
        <f t="shared" si="404"/>
        <v>36605</v>
      </c>
      <c r="D2050" s="1">
        <f t="shared" si="413"/>
        <v>0</v>
      </c>
      <c r="E2050" s="3">
        <f t="array" ref="E2050">INDEX($A$9:A2049, MAX(IF($D$9:D2049=1, ROW(D$9:$D2049)-ROW($D$9)+1, 0)))</f>
        <v>48933</v>
      </c>
      <c r="F2050" s="23">
        <f t="shared" si="405"/>
        <v>7.8220396988364138</v>
      </c>
      <c r="G2050" s="5">
        <f>INDEX('Default Prob'!$P$5:$P$14,MIN(1+_xlfn.IFNA(MATCH(F2050,'Default Prob'!$F$5:$F$14,1),0),COUNT('Default Prob'!$P$5:$P$14)))</f>
        <v>4.1094539438249027E-2</v>
      </c>
      <c r="H2050" s="5">
        <f t="shared" si="414"/>
        <v>0.81264205477896345</v>
      </c>
      <c r="I2050" s="24">
        <f t="shared" si="415"/>
        <v>9.1436084040941168E-5</v>
      </c>
      <c r="J2050" s="25">
        <f>INDEX('Default Prob'!$C$3:$C$13, _xlfn.IFNA(MATCH(F2050, 'Default Prob'!$B$3:$B$13, 1), 1))</f>
        <v>2.29E-2</v>
      </c>
      <c r="K2050" s="26">
        <f t="shared" si="406"/>
        <v>0.83769222881964633</v>
      </c>
      <c r="L2050" s="27">
        <f t="shared" ca="1" si="407"/>
        <v>0</v>
      </c>
      <c r="M2050" s="27">
        <f t="shared" ca="1" si="408"/>
        <v>0</v>
      </c>
      <c r="N2050" s="28">
        <f t="shared" ca="1" si="409"/>
        <v>0</v>
      </c>
      <c r="O2050" s="29">
        <f t="shared" ca="1" si="410"/>
        <v>0</v>
      </c>
      <c r="P2050" s="30">
        <f t="shared" ca="1" si="411"/>
        <v>0</v>
      </c>
    </row>
    <row r="2051" spans="1:16" x14ac:dyDescent="0.25">
      <c r="A2051" s="3">
        <f t="shared" si="412"/>
        <v>48983</v>
      </c>
      <c r="B2051" s="21">
        <f t="shared" si="403"/>
        <v>36564</v>
      </c>
      <c r="C2051" s="21">
        <f t="shared" si="404"/>
        <v>36605</v>
      </c>
      <c r="D2051" s="1">
        <f t="shared" si="413"/>
        <v>0</v>
      </c>
      <c r="E2051" s="3">
        <f t="array" ref="E2051">INDEX($A$9:A2050, MAX(IF($D$9:D2050=1, ROW(D$9:$D2050)-ROW($D$9)+1, 0)))</f>
        <v>48933</v>
      </c>
      <c r="F2051" s="23">
        <f t="shared" si="405"/>
        <v>7.8247775496235459</v>
      </c>
      <c r="G2051" s="5">
        <f>INDEX('Default Prob'!$P$5:$P$14,MIN(1+_xlfn.IFNA(MATCH(F2051,'Default Prob'!$F$5:$F$14,1),0),COUNT('Default Prob'!$P$5:$P$14)))</f>
        <v>4.1094539438249027E-2</v>
      </c>
      <c r="H2051" s="5">
        <f t="shared" si="414"/>
        <v>0.81255062898188324</v>
      </c>
      <c r="I2051" s="24">
        <f t="shared" si="415"/>
        <v>9.1425797080213478E-5</v>
      </c>
      <c r="J2051" s="25">
        <f>INDEX('Default Prob'!$C$3:$C$13, _xlfn.IFNA(MATCH(F2051, 'Default Prob'!$B$3:$B$13, 1), 1))</f>
        <v>2.29E-2</v>
      </c>
      <c r="K2051" s="26">
        <f t="shared" si="406"/>
        <v>0.83764030215623764</v>
      </c>
      <c r="L2051" s="27">
        <f t="shared" ca="1" si="407"/>
        <v>0</v>
      </c>
      <c r="M2051" s="27">
        <f t="shared" ca="1" si="408"/>
        <v>0</v>
      </c>
      <c r="N2051" s="28">
        <f t="shared" ca="1" si="409"/>
        <v>0</v>
      </c>
      <c r="O2051" s="29">
        <f t="shared" ca="1" si="410"/>
        <v>0</v>
      </c>
      <c r="P2051" s="30">
        <f t="shared" ca="1" si="411"/>
        <v>0</v>
      </c>
    </row>
    <row r="2052" spans="1:16" x14ac:dyDescent="0.25">
      <c r="A2052" s="3">
        <f t="shared" si="412"/>
        <v>48984</v>
      </c>
      <c r="B2052" s="21">
        <f t="shared" si="403"/>
        <v>36565</v>
      </c>
      <c r="C2052" s="21">
        <f t="shared" si="404"/>
        <v>36605</v>
      </c>
      <c r="D2052" s="1">
        <f t="shared" si="413"/>
        <v>0</v>
      </c>
      <c r="E2052" s="3">
        <f t="array" ref="E2052">INDEX($A$9:A2051, MAX(IF($D$9:D2051=1, ROW(D$9:$D2051)-ROW($D$9)+1, 0)))</f>
        <v>48933</v>
      </c>
      <c r="F2052" s="23">
        <f t="shared" si="405"/>
        <v>7.8275154004106779</v>
      </c>
      <c r="G2052" s="5">
        <f>INDEX('Default Prob'!$P$5:$P$14,MIN(1+_xlfn.IFNA(MATCH(F2052,'Default Prob'!$F$5:$F$14,1),0),COUNT('Default Prob'!$P$5:$P$14)))</f>
        <v>4.1094539438249027E-2</v>
      </c>
      <c r="H2052" s="5">
        <f t="shared" si="414"/>
        <v>0.81245921347060635</v>
      </c>
      <c r="I2052" s="24">
        <f t="shared" si="415"/>
        <v>9.1415511276893291E-5</v>
      </c>
      <c r="J2052" s="25">
        <f>INDEX('Default Prob'!$C$3:$C$13, _xlfn.IFNA(MATCH(F2052, 'Default Prob'!$B$3:$B$13, 1), 1))</f>
        <v>2.29E-2</v>
      </c>
      <c r="K2052" s="26">
        <f t="shared" si="406"/>
        <v>0.8375883787116466</v>
      </c>
      <c r="L2052" s="27">
        <f t="shared" ca="1" si="407"/>
        <v>0</v>
      </c>
      <c r="M2052" s="27">
        <f t="shared" ca="1" si="408"/>
        <v>0</v>
      </c>
      <c r="N2052" s="28">
        <f t="shared" ca="1" si="409"/>
        <v>0</v>
      </c>
      <c r="O2052" s="29">
        <f t="shared" ca="1" si="410"/>
        <v>0</v>
      </c>
      <c r="P2052" s="30">
        <f t="shared" ca="1" si="411"/>
        <v>0</v>
      </c>
    </row>
    <row r="2053" spans="1:16" x14ac:dyDescent="0.25">
      <c r="A2053" s="3">
        <f t="shared" si="412"/>
        <v>48985</v>
      </c>
      <c r="B2053" s="21">
        <f t="shared" si="403"/>
        <v>36566</v>
      </c>
      <c r="C2053" s="21">
        <f t="shared" si="404"/>
        <v>36605</v>
      </c>
      <c r="D2053" s="1">
        <f t="shared" si="413"/>
        <v>0</v>
      </c>
      <c r="E2053" s="3">
        <f t="array" ref="E2053">INDEX($A$9:A2052, MAX(IF($D$9:D2052=1, ROW(D$9:$D2052)-ROW($D$9)+1, 0)))</f>
        <v>48933</v>
      </c>
      <c r="F2053" s="23">
        <f t="shared" si="405"/>
        <v>7.83025325119781</v>
      </c>
      <c r="G2053" s="5">
        <f>INDEX('Default Prob'!$P$5:$P$14,MIN(1+_xlfn.IFNA(MATCH(F2053,'Default Prob'!$F$5:$F$14,1),0),COUNT('Default Prob'!$P$5:$P$14)))</f>
        <v>4.1094539438249027E-2</v>
      </c>
      <c r="H2053" s="5">
        <f t="shared" si="414"/>
        <v>0.8123678082439757</v>
      </c>
      <c r="I2053" s="24">
        <f t="shared" si="415"/>
        <v>9.140522663064754E-5</v>
      </c>
      <c r="J2053" s="25">
        <f>INDEX('Default Prob'!$C$3:$C$13, _xlfn.IFNA(MATCH(F2053, 'Default Prob'!$B$3:$B$13, 1), 1))</f>
        <v>2.29E-2</v>
      </c>
      <c r="K2053" s="26">
        <f t="shared" si="406"/>
        <v>0.83753645848567337</v>
      </c>
      <c r="L2053" s="27">
        <f t="shared" ca="1" si="407"/>
        <v>0</v>
      </c>
      <c r="M2053" s="27">
        <f t="shared" ca="1" si="408"/>
        <v>0</v>
      </c>
      <c r="N2053" s="28">
        <f t="shared" ca="1" si="409"/>
        <v>0</v>
      </c>
      <c r="O2053" s="29">
        <f t="shared" ca="1" si="410"/>
        <v>0</v>
      </c>
      <c r="P2053" s="30">
        <f t="shared" ca="1" si="411"/>
        <v>0</v>
      </c>
    </row>
    <row r="2054" spans="1:16" x14ac:dyDescent="0.25">
      <c r="A2054" s="3">
        <f t="shared" si="412"/>
        <v>48988</v>
      </c>
      <c r="B2054" s="21">
        <f t="shared" si="403"/>
        <v>36569</v>
      </c>
      <c r="C2054" s="21">
        <f t="shared" si="404"/>
        <v>36605</v>
      </c>
      <c r="D2054" s="1">
        <f t="shared" si="413"/>
        <v>0</v>
      </c>
      <c r="E2054" s="3">
        <f t="array" ref="E2054">INDEX($A$9:A2053, MAX(IF($D$9:D2053=1, ROW(D$9:$D2053)-ROW($D$9)+1, 0)))</f>
        <v>48933</v>
      </c>
      <c r="F2054" s="23">
        <f t="shared" si="405"/>
        <v>7.8384668035592062</v>
      </c>
      <c r="G2054" s="5">
        <f>INDEX('Default Prob'!$P$5:$P$14,MIN(1+_xlfn.IFNA(MATCH(F2054,'Default Prob'!$F$5:$F$14,1),0),COUNT('Default Prob'!$P$5:$P$14)))</f>
        <v>4.1094539438249027E-2</v>
      </c>
      <c r="H2054" s="5">
        <f t="shared" si="414"/>
        <v>0.81209365426039049</v>
      </c>
      <c r="I2054" s="24">
        <f t="shared" si="415"/>
        <v>2.7415398358521248E-4</v>
      </c>
      <c r="J2054" s="25">
        <f>INDEX('Default Prob'!$C$3:$C$13, _xlfn.IFNA(MATCH(F2054, 'Default Prob'!$B$3:$B$13, 1), 1))</f>
        <v>2.29E-2</v>
      </c>
      <c r="K2054" s="26">
        <f t="shared" si="406"/>
        <v>0.83738071711746642</v>
      </c>
      <c r="L2054" s="27">
        <f t="shared" ca="1" si="407"/>
        <v>0</v>
      </c>
      <c r="M2054" s="27">
        <f t="shared" ca="1" si="408"/>
        <v>0</v>
      </c>
      <c r="N2054" s="28">
        <f t="shared" ca="1" si="409"/>
        <v>0</v>
      </c>
      <c r="O2054" s="29">
        <f t="shared" ca="1" si="410"/>
        <v>0</v>
      </c>
      <c r="P2054" s="30">
        <f t="shared" ca="1" si="411"/>
        <v>0</v>
      </c>
    </row>
    <row r="2055" spans="1:16" x14ac:dyDescent="0.25">
      <c r="A2055" s="3">
        <f t="shared" si="412"/>
        <v>48989</v>
      </c>
      <c r="B2055" s="21">
        <f t="shared" si="403"/>
        <v>36570</v>
      </c>
      <c r="C2055" s="21">
        <f t="shared" si="404"/>
        <v>36605</v>
      </c>
      <c r="D2055" s="1">
        <f t="shared" si="413"/>
        <v>0</v>
      </c>
      <c r="E2055" s="3">
        <f t="array" ref="E2055">INDEX($A$9:A2054, MAX(IF($D$9:D2054=1, ROW(D$9:$D2054)-ROW($D$9)+1, 0)))</f>
        <v>48933</v>
      </c>
      <c r="F2055" s="23">
        <f t="shared" si="405"/>
        <v>7.8412046543463383</v>
      </c>
      <c r="G2055" s="5">
        <f>INDEX('Default Prob'!$P$5:$P$14,MIN(1+_xlfn.IFNA(MATCH(F2055,'Default Prob'!$F$5:$F$14,1),0),COUNT('Default Prob'!$P$5:$P$14)))</f>
        <v>4.1094539438249027E-2</v>
      </c>
      <c r="H2055" s="5">
        <f t="shared" si="414"/>
        <v>0.81200229016077508</v>
      </c>
      <c r="I2055" s="24">
        <f t="shared" si="415"/>
        <v>9.13640996154097E-5</v>
      </c>
      <c r="J2055" s="25">
        <f>INDEX('Default Prob'!$C$3:$C$13, _xlfn.IFNA(MATCH(F2055, 'Default Prob'!$B$3:$B$13, 1), 1))</f>
        <v>2.29E-2</v>
      </c>
      <c r="K2055" s="26">
        <f t="shared" si="406"/>
        <v>0.83732880976396984</v>
      </c>
      <c r="L2055" s="27">
        <f t="shared" ca="1" si="407"/>
        <v>0</v>
      </c>
      <c r="M2055" s="27">
        <f t="shared" ca="1" si="408"/>
        <v>0</v>
      </c>
      <c r="N2055" s="28">
        <f t="shared" ca="1" si="409"/>
        <v>0</v>
      </c>
      <c r="O2055" s="29">
        <f t="shared" ca="1" si="410"/>
        <v>0</v>
      </c>
      <c r="P2055" s="30">
        <f t="shared" ca="1" si="411"/>
        <v>0</v>
      </c>
    </row>
    <row r="2056" spans="1:16" x14ac:dyDescent="0.25">
      <c r="A2056" s="3">
        <f t="shared" si="412"/>
        <v>48990</v>
      </c>
      <c r="B2056" s="21">
        <f t="shared" si="403"/>
        <v>36571</v>
      </c>
      <c r="C2056" s="21">
        <f t="shared" si="404"/>
        <v>36605</v>
      </c>
      <c r="D2056" s="1">
        <f t="shared" si="413"/>
        <v>0</v>
      </c>
      <c r="E2056" s="3">
        <f t="array" ref="E2056">INDEX($A$9:A2055, MAX(IF($D$9:D2055=1, ROW(D$9:$D2055)-ROW($D$9)+1, 0)))</f>
        <v>48933</v>
      </c>
      <c r="F2056" s="23">
        <f t="shared" si="405"/>
        <v>7.8439425051334704</v>
      </c>
      <c r="G2056" s="5">
        <f>INDEX('Default Prob'!$P$5:$P$14,MIN(1+_xlfn.IFNA(MATCH(F2056,'Default Prob'!$F$5:$F$14,1),0),COUNT('Default Prob'!$P$5:$P$14)))</f>
        <v>4.1094539438249027E-2</v>
      </c>
      <c r="H2056" s="5">
        <f t="shared" si="414"/>
        <v>0.81191093634002176</v>
      </c>
      <c r="I2056" s="24">
        <f t="shared" si="415"/>
        <v>9.1353820753314885E-5</v>
      </c>
      <c r="J2056" s="25">
        <f>INDEX('Default Prob'!$C$3:$C$13, _xlfn.IFNA(MATCH(F2056, 'Default Prob'!$B$3:$B$13, 1), 1))</f>
        <v>2.29E-2</v>
      </c>
      <c r="K2056" s="26">
        <f t="shared" si="406"/>
        <v>0.83727690562809387</v>
      </c>
      <c r="L2056" s="27">
        <f t="shared" ca="1" si="407"/>
        <v>0</v>
      </c>
      <c r="M2056" s="27">
        <f t="shared" ca="1" si="408"/>
        <v>0</v>
      </c>
      <c r="N2056" s="28">
        <f t="shared" ca="1" si="409"/>
        <v>0</v>
      </c>
      <c r="O2056" s="29">
        <f t="shared" ca="1" si="410"/>
        <v>0</v>
      </c>
      <c r="P2056" s="30">
        <f t="shared" ca="1" si="411"/>
        <v>0</v>
      </c>
    </row>
    <row r="2057" spans="1:16" x14ac:dyDescent="0.25">
      <c r="A2057" s="3">
        <f t="shared" si="412"/>
        <v>48991</v>
      </c>
      <c r="B2057" s="21">
        <f t="shared" ref="B2057:B2120" si="416">DATE(2000, MONTH(A2057), DAY(A2057))</f>
        <v>36572</v>
      </c>
      <c r="C2057" s="21">
        <f t="shared" ref="C2057:C2120" si="417">VLOOKUP(B2057, $R$9:$S$13, 2)</f>
        <v>36605</v>
      </c>
      <c r="D2057" s="1">
        <f t="shared" si="413"/>
        <v>0</v>
      </c>
      <c r="E2057" s="3">
        <f t="array" ref="E2057">INDEX($A$9:A2056, MAX(IF($D$9:D2056=1, ROW(D$9:$D2056)-ROW($D$9)+1, 0)))</f>
        <v>48933</v>
      </c>
      <c r="F2057" s="23">
        <f t="shared" ref="F2057:F2120" si="418">(A2057-$A$2)/365.25</f>
        <v>7.8466803559206024</v>
      </c>
      <c r="G2057" s="5">
        <f>INDEX('Default Prob'!$P$5:$P$14,MIN(1+_xlfn.IFNA(MATCH(F2057,'Default Prob'!$F$5:$F$14,1),0),COUNT('Default Prob'!$P$5:$P$14)))</f>
        <v>4.1094539438249027E-2</v>
      </c>
      <c r="H2057" s="5">
        <f t="shared" si="414"/>
        <v>0.81181959279697413</v>
      </c>
      <c r="I2057" s="24">
        <f t="shared" si="415"/>
        <v>9.1343543047628373E-5</v>
      </c>
      <c r="J2057" s="25">
        <f>INDEX('Default Prob'!$C$3:$C$13, _xlfn.IFNA(MATCH(F2057, 'Default Prob'!$B$3:$B$13, 1), 1))</f>
        <v>2.29E-2</v>
      </c>
      <c r="K2057" s="26">
        <f t="shared" ref="K2057:K2120" si="419">1/((1+J2057)^F2057)</f>
        <v>0.8372250047096389</v>
      </c>
      <c r="L2057" s="27">
        <f t="shared" ref="L2057:L2120" ca="1" si="420">IF(AND(D2057, A2057 &lt;= $G$2), $D$5*$D$2*(A2057-E2057)/365.25, 0)</f>
        <v>0</v>
      </c>
      <c r="M2057" s="27">
        <f t="shared" ref="M2057:M2120" ca="1" si="421">IF(A2057&lt;=$G$2, $D$5*$D$2*(A2057-E2057)/365.25, 0)</f>
        <v>0</v>
      </c>
      <c r="N2057" s="28">
        <f t="shared" ref="N2057:N2120" ca="1" si="422">(L2057*H2057 + M2057*I2057) * K2057</f>
        <v>0</v>
      </c>
      <c r="O2057" s="29">
        <f t="shared" ref="O2057:O2120" ca="1" si="423">IF(A2057&lt;=$G$2, $D$2*(1-$D$3), 0)</f>
        <v>0</v>
      </c>
      <c r="P2057" s="30">
        <f t="shared" ref="P2057:P2120" ca="1" si="424">O2057*I2057*K2057</f>
        <v>0</v>
      </c>
    </row>
    <row r="2058" spans="1:16" x14ac:dyDescent="0.25">
      <c r="A2058" s="3">
        <f t="shared" ref="A2058:A2121" si="425">WORKDAY(A2057, 1)</f>
        <v>48992</v>
      </c>
      <c r="B2058" s="21">
        <f t="shared" si="416"/>
        <v>36573</v>
      </c>
      <c r="C2058" s="21">
        <f t="shared" si="417"/>
        <v>36605</v>
      </c>
      <c r="D2058" s="1">
        <f t="shared" ref="D2058:D2121" si="426">IF(OR(C2058=B2058, AND(C2058&lt;&gt;C2057, C2057&gt;B2057)), 1, 0)</f>
        <v>0</v>
      </c>
      <c r="E2058" s="3">
        <f t="array" ref="E2058">INDEX($A$9:A2057, MAX(IF($D$9:D2057=1, ROW(D$9:$D2057)-ROW($D$9)+1, 0)))</f>
        <v>48933</v>
      </c>
      <c r="F2058" s="23">
        <f t="shared" si="418"/>
        <v>7.8494182067077345</v>
      </c>
      <c r="G2058" s="5">
        <f>INDEX('Default Prob'!$P$5:$P$14,MIN(1+_xlfn.IFNA(MATCH(F2058,'Default Prob'!$F$5:$F$14,1),0),COUNT('Default Prob'!$P$5:$P$14)))</f>
        <v>4.1094539438249027E-2</v>
      </c>
      <c r="H2058" s="5">
        <f t="shared" ref="H2058:H2121" si="427">H2057*EXP(-G2057*(F2058-F2057))</f>
        <v>0.81172825953047589</v>
      </c>
      <c r="I2058" s="24">
        <f t="shared" ref="I2058:I2121" si="428">H2057-H2058</f>
        <v>9.1333266498239141E-5</v>
      </c>
      <c r="J2058" s="25">
        <f>INDEX('Default Prob'!$C$3:$C$13, _xlfn.IFNA(MATCH(F2058, 'Default Prob'!$B$3:$B$13, 1), 1))</f>
        <v>2.29E-2</v>
      </c>
      <c r="K2058" s="26">
        <f t="shared" si="419"/>
        <v>0.83717310700840553</v>
      </c>
      <c r="L2058" s="27">
        <f t="shared" ca="1" si="420"/>
        <v>0</v>
      </c>
      <c r="M2058" s="27">
        <f t="shared" ca="1" si="421"/>
        <v>0</v>
      </c>
      <c r="N2058" s="28">
        <f t="shared" ca="1" si="422"/>
        <v>0</v>
      </c>
      <c r="O2058" s="29">
        <f t="shared" ca="1" si="423"/>
        <v>0</v>
      </c>
      <c r="P2058" s="30">
        <f t="shared" ca="1" si="424"/>
        <v>0</v>
      </c>
    </row>
    <row r="2059" spans="1:16" x14ac:dyDescent="0.25">
      <c r="A2059" s="3">
        <f t="shared" si="425"/>
        <v>48995</v>
      </c>
      <c r="B2059" s="21">
        <f t="shared" si="416"/>
        <v>36576</v>
      </c>
      <c r="C2059" s="21">
        <f t="shared" si="417"/>
        <v>36605</v>
      </c>
      <c r="D2059" s="1">
        <f t="shared" si="426"/>
        <v>0</v>
      </c>
      <c r="E2059" s="3">
        <f t="array" ref="E2059">INDEX($A$9:A2058, MAX(IF($D$9:D2058=1, ROW(D$9:$D2058)-ROW($D$9)+1, 0)))</f>
        <v>48933</v>
      </c>
      <c r="F2059" s="23">
        <f t="shared" si="418"/>
        <v>7.8576317590691307</v>
      </c>
      <c r="G2059" s="5">
        <f>INDEX('Default Prob'!$P$5:$P$14,MIN(1+_xlfn.IFNA(MATCH(F2059,'Default Prob'!$F$5:$F$14,1),0),COUNT('Default Prob'!$P$5:$P$14)))</f>
        <v>4.1094539438249027E-2</v>
      </c>
      <c r="H2059" s="5">
        <f t="shared" si="427"/>
        <v>0.81145432137871676</v>
      </c>
      <c r="I2059" s="24">
        <f t="shared" si="428"/>
        <v>2.7393815175913439E-4</v>
      </c>
      <c r="J2059" s="25">
        <f>INDEX('Default Prob'!$C$3:$C$13, _xlfn.IFNA(MATCH(F2059, 'Default Prob'!$B$3:$B$13, 1), 1))</f>
        <v>2.29E-2</v>
      </c>
      <c r="K2059" s="26">
        <f t="shared" si="419"/>
        <v>0.83701743320604061</v>
      </c>
      <c r="L2059" s="27">
        <f t="shared" ca="1" si="420"/>
        <v>0</v>
      </c>
      <c r="M2059" s="27">
        <f t="shared" ca="1" si="421"/>
        <v>0</v>
      </c>
      <c r="N2059" s="28">
        <f t="shared" ca="1" si="422"/>
        <v>0</v>
      </c>
      <c r="O2059" s="29">
        <f t="shared" ca="1" si="423"/>
        <v>0</v>
      </c>
      <c r="P2059" s="30">
        <f t="shared" ca="1" si="424"/>
        <v>0</v>
      </c>
    </row>
    <row r="2060" spans="1:16" x14ac:dyDescent="0.25">
      <c r="A2060" s="3">
        <f t="shared" si="425"/>
        <v>48996</v>
      </c>
      <c r="B2060" s="21">
        <f t="shared" si="416"/>
        <v>36577</v>
      </c>
      <c r="C2060" s="21">
        <f t="shared" si="417"/>
        <v>36605</v>
      </c>
      <c r="D2060" s="1">
        <f t="shared" si="426"/>
        <v>0</v>
      </c>
      <c r="E2060" s="3">
        <f t="array" ref="E2060">INDEX($A$9:A2059, MAX(IF($D$9:D2059=1, ROW(D$9:$D2059)-ROW($D$9)+1, 0)))</f>
        <v>48933</v>
      </c>
      <c r="F2060" s="23">
        <f t="shared" si="418"/>
        <v>7.8603696098562628</v>
      </c>
      <c r="G2060" s="5">
        <f>INDEX('Default Prob'!$P$5:$P$14,MIN(1+_xlfn.IFNA(MATCH(F2060,'Default Prob'!$F$5:$F$14,1),0),COUNT('Default Prob'!$P$5:$P$14)))</f>
        <v>4.1094539438249027E-2</v>
      </c>
      <c r="H2060" s="5">
        <f t="shared" si="427"/>
        <v>0.81136302920685588</v>
      </c>
      <c r="I2060" s="24">
        <f t="shared" si="428"/>
        <v>9.1292171860879456E-5</v>
      </c>
      <c r="J2060" s="25">
        <f>INDEX('Default Prob'!$C$3:$C$13, _xlfn.IFNA(MATCH(F2060, 'Default Prob'!$B$3:$B$13, 1), 1))</f>
        <v>2.29E-2</v>
      </c>
      <c r="K2060" s="26">
        <f t="shared" si="419"/>
        <v>0.83696554837169956</v>
      </c>
      <c r="L2060" s="27">
        <f t="shared" ca="1" si="420"/>
        <v>0</v>
      </c>
      <c r="M2060" s="27">
        <f t="shared" ca="1" si="421"/>
        <v>0</v>
      </c>
      <c r="N2060" s="28">
        <f t="shared" ca="1" si="422"/>
        <v>0</v>
      </c>
      <c r="O2060" s="29">
        <f t="shared" ca="1" si="423"/>
        <v>0</v>
      </c>
      <c r="P2060" s="30">
        <f t="shared" ca="1" si="424"/>
        <v>0</v>
      </c>
    </row>
    <row r="2061" spans="1:16" x14ac:dyDescent="0.25">
      <c r="A2061" s="3">
        <f t="shared" si="425"/>
        <v>48997</v>
      </c>
      <c r="B2061" s="21">
        <f t="shared" si="416"/>
        <v>36578</v>
      </c>
      <c r="C2061" s="21">
        <f t="shared" si="417"/>
        <v>36605</v>
      </c>
      <c r="D2061" s="1">
        <f t="shared" si="426"/>
        <v>0</v>
      </c>
      <c r="E2061" s="3">
        <f t="array" ref="E2061">INDEX($A$9:A2060, MAX(IF($D$9:D2060=1, ROW(D$9:$D2060)-ROW($D$9)+1, 0)))</f>
        <v>48933</v>
      </c>
      <c r="F2061" s="23">
        <f t="shared" si="418"/>
        <v>7.8631074606433948</v>
      </c>
      <c r="G2061" s="5">
        <f>INDEX('Default Prob'!$P$5:$P$14,MIN(1+_xlfn.IFNA(MATCH(F2061,'Default Prob'!$F$5:$F$14,1),0),COUNT('Default Prob'!$P$5:$P$14)))</f>
        <v>4.1094539438249027E-2</v>
      </c>
      <c r="H2061" s="5">
        <f t="shared" si="427"/>
        <v>0.81127174730576501</v>
      </c>
      <c r="I2061" s="24">
        <f t="shared" si="428"/>
        <v>9.1281901090867201E-5</v>
      </c>
      <c r="J2061" s="25">
        <f>INDEX('Default Prob'!$C$3:$C$13, _xlfn.IFNA(MATCH(F2061, 'Default Prob'!$B$3:$B$13, 1), 1))</f>
        <v>2.29E-2</v>
      </c>
      <c r="K2061" s="26">
        <f t="shared" si="419"/>
        <v>0.83691366675358292</v>
      </c>
      <c r="L2061" s="27">
        <f t="shared" ca="1" si="420"/>
        <v>0</v>
      </c>
      <c r="M2061" s="27">
        <f t="shared" ca="1" si="421"/>
        <v>0</v>
      </c>
      <c r="N2061" s="28">
        <f t="shared" ca="1" si="422"/>
        <v>0</v>
      </c>
      <c r="O2061" s="29">
        <f t="shared" ca="1" si="423"/>
        <v>0</v>
      </c>
      <c r="P2061" s="30">
        <f t="shared" ca="1" si="424"/>
        <v>0</v>
      </c>
    </row>
    <row r="2062" spans="1:16" x14ac:dyDescent="0.25">
      <c r="A2062" s="3">
        <f t="shared" si="425"/>
        <v>48998</v>
      </c>
      <c r="B2062" s="21">
        <f t="shared" si="416"/>
        <v>36579</v>
      </c>
      <c r="C2062" s="21">
        <f t="shared" si="417"/>
        <v>36605</v>
      </c>
      <c r="D2062" s="1">
        <f t="shared" si="426"/>
        <v>0</v>
      </c>
      <c r="E2062" s="3">
        <f t="array" ref="E2062">INDEX($A$9:A2061, MAX(IF($D$9:D2061=1, ROW(D$9:$D2061)-ROW($D$9)+1, 0)))</f>
        <v>48933</v>
      </c>
      <c r="F2062" s="23">
        <f t="shared" si="418"/>
        <v>7.8658453114305269</v>
      </c>
      <c r="G2062" s="5">
        <f>INDEX('Default Prob'!$P$5:$P$14,MIN(1+_xlfn.IFNA(MATCH(F2062,'Default Prob'!$F$5:$F$14,1),0),COUNT('Default Prob'!$P$5:$P$14)))</f>
        <v>4.1094539438249027E-2</v>
      </c>
      <c r="H2062" s="5">
        <f t="shared" si="427"/>
        <v>0.81118047567428853</v>
      </c>
      <c r="I2062" s="24">
        <f t="shared" si="428"/>
        <v>9.1271631476486093E-5</v>
      </c>
      <c r="J2062" s="25">
        <f>INDEX('Default Prob'!$C$3:$C$13, _xlfn.IFNA(MATCH(F2062, 'Default Prob'!$B$3:$B$13, 1), 1))</f>
        <v>2.29E-2</v>
      </c>
      <c r="K2062" s="26">
        <f t="shared" si="419"/>
        <v>0.8368617883514915</v>
      </c>
      <c r="L2062" s="27">
        <f t="shared" ca="1" si="420"/>
        <v>0</v>
      </c>
      <c r="M2062" s="27">
        <f t="shared" ca="1" si="421"/>
        <v>0</v>
      </c>
      <c r="N2062" s="28">
        <f t="shared" ca="1" si="422"/>
        <v>0</v>
      </c>
      <c r="O2062" s="29">
        <f t="shared" ca="1" si="423"/>
        <v>0</v>
      </c>
      <c r="P2062" s="30">
        <f t="shared" ca="1" si="424"/>
        <v>0</v>
      </c>
    </row>
    <row r="2063" spans="1:16" x14ac:dyDescent="0.25">
      <c r="A2063" s="3">
        <f t="shared" si="425"/>
        <v>48999</v>
      </c>
      <c r="B2063" s="21">
        <f t="shared" si="416"/>
        <v>36580</v>
      </c>
      <c r="C2063" s="21">
        <f t="shared" si="417"/>
        <v>36605</v>
      </c>
      <c r="D2063" s="1">
        <f t="shared" si="426"/>
        <v>0</v>
      </c>
      <c r="E2063" s="3">
        <f t="array" ref="E2063">INDEX($A$9:A2062, MAX(IF($D$9:D2062=1, ROW(D$9:$D2062)-ROW($D$9)+1, 0)))</f>
        <v>48933</v>
      </c>
      <c r="F2063" s="23">
        <f t="shared" si="418"/>
        <v>7.868583162217659</v>
      </c>
      <c r="G2063" s="5">
        <f>INDEX('Default Prob'!$P$5:$P$14,MIN(1+_xlfn.IFNA(MATCH(F2063,'Default Prob'!$F$5:$F$14,1),0),COUNT('Default Prob'!$P$5:$P$14)))</f>
        <v>4.1094539438249027E-2</v>
      </c>
      <c r="H2063" s="5">
        <f t="shared" si="427"/>
        <v>0.81108921431127112</v>
      </c>
      <c r="I2063" s="24">
        <f t="shared" si="428"/>
        <v>9.1261363017403063E-5</v>
      </c>
      <c r="J2063" s="25">
        <f>INDEX('Default Prob'!$C$3:$C$13, _xlfn.IFNA(MATCH(F2063, 'Default Prob'!$B$3:$B$13, 1), 1))</f>
        <v>2.29E-2</v>
      </c>
      <c r="K2063" s="26">
        <f t="shared" si="419"/>
        <v>0.83680991316522602</v>
      </c>
      <c r="L2063" s="27">
        <f t="shared" ca="1" si="420"/>
        <v>0</v>
      </c>
      <c r="M2063" s="27">
        <f t="shared" ca="1" si="421"/>
        <v>0</v>
      </c>
      <c r="N2063" s="28">
        <f t="shared" ca="1" si="422"/>
        <v>0</v>
      </c>
      <c r="O2063" s="29">
        <f t="shared" ca="1" si="423"/>
        <v>0</v>
      </c>
      <c r="P2063" s="30">
        <f t="shared" ca="1" si="424"/>
        <v>0</v>
      </c>
    </row>
    <row r="2064" spans="1:16" x14ac:dyDescent="0.25">
      <c r="A2064" s="3">
        <f t="shared" si="425"/>
        <v>49002</v>
      </c>
      <c r="B2064" s="21">
        <f t="shared" si="416"/>
        <v>36583</v>
      </c>
      <c r="C2064" s="21">
        <f t="shared" si="417"/>
        <v>36605</v>
      </c>
      <c r="D2064" s="1">
        <f t="shared" si="426"/>
        <v>0</v>
      </c>
      <c r="E2064" s="3">
        <f t="array" ref="E2064">INDEX($A$9:A2063, MAX(IF($D$9:D2063=1, ROW(D$9:$D2063)-ROW($D$9)+1, 0)))</f>
        <v>48933</v>
      </c>
      <c r="F2064" s="23">
        <f t="shared" si="418"/>
        <v>7.8767967145790552</v>
      </c>
      <c r="G2064" s="5">
        <f>INDEX('Default Prob'!$P$5:$P$14,MIN(1+_xlfn.IFNA(MATCH(F2064,'Default Prob'!$F$5:$F$14,1),0),COUNT('Default Prob'!$P$5:$P$14)))</f>
        <v>4.1094539438249027E-2</v>
      </c>
      <c r="H2064" s="5">
        <f t="shared" si="427"/>
        <v>0.81081549182142121</v>
      </c>
      <c r="I2064" s="24">
        <f t="shared" si="428"/>
        <v>2.7372248984991465E-4</v>
      </c>
      <c r="J2064" s="25">
        <f>INDEX('Default Prob'!$C$3:$C$13, _xlfn.IFNA(MATCH(F2064, 'Default Prob'!$B$3:$B$13, 1), 1))</f>
        <v>2.29E-2</v>
      </c>
      <c r="K2064" s="26">
        <f t="shared" si="419"/>
        <v>0.83665430689939102</v>
      </c>
      <c r="L2064" s="27">
        <f t="shared" ca="1" si="420"/>
        <v>0</v>
      </c>
      <c r="M2064" s="27">
        <f t="shared" ca="1" si="421"/>
        <v>0</v>
      </c>
      <c r="N2064" s="28">
        <f t="shared" ca="1" si="422"/>
        <v>0</v>
      </c>
      <c r="O2064" s="29">
        <f t="shared" ca="1" si="423"/>
        <v>0</v>
      </c>
      <c r="P2064" s="30">
        <f t="shared" ca="1" si="424"/>
        <v>0</v>
      </c>
    </row>
    <row r="2065" spans="1:16" x14ac:dyDescent="0.25">
      <c r="A2065" s="3">
        <f t="shared" si="425"/>
        <v>49003</v>
      </c>
      <c r="B2065" s="21">
        <f t="shared" si="416"/>
        <v>36584</v>
      </c>
      <c r="C2065" s="21">
        <f t="shared" si="417"/>
        <v>36605</v>
      </c>
      <c r="D2065" s="1">
        <f t="shared" si="426"/>
        <v>0</v>
      </c>
      <c r="E2065" s="3">
        <f t="array" ref="E2065">INDEX($A$9:A2064, MAX(IF($D$9:D2064=1, ROW(D$9:$D2064)-ROW($D$9)+1, 0)))</f>
        <v>48933</v>
      </c>
      <c r="F2065" s="23">
        <f t="shared" si="418"/>
        <v>7.8795345653661872</v>
      </c>
      <c r="G2065" s="5">
        <f>INDEX('Default Prob'!$P$5:$P$14,MIN(1+_xlfn.IFNA(MATCH(F2065,'Default Prob'!$F$5:$F$14,1),0),COUNT('Default Prob'!$P$5:$P$14)))</f>
        <v>4.1094539438249027E-2</v>
      </c>
      <c r="H2065" s="5">
        <f t="shared" si="427"/>
        <v>0.81072427152068882</v>
      </c>
      <c r="I2065" s="24">
        <f t="shared" si="428"/>
        <v>9.1220300732386406E-5</v>
      </c>
      <c r="J2065" s="25">
        <f>INDEX('Default Prob'!$C$3:$C$13, _xlfn.IFNA(MATCH(F2065, 'Default Prob'!$B$3:$B$13, 1), 1))</f>
        <v>2.29E-2</v>
      </c>
      <c r="K2065" s="26">
        <f t="shared" si="419"/>
        <v>0.83660244457443556</v>
      </c>
      <c r="L2065" s="27">
        <f t="shared" ca="1" si="420"/>
        <v>0</v>
      </c>
      <c r="M2065" s="27">
        <f t="shared" ca="1" si="421"/>
        <v>0</v>
      </c>
      <c r="N2065" s="28">
        <f t="shared" ca="1" si="422"/>
        <v>0</v>
      </c>
      <c r="O2065" s="29">
        <f t="shared" ca="1" si="423"/>
        <v>0</v>
      </c>
      <c r="P2065" s="30">
        <f t="shared" ca="1" si="424"/>
        <v>0</v>
      </c>
    </row>
    <row r="2066" spans="1:16" x14ac:dyDescent="0.25">
      <c r="A2066" s="3">
        <f t="shared" si="425"/>
        <v>49004</v>
      </c>
      <c r="B2066" s="21">
        <f t="shared" si="416"/>
        <v>36586</v>
      </c>
      <c r="C2066" s="21">
        <f t="shared" si="417"/>
        <v>36605</v>
      </c>
      <c r="D2066" s="1">
        <f t="shared" si="426"/>
        <v>0</v>
      </c>
      <c r="E2066" s="3">
        <f t="array" ref="E2066">INDEX($A$9:A2065, MAX(IF($D$9:D2065=1, ROW(D$9:$D2065)-ROW($D$9)+1, 0)))</f>
        <v>48933</v>
      </c>
      <c r="F2066" s="23">
        <f t="shared" si="418"/>
        <v>7.8822724161533193</v>
      </c>
      <c r="G2066" s="5">
        <f>INDEX('Default Prob'!$P$5:$P$14,MIN(1+_xlfn.IFNA(MATCH(F2066,'Default Prob'!$F$5:$F$14,1),0),COUNT('Default Prob'!$P$5:$P$14)))</f>
        <v>4.1094539438249027E-2</v>
      </c>
      <c r="H2066" s="5">
        <f t="shared" si="427"/>
        <v>0.81063306148264047</v>
      </c>
      <c r="I2066" s="24">
        <f t="shared" si="428"/>
        <v>9.1210038048350484E-5</v>
      </c>
      <c r="J2066" s="25">
        <f>INDEX('Default Prob'!$C$3:$C$13, _xlfn.IFNA(MATCH(F2066, 'Default Prob'!$B$3:$B$13, 1), 1))</f>
        <v>2.29E-2</v>
      </c>
      <c r="K2066" s="26">
        <f t="shared" si="419"/>
        <v>0.83655058546430938</v>
      </c>
      <c r="L2066" s="27">
        <f t="shared" ca="1" si="420"/>
        <v>0</v>
      </c>
      <c r="M2066" s="27">
        <f t="shared" ca="1" si="421"/>
        <v>0</v>
      </c>
      <c r="N2066" s="28">
        <f t="shared" ca="1" si="422"/>
        <v>0</v>
      </c>
      <c r="O2066" s="29">
        <f t="shared" ca="1" si="423"/>
        <v>0</v>
      </c>
      <c r="P2066" s="30">
        <f t="shared" ca="1" si="424"/>
        <v>0</v>
      </c>
    </row>
    <row r="2067" spans="1:16" x14ac:dyDescent="0.25">
      <c r="A2067" s="3">
        <f t="shared" si="425"/>
        <v>49005</v>
      </c>
      <c r="B2067" s="21">
        <f t="shared" si="416"/>
        <v>36587</v>
      </c>
      <c r="C2067" s="21">
        <f t="shared" si="417"/>
        <v>36605</v>
      </c>
      <c r="D2067" s="1">
        <f t="shared" si="426"/>
        <v>0</v>
      </c>
      <c r="E2067" s="3">
        <f t="array" ref="E2067">INDEX($A$9:A2066, MAX(IF($D$9:D2066=1, ROW(D$9:$D2066)-ROW($D$9)+1, 0)))</f>
        <v>48933</v>
      </c>
      <c r="F2067" s="23">
        <f t="shared" si="418"/>
        <v>7.8850102669404514</v>
      </c>
      <c r="G2067" s="5">
        <f>INDEX('Default Prob'!$P$5:$P$14,MIN(1+_xlfn.IFNA(MATCH(F2067,'Default Prob'!$F$5:$F$14,1),0),COUNT('Default Prob'!$P$5:$P$14)))</f>
        <v>4.1094539438249027E-2</v>
      </c>
      <c r="H2067" s="5">
        <f t="shared" si="427"/>
        <v>0.81054186170612164</v>
      </c>
      <c r="I2067" s="24">
        <f t="shared" si="428"/>
        <v>9.1199776518835485E-5</v>
      </c>
      <c r="J2067" s="25">
        <f>INDEX('Default Prob'!$C$3:$C$13, _xlfn.IFNA(MATCH(F2067, 'Default Prob'!$B$3:$B$13, 1), 1))</f>
        <v>2.29E-2</v>
      </c>
      <c r="K2067" s="26">
        <f t="shared" si="419"/>
        <v>0.83649872956881322</v>
      </c>
      <c r="L2067" s="27">
        <f t="shared" ca="1" si="420"/>
        <v>0</v>
      </c>
      <c r="M2067" s="27">
        <f t="shared" ca="1" si="421"/>
        <v>0</v>
      </c>
      <c r="N2067" s="28">
        <f t="shared" ca="1" si="422"/>
        <v>0</v>
      </c>
      <c r="O2067" s="29">
        <f t="shared" ca="1" si="423"/>
        <v>0</v>
      </c>
      <c r="P2067" s="30">
        <f t="shared" ca="1" si="424"/>
        <v>0</v>
      </c>
    </row>
    <row r="2068" spans="1:16" x14ac:dyDescent="0.25">
      <c r="A2068" s="3">
        <f t="shared" si="425"/>
        <v>49006</v>
      </c>
      <c r="B2068" s="21">
        <f t="shared" si="416"/>
        <v>36588</v>
      </c>
      <c r="C2068" s="21">
        <f t="shared" si="417"/>
        <v>36605</v>
      </c>
      <c r="D2068" s="1">
        <f t="shared" si="426"/>
        <v>0</v>
      </c>
      <c r="E2068" s="3">
        <f t="array" ref="E2068">INDEX($A$9:A2067, MAX(IF($D$9:D2067=1, ROW(D$9:$D2067)-ROW($D$9)+1, 0)))</f>
        <v>48933</v>
      </c>
      <c r="F2068" s="23">
        <f t="shared" si="418"/>
        <v>7.8877481177275834</v>
      </c>
      <c r="G2068" s="5">
        <f>INDEX('Default Prob'!$P$5:$P$14,MIN(1+_xlfn.IFNA(MATCH(F2068,'Default Prob'!$F$5:$F$14,1),0),COUNT('Default Prob'!$P$5:$P$14)))</f>
        <v>4.1094539438249027E-2</v>
      </c>
      <c r="H2068" s="5">
        <f t="shared" si="427"/>
        <v>0.81045067218997791</v>
      </c>
      <c r="I2068" s="24">
        <f t="shared" si="428"/>
        <v>9.1189516143730387E-5</v>
      </c>
      <c r="J2068" s="25">
        <f>INDEX('Default Prob'!$C$3:$C$13, _xlfn.IFNA(MATCH(F2068, 'Default Prob'!$B$3:$B$13, 1), 1))</f>
        <v>2.29E-2</v>
      </c>
      <c r="K2068" s="26">
        <f t="shared" si="419"/>
        <v>0.83644687688774777</v>
      </c>
      <c r="L2068" s="27">
        <f t="shared" ca="1" si="420"/>
        <v>0</v>
      </c>
      <c r="M2068" s="27">
        <f t="shared" ca="1" si="421"/>
        <v>0</v>
      </c>
      <c r="N2068" s="28">
        <f t="shared" ca="1" si="422"/>
        <v>0</v>
      </c>
      <c r="O2068" s="29">
        <f t="shared" ca="1" si="423"/>
        <v>0</v>
      </c>
      <c r="P2068" s="30">
        <f t="shared" ca="1" si="424"/>
        <v>0</v>
      </c>
    </row>
    <row r="2069" spans="1:16" x14ac:dyDescent="0.25">
      <c r="A2069" s="3">
        <f t="shared" si="425"/>
        <v>49009</v>
      </c>
      <c r="B2069" s="21">
        <f t="shared" si="416"/>
        <v>36591</v>
      </c>
      <c r="C2069" s="21">
        <f t="shared" si="417"/>
        <v>36605</v>
      </c>
      <c r="D2069" s="1">
        <f t="shared" si="426"/>
        <v>0</v>
      </c>
      <c r="E2069" s="3">
        <f t="array" ref="E2069">INDEX($A$9:A2068, MAX(IF($D$9:D2068=1, ROW(D$9:$D2068)-ROW($D$9)+1, 0)))</f>
        <v>48933</v>
      </c>
      <c r="F2069" s="23">
        <f t="shared" si="418"/>
        <v>7.8959616700889805</v>
      </c>
      <c r="G2069" s="5">
        <f>INDEX('Default Prob'!$P$5:$P$14,MIN(1+_xlfn.IFNA(MATCH(F2069,'Default Prob'!$F$5:$F$14,1),0),COUNT('Default Prob'!$P$5:$P$14)))</f>
        <v>4.1094539438249027E-2</v>
      </c>
      <c r="H2069" s="5">
        <f t="shared" si="427"/>
        <v>0.81017716519225413</v>
      </c>
      <c r="I2069" s="24">
        <f t="shared" si="428"/>
        <v>2.7350699772377141E-4</v>
      </c>
      <c r="J2069" s="25">
        <f>INDEX('Default Prob'!$C$3:$C$13, _xlfn.IFNA(MATCH(F2069, 'Default Prob'!$B$3:$B$13, 1), 1))</f>
        <v>2.29E-2</v>
      </c>
      <c r="K2069" s="26">
        <f t="shared" si="419"/>
        <v>0.83629133812914302</v>
      </c>
      <c r="L2069" s="27">
        <f t="shared" ca="1" si="420"/>
        <v>0</v>
      </c>
      <c r="M2069" s="27">
        <f t="shared" ca="1" si="421"/>
        <v>0</v>
      </c>
      <c r="N2069" s="28">
        <f t="shared" ca="1" si="422"/>
        <v>0</v>
      </c>
      <c r="O2069" s="29">
        <f t="shared" ca="1" si="423"/>
        <v>0</v>
      </c>
      <c r="P2069" s="30">
        <f t="shared" ca="1" si="424"/>
        <v>0</v>
      </c>
    </row>
    <row r="2070" spans="1:16" x14ac:dyDescent="0.25">
      <c r="A2070" s="3">
        <f t="shared" si="425"/>
        <v>49010</v>
      </c>
      <c r="B2070" s="21">
        <f t="shared" si="416"/>
        <v>36592</v>
      </c>
      <c r="C2070" s="21">
        <f t="shared" si="417"/>
        <v>36605</v>
      </c>
      <c r="D2070" s="1">
        <f t="shared" si="426"/>
        <v>0</v>
      </c>
      <c r="E2070" s="3">
        <f t="array" ref="E2070">INDEX($A$9:A2069, MAX(IF($D$9:D2069=1, ROW(D$9:$D2069)-ROW($D$9)+1, 0)))</f>
        <v>48933</v>
      </c>
      <c r="F2070" s="23">
        <f t="shared" si="418"/>
        <v>7.8986995208761126</v>
      </c>
      <c r="G2070" s="5">
        <f>INDEX('Default Prob'!$P$5:$P$14,MIN(1+_xlfn.IFNA(MATCH(F2070,'Default Prob'!$F$5:$F$14,1),0),COUNT('Default Prob'!$P$5:$P$14)))</f>
        <v>4.1094539438249027E-2</v>
      </c>
      <c r="H2070" s="5">
        <f t="shared" si="427"/>
        <v>0.8100860167060685</v>
      </c>
      <c r="I2070" s="24">
        <f t="shared" si="428"/>
        <v>9.1148486185632649E-5</v>
      </c>
      <c r="J2070" s="25">
        <f>INDEX('Default Prob'!$C$3:$C$13, _xlfn.IFNA(MATCH(F2070, 'Default Prob'!$B$3:$B$13, 1), 1))</f>
        <v>2.29E-2</v>
      </c>
      <c r="K2070" s="26">
        <f t="shared" si="419"/>
        <v>0.83623949830380806</v>
      </c>
      <c r="L2070" s="27">
        <f t="shared" ca="1" si="420"/>
        <v>0</v>
      </c>
      <c r="M2070" s="27">
        <f t="shared" ca="1" si="421"/>
        <v>0</v>
      </c>
      <c r="N2070" s="28">
        <f t="shared" ca="1" si="422"/>
        <v>0</v>
      </c>
      <c r="O2070" s="29">
        <f t="shared" ca="1" si="423"/>
        <v>0</v>
      </c>
      <c r="P2070" s="30">
        <f t="shared" ca="1" si="424"/>
        <v>0</v>
      </c>
    </row>
    <row r="2071" spans="1:16" x14ac:dyDescent="0.25">
      <c r="A2071" s="3">
        <f t="shared" si="425"/>
        <v>49011</v>
      </c>
      <c r="B2071" s="21">
        <f t="shared" si="416"/>
        <v>36593</v>
      </c>
      <c r="C2071" s="21">
        <f t="shared" si="417"/>
        <v>36605</v>
      </c>
      <c r="D2071" s="1">
        <f t="shared" si="426"/>
        <v>0</v>
      </c>
      <c r="E2071" s="3">
        <f t="array" ref="E2071">INDEX($A$9:A2070, MAX(IF($D$9:D2070=1, ROW(D$9:$D2070)-ROW($D$9)+1, 0)))</f>
        <v>48933</v>
      </c>
      <c r="F2071" s="23">
        <f t="shared" si="418"/>
        <v>7.9014373716632447</v>
      </c>
      <c r="G2071" s="5">
        <f>INDEX('Default Prob'!$P$5:$P$14,MIN(1+_xlfn.IFNA(MATCH(F2071,'Default Prob'!$F$5:$F$14,1),0),COUNT('Default Prob'!$P$5:$P$14)))</f>
        <v>4.1094539438249027E-2</v>
      </c>
      <c r="H2071" s="5">
        <f t="shared" si="427"/>
        <v>0.80999487847448748</v>
      </c>
      <c r="I2071" s="24">
        <f t="shared" si="428"/>
        <v>9.1138231581022744E-5</v>
      </c>
      <c r="J2071" s="25">
        <f>INDEX('Default Prob'!$C$3:$C$13, _xlfn.IFNA(MATCH(F2071, 'Default Prob'!$B$3:$B$13, 1), 1))</f>
        <v>2.29E-2</v>
      </c>
      <c r="K2071" s="26">
        <f t="shared" si="419"/>
        <v>0.8361876616919075</v>
      </c>
      <c r="L2071" s="27">
        <f t="shared" ca="1" si="420"/>
        <v>0</v>
      </c>
      <c r="M2071" s="27">
        <f t="shared" ca="1" si="421"/>
        <v>0</v>
      </c>
      <c r="N2071" s="28">
        <f t="shared" ca="1" si="422"/>
        <v>0</v>
      </c>
      <c r="O2071" s="29">
        <f t="shared" ca="1" si="423"/>
        <v>0</v>
      </c>
      <c r="P2071" s="30">
        <f t="shared" ca="1" si="424"/>
        <v>0</v>
      </c>
    </row>
    <row r="2072" spans="1:16" x14ac:dyDescent="0.25">
      <c r="A2072" s="3">
        <f t="shared" si="425"/>
        <v>49012</v>
      </c>
      <c r="B2072" s="21">
        <f t="shared" si="416"/>
        <v>36594</v>
      </c>
      <c r="C2072" s="21">
        <f t="shared" si="417"/>
        <v>36605</v>
      </c>
      <c r="D2072" s="1">
        <f t="shared" si="426"/>
        <v>0</v>
      </c>
      <c r="E2072" s="3">
        <f t="array" ref="E2072">INDEX($A$9:A2071, MAX(IF($D$9:D2071=1, ROW(D$9:$D2071)-ROW($D$9)+1, 0)))</f>
        <v>48933</v>
      </c>
      <c r="F2072" s="23">
        <f t="shared" si="418"/>
        <v>7.9041752224503767</v>
      </c>
      <c r="G2072" s="5">
        <f>INDEX('Default Prob'!$P$5:$P$14,MIN(1+_xlfn.IFNA(MATCH(F2072,'Default Prob'!$F$5:$F$14,1),0),COUNT('Default Prob'!$P$5:$P$14)))</f>
        <v>4.1094539438249027E-2</v>
      </c>
      <c r="H2072" s="5">
        <f t="shared" si="427"/>
        <v>0.80990375049635743</v>
      </c>
      <c r="I2072" s="24">
        <f t="shared" si="428"/>
        <v>9.1127978130045584E-5</v>
      </c>
      <c r="J2072" s="25">
        <f>INDEX('Default Prob'!$C$3:$C$13, _xlfn.IFNA(MATCH(F2072, 'Default Prob'!$B$3:$B$13, 1), 1))</f>
        <v>2.29E-2</v>
      </c>
      <c r="K2072" s="26">
        <f t="shared" si="419"/>
        <v>0.8361358282932424</v>
      </c>
      <c r="L2072" s="27">
        <f t="shared" ca="1" si="420"/>
        <v>0</v>
      </c>
      <c r="M2072" s="27">
        <f t="shared" ca="1" si="421"/>
        <v>0</v>
      </c>
      <c r="N2072" s="28">
        <f t="shared" ca="1" si="422"/>
        <v>0</v>
      </c>
      <c r="O2072" s="29">
        <f t="shared" ca="1" si="423"/>
        <v>0</v>
      </c>
      <c r="P2072" s="30">
        <f t="shared" ca="1" si="424"/>
        <v>0</v>
      </c>
    </row>
    <row r="2073" spans="1:16" x14ac:dyDescent="0.25">
      <c r="A2073" s="3">
        <f t="shared" si="425"/>
        <v>49013</v>
      </c>
      <c r="B2073" s="21">
        <f t="shared" si="416"/>
        <v>36595</v>
      </c>
      <c r="C2073" s="21">
        <f t="shared" si="417"/>
        <v>36605</v>
      </c>
      <c r="D2073" s="1">
        <f t="shared" si="426"/>
        <v>0</v>
      </c>
      <c r="E2073" s="3">
        <f t="array" ref="E2073">INDEX($A$9:A2072, MAX(IF($D$9:D2072=1, ROW(D$9:$D2072)-ROW($D$9)+1, 0)))</f>
        <v>48933</v>
      </c>
      <c r="F2073" s="23">
        <f t="shared" si="418"/>
        <v>7.9069130732375088</v>
      </c>
      <c r="G2073" s="5">
        <f>INDEX('Default Prob'!$P$5:$P$14,MIN(1+_xlfn.IFNA(MATCH(F2073,'Default Prob'!$F$5:$F$14,1),0),COUNT('Default Prob'!$P$5:$P$14)))</f>
        <v>4.1094539438249027E-2</v>
      </c>
      <c r="H2073" s="5">
        <f t="shared" si="427"/>
        <v>0.80981263277052484</v>
      </c>
      <c r="I2073" s="24">
        <f t="shared" si="428"/>
        <v>9.1117725832590146E-5</v>
      </c>
      <c r="J2073" s="25">
        <f>INDEX('Default Prob'!$C$3:$C$13, _xlfn.IFNA(MATCH(F2073, 'Default Prob'!$B$3:$B$13, 1), 1))</f>
        <v>2.29E-2</v>
      </c>
      <c r="K2073" s="26">
        <f t="shared" si="419"/>
        <v>0.83608399810761347</v>
      </c>
      <c r="L2073" s="27">
        <f t="shared" ca="1" si="420"/>
        <v>0</v>
      </c>
      <c r="M2073" s="27">
        <f t="shared" ca="1" si="421"/>
        <v>0</v>
      </c>
      <c r="N2073" s="28">
        <f t="shared" ca="1" si="422"/>
        <v>0</v>
      </c>
      <c r="O2073" s="29">
        <f t="shared" ca="1" si="423"/>
        <v>0</v>
      </c>
      <c r="P2073" s="30">
        <f t="shared" ca="1" si="424"/>
        <v>0</v>
      </c>
    </row>
    <row r="2074" spans="1:16" x14ac:dyDescent="0.25">
      <c r="A2074" s="3">
        <f t="shared" si="425"/>
        <v>49016</v>
      </c>
      <c r="B2074" s="21">
        <f t="shared" si="416"/>
        <v>36598</v>
      </c>
      <c r="C2074" s="21">
        <f t="shared" si="417"/>
        <v>36605</v>
      </c>
      <c r="D2074" s="1">
        <f t="shared" si="426"/>
        <v>0</v>
      </c>
      <c r="E2074" s="3">
        <f t="array" ref="E2074">INDEX($A$9:A2073, MAX(IF($D$9:D2073=1, ROW(D$9:$D2073)-ROW($D$9)+1, 0)))</f>
        <v>48933</v>
      </c>
      <c r="F2074" s="23">
        <f t="shared" si="418"/>
        <v>7.915126625598905</v>
      </c>
      <c r="G2074" s="5">
        <f>INDEX('Default Prob'!$P$5:$P$14,MIN(1+_xlfn.IFNA(MATCH(F2074,'Default Prob'!$F$5:$F$14,1),0),COUNT('Default Prob'!$P$5:$P$14)))</f>
        <v>4.1094539438249027E-2</v>
      </c>
      <c r="H2074" s="5">
        <f t="shared" si="427"/>
        <v>0.80953934109527792</v>
      </c>
      <c r="I2074" s="24">
        <f t="shared" si="428"/>
        <v>2.7329167524692277E-4</v>
      </c>
      <c r="J2074" s="25">
        <f>INDEX('Default Prob'!$C$3:$C$13, _xlfn.IFNA(MATCH(F2074, 'Default Prob'!$B$3:$B$13, 1), 1))</f>
        <v>2.29E-2</v>
      </c>
      <c r="K2074" s="26">
        <f t="shared" si="419"/>
        <v>0.83592852682695218</v>
      </c>
      <c r="L2074" s="27">
        <f t="shared" ca="1" si="420"/>
        <v>0</v>
      </c>
      <c r="M2074" s="27">
        <f t="shared" ca="1" si="421"/>
        <v>0</v>
      </c>
      <c r="N2074" s="28">
        <f t="shared" ca="1" si="422"/>
        <v>0</v>
      </c>
      <c r="O2074" s="29">
        <f t="shared" ca="1" si="423"/>
        <v>0</v>
      </c>
      <c r="P2074" s="30">
        <f t="shared" ca="1" si="424"/>
        <v>0</v>
      </c>
    </row>
    <row r="2075" spans="1:16" x14ac:dyDescent="0.25">
      <c r="A2075" s="3">
        <f t="shared" si="425"/>
        <v>49017</v>
      </c>
      <c r="B2075" s="21">
        <f t="shared" si="416"/>
        <v>36599</v>
      </c>
      <c r="C2075" s="21">
        <f t="shared" si="417"/>
        <v>36605</v>
      </c>
      <c r="D2075" s="1">
        <f t="shared" si="426"/>
        <v>0</v>
      </c>
      <c r="E2075" s="3">
        <f t="array" ref="E2075">INDEX($A$9:A2074, MAX(IF($D$9:D2074=1, ROW(D$9:$D2074)-ROW($D$9)+1, 0)))</f>
        <v>48933</v>
      </c>
      <c r="F2075" s="23">
        <f t="shared" si="418"/>
        <v>7.9178644763860371</v>
      </c>
      <c r="G2075" s="5">
        <f>INDEX('Default Prob'!$P$5:$P$14,MIN(1+_xlfn.IFNA(MATCH(F2075,'Default Prob'!$F$5:$F$14,1),0),COUNT('Default Prob'!$P$5:$P$14)))</f>
        <v>4.1094539438249027E-2</v>
      </c>
      <c r="H2075" s="5">
        <f t="shared" si="427"/>
        <v>0.80944826436710204</v>
      </c>
      <c r="I2075" s="24">
        <f t="shared" si="428"/>
        <v>9.1076728175876198E-5</v>
      </c>
      <c r="J2075" s="25">
        <f>INDEX('Default Prob'!$C$3:$C$13, _xlfn.IFNA(MATCH(F2075, 'Default Prob'!$B$3:$B$13, 1), 1))</f>
        <v>2.29E-2</v>
      </c>
      <c r="K2075" s="26">
        <f t="shared" si="419"/>
        <v>0.8358767094914763</v>
      </c>
      <c r="L2075" s="27">
        <f t="shared" ca="1" si="420"/>
        <v>0</v>
      </c>
      <c r="M2075" s="27">
        <f t="shared" ca="1" si="421"/>
        <v>0</v>
      </c>
      <c r="N2075" s="28">
        <f t="shared" ca="1" si="422"/>
        <v>0</v>
      </c>
      <c r="O2075" s="29">
        <f t="shared" ca="1" si="423"/>
        <v>0</v>
      </c>
      <c r="P2075" s="30">
        <f t="shared" ca="1" si="424"/>
        <v>0</v>
      </c>
    </row>
    <row r="2076" spans="1:16" x14ac:dyDescent="0.25">
      <c r="A2076" s="3">
        <f t="shared" si="425"/>
        <v>49018</v>
      </c>
      <c r="B2076" s="21">
        <f t="shared" si="416"/>
        <v>36600</v>
      </c>
      <c r="C2076" s="21">
        <f t="shared" si="417"/>
        <v>36605</v>
      </c>
      <c r="D2076" s="1">
        <f t="shared" si="426"/>
        <v>0</v>
      </c>
      <c r="E2076" s="3">
        <f t="array" ref="E2076">INDEX($A$9:A2075, MAX(IF($D$9:D2075=1, ROW(D$9:$D2075)-ROW($D$9)+1, 0)))</f>
        <v>48933</v>
      </c>
      <c r="F2076" s="23">
        <f t="shared" si="418"/>
        <v>7.9206023271731691</v>
      </c>
      <c r="G2076" s="5">
        <f>INDEX('Default Prob'!$P$5:$P$14,MIN(1+_xlfn.IFNA(MATCH(F2076,'Default Prob'!$F$5:$F$14,1),0),COUNT('Default Prob'!$P$5:$P$14)))</f>
        <v>4.1094539438249027E-2</v>
      </c>
      <c r="H2076" s="5">
        <f t="shared" si="427"/>
        <v>0.80935719788545768</v>
      </c>
      <c r="I2076" s="24">
        <f t="shared" si="428"/>
        <v>9.1066481644364039E-5</v>
      </c>
      <c r="J2076" s="25">
        <f>INDEX('Default Prob'!$C$3:$C$13, _xlfn.IFNA(MATCH(F2076, 'Default Prob'!$B$3:$B$13, 1), 1))</f>
        <v>2.29E-2</v>
      </c>
      <c r="K2076" s="26">
        <f t="shared" si="419"/>
        <v>0.83582489536804117</v>
      </c>
      <c r="L2076" s="27">
        <f t="shared" ca="1" si="420"/>
        <v>0</v>
      </c>
      <c r="M2076" s="27">
        <f t="shared" ca="1" si="421"/>
        <v>0</v>
      </c>
      <c r="N2076" s="28">
        <f t="shared" ca="1" si="422"/>
        <v>0</v>
      </c>
      <c r="O2076" s="29">
        <f t="shared" ca="1" si="423"/>
        <v>0</v>
      </c>
      <c r="P2076" s="30">
        <f t="shared" ca="1" si="424"/>
        <v>0</v>
      </c>
    </row>
    <row r="2077" spans="1:16" x14ac:dyDescent="0.25">
      <c r="A2077" s="3">
        <f t="shared" si="425"/>
        <v>49019</v>
      </c>
      <c r="B2077" s="21">
        <f t="shared" si="416"/>
        <v>36601</v>
      </c>
      <c r="C2077" s="21">
        <f t="shared" si="417"/>
        <v>36605</v>
      </c>
      <c r="D2077" s="1">
        <f t="shared" si="426"/>
        <v>0</v>
      </c>
      <c r="E2077" s="3">
        <f t="array" ref="E2077">INDEX($A$9:A2076, MAX(IF($D$9:D2076=1, ROW(D$9:$D2076)-ROW($D$9)+1, 0)))</f>
        <v>48933</v>
      </c>
      <c r="F2077" s="23">
        <f t="shared" si="418"/>
        <v>7.9233401779603012</v>
      </c>
      <c r="G2077" s="5">
        <f>INDEX('Default Prob'!$P$5:$P$14,MIN(1+_xlfn.IFNA(MATCH(F2077,'Default Prob'!$F$5:$F$14,1),0),COUNT('Default Prob'!$P$5:$P$14)))</f>
        <v>4.1094539438249027E-2</v>
      </c>
      <c r="H2077" s="5">
        <f t="shared" si="427"/>
        <v>0.80926614164919208</v>
      </c>
      <c r="I2077" s="24">
        <f t="shared" si="428"/>
        <v>9.1056236265596446E-5</v>
      </c>
      <c r="J2077" s="25">
        <f>INDEX('Default Prob'!$C$3:$C$13, _xlfn.IFNA(MATCH(F2077, 'Default Prob'!$B$3:$B$13, 1), 1))</f>
        <v>2.29E-2</v>
      </c>
      <c r="K2077" s="26">
        <f t="shared" si="419"/>
        <v>0.83577308445644716</v>
      </c>
      <c r="L2077" s="27">
        <f t="shared" ca="1" si="420"/>
        <v>0</v>
      </c>
      <c r="M2077" s="27">
        <f t="shared" ca="1" si="421"/>
        <v>0</v>
      </c>
      <c r="N2077" s="28">
        <f t="shared" ca="1" si="422"/>
        <v>0</v>
      </c>
      <c r="O2077" s="29">
        <f t="shared" ca="1" si="423"/>
        <v>0</v>
      </c>
      <c r="P2077" s="30">
        <f t="shared" ca="1" si="424"/>
        <v>0</v>
      </c>
    </row>
    <row r="2078" spans="1:16" x14ac:dyDescent="0.25">
      <c r="A2078" s="3">
        <f t="shared" si="425"/>
        <v>49020</v>
      </c>
      <c r="B2078" s="21">
        <f t="shared" si="416"/>
        <v>36602</v>
      </c>
      <c r="C2078" s="21">
        <f t="shared" si="417"/>
        <v>36605</v>
      </c>
      <c r="D2078" s="1">
        <f t="shared" si="426"/>
        <v>0</v>
      </c>
      <c r="E2078" s="3">
        <f t="array" ref="E2078">INDEX($A$9:A2077, MAX(IF($D$9:D2077=1, ROW(D$9:$D2077)-ROW($D$9)+1, 0)))</f>
        <v>48933</v>
      </c>
      <c r="F2078" s="23">
        <f t="shared" si="418"/>
        <v>7.9260780287474333</v>
      </c>
      <c r="G2078" s="5">
        <f>INDEX('Default Prob'!$P$5:$P$14,MIN(1+_xlfn.IFNA(MATCH(F2078,'Default Prob'!$F$5:$F$14,1),0),COUNT('Default Prob'!$P$5:$P$14)))</f>
        <v>4.1094539438249027E-2</v>
      </c>
      <c r="H2078" s="5">
        <f t="shared" si="427"/>
        <v>0.80917509565715262</v>
      </c>
      <c r="I2078" s="24">
        <f t="shared" si="428"/>
        <v>9.1045992039462398E-5</v>
      </c>
      <c r="J2078" s="25">
        <f>INDEX('Default Prob'!$C$3:$C$13, _xlfn.IFNA(MATCH(F2078, 'Default Prob'!$B$3:$B$13, 1), 1))</f>
        <v>2.29E-2</v>
      </c>
      <c r="K2078" s="26">
        <f t="shared" si="419"/>
        <v>0.83572127675649555</v>
      </c>
      <c r="L2078" s="27">
        <f t="shared" ca="1" si="420"/>
        <v>0</v>
      </c>
      <c r="M2078" s="27">
        <f t="shared" ca="1" si="421"/>
        <v>0</v>
      </c>
      <c r="N2078" s="28">
        <f t="shared" ca="1" si="422"/>
        <v>0</v>
      </c>
      <c r="O2078" s="29">
        <f t="shared" ca="1" si="423"/>
        <v>0</v>
      </c>
      <c r="P2078" s="30">
        <f t="shared" ca="1" si="424"/>
        <v>0</v>
      </c>
    </row>
    <row r="2079" spans="1:16" x14ac:dyDescent="0.25">
      <c r="A2079" s="3">
        <f t="shared" si="425"/>
        <v>49023</v>
      </c>
      <c r="B2079" s="21">
        <f t="shared" si="416"/>
        <v>36605</v>
      </c>
      <c r="C2079" s="21">
        <f t="shared" si="417"/>
        <v>36605</v>
      </c>
      <c r="D2079" s="1">
        <f t="shared" si="426"/>
        <v>1</v>
      </c>
      <c r="E2079" s="3">
        <f t="array" ref="E2079">INDEX($A$9:A2078, MAX(IF($D$9:D2078=1, ROW(D$9:$D2078)-ROW($D$9)+1, 0)))</f>
        <v>48933</v>
      </c>
      <c r="F2079" s="23">
        <f t="shared" si="418"/>
        <v>7.9342915811088295</v>
      </c>
      <c r="G2079" s="5">
        <f>INDEX('Default Prob'!$P$5:$P$14,MIN(1+_xlfn.IFNA(MATCH(F2079,'Default Prob'!$F$5:$F$14,1),0),COUNT('Default Prob'!$P$5:$P$14)))</f>
        <v>4.1094539438249027E-2</v>
      </c>
      <c r="H2079" s="5">
        <f t="shared" si="427"/>
        <v>0.80890201913486659</v>
      </c>
      <c r="I2079" s="24">
        <f t="shared" si="428"/>
        <v>2.7307652228603096E-4</v>
      </c>
      <c r="J2079" s="25">
        <f>INDEX('Default Prob'!$C$3:$C$13, _xlfn.IFNA(MATCH(F2079, 'Default Prob'!$B$3:$B$13, 1), 1))</f>
        <v>2.29E-2</v>
      </c>
      <c r="K2079" s="26">
        <f t="shared" si="419"/>
        <v>0.83556587292450335</v>
      </c>
      <c r="L2079" s="27">
        <f t="shared" ca="1" si="420"/>
        <v>0</v>
      </c>
      <c r="M2079" s="27">
        <f t="shared" ca="1" si="421"/>
        <v>0</v>
      </c>
      <c r="N2079" s="28">
        <f t="shared" ca="1" si="422"/>
        <v>0</v>
      </c>
      <c r="O2079" s="29">
        <f t="shared" ca="1" si="423"/>
        <v>0</v>
      </c>
      <c r="P2079" s="30">
        <f t="shared" ca="1" si="424"/>
        <v>0</v>
      </c>
    </row>
    <row r="2080" spans="1:16" x14ac:dyDescent="0.25">
      <c r="A2080" s="3">
        <f t="shared" si="425"/>
        <v>49024</v>
      </c>
      <c r="B2080" s="21">
        <f t="shared" si="416"/>
        <v>36606</v>
      </c>
      <c r="C2080" s="21">
        <f t="shared" si="417"/>
        <v>36697</v>
      </c>
      <c r="D2080" s="1">
        <f t="shared" si="426"/>
        <v>0</v>
      </c>
      <c r="E2080" s="3">
        <f t="array" ref="E2080">INDEX($A$9:A2079, MAX(IF($D$9:D2079=1, ROW(D$9:$D2079)-ROW($D$9)+1, 0)))</f>
        <v>49023</v>
      </c>
      <c r="F2080" s="23">
        <f t="shared" si="418"/>
        <v>7.9370294318959616</v>
      </c>
      <c r="G2080" s="5">
        <f>INDEX('Default Prob'!$P$5:$P$14,MIN(1+_xlfn.IFNA(MATCH(F2080,'Default Prob'!$F$5:$F$14,1),0),COUNT('Default Prob'!$P$5:$P$14)))</f>
        <v>4.1094539438249027E-2</v>
      </c>
      <c r="H2080" s="5">
        <f t="shared" si="427"/>
        <v>0.80881101410820777</v>
      </c>
      <c r="I2080" s="24">
        <f t="shared" si="428"/>
        <v>9.1005026658819155E-5</v>
      </c>
      <c r="J2080" s="25">
        <f>INDEX('Default Prob'!$C$3:$C$13, _xlfn.IFNA(MATCH(F2080, 'Default Prob'!$B$3:$B$13, 1), 1))</f>
        <v>2.29E-2</v>
      </c>
      <c r="K2080" s="26">
        <f t="shared" si="419"/>
        <v>0.83551407806913014</v>
      </c>
      <c r="L2080" s="27">
        <f t="shared" ca="1" si="420"/>
        <v>0</v>
      </c>
      <c r="M2080" s="27">
        <f t="shared" ca="1" si="421"/>
        <v>0</v>
      </c>
      <c r="N2080" s="28">
        <f t="shared" ca="1" si="422"/>
        <v>0</v>
      </c>
      <c r="O2080" s="29">
        <f t="shared" ca="1" si="423"/>
        <v>0</v>
      </c>
      <c r="P2080" s="30">
        <f t="shared" ca="1" si="424"/>
        <v>0</v>
      </c>
    </row>
    <row r="2081" spans="1:16" x14ac:dyDescent="0.25">
      <c r="A2081" s="3">
        <f t="shared" si="425"/>
        <v>49025</v>
      </c>
      <c r="B2081" s="21">
        <f t="shared" si="416"/>
        <v>36607</v>
      </c>
      <c r="C2081" s="21">
        <f t="shared" si="417"/>
        <v>36697</v>
      </c>
      <c r="D2081" s="1">
        <f t="shared" si="426"/>
        <v>0</v>
      </c>
      <c r="E2081" s="3">
        <f t="array" ref="E2081">INDEX($A$9:A2080, MAX(IF($D$9:D2080=1, ROW(D$9:$D2080)-ROW($D$9)+1, 0)))</f>
        <v>49023</v>
      </c>
      <c r="F2081" s="23">
        <f t="shared" si="418"/>
        <v>7.9397672826830936</v>
      </c>
      <c r="G2081" s="5">
        <f>INDEX('Default Prob'!$P$5:$P$14,MIN(1+_xlfn.IFNA(MATCH(F2081,'Default Prob'!$F$5:$F$14,1),0),COUNT('Default Prob'!$P$5:$P$14)))</f>
        <v>4.1094539438249027E-2</v>
      </c>
      <c r="H2081" s="5">
        <f t="shared" si="427"/>
        <v>0.80872001932001381</v>
      </c>
      <c r="I2081" s="24">
        <f t="shared" si="428"/>
        <v>9.0994788193965448E-5</v>
      </c>
      <c r="J2081" s="25">
        <f>INDEX('Default Prob'!$C$3:$C$13, _xlfn.IFNA(MATCH(F2081, 'Default Prob'!$B$3:$B$13, 1), 1))</f>
        <v>2.29E-2</v>
      </c>
      <c r="K2081" s="26">
        <f t="shared" si="419"/>
        <v>0.83546228642440379</v>
      </c>
      <c r="L2081" s="27">
        <f t="shared" ca="1" si="420"/>
        <v>0</v>
      </c>
      <c r="M2081" s="27">
        <f t="shared" ca="1" si="421"/>
        <v>0</v>
      </c>
      <c r="N2081" s="28">
        <f t="shared" ca="1" si="422"/>
        <v>0</v>
      </c>
      <c r="O2081" s="29">
        <f t="shared" ca="1" si="423"/>
        <v>0</v>
      </c>
      <c r="P2081" s="30">
        <f t="shared" ca="1" si="424"/>
        <v>0</v>
      </c>
    </row>
    <row r="2082" spans="1:16" x14ac:dyDescent="0.25">
      <c r="A2082" s="3">
        <f t="shared" si="425"/>
        <v>49026</v>
      </c>
      <c r="B2082" s="21">
        <f t="shared" si="416"/>
        <v>36608</v>
      </c>
      <c r="C2082" s="21">
        <f t="shared" si="417"/>
        <v>36697</v>
      </c>
      <c r="D2082" s="1">
        <f t="shared" si="426"/>
        <v>0</v>
      </c>
      <c r="E2082" s="3">
        <f t="array" ref="E2082">INDEX($A$9:A2081, MAX(IF($D$9:D2081=1, ROW(D$9:$D2081)-ROW($D$9)+1, 0)))</f>
        <v>49023</v>
      </c>
      <c r="F2082" s="23">
        <f t="shared" si="418"/>
        <v>7.9425051334702257</v>
      </c>
      <c r="G2082" s="5">
        <f>INDEX('Default Prob'!$P$5:$P$14,MIN(1+_xlfn.IFNA(MATCH(F2082,'Default Prob'!$F$5:$F$14,1),0),COUNT('Default Prob'!$P$5:$P$14)))</f>
        <v>4.1094539438249027E-2</v>
      </c>
      <c r="H2082" s="5">
        <f t="shared" si="427"/>
        <v>0.80862903476913284</v>
      </c>
      <c r="I2082" s="24">
        <f t="shared" si="428"/>
        <v>9.0984550880968129E-5</v>
      </c>
      <c r="J2082" s="25">
        <f>INDEX('Default Prob'!$C$3:$C$13, _xlfn.IFNA(MATCH(F2082, 'Default Prob'!$B$3:$B$13, 1), 1))</f>
        <v>2.29E-2</v>
      </c>
      <c r="K2082" s="26">
        <f t="shared" si="419"/>
        <v>0.83541049799012557</v>
      </c>
      <c r="L2082" s="27">
        <f t="shared" ca="1" si="420"/>
        <v>0</v>
      </c>
      <c r="M2082" s="27">
        <f t="shared" ca="1" si="421"/>
        <v>0</v>
      </c>
      <c r="N2082" s="28">
        <f t="shared" ca="1" si="422"/>
        <v>0</v>
      </c>
      <c r="O2082" s="29">
        <f t="shared" ca="1" si="423"/>
        <v>0</v>
      </c>
      <c r="P2082" s="30">
        <f t="shared" ca="1" si="424"/>
        <v>0</v>
      </c>
    </row>
    <row r="2083" spans="1:16" x14ac:dyDescent="0.25">
      <c r="A2083" s="3">
        <f t="shared" si="425"/>
        <v>49027</v>
      </c>
      <c r="B2083" s="21">
        <f t="shared" si="416"/>
        <v>36609</v>
      </c>
      <c r="C2083" s="21">
        <f t="shared" si="417"/>
        <v>36697</v>
      </c>
      <c r="D2083" s="1">
        <f t="shared" si="426"/>
        <v>0</v>
      </c>
      <c r="E2083" s="3">
        <f t="array" ref="E2083">INDEX($A$9:A2082, MAX(IF($D$9:D2082=1, ROW(D$9:$D2082)-ROW($D$9)+1, 0)))</f>
        <v>49023</v>
      </c>
      <c r="F2083" s="23">
        <f t="shared" si="418"/>
        <v>7.9452429842573578</v>
      </c>
      <c r="G2083" s="5">
        <f>INDEX('Default Prob'!$P$5:$P$14,MIN(1+_xlfn.IFNA(MATCH(F2083,'Default Prob'!$F$5:$F$14,1),0),COUNT('Default Prob'!$P$5:$P$14)))</f>
        <v>4.1094539438249027E-2</v>
      </c>
      <c r="H2083" s="5">
        <f t="shared" si="427"/>
        <v>0.80853806045441312</v>
      </c>
      <c r="I2083" s="24">
        <f t="shared" si="428"/>
        <v>9.0974314719716176E-5</v>
      </c>
      <c r="J2083" s="25">
        <f>INDEX('Default Prob'!$C$3:$C$13, _xlfn.IFNA(MATCH(F2083, 'Default Prob'!$B$3:$B$13, 1), 1))</f>
        <v>2.29E-2</v>
      </c>
      <c r="K2083" s="26">
        <f t="shared" si="419"/>
        <v>0.83535871276609608</v>
      </c>
      <c r="L2083" s="27">
        <f t="shared" ca="1" si="420"/>
        <v>0</v>
      </c>
      <c r="M2083" s="27">
        <f t="shared" ca="1" si="421"/>
        <v>0</v>
      </c>
      <c r="N2083" s="28">
        <f t="shared" ca="1" si="422"/>
        <v>0</v>
      </c>
      <c r="O2083" s="29">
        <f t="shared" ca="1" si="423"/>
        <v>0</v>
      </c>
      <c r="P2083" s="30">
        <f t="shared" ca="1" si="424"/>
        <v>0</v>
      </c>
    </row>
    <row r="2084" spans="1:16" x14ac:dyDescent="0.25">
      <c r="A2084" s="3">
        <f t="shared" si="425"/>
        <v>49030</v>
      </c>
      <c r="B2084" s="21">
        <f t="shared" si="416"/>
        <v>36612</v>
      </c>
      <c r="C2084" s="21">
        <f t="shared" si="417"/>
        <v>36697</v>
      </c>
      <c r="D2084" s="1">
        <f t="shared" si="426"/>
        <v>0</v>
      </c>
      <c r="E2084" s="3">
        <f t="array" ref="E2084">INDEX($A$9:A2083, MAX(IF($D$9:D2083=1, ROW(D$9:$D2083)-ROW($D$9)+1, 0)))</f>
        <v>49023</v>
      </c>
      <c r="F2084" s="23">
        <f t="shared" si="418"/>
        <v>7.953456536618754</v>
      </c>
      <c r="G2084" s="5">
        <f>INDEX('Default Prob'!$P$5:$P$14,MIN(1+_xlfn.IFNA(MATCH(F2084,'Default Prob'!$F$5:$F$14,1),0),COUNT('Default Prob'!$P$5:$P$14)))</f>
        <v>4.1094539438249027E-2</v>
      </c>
      <c r="H2084" s="5">
        <f t="shared" si="427"/>
        <v>0.80826519891570558</v>
      </c>
      <c r="I2084" s="24">
        <f t="shared" si="428"/>
        <v>2.7286153870753616E-4</v>
      </c>
      <c r="J2084" s="25">
        <f>INDEX('Default Prob'!$C$3:$C$13, _xlfn.IFNA(MATCH(F2084, 'Default Prob'!$B$3:$B$13, 1), 1))</f>
        <v>2.29E-2</v>
      </c>
      <c r="K2084" s="26">
        <f t="shared" si="419"/>
        <v>0.83520337635351161</v>
      </c>
      <c r="L2084" s="27">
        <f t="shared" ca="1" si="420"/>
        <v>0</v>
      </c>
      <c r="M2084" s="27">
        <f t="shared" ca="1" si="421"/>
        <v>0</v>
      </c>
      <c r="N2084" s="28">
        <f t="shared" ca="1" si="422"/>
        <v>0</v>
      </c>
      <c r="O2084" s="29">
        <f t="shared" ca="1" si="423"/>
        <v>0</v>
      </c>
      <c r="P2084" s="30">
        <f t="shared" ca="1" si="424"/>
        <v>0</v>
      </c>
    </row>
    <row r="2085" spans="1:16" x14ac:dyDescent="0.25">
      <c r="A2085" s="3">
        <f t="shared" si="425"/>
        <v>49031</v>
      </c>
      <c r="B2085" s="21">
        <f t="shared" si="416"/>
        <v>36613</v>
      </c>
      <c r="C2085" s="21">
        <f t="shared" si="417"/>
        <v>36697</v>
      </c>
      <c r="D2085" s="1">
        <f t="shared" si="426"/>
        <v>0</v>
      </c>
      <c r="E2085" s="3">
        <f t="array" ref="E2085">INDEX($A$9:A2084, MAX(IF($D$9:D2084=1, ROW(D$9:$D2084)-ROW($D$9)+1, 0)))</f>
        <v>49023</v>
      </c>
      <c r="F2085" s="23">
        <f t="shared" si="418"/>
        <v>7.956194387405886</v>
      </c>
      <c r="G2085" s="5">
        <f>INDEX('Default Prob'!$P$5:$P$14,MIN(1+_xlfn.IFNA(MATCH(F2085,'Default Prob'!$F$5:$F$14,1),0),COUNT('Default Prob'!$P$5:$P$14)))</f>
        <v>4.1094539438249027E-2</v>
      </c>
      <c r="H2085" s="5">
        <f t="shared" si="427"/>
        <v>0.80817426553411587</v>
      </c>
      <c r="I2085" s="24">
        <f t="shared" si="428"/>
        <v>9.0933381589719531E-5</v>
      </c>
      <c r="J2085" s="25">
        <f>INDEX('Default Prob'!$C$3:$C$13, _xlfn.IFNA(MATCH(F2085, 'Default Prob'!$B$3:$B$13, 1), 1))</f>
        <v>2.29E-2</v>
      </c>
      <c r="K2085" s="26">
        <f t="shared" si="419"/>
        <v>0.83515160396848809</v>
      </c>
      <c r="L2085" s="27">
        <f t="shared" ca="1" si="420"/>
        <v>0</v>
      </c>
      <c r="M2085" s="27">
        <f t="shared" ca="1" si="421"/>
        <v>0</v>
      </c>
      <c r="N2085" s="28">
        <f t="shared" ca="1" si="422"/>
        <v>0</v>
      </c>
      <c r="O2085" s="29">
        <f t="shared" ca="1" si="423"/>
        <v>0</v>
      </c>
      <c r="P2085" s="30">
        <f t="shared" ca="1" si="424"/>
        <v>0</v>
      </c>
    </row>
    <row r="2086" spans="1:16" x14ac:dyDescent="0.25">
      <c r="A2086" s="3">
        <f t="shared" si="425"/>
        <v>49032</v>
      </c>
      <c r="B2086" s="21">
        <f t="shared" si="416"/>
        <v>36614</v>
      </c>
      <c r="C2086" s="21">
        <f t="shared" si="417"/>
        <v>36697</v>
      </c>
      <c r="D2086" s="1">
        <f t="shared" si="426"/>
        <v>0</v>
      </c>
      <c r="E2086" s="3">
        <f t="array" ref="E2086">INDEX($A$9:A2085, MAX(IF($D$9:D2085=1, ROW(D$9:$D2085)-ROW($D$9)+1, 0)))</f>
        <v>49023</v>
      </c>
      <c r="F2086" s="23">
        <f t="shared" si="418"/>
        <v>7.9589322381930181</v>
      </c>
      <c r="G2086" s="5">
        <f>INDEX('Default Prob'!$P$5:$P$14,MIN(1+_xlfn.IFNA(MATCH(F2086,'Default Prob'!$F$5:$F$14,1),0),COUNT('Default Prob'!$P$5:$P$14)))</f>
        <v>4.1094539438249027E-2</v>
      </c>
      <c r="H2086" s="5">
        <f t="shared" si="427"/>
        <v>0.80808334238293056</v>
      </c>
      <c r="I2086" s="24">
        <f t="shared" si="428"/>
        <v>9.0923151185307027E-5</v>
      </c>
      <c r="J2086" s="25">
        <f>INDEX('Default Prob'!$C$3:$C$13, _xlfn.IFNA(MATCH(F2086, 'Default Prob'!$B$3:$B$13, 1), 1))</f>
        <v>2.29E-2</v>
      </c>
      <c r="K2086" s="26">
        <f t="shared" si="419"/>
        <v>0.83509983479271865</v>
      </c>
      <c r="L2086" s="27">
        <f t="shared" ca="1" si="420"/>
        <v>0</v>
      </c>
      <c r="M2086" s="27">
        <f t="shared" ca="1" si="421"/>
        <v>0</v>
      </c>
      <c r="N2086" s="28">
        <f t="shared" ca="1" si="422"/>
        <v>0</v>
      </c>
      <c r="O2086" s="29">
        <f t="shared" ca="1" si="423"/>
        <v>0</v>
      </c>
      <c r="P2086" s="30">
        <f t="shared" ca="1" si="424"/>
        <v>0</v>
      </c>
    </row>
    <row r="2087" spans="1:16" x14ac:dyDescent="0.25">
      <c r="A2087" s="3">
        <f t="shared" si="425"/>
        <v>49033</v>
      </c>
      <c r="B2087" s="21">
        <f t="shared" si="416"/>
        <v>36615</v>
      </c>
      <c r="C2087" s="21">
        <f t="shared" si="417"/>
        <v>36697</v>
      </c>
      <c r="D2087" s="1">
        <f t="shared" si="426"/>
        <v>0</v>
      </c>
      <c r="E2087" s="3">
        <f t="array" ref="E2087">INDEX($A$9:A2086, MAX(IF($D$9:D2086=1, ROW(D$9:$D2086)-ROW($D$9)+1, 0)))</f>
        <v>49023</v>
      </c>
      <c r="F2087" s="23">
        <f t="shared" si="418"/>
        <v>7.9616700889801502</v>
      </c>
      <c r="G2087" s="5">
        <f>INDEX('Default Prob'!$P$5:$P$14,MIN(1+_xlfn.IFNA(MATCH(F2087,'Default Prob'!$F$5:$F$14,1),0),COUNT('Default Prob'!$P$5:$P$14)))</f>
        <v>4.1094539438249027E-2</v>
      </c>
      <c r="H2087" s="5">
        <f t="shared" si="427"/>
        <v>0.80799242946099881</v>
      </c>
      <c r="I2087" s="24">
        <f t="shared" si="428"/>
        <v>9.0912921931751711E-5</v>
      </c>
      <c r="J2087" s="25">
        <f>INDEX('Default Prob'!$C$3:$C$13, _xlfn.IFNA(MATCH(F2087, 'Default Prob'!$B$3:$B$13, 1), 1))</f>
        <v>2.29E-2</v>
      </c>
      <c r="K2087" s="26">
        <f t="shared" si="419"/>
        <v>0.83504806882600446</v>
      </c>
      <c r="L2087" s="27">
        <f t="shared" ca="1" si="420"/>
        <v>0</v>
      </c>
      <c r="M2087" s="27">
        <f t="shared" ca="1" si="421"/>
        <v>0</v>
      </c>
      <c r="N2087" s="28">
        <f t="shared" ca="1" si="422"/>
        <v>0</v>
      </c>
      <c r="O2087" s="29">
        <f t="shared" ca="1" si="423"/>
        <v>0</v>
      </c>
      <c r="P2087" s="30">
        <f t="shared" ca="1" si="424"/>
        <v>0</v>
      </c>
    </row>
    <row r="2088" spans="1:16" x14ac:dyDescent="0.25">
      <c r="A2088" s="3">
        <f t="shared" si="425"/>
        <v>49034</v>
      </c>
      <c r="B2088" s="21">
        <f t="shared" si="416"/>
        <v>36616</v>
      </c>
      <c r="C2088" s="21">
        <f t="shared" si="417"/>
        <v>36697</v>
      </c>
      <c r="D2088" s="1">
        <f t="shared" si="426"/>
        <v>0</v>
      </c>
      <c r="E2088" s="3">
        <f t="array" ref="E2088">INDEX($A$9:A2087, MAX(IF($D$9:D2087=1, ROW(D$9:$D2087)-ROW($D$9)+1, 0)))</f>
        <v>49023</v>
      </c>
      <c r="F2088" s="23">
        <f t="shared" si="418"/>
        <v>7.9644079397672831</v>
      </c>
      <c r="G2088" s="5">
        <f>INDEX('Default Prob'!$P$5:$P$14,MIN(1+_xlfn.IFNA(MATCH(F2088,'Default Prob'!$F$5:$F$14,1),0),COUNT('Default Prob'!$P$5:$P$14)))</f>
        <v>4.1094539438249027E-2</v>
      </c>
      <c r="H2088" s="5">
        <f t="shared" si="427"/>
        <v>0.80790152676716964</v>
      </c>
      <c r="I2088" s="24">
        <f t="shared" si="428"/>
        <v>9.0902693829164605E-5</v>
      </c>
      <c r="J2088" s="25">
        <f>INDEX('Default Prob'!$C$3:$C$13, _xlfn.IFNA(MATCH(F2088, 'Default Prob'!$B$3:$B$13, 1), 1))</f>
        <v>2.29E-2</v>
      </c>
      <c r="K2088" s="26">
        <f t="shared" si="419"/>
        <v>0.83499630606814657</v>
      </c>
      <c r="L2088" s="27">
        <f t="shared" ca="1" si="420"/>
        <v>0</v>
      </c>
      <c r="M2088" s="27">
        <f t="shared" ca="1" si="421"/>
        <v>0</v>
      </c>
      <c r="N2088" s="28">
        <f t="shared" ca="1" si="422"/>
        <v>0</v>
      </c>
      <c r="O2088" s="29">
        <f t="shared" ca="1" si="423"/>
        <v>0</v>
      </c>
      <c r="P2088" s="30">
        <f t="shared" ca="1" si="424"/>
        <v>0</v>
      </c>
    </row>
    <row r="2089" spans="1:16" x14ac:dyDescent="0.25">
      <c r="A2089" s="3">
        <f t="shared" si="425"/>
        <v>49037</v>
      </c>
      <c r="B2089" s="21">
        <f t="shared" si="416"/>
        <v>36619</v>
      </c>
      <c r="C2089" s="21">
        <f t="shared" si="417"/>
        <v>36697</v>
      </c>
      <c r="D2089" s="1">
        <f t="shared" si="426"/>
        <v>0</v>
      </c>
      <c r="E2089" s="3">
        <f t="array" ref="E2089">INDEX($A$9:A2088, MAX(IF($D$9:D2088=1, ROW(D$9:$D2088)-ROW($D$9)+1, 0)))</f>
        <v>49023</v>
      </c>
      <c r="F2089" s="23">
        <f t="shared" si="418"/>
        <v>7.9726214921286793</v>
      </c>
      <c r="G2089" s="5">
        <f>INDEX('Default Prob'!$P$5:$P$14,MIN(1+_xlfn.IFNA(MATCH(F2089,'Default Prob'!$F$5:$F$14,1),0),COUNT('Default Prob'!$P$5:$P$14)))</f>
        <v>4.1094539438249027E-2</v>
      </c>
      <c r="H2089" s="5">
        <f t="shared" si="427"/>
        <v>0.80762888004279165</v>
      </c>
      <c r="I2089" s="24">
        <f t="shared" si="428"/>
        <v>2.7264672437798954E-4</v>
      </c>
      <c r="J2089" s="25">
        <f>INDEX('Default Prob'!$C$3:$C$13, _xlfn.IFNA(MATCH(F2089, 'Default Prob'!$B$3:$B$13, 1), 1))</f>
        <v>2.29E-2</v>
      </c>
      <c r="K2089" s="26">
        <f t="shared" si="419"/>
        <v>0.83484103704572088</v>
      </c>
      <c r="L2089" s="27">
        <f t="shared" ca="1" si="420"/>
        <v>0</v>
      </c>
      <c r="M2089" s="27">
        <f t="shared" ca="1" si="421"/>
        <v>0</v>
      </c>
      <c r="N2089" s="28">
        <f t="shared" ca="1" si="422"/>
        <v>0</v>
      </c>
      <c r="O2089" s="29">
        <f t="shared" ca="1" si="423"/>
        <v>0</v>
      </c>
      <c r="P2089" s="30">
        <f t="shared" ca="1" si="424"/>
        <v>0</v>
      </c>
    </row>
    <row r="2090" spans="1:16" x14ac:dyDescent="0.25">
      <c r="A2090" s="3">
        <f t="shared" si="425"/>
        <v>49038</v>
      </c>
      <c r="B2090" s="21">
        <f t="shared" si="416"/>
        <v>36620</v>
      </c>
      <c r="C2090" s="21">
        <f t="shared" si="417"/>
        <v>36697</v>
      </c>
      <c r="D2090" s="1">
        <f t="shared" si="426"/>
        <v>0</v>
      </c>
      <c r="E2090" s="3">
        <f t="array" ref="E2090">INDEX($A$9:A2089, MAX(IF($D$9:D2089=1, ROW(D$9:$D2089)-ROW($D$9)+1, 0)))</f>
        <v>49023</v>
      </c>
      <c r="F2090" s="23">
        <f t="shared" si="418"/>
        <v>7.9753593429158114</v>
      </c>
      <c r="G2090" s="5">
        <f>INDEX('Default Prob'!$P$5:$P$14,MIN(1+_xlfn.IFNA(MATCH(F2090,'Default Prob'!$F$5:$F$14,1),0),COUNT('Default Prob'!$P$5:$P$14)))</f>
        <v>4.1094539438249027E-2</v>
      </c>
      <c r="H2090" s="5">
        <f t="shared" si="427"/>
        <v>0.80753801824986737</v>
      </c>
      <c r="I2090" s="24">
        <f t="shared" si="428"/>
        <v>9.0861792924279428E-5</v>
      </c>
      <c r="J2090" s="25">
        <f>INDEX('Default Prob'!$C$3:$C$13, _xlfn.IFNA(MATCH(F2090, 'Default Prob'!$B$3:$B$13, 1), 1))</f>
        <v>2.29E-2</v>
      </c>
      <c r="K2090" s="26">
        <f t="shared" si="419"/>
        <v>0.83478928712129896</v>
      </c>
      <c r="L2090" s="27">
        <f t="shared" ca="1" si="420"/>
        <v>0</v>
      </c>
      <c r="M2090" s="27">
        <f t="shared" ca="1" si="421"/>
        <v>0</v>
      </c>
      <c r="N2090" s="28">
        <f t="shared" ca="1" si="422"/>
        <v>0</v>
      </c>
      <c r="O2090" s="29">
        <f t="shared" ca="1" si="423"/>
        <v>0</v>
      </c>
      <c r="P2090" s="30">
        <f t="shared" ca="1" si="424"/>
        <v>0</v>
      </c>
    </row>
    <row r="2091" spans="1:16" x14ac:dyDescent="0.25">
      <c r="A2091" s="3">
        <f t="shared" si="425"/>
        <v>49039</v>
      </c>
      <c r="B2091" s="21">
        <f t="shared" si="416"/>
        <v>36621</v>
      </c>
      <c r="C2091" s="21">
        <f t="shared" si="417"/>
        <v>36697</v>
      </c>
      <c r="D2091" s="1">
        <f t="shared" si="426"/>
        <v>0</v>
      </c>
      <c r="E2091" s="3">
        <f t="array" ref="E2091">INDEX($A$9:A2090, MAX(IF($D$9:D2090=1, ROW(D$9:$D2090)-ROW($D$9)+1, 0)))</f>
        <v>49023</v>
      </c>
      <c r="F2091" s="23">
        <f t="shared" si="418"/>
        <v>7.9780971937029435</v>
      </c>
      <c r="G2091" s="5">
        <f>INDEX('Default Prob'!$P$5:$P$14,MIN(1+_xlfn.IFNA(MATCH(F2091,'Default Prob'!$F$5:$F$14,1),0),COUNT('Default Prob'!$P$5:$P$14)))</f>
        <v>4.1094539438249027E-2</v>
      </c>
      <c r="H2091" s="5">
        <f t="shared" si="427"/>
        <v>0.8074471666792935</v>
      </c>
      <c r="I2091" s="24">
        <f t="shared" si="428"/>
        <v>9.0851570573868834E-5</v>
      </c>
      <c r="J2091" s="25">
        <f>INDEX('Default Prob'!$C$3:$C$13, _xlfn.IFNA(MATCH(F2091, 'Default Prob'!$B$3:$B$13, 1), 1))</f>
        <v>2.29E-2</v>
      </c>
      <c r="K2091" s="26">
        <f t="shared" si="419"/>
        <v>0.83473754040473869</v>
      </c>
      <c r="L2091" s="27">
        <f t="shared" ca="1" si="420"/>
        <v>0</v>
      </c>
      <c r="M2091" s="27">
        <f t="shared" ca="1" si="421"/>
        <v>0</v>
      </c>
      <c r="N2091" s="28">
        <f t="shared" ca="1" si="422"/>
        <v>0</v>
      </c>
      <c r="O2091" s="29">
        <f t="shared" ca="1" si="423"/>
        <v>0</v>
      </c>
      <c r="P2091" s="30">
        <f t="shared" ca="1" si="424"/>
        <v>0</v>
      </c>
    </row>
    <row r="2092" spans="1:16" x14ac:dyDescent="0.25">
      <c r="A2092" s="3">
        <f t="shared" si="425"/>
        <v>49040</v>
      </c>
      <c r="B2092" s="21">
        <f t="shared" si="416"/>
        <v>36622</v>
      </c>
      <c r="C2092" s="21">
        <f t="shared" si="417"/>
        <v>36697</v>
      </c>
      <c r="D2092" s="1">
        <f t="shared" si="426"/>
        <v>0</v>
      </c>
      <c r="E2092" s="3">
        <f t="array" ref="E2092">INDEX($A$9:A2091, MAX(IF($D$9:D2091=1, ROW(D$9:$D2091)-ROW($D$9)+1, 0)))</f>
        <v>49023</v>
      </c>
      <c r="F2092" s="23">
        <f t="shared" si="418"/>
        <v>7.9808350444900755</v>
      </c>
      <c r="G2092" s="5">
        <f>INDEX('Default Prob'!$P$5:$P$14,MIN(1+_xlfn.IFNA(MATCH(F2092,'Default Prob'!$F$5:$F$14,1),0),COUNT('Default Prob'!$P$5:$P$14)))</f>
        <v>4.1094539438249027E-2</v>
      </c>
      <c r="H2092" s="5">
        <f t="shared" si="427"/>
        <v>0.80735632532991997</v>
      </c>
      <c r="I2092" s="24">
        <f t="shared" si="428"/>
        <v>9.0841349373538272E-5</v>
      </c>
      <c r="J2092" s="25">
        <f>INDEX('Default Prob'!$C$3:$C$13, _xlfn.IFNA(MATCH(F2092, 'Default Prob'!$B$3:$B$13, 1), 1))</f>
        <v>2.29E-2</v>
      </c>
      <c r="K2092" s="26">
        <f t="shared" si="419"/>
        <v>0.83468579689584144</v>
      </c>
      <c r="L2092" s="27">
        <f t="shared" ca="1" si="420"/>
        <v>0</v>
      </c>
      <c r="M2092" s="27">
        <f t="shared" ca="1" si="421"/>
        <v>0</v>
      </c>
      <c r="N2092" s="28">
        <f t="shared" ca="1" si="422"/>
        <v>0</v>
      </c>
      <c r="O2092" s="29">
        <f t="shared" ca="1" si="423"/>
        <v>0</v>
      </c>
      <c r="P2092" s="30">
        <f t="shared" ca="1" si="424"/>
        <v>0</v>
      </c>
    </row>
    <row r="2093" spans="1:16" x14ac:dyDescent="0.25">
      <c r="A2093" s="3">
        <f t="shared" si="425"/>
        <v>49041</v>
      </c>
      <c r="B2093" s="21">
        <f t="shared" si="416"/>
        <v>36623</v>
      </c>
      <c r="C2093" s="21">
        <f t="shared" si="417"/>
        <v>36697</v>
      </c>
      <c r="D2093" s="1">
        <f t="shared" si="426"/>
        <v>0</v>
      </c>
      <c r="E2093" s="3">
        <f t="array" ref="E2093">INDEX($A$9:A2092, MAX(IF($D$9:D2092=1, ROW(D$9:$D2092)-ROW($D$9)+1, 0)))</f>
        <v>49023</v>
      </c>
      <c r="F2093" s="23">
        <f t="shared" si="418"/>
        <v>7.9835728952772076</v>
      </c>
      <c r="G2093" s="5">
        <f>INDEX('Default Prob'!$P$5:$P$14,MIN(1+_xlfn.IFNA(MATCH(F2093,'Default Prob'!$F$5:$F$14,1),0),COUNT('Default Prob'!$P$5:$P$14)))</f>
        <v>4.1094539438249027E-2</v>
      </c>
      <c r="H2093" s="5">
        <f t="shared" si="427"/>
        <v>0.8072654942005969</v>
      </c>
      <c r="I2093" s="24">
        <f t="shared" si="428"/>
        <v>9.0831129323065696E-5</v>
      </c>
      <c r="J2093" s="25">
        <f>INDEX('Default Prob'!$C$3:$C$13, _xlfn.IFNA(MATCH(F2093, 'Default Prob'!$B$3:$B$13, 1), 1))</f>
        <v>2.29E-2</v>
      </c>
      <c r="K2093" s="26">
        <f t="shared" si="419"/>
        <v>0.83463405659440826</v>
      </c>
      <c r="L2093" s="27">
        <f t="shared" ca="1" si="420"/>
        <v>0</v>
      </c>
      <c r="M2093" s="27">
        <f t="shared" ca="1" si="421"/>
        <v>0</v>
      </c>
      <c r="N2093" s="28">
        <f t="shared" ca="1" si="422"/>
        <v>0</v>
      </c>
      <c r="O2093" s="29">
        <f t="shared" ca="1" si="423"/>
        <v>0</v>
      </c>
      <c r="P2093" s="30">
        <f t="shared" ca="1" si="424"/>
        <v>0</v>
      </c>
    </row>
    <row r="2094" spans="1:16" x14ac:dyDescent="0.25">
      <c r="A2094" s="3">
        <f t="shared" si="425"/>
        <v>49044</v>
      </c>
      <c r="B2094" s="21">
        <f t="shared" si="416"/>
        <v>36626</v>
      </c>
      <c r="C2094" s="21">
        <f t="shared" si="417"/>
        <v>36697</v>
      </c>
      <c r="D2094" s="1">
        <f t="shared" si="426"/>
        <v>0</v>
      </c>
      <c r="E2094" s="3">
        <f t="array" ref="E2094">INDEX($A$9:A2093, MAX(IF($D$9:D2093=1, ROW(D$9:$D2093)-ROW($D$9)+1, 0)))</f>
        <v>49023</v>
      </c>
      <c r="F2094" s="23">
        <f t="shared" si="418"/>
        <v>7.9917864476386038</v>
      </c>
      <c r="G2094" s="5">
        <f>INDEX('Default Prob'!$P$5:$P$14,MIN(1+_xlfn.IFNA(MATCH(F2094,'Default Prob'!$F$5:$F$14,1),0),COUNT('Default Prob'!$P$5:$P$14)))</f>
        <v>4.1094539438249027E-2</v>
      </c>
      <c r="H2094" s="5">
        <f t="shared" si="427"/>
        <v>0.80699306212143262</v>
      </c>
      <c r="I2094" s="24">
        <f t="shared" si="428"/>
        <v>2.7243207916427536E-4</v>
      </c>
      <c r="J2094" s="25">
        <f>INDEX('Default Prob'!$C$3:$C$13, _xlfn.IFNA(MATCH(F2094, 'Default Prob'!$B$3:$B$13, 1), 1))</f>
        <v>2.29E-2</v>
      </c>
      <c r="K2094" s="26">
        <f t="shared" si="419"/>
        <v>0.83447885493290541</v>
      </c>
      <c r="L2094" s="27">
        <f t="shared" ca="1" si="420"/>
        <v>0</v>
      </c>
      <c r="M2094" s="27">
        <f t="shared" ca="1" si="421"/>
        <v>0</v>
      </c>
      <c r="N2094" s="28">
        <f t="shared" ca="1" si="422"/>
        <v>0</v>
      </c>
      <c r="O2094" s="29">
        <f t="shared" ca="1" si="423"/>
        <v>0</v>
      </c>
      <c r="P2094" s="30">
        <f t="shared" ca="1" si="424"/>
        <v>0</v>
      </c>
    </row>
    <row r="2095" spans="1:16" x14ac:dyDescent="0.25">
      <c r="A2095" s="3">
        <f t="shared" si="425"/>
        <v>49045</v>
      </c>
      <c r="B2095" s="21">
        <f t="shared" si="416"/>
        <v>36627</v>
      </c>
      <c r="C2095" s="21">
        <f t="shared" si="417"/>
        <v>36697</v>
      </c>
      <c r="D2095" s="1">
        <f t="shared" si="426"/>
        <v>0</v>
      </c>
      <c r="E2095" s="3">
        <f t="array" ref="E2095">INDEX($A$9:A2094, MAX(IF($D$9:D2094=1, ROW(D$9:$D2094)-ROW($D$9)+1, 0)))</f>
        <v>49023</v>
      </c>
      <c r="F2095" s="23">
        <f t="shared" si="418"/>
        <v>7.9945242984257359</v>
      </c>
      <c r="G2095" s="5">
        <f>INDEX('Default Prob'!$P$5:$P$14,MIN(1+_xlfn.IFNA(MATCH(F2095,'Default Prob'!$F$5:$F$14,1),0),COUNT('Default Prob'!$P$5:$P$14)))</f>
        <v>4.1094539438249027E-2</v>
      </c>
      <c r="H2095" s="5">
        <f t="shared" si="427"/>
        <v>0.80690227186081442</v>
      </c>
      <c r="I2095" s="24">
        <f t="shared" si="428"/>
        <v>9.0790260618200946E-5</v>
      </c>
      <c r="J2095" s="25">
        <f>INDEX('Default Prob'!$C$3:$C$13, _xlfn.IFNA(MATCH(F2095, 'Default Prob'!$B$3:$B$13, 1), 1))</f>
        <v>2.29E-2</v>
      </c>
      <c r="K2095" s="26">
        <f t="shared" si="419"/>
        <v>0.83442712745934067</v>
      </c>
      <c r="L2095" s="27">
        <f t="shared" ca="1" si="420"/>
        <v>0</v>
      </c>
      <c r="M2095" s="27">
        <f t="shared" ca="1" si="421"/>
        <v>0</v>
      </c>
      <c r="N2095" s="28">
        <f t="shared" ca="1" si="422"/>
        <v>0</v>
      </c>
      <c r="O2095" s="29">
        <f t="shared" ca="1" si="423"/>
        <v>0</v>
      </c>
      <c r="P2095" s="30">
        <f t="shared" ca="1" si="424"/>
        <v>0</v>
      </c>
    </row>
    <row r="2096" spans="1:16" x14ac:dyDescent="0.25">
      <c r="A2096" s="3">
        <f t="shared" si="425"/>
        <v>49046</v>
      </c>
      <c r="B2096" s="21">
        <f t="shared" si="416"/>
        <v>36628</v>
      </c>
      <c r="C2096" s="21">
        <f t="shared" si="417"/>
        <v>36697</v>
      </c>
      <c r="D2096" s="1">
        <f t="shared" si="426"/>
        <v>0</v>
      </c>
      <c r="E2096" s="3">
        <f t="array" ref="E2096">INDEX($A$9:A2095, MAX(IF($D$9:D2095=1, ROW(D$9:$D2095)-ROW($D$9)+1, 0)))</f>
        <v>49023</v>
      </c>
      <c r="F2096" s="23">
        <f t="shared" si="418"/>
        <v>7.9972621492128679</v>
      </c>
      <c r="G2096" s="5">
        <f>INDEX('Default Prob'!$P$5:$P$14,MIN(1+_xlfn.IFNA(MATCH(F2096,'Default Prob'!$F$5:$F$14,1),0),COUNT('Default Prob'!$P$5:$P$14)))</f>
        <v>4.1094539438249027E-2</v>
      </c>
      <c r="H2096" s="5">
        <f t="shared" si="427"/>
        <v>0.80681149181449896</v>
      </c>
      <c r="I2096" s="24">
        <f t="shared" si="428"/>
        <v>9.0780046315463991E-5</v>
      </c>
      <c r="J2096" s="25">
        <f>INDEX('Default Prob'!$C$3:$C$13, _xlfn.IFNA(MATCH(F2096, 'Default Prob'!$B$3:$B$13, 1), 1))</f>
        <v>2.29E-2</v>
      </c>
      <c r="K2096" s="26">
        <f t="shared" si="419"/>
        <v>0.8343754031922459</v>
      </c>
      <c r="L2096" s="27">
        <f t="shared" ca="1" si="420"/>
        <v>0</v>
      </c>
      <c r="M2096" s="27">
        <f t="shared" ca="1" si="421"/>
        <v>0</v>
      </c>
      <c r="N2096" s="28">
        <f t="shared" ca="1" si="422"/>
        <v>0</v>
      </c>
      <c r="O2096" s="29">
        <f t="shared" ca="1" si="423"/>
        <v>0</v>
      </c>
      <c r="P2096" s="30">
        <f t="shared" ca="1" si="424"/>
        <v>0</v>
      </c>
    </row>
    <row r="2097" spans="1:16" x14ac:dyDescent="0.25">
      <c r="A2097" s="3">
        <f t="shared" si="425"/>
        <v>49047</v>
      </c>
      <c r="B2097" s="21">
        <f t="shared" si="416"/>
        <v>36629</v>
      </c>
      <c r="C2097" s="21">
        <f t="shared" si="417"/>
        <v>36697</v>
      </c>
      <c r="D2097" s="1">
        <f t="shared" si="426"/>
        <v>0</v>
      </c>
      <c r="E2097" s="3">
        <f t="array" ref="E2097">INDEX($A$9:A2096, MAX(IF($D$9:D2096=1, ROW(D$9:$D2096)-ROW($D$9)+1, 0)))</f>
        <v>49023</v>
      </c>
      <c r="F2097" s="23">
        <f t="shared" si="418"/>
        <v>8</v>
      </c>
      <c r="G2097" s="5">
        <f>INDEX('Default Prob'!$P$5:$P$14,MIN(1+_xlfn.IFNA(MATCH(F2097,'Default Prob'!$F$5:$F$14,1),0),COUNT('Default Prob'!$P$5:$P$14)))</f>
        <v>5.8652391073922311E-2</v>
      </c>
      <c r="H2097" s="5">
        <f t="shared" si="427"/>
        <v>0.80672072198133704</v>
      </c>
      <c r="I2097" s="24">
        <f t="shared" si="428"/>
        <v>9.0769833161918889E-5</v>
      </c>
      <c r="J2097" s="25">
        <f>INDEX('Default Prob'!$C$3:$C$13, _xlfn.IFNA(MATCH(F2097, 'Default Prob'!$B$3:$B$13, 1), 1))</f>
        <v>2.4E-2</v>
      </c>
      <c r="K2097" s="26">
        <f t="shared" si="419"/>
        <v>0.82718061255302777</v>
      </c>
      <c r="L2097" s="27">
        <f t="shared" ca="1" si="420"/>
        <v>0</v>
      </c>
      <c r="M2097" s="27">
        <f t="shared" ca="1" si="421"/>
        <v>0</v>
      </c>
      <c r="N2097" s="28">
        <f t="shared" ca="1" si="422"/>
        <v>0</v>
      </c>
      <c r="O2097" s="29">
        <f t="shared" ca="1" si="423"/>
        <v>0</v>
      </c>
      <c r="P2097" s="30">
        <f t="shared" ca="1" si="424"/>
        <v>0</v>
      </c>
    </row>
    <row r="2098" spans="1:16" x14ac:dyDescent="0.25">
      <c r="A2098" s="3">
        <f t="shared" si="425"/>
        <v>49048</v>
      </c>
      <c r="B2098" s="21">
        <f t="shared" si="416"/>
        <v>36630</v>
      </c>
      <c r="C2098" s="21">
        <f t="shared" si="417"/>
        <v>36697</v>
      </c>
      <c r="D2098" s="1">
        <f t="shared" si="426"/>
        <v>0</v>
      </c>
      <c r="E2098" s="3">
        <f t="array" ref="E2098">INDEX($A$9:A2097, MAX(IF($D$9:D2097=1, ROW(D$9:$D2097)-ROW($D$9)+1, 0)))</f>
        <v>49023</v>
      </c>
      <c r="F2098" s="23">
        <f t="shared" si="418"/>
        <v>8.002737850787133</v>
      </c>
      <c r="G2098" s="5">
        <f>INDEX('Default Prob'!$P$5:$P$14,MIN(1+_xlfn.IFNA(MATCH(F2098,'Default Prob'!$F$5:$F$14,1),0),COUNT('Default Prob'!$P$5:$P$14)))</f>
        <v>5.8652391073922311E-2</v>
      </c>
      <c r="H2098" s="5">
        <f t="shared" si="427"/>
        <v>0.80659118796235973</v>
      </c>
      <c r="I2098" s="24">
        <f t="shared" si="428"/>
        <v>1.2953401897730643E-4</v>
      </c>
      <c r="J2098" s="25">
        <f>INDEX('Default Prob'!$C$3:$C$13, _xlfn.IFNA(MATCH(F2098, 'Default Prob'!$B$3:$B$13, 1), 1))</f>
        <v>2.4E-2</v>
      </c>
      <c r="K2098" s="26">
        <f t="shared" si="419"/>
        <v>0.82712690354792828</v>
      </c>
      <c r="L2098" s="27">
        <f t="shared" ca="1" si="420"/>
        <v>0</v>
      </c>
      <c r="M2098" s="27">
        <f t="shared" ca="1" si="421"/>
        <v>0</v>
      </c>
      <c r="N2098" s="28">
        <f t="shared" ca="1" si="422"/>
        <v>0</v>
      </c>
      <c r="O2098" s="29">
        <f t="shared" ca="1" si="423"/>
        <v>0</v>
      </c>
      <c r="P2098" s="30">
        <f t="shared" ca="1" si="424"/>
        <v>0</v>
      </c>
    </row>
    <row r="2099" spans="1:16" x14ac:dyDescent="0.25">
      <c r="A2099" s="3">
        <f t="shared" si="425"/>
        <v>49051</v>
      </c>
      <c r="B2099" s="21">
        <f t="shared" si="416"/>
        <v>36633</v>
      </c>
      <c r="C2099" s="21">
        <f t="shared" si="417"/>
        <v>36697</v>
      </c>
      <c r="D2099" s="1">
        <f t="shared" si="426"/>
        <v>0</v>
      </c>
      <c r="E2099" s="3">
        <f t="array" ref="E2099">INDEX($A$9:A2098, MAX(IF($D$9:D2098=1, ROW(D$9:$D2098)-ROW($D$9)+1, 0)))</f>
        <v>49023</v>
      </c>
      <c r="F2099" s="23">
        <f t="shared" si="418"/>
        <v>8.0109514031485283</v>
      </c>
      <c r="G2099" s="5">
        <f>INDEX('Default Prob'!$P$5:$P$14,MIN(1+_xlfn.IFNA(MATCH(F2099,'Default Prob'!$F$5:$F$14,1),0),COUNT('Default Prob'!$P$5:$P$14)))</f>
        <v>5.8652391073922311E-2</v>
      </c>
      <c r="H2099" s="5">
        <f t="shared" si="427"/>
        <v>0.80620271068664828</v>
      </c>
      <c r="I2099" s="24">
        <f t="shared" si="428"/>
        <v>3.8847727571145185E-4</v>
      </c>
      <c r="J2099" s="25">
        <f>INDEX('Default Prob'!$C$3:$C$13, _xlfn.IFNA(MATCH(F2099, 'Default Prob'!$B$3:$B$13, 1), 1))</f>
        <v>2.4E-2</v>
      </c>
      <c r="K2099" s="26">
        <f t="shared" si="419"/>
        <v>0.82696579745574428</v>
      </c>
      <c r="L2099" s="27">
        <f t="shared" ca="1" si="420"/>
        <v>0</v>
      </c>
      <c r="M2099" s="27">
        <f t="shared" ca="1" si="421"/>
        <v>0</v>
      </c>
      <c r="N2099" s="28">
        <f t="shared" ca="1" si="422"/>
        <v>0</v>
      </c>
      <c r="O2099" s="29">
        <f t="shared" ca="1" si="423"/>
        <v>0</v>
      </c>
      <c r="P2099" s="30">
        <f t="shared" ca="1" si="424"/>
        <v>0</v>
      </c>
    </row>
    <row r="2100" spans="1:16" x14ac:dyDescent="0.25">
      <c r="A2100" s="3">
        <f t="shared" si="425"/>
        <v>49052</v>
      </c>
      <c r="B2100" s="21">
        <f t="shared" si="416"/>
        <v>36634</v>
      </c>
      <c r="C2100" s="21">
        <f t="shared" si="417"/>
        <v>36697</v>
      </c>
      <c r="D2100" s="1">
        <f t="shared" si="426"/>
        <v>0</v>
      </c>
      <c r="E2100" s="3">
        <f t="array" ref="E2100">INDEX($A$9:A2099, MAX(IF($D$9:D2099=1, ROW(D$9:$D2099)-ROW($D$9)+1, 0)))</f>
        <v>49023</v>
      </c>
      <c r="F2100" s="23">
        <f t="shared" si="418"/>
        <v>8.0136892539356612</v>
      </c>
      <c r="G2100" s="5">
        <f>INDEX('Default Prob'!$P$5:$P$14,MIN(1+_xlfn.IFNA(MATCH(F2100,'Default Prob'!$F$5:$F$14,1),0),COUNT('Default Prob'!$P$5:$P$14)))</f>
        <v>5.8652391073922311E-2</v>
      </c>
      <c r="H2100" s="5">
        <f t="shared" si="427"/>
        <v>0.80607325984402067</v>
      </c>
      <c r="I2100" s="24">
        <f t="shared" si="428"/>
        <v>1.2945084262760975E-4</v>
      </c>
      <c r="J2100" s="25">
        <f>INDEX('Default Prob'!$C$3:$C$13, _xlfn.IFNA(MATCH(F2100, 'Default Prob'!$B$3:$B$13, 1), 1))</f>
        <v>2.4E-2</v>
      </c>
      <c r="K2100" s="26">
        <f t="shared" si="419"/>
        <v>0.82691210239863266</v>
      </c>
      <c r="L2100" s="27">
        <f t="shared" ca="1" si="420"/>
        <v>0</v>
      </c>
      <c r="M2100" s="27">
        <f t="shared" ca="1" si="421"/>
        <v>0</v>
      </c>
      <c r="N2100" s="28">
        <f t="shared" ca="1" si="422"/>
        <v>0</v>
      </c>
      <c r="O2100" s="29">
        <f t="shared" ca="1" si="423"/>
        <v>0</v>
      </c>
      <c r="P2100" s="30">
        <f t="shared" ca="1" si="424"/>
        <v>0</v>
      </c>
    </row>
    <row r="2101" spans="1:16" x14ac:dyDescent="0.25">
      <c r="A2101" s="3">
        <f t="shared" si="425"/>
        <v>49053</v>
      </c>
      <c r="B2101" s="21">
        <f t="shared" si="416"/>
        <v>36635</v>
      </c>
      <c r="C2101" s="21">
        <f t="shared" si="417"/>
        <v>36697</v>
      </c>
      <c r="D2101" s="1">
        <f t="shared" si="426"/>
        <v>0</v>
      </c>
      <c r="E2101" s="3">
        <f t="array" ref="E2101">INDEX($A$9:A2100, MAX(IF($D$9:D2100=1, ROW(D$9:$D2100)-ROW($D$9)+1, 0)))</f>
        <v>49023</v>
      </c>
      <c r="F2101" s="23">
        <f t="shared" si="418"/>
        <v>8.0164271047227924</v>
      </c>
      <c r="G2101" s="5">
        <f>INDEX('Default Prob'!$P$5:$P$14,MIN(1+_xlfn.IFNA(MATCH(F2101,'Default Prob'!$F$5:$F$14,1),0),COUNT('Default Prob'!$P$5:$P$14)))</f>
        <v>5.8652391073922311E-2</v>
      </c>
      <c r="H2101" s="5">
        <f t="shared" si="427"/>
        <v>0.80594382978713408</v>
      </c>
      <c r="I2101" s="24">
        <f t="shared" si="428"/>
        <v>1.2943005688659248E-4</v>
      </c>
      <c r="J2101" s="25">
        <f>INDEX('Default Prob'!$C$3:$C$13, _xlfn.IFNA(MATCH(F2101, 'Default Prob'!$B$3:$B$13, 1), 1))</f>
        <v>2.4E-2</v>
      </c>
      <c r="K2101" s="26">
        <f t="shared" si="419"/>
        <v>0.82685841082795231</v>
      </c>
      <c r="L2101" s="27">
        <f t="shared" ca="1" si="420"/>
        <v>0</v>
      </c>
      <c r="M2101" s="27">
        <f t="shared" ca="1" si="421"/>
        <v>0</v>
      </c>
      <c r="N2101" s="28">
        <f t="shared" ca="1" si="422"/>
        <v>0</v>
      </c>
      <c r="O2101" s="29">
        <f t="shared" ca="1" si="423"/>
        <v>0</v>
      </c>
      <c r="P2101" s="30">
        <f t="shared" ca="1" si="424"/>
        <v>0</v>
      </c>
    </row>
    <row r="2102" spans="1:16" x14ac:dyDescent="0.25">
      <c r="A2102" s="3">
        <f t="shared" si="425"/>
        <v>49054</v>
      </c>
      <c r="B2102" s="21">
        <f t="shared" si="416"/>
        <v>36636</v>
      </c>
      <c r="C2102" s="21">
        <f t="shared" si="417"/>
        <v>36697</v>
      </c>
      <c r="D2102" s="1">
        <f t="shared" si="426"/>
        <v>0</v>
      </c>
      <c r="E2102" s="3">
        <f t="array" ref="E2102">INDEX($A$9:A2101, MAX(IF($D$9:D2101=1, ROW(D$9:$D2101)-ROW($D$9)+1, 0)))</f>
        <v>49023</v>
      </c>
      <c r="F2102" s="23">
        <f t="shared" si="418"/>
        <v>8.0191649555099254</v>
      </c>
      <c r="G2102" s="5">
        <f>INDEX('Default Prob'!$P$5:$P$14,MIN(1+_xlfn.IFNA(MATCH(F2102,'Default Prob'!$F$5:$F$14,1),0),COUNT('Default Prob'!$P$5:$P$14)))</f>
        <v>5.8652391073922311E-2</v>
      </c>
      <c r="H2102" s="5">
        <f t="shared" si="427"/>
        <v>0.80581442051265073</v>
      </c>
      <c r="I2102" s="24">
        <f t="shared" si="428"/>
        <v>1.2940927448334971E-4</v>
      </c>
      <c r="J2102" s="25">
        <f>INDEX('Default Prob'!$C$3:$C$13, _xlfn.IFNA(MATCH(F2102, 'Default Prob'!$B$3:$B$13, 1), 1))</f>
        <v>2.4E-2</v>
      </c>
      <c r="K2102" s="26">
        <f t="shared" si="419"/>
        <v>0.82680472274347638</v>
      </c>
      <c r="L2102" s="27">
        <f t="shared" ca="1" si="420"/>
        <v>0</v>
      </c>
      <c r="M2102" s="27">
        <f t="shared" ca="1" si="421"/>
        <v>0</v>
      </c>
      <c r="N2102" s="28">
        <f t="shared" ca="1" si="422"/>
        <v>0</v>
      </c>
      <c r="O2102" s="29">
        <f t="shared" ca="1" si="423"/>
        <v>0</v>
      </c>
      <c r="P2102" s="30">
        <f t="shared" ca="1" si="424"/>
        <v>0</v>
      </c>
    </row>
    <row r="2103" spans="1:16" x14ac:dyDescent="0.25">
      <c r="A2103" s="3">
        <f t="shared" si="425"/>
        <v>49055</v>
      </c>
      <c r="B2103" s="21">
        <f t="shared" si="416"/>
        <v>36637</v>
      </c>
      <c r="C2103" s="21">
        <f t="shared" si="417"/>
        <v>36697</v>
      </c>
      <c r="D2103" s="1">
        <f t="shared" si="426"/>
        <v>0</v>
      </c>
      <c r="E2103" s="3">
        <f t="array" ref="E2103">INDEX($A$9:A2102, MAX(IF($D$9:D2102=1, ROW(D$9:$D2102)-ROW($D$9)+1, 0)))</f>
        <v>49023</v>
      </c>
      <c r="F2103" s="23">
        <f t="shared" si="418"/>
        <v>8.0219028062970565</v>
      </c>
      <c r="G2103" s="5">
        <f>INDEX('Default Prob'!$P$5:$P$14,MIN(1+_xlfn.IFNA(MATCH(F2103,'Default Prob'!$F$5:$F$14,1),0),COUNT('Default Prob'!$P$5:$P$14)))</f>
        <v>5.8652391073922311E-2</v>
      </c>
      <c r="H2103" s="5">
        <f t="shared" si="427"/>
        <v>0.80568503201723385</v>
      </c>
      <c r="I2103" s="24">
        <f t="shared" si="428"/>
        <v>1.2938849541688224E-4</v>
      </c>
      <c r="J2103" s="25">
        <f>INDEX('Default Prob'!$C$3:$C$13, _xlfn.IFNA(MATCH(F2103, 'Default Prob'!$B$3:$B$13, 1), 1))</f>
        <v>2.4E-2</v>
      </c>
      <c r="K2103" s="26">
        <f t="shared" si="419"/>
        <v>0.82675103814497874</v>
      </c>
      <c r="L2103" s="27">
        <f t="shared" ca="1" si="420"/>
        <v>0</v>
      </c>
      <c r="M2103" s="27">
        <f t="shared" ca="1" si="421"/>
        <v>0</v>
      </c>
      <c r="N2103" s="28">
        <f t="shared" ca="1" si="422"/>
        <v>0</v>
      </c>
      <c r="O2103" s="29">
        <f t="shared" ca="1" si="423"/>
        <v>0</v>
      </c>
      <c r="P2103" s="30">
        <f t="shared" ca="1" si="424"/>
        <v>0</v>
      </c>
    </row>
    <row r="2104" spans="1:16" x14ac:dyDescent="0.25">
      <c r="A2104" s="3">
        <f t="shared" si="425"/>
        <v>49058</v>
      </c>
      <c r="B2104" s="21">
        <f t="shared" si="416"/>
        <v>36640</v>
      </c>
      <c r="C2104" s="21">
        <f t="shared" si="417"/>
        <v>36697</v>
      </c>
      <c r="D2104" s="1">
        <f t="shared" si="426"/>
        <v>0</v>
      </c>
      <c r="E2104" s="3">
        <f t="array" ref="E2104">INDEX($A$9:A2103, MAX(IF($D$9:D2103=1, ROW(D$9:$D2103)-ROW($D$9)+1, 0)))</f>
        <v>49023</v>
      </c>
      <c r="F2104" s="23">
        <f t="shared" si="418"/>
        <v>8.0301163586584536</v>
      </c>
      <c r="G2104" s="5">
        <f>INDEX('Default Prob'!$P$5:$P$14,MIN(1+_xlfn.IFNA(MATCH(F2104,'Default Prob'!$F$5:$F$14,1),0),COUNT('Default Prob'!$P$5:$P$14)))</f>
        <v>5.8652391073922311E-2</v>
      </c>
      <c r="H2104" s="5">
        <f t="shared" si="427"/>
        <v>0.80529699117201914</v>
      </c>
      <c r="I2104" s="24">
        <f t="shared" si="428"/>
        <v>3.8804084521470994E-4</v>
      </c>
      <c r="J2104" s="25">
        <f>INDEX('Default Prob'!$C$3:$C$13, _xlfn.IFNA(MATCH(F2104, 'Default Prob'!$B$3:$B$13, 1), 1))</f>
        <v>2.4E-2</v>
      </c>
      <c r="K2104" s="26">
        <f t="shared" si="419"/>
        <v>0.82659000526309168</v>
      </c>
      <c r="L2104" s="27">
        <f t="shared" ca="1" si="420"/>
        <v>0</v>
      </c>
      <c r="M2104" s="27">
        <f t="shared" ca="1" si="421"/>
        <v>0</v>
      </c>
      <c r="N2104" s="28">
        <f t="shared" ca="1" si="422"/>
        <v>0</v>
      </c>
      <c r="O2104" s="29">
        <f t="shared" ca="1" si="423"/>
        <v>0</v>
      </c>
      <c r="P2104" s="30">
        <f t="shared" ca="1" si="424"/>
        <v>0</v>
      </c>
    </row>
    <row r="2105" spans="1:16" x14ac:dyDescent="0.25">
      <c r="A2105" s="3">
        <f t="shared" si="425"/>
        <v>49059</v>
      </c>
      <c r="B2105" s="21">
        <f t="shared" si="416"/>
        <v>36641</v>
      </c>
      <c r="C2105" s="21">
        <f t="shared" si="417"/>
        <v>36697</v>
      </c>
      <c r="D2105" s="1">
        <f t="shared" si="426"/>
        <v>0</v>
      </c>
      <c r="E2105" s="3">
        <f t="array" ref="E2105">INDEX($A$9:A2104, MAX(IF($D$9:D2104=1, ROW(D$9:$D2104)-ROW($D$9)+1, 0)))</f>
        <v>49023</v>
      </c>
      <c r="F2105" s="23">
        <f t="shared" si="418"/>
        <v>8.0328542094455848</v>
      </c>
      <c r="G2105" s="5">
        <f>INDEX('Default Prob'!$P$5:$P$14,MIN(1+_xlfn.IFNA(MATCH(F2105,'Default Prob'!$F$5:$F$14,1),0),COUNT('Default Prob'!$P$5:$P$14)))</f>
        <v>5.8652391073922311E-2</v>
      </c>
      <c r="H2105" s="5">
        <f t="shared" si="427"/>
        <v>0.80516768575950837</v>
      </c>
      <c r="I2105" s="24">
        <f t="shared" si="428"/>
        <v>1.2930541251077177E-4</v>
      </c>
      <c r="J2105" s="25">
        <f>INDEX('Default Prob'!$C$3:$C$13, _xlfn.IFNA(MATCH(F2105, 'Default Prob'!$B$3:$B$13, 1), 1))</f>
        <v>2.4E-2</v>
      </c>
      <c r="K2105" s="26">
        <f t="shared" si="419"/>
        <v>0.82653633460624365</v>
      </c>
      <c r="L2105" s="27">
        <f t="shared" ca="1" si="420"/>
        <v>0</v>
      </c>
      <c r="M2105" s="27">
        <f t="shared" ca="1" si="421"/>
        <v>0</v>
      </c>
      <c r="N2105" s="28">
        <f t="shared" ca="1" si="422"/>
        <v>0</v>
      </c>
      <c r="O2105" s="29">
        <f t="shared" ca="1" si="423"/>
        <v>0</v>
      </c>
      <c r="P2105" s="30">
        <f t="shared" ca="1" si="424"/>
        <v>0</v>
      </c>
    </row>
    <row r="2106" spans="1:16" x14ac:dyDescent="0.25">
      <c r="A2106" s="3">
        <f t="shared" si="425"/>
        <v>49060</v>
      </c>
      <c r="B2106" s="21">
        <f t="shared" si="416"/>
        <v>36642</v>
      </c>
      <c r="C2106" s="21">
        <f t="shared" si="417"/>
        <v>36697</v>
      </c>
      <c r="D2106" s="1">
        <f t="shared" si="426"/>
        <v>0</v>
      </c>
      <c r="E2106" s="3">
        <f t="array" ref="E2106">INDEX($A$9:A2105, MAX(IF($D$9:D2105=1, ROW(D$9:$D2105)-ROW($D$9)+1, 0)))</f>
        <v>49023</v>
      </c>
      <c r="F2106" s="23">
        <f t="shared" si="418"/>
        <v>8.0355920602327178</v>
      </c>
      <c r="G2106" s="5">
        <f>INDEX('Default Prob'!$P$5:$P$14,MIN(1+_xlfn.IFNA(MATCH(F2106,'Default Prob'!$F$5:$F$14,1),0),COUNT('Default Prob'!$P$5:$P$14)))</f>
        <v>5.8652391073922311E-2</v>
      </c>
      <c r="H2106" s="5">
        <f t="shared" si="427"/>
        <v>0.80503840110938696</v>
      </c>
      <c r="I2106" s="24">
        <f t="shared" si="428"/>
        <v>1.2928465012140844E-4</v>
      </c>
      <c r="J2106" s="25">
        <f>INDEX('Default Prob'!$C$3:$C$13, _xlfn.IFNA(MATCH(F2106, 'Default Prob'!$B$3:$B$13, 1), 1))</f>
        <v>2.4E-2</v>
      </c>
      <c r="K2106" s="26">
        <f t="shared" si="419"/>
        <v>0.82648266743424215</v>
      </c>
      <c r="L2106" s="27">
        <f t="shared" ca="1" si="420"/>
        <v>0</v>
      </c>
      <c r="M2106" s="27">
        <f t="shared" ca="1" si="421"/>
        <v>0</v>
      </c>
      <c r="N2106" s="28">
        <f t="shared" ca="1" si="422"/>
        <v>0</v>
      </c>
      <c r="O2106" s="29">
        <f t="shared" ca="1" si="423"/>
        <v>0</v>
      </c>
      <c r="P2106" s="30">
        <f t="shared" ca="1" si="424"/>
        <v>0</v>
      </c>
    </row>
    <row r="2107" spans="1:16" x14ac:dyDescent="0.25">
      <c r="A2107" s="3">
        <f t="shared" si="425"/>
        <v>49061</v>
      </c>
      <c r="B2107" s="21">
        <f t="shared" si="416"/>
        <v>36643</v>
      </c>
      <c r="C2107" s="21">
        <f t="shared" si="417"/>
        <v>36697</v>
      </c>
      <c r="D2107" s="1">
        <f t="shared" si="426"/>
        <v>0</v>
      </c>
      <c r="E2107" s="3">
        <f t="array" ref="E2107">INDEX($A$9:A2106, MAX(IF($D$9:D2106=1, ROW(D$9:$D2106)-ROW($D$9)+1, 0)))</f>
        <v>49023</v>
      </c>
      <c r="F2107" s="23">
        <f t="shared" si="418"/>
        <v>8.038329911019849</v>
      </c>
      <c r="G2107" s="5">
        <f>INDEX('Default Prob'!$P$5:$P$14,MIN(1+_xlfn.IFNA(MATCH(F2107,'Default Prob'!$F$5:$F$14,1),0),COUNT('Default Prob'!$P$5:$P$14)))</f>
        <v>5.8652391073922311E-2</v>
      </c>
      <c r="H2107" s="5">
        <f t="shared" si="427"/>
        <v>0.80490913721832125</v>
      </c>
      <c r="I2107" s="24">
        <f t="shared" si="428"/>
        <v>1.2926389106571179E-4</v>
      </c>
      <c r="J2107" s="25">
        <f>INDEX('Default Prob'!$C$3:$C$13, _xlfn.IFNA(MATCH(F2107, 'Default Prob'!$B$3:$B$13, 1), 1))</f>
        <v>2.4E-2</v>
      </c>
      <c r="K2107" s="26">
        <f t="shared" si="419"/>
        <v>0.82642900374686101</v>
      </c>
      <c r="L2107" s="27">
        <f t="shared" ca="1" si="420"/>
        <v>0</v>
      </c>
      <c r="M2107" s="27">
        <f t="shared" ca="1" si="421"/>
        <v>0</v>
      </c>
      <c r="N2107" s="28">
        <f t="shared" ca="1" si="422"/>
        <v>0</v>
      </c>
      <c r="O2107" s="29">
        <f t="shared" ca="1" si="423"/>
        <v>0</v>
      </c>
      <c r="P2107" s="30">
        <f t="shared" ca="1" si="424"/>
        <v>0</v>
      </c>
    </row>
    <row r="2108" spans="1:16" x14ac:dyDescent="0.25">
      <c r="A2108" s="3">
        <f t="shared" si="425"/>
        <v>49062</v>
      </c>
      <c r="B2108" s="21">
        <f t="shared" si="416"/>
        <v>36644</v>
      </c>
      <c r="C2108" s="21">
        <f t="shared" si="417"/>
        <v>36697</v>
      </c>
      <c r="D2108" s="1">
        <f t="shared" si="426"/>
        <v>0</v>
      </c>
      <c r="E2108" s="3">
        <f t="array" ref="E2108">INDEX($A$9:A2107, MAX(IF($D$9:D2107=1, ROW(D$9:$D2107)-ROW($D$9)+1, 0)))</f>
        <v>49023</v>
      </c>
      <c r="F2108" s="23">
        <f t="shared" si="418"/>
        <v>8.0410677618069819</v>
      </c>
      <c r="G2108" s="5">
        <f>INDEX('Default Prob'!$P$5:$P$14,MIN(1+_xlfn.IFNA(MATCH(F2108,'Default Prob'!$F$5:$F$14,1),0),COUNT('Default Prob'!$P$5:$P$14)))</f>
        <v>5.8652391073922311E-2</v>
      </c>
      <c r="H2108" s="5">
        <f t="shared" si="427"/>
        <v>0.80477989408297779</v>
      </c>
      <c r="I2108" s="24">
        <f t="shared" si="428"/>
        <v>1.2924313534345977E-4</v>
      </c>
      <c r="J2108" s="25">
        <f>INDEX('Default Prob'!$C$3:$C$13, _xlfn.IFNA(MATCH(F2108, 'Default Prob'!$B$3:$B$13, 1), 1))</f>
        <v>2.4E-2</v>
      </c>
      <c r="K2108" s="26">
        <f t="shared" si="419"/>
        <v>0.82637534354387421</v>
      </c>
      <c r="L2108" s="27">
        <f t="shared" ca="1" si="420"/>
        <v>0</v>
      </c>
      <c r="M2108" s="27">
        <f t="shared" ca="1" si="421"/>
        <v>0</v>
      </c>
      <c r="N2108" s="28">
        <f t="shared" ca="1" si="422"/>
        <v>0</v>
      </c>
      <c r="O2108" s="29">
        <f t="shared" ca="1" si="423"/>
        <v>0</v>
      </c>
      <c r="P2108" s="30">
        <f t="shared" ca="1" si="424"/>
        <v>0</v>
      </c>
    </row>
    <row r="2109" spans="1:16" x14ac:dyDescent="0.25">
      <c r="A2109" s="3">
        <f t="shared" si="425"/>
        <v>49065</v>
      </c>
      <c r="B2109" s="21">
        <f t="shared" si="416"/>
        <v>36647</v>
      </c>
      <c r="C2109" s="21">
        <f t="shared" si="417"/>
        <v>36697</v>
      </c>
      <c r="D2109" s="1">
        <f t="shared" si="426"/>
        <v>0</v>
      </c>
      <c r="E2109" s="3">
        <f t="array" ref="E2109">INDEX($A$9:A2108, MAX(IF($D$9:D2108=1, ROW(D$9:$D2108)-ROW($D$9)+1, 0)))</f>
        <v>49023</v>
      </c>
      <c r="F2109" s="23">
        <f t="shared" si="418"/>
        <v>8.0492813141683772</v>
      </c>
      <c r="G2109" s="5">
        <f>INDEX('Default Prob'!$P$5:$P$14,MIN(1+_xlfn.IFNA(MATCH(F2109,'Default Prob'!$F$5:$F$14,1),0),COUNT('Default Prob'!$P$5:$P$14)))</f>
        <v>5.8652391073922311E-2</v>
      </c>
      <c r="H2109" s="5">
        <f t="shared" si="427"/>
        <v>0.80439228917795702</v>
      </c>
      <c r="I2109" s="24">
        <f t="shared" si="428"/>
        <v>3.8760490502076639E-4</v>
      </c>
      <c r="J2109" s="25">
        <f>INDEX('Default Prob'!$C$3:$C$13, _xlfn.IFNA(MATCH(F2109, 'Default Prob'!$B$3:$B$13, 1), 1))</f>
        <v>2.4E-2</v>
      </c>
      <c r="K2109" s="26">
        <f t="shared" si="419"/>
        <v>0.82621438383901569</v>
      </c>
      <c r="L2109" s="27">
        <f t="shared" ca="1" si="420"/>
        <v>0</v>
      </c>
      <c r="M2109" s="27">
        <f t="shared" ca="1" si="421"/>
        <v>0</v>
      </c>
      <c r="N2109" s="28">
        <f t="shared" ca="1" si="422"/>
        <v>0</v>
      </c>
      <c r="O2109" s="29">
        <f t="shared" ca="1" si="423"/>
        <v>0</v>
      </c>
      <c r="P2109" s="30">
        <f t="shared" ca="1" si="424"/>
        <v>0</v>
      </c>
    </row>
    <row r="2110" spans="1:16" x14ac:dyDescent="0.25">
      <c r="A2110" s="3">
        <f t="shared" si="425"/>
        <v>49066</v>
      </c>
      <c r="B2110" s="21">
        <f t="shared" si="416"/>
        <v>36648</v>
      </c>
      <c r="C2110" s="21">
        <f t="shared" si="417"/>
        <v>36697</v>
      </c>
      <c r="D2110" s="1">
        <f t="shared" si="426"/>
        <v>0</v>
      </c>
      <c r="E2110" s="3">
        <f t="array" ref="E2110">INDEX($A$9:A2109, MAX(IF($D$9:D2109=1, ROW(D$9:$D2109)-ROW($D$9)+1, 0)))</f>
        <v>49023</v>
      </c>
      <c r="F2110" s="23">
        <f t="shared" si="418"/>
        <v>8.0520191649555102</v>
      </c>
      <c r="G2110" s="5">
        <f>INDEX('Default Prob'!$P$5:$P$14,MIN(1+_xlfn.IFNA(MATCH(F2110,'Default Prob'!$F$5:$F$14,1),0),COUNT('Default Prob'!$P$5:$P$14)))</f>
        <v>5.8652391073922311E-2</v>
      </c>
      <c r="H2110" s="5">
        <f t="shared" si="427"/>
        <v>0.80426312903218111</v>
      </c>
      <c r="I2110" s="24">
        <f t="shared" si="428"/>
        <v>1.291601457759084E-4</v>
      </c>
      <c r="J2110" s="25">
        <f>INDEX('Default Prob'!$C$3:$C$13, _xlfn.IFNA(MATCH(F2110, 'Default Prob'!$B$3:$B$13, 1), 1))</f>
        <v>2.4E-2</v>
      </c>
      <c r="K2110" s="26">
        <f t="shared" si="419"/>
        <v>0.8261607375713429</v>
      </c>
      <c r="L2110" s="27">
        <f t="shared" ca="1" si="420"/>
        <v>0</v>
      </c>
      <c r="M2110" s="27">
        <f t="shared" ca="1" si="421"/>
        <v>0</v>
      </c>
      <c r="N2110" s="28">
        <f t="shared" ca="1" si="422"/>
        <v>0</v>
      </c>
      <c r="O2110" s="29">
        <f t="shared" ca="1" si="423"/>
        <v>0</v>
      </c>
      <c r="P2110" s="30">
        <f t="shared" ca="1" si="424"/>
        <v>0</v>
      </c>
    </row>
    <row r="2111" spans="1:16" x14ac:dyDescent="0.25">
      <c r="A2111" s="3">
        <f t="shared" si="425"/>
        <v>49067</v>
      </c>
      <c r="B2111" s="21">
        <f t="shared" si="416"/>
        <v>36649</v>
      </c>
      <c r="C2111" s="21">
        <f t="shared" si="417"/>
        <v>36697</v>
      </c>
      <c r="D2111" s="1">
        <f t="shared" si="426"/>
        <v>0</v>
      </c>
      <c r="E2111" s="3">
        <f t="array" ref="E2111">INDEX($A$9:A2110, MAX(IF($D$9:D2110=1, ROW(D$9:$D2110)-ROW($D$9)+1, 0)))</f>
        <v>49023</v>
      </c>
      <c r="F2111" s="23">
        <f t="shared" si="418"/>
        <v>8.0547570157426414</v>
      </c>
      <c r="G2111" s="5">
        <f>INDEX('Default Prob'!$P$5:$P$14,MIN(1+_xlfn.IFNA(MATCH(F2111,'Default Prob'!$F$5:$F$14,1),0),COUNT('Default Prob'!$P$5:$P$14)))</f>
        <v>5.8652391073922311E-2</v>
      </c>
      <c r="H2111" s="5">
        <f t="shared" si="427"/>
        <v>0.80413398962546945</v>
      </c>
      <c r="I2111" s="24">
        <f t="shared" si="428"/>
        <v>1.2913940671166468E-4</v>
      </c>
      <c r="J2111" s="25">
        <f>INDEX('Default Prob'!$C$3:$C$13, _xlfn.IFNA(MATCH(F2111, 'Default Prob'!$B$3:$B$13, 1), 1))</f>
        <v>2.4E-2</v>
      </c>
      <c r="K2111" s="26">
        <f t="shared" si="419"/>
        <v>0.82610709478693323</v>
      </c>
      <c r="L2111" s="27">
        <f t="shared" ca="1" si="420"/>
        <v>0</v>
      </c>
      <c r="M2111" s="27">
        <f t="shared" ca="1" si="421"/>
        <v>0</v>
      </c>
      <c r="N2111" s="28">
        <f t="shared" ca="1" si="422"/>
        <v>0</v>
      </c>
      <c r="O2111" s="29">
        <f t="shared" ca="1" si="423"/>
        <v>0</v>
      </c>
      <c r="P2111" s="30">
        <f t="shared" ca="1" si="424"/>
        <v>0</v>
      </c>
    </row>
    <row r="2112" spans="1:16" x14ac:dyDescent="0.25">
      <c r="A2112" s="3">
        <f t="shared" si="425"/>
        <v>49068</v>
      </c>
      <c r="B2112" s="21">
        <f t="shared" si="416"/>
        <v>36650</v>
      </c>
      <c r="C2112" s="21">
        <f t="shared" si="417"/>
        <v>36697</v>
      </c>
      <c r="D2112" s="1">
        <f t="shared" si="426"/>
        <v>0</v>
      </c>
      <c r="E2112" s="3">
        <f t="array" ref="E2112">INDEX($A$9:A2111, MAX(IF($D$9:D2111=1, ROW(D$9:$D2111)-ROW($D$9)+1, 0)))</f>
        <v>49023</v>
      </c>
      <c r="F2112" s="23">
        <f t="shared" si="418"/>
        <v>8.0574948665297743</v>
      </c>
      <c r="G2112" s="5">
        <f>INDEX('Default Prob'!$P$5:$P$14,MIN(1+_xlfn.IFNA(MATCH(F2112,'Default Prob'!$F$5:$F$14,1),0),COUNT('Default Prob'!$P$5:$P$14)))</f>
        <v>5.8652391073922311E-2</v>
      </c>
      <c r="H2112" s="5">
        <f t="shared" si="427"/>
        <v>0.80400487095449169</v>
      </c>
      <c r="I2112" s="24">
        <f t="shared" si="428"/>
        <v>1.2911867097775698E-4</v>
      </c>
      <c r="J2112" s="25">
        <f>INDEX('Default Prob'!$C$3:$C$13, _xlfn.IFNA(MATCH(F2112, 'Default Prob'!$B$3:$B$13, 1), 1))</f>
        <v>2.4E-2</v>
      </c>
      <c r="K2112" s="26">
        <f t="shared" si="419"/>
        <v>0.82605345548556042</v>
      </c>
      <c r="L2112" s="27">
        <f t="shared" ca="1" si="420"/>
        <v>0</v>
      </c>
      <c r="M2112" s="27">
        <f t="shared" ca="1" si="421"/>
        <v>0</v>
      </c>
      <c r="N2112" s="28">
        <f t="shared" ca="1" si="422"/>
        <v>0</v>
      </c>
      <c r="O2112" s="29">
        <f t="shared" ca="1" si="423"/>
        <v>0</v>
      </c>
      <c r="P2112" s="30">
        <f t="shared" ca="1" si="424"/>
        <v>0</v>
      </c>
    </row>
    <row r="2113" spans="1:16" x14ac:dyDescent="0.25">
      <c r="A2113" s="3">
        <f t="shared" si="425"/>
        <v>49069</v>
      </c>
      <c r="B2113" s="21">
        <f t="shared" si="416"/>
        <v>36651</v>
      </c>
      <c r="C2113" s="21">
        <f t="shared" si="417"/>
        <v>36697</v>
      </c>
      <c r="D2113" s="1">
        <f t="shared" si="426"/>
        <v>0</v>
      </c>
      <c r="E2113" s="3">
        <f t="array" ref="E2113">INDEX($A$9:A2112, MAX(IF($D$9:D2112=1, ROW(D$9:$D2112)-ROW($D$9)+1, 0)))</f>
        <v>49023</v>
      </c>
      <c r="F2113" s="23">
        <f t="shared" si="418"/>
        <v>8.0602327173169055</v>
      </c>
      <c r="G2113" s="5">
        <f>INDEX('Default Prob'!$P$5:$P$14,MIN(1+_xlfn.IFNA(MATCH(F2113,'Default Prob'!$F$5:$F$14,1),0),COUNT('Default Prob'!$P$5:$P$14)))</f>
        <v>5.8652391073922311E-2</v>
      </c>
      <c r="H2113" s="5">
        <f t="shared" si="427"/>
        <v>0.80387577301591862</v>
      </c>
      <c r="I2113" s="24">
        <f t="shared" si="428"/>
        <v>1.2909793857307506E-4</v>
      </c>
      <c r="J2113" s="25">
        <f>INDEX('Default Prob'!$C$3:$C$13, _xlfn.IFNA(MATCH(F2113, 'Default Prob'!$B$3:$B$13, 1), 1))</f>
        <v>2.4E-2</v>
      </c>
      <c r="K2113" s="26">
        <f t="shared" si="419"/>
        <v>0.82599981966699831</v>
      </c>
      <c r="L2113" s="27">
        <f t="shared" ca="1" si="420"/>
        <v>0</v>
      </c>
      <c r="M2113" s="27">
        <f t="shared" ca="1" si="421"/>
        <v>0</v>
      </c>
      <c r="N2113" s="28">
        <f t="shared" ca="1" si="422"/>
        <v>0</v>
      </c>
      <c r="O2113" s="29">
        <f t="shared" ca="1" si="423"/>
        <v>0</v>
      </c>
      <c r="P2113" s="30">
        <f t="shared" ca="1" si="424"/>
        <v>0</v>
      </c>
    </row>
    <row r="2114" spans="1:16" x14ac:dyDescent="0.25">
      <c r="A2114" s="3">
        <f t="shared" si="425"/>
        <v>49072</v>
      </c>
      <c r="B2114" s="21">
        <f t="shared" si="416"/>
        <v>36654</v>
      </c>
      <c r="C2114" s="21">
        <f t="shared" si="417"/>
        <v>36697</v>
      </c>
      <c r="D2114" s="1">
        <f t="shared" si="426"/>
        <v>0</v>
      </c>
      <c r="E2114" s="3">
        <f t="array" ref="E2114">INDEX($A$9:A2113, MAX(IF($D$9:D2113=1, ROW(D$9:$D2113)-ROW($D$9)+1, 0)))</f>
        <v>49023</v>
      </c>
      <c r="F2114" s="23">
        <f t="shared" si="418"/>
        <v>8.0684462696783026</v>
      </c>
      <c r="G2114" s="5">
        <f>INDEX('Default Prob'!$P$5:$P$14,MIN(1+_xlfn.IFNA(MATCH(F2114,'Default Prob'!$F$5:$F$14,1),0),COUNT('Default Prob'!$P$5:$P$14)))</f>
        <v>5.8652391073922311E-2</v>
      </c>
      <c r="H2114" s="5">
        <f t="shared" si="427"/>
        <v>0.80348860356133944</v>
      </c>
      <c r="I2114" s="24">
        <f t="shared" si="428"/>
        <v>3.8716945457917262E-4</v>
      </c>
      <c r="J2114" s="25">
        <f>INDEX('Default Prob'!$C$3:$C$13, _xlfn.IFNA(MATCH(F2114, 'Default Prob'!$B$3:$B$13, 1), 1))</f>
        <v>2.4E-2</v>
      </c>
      <c r="K2114" s="26">
        <f t="shared" si="419"/>
        <v>0.82583893310591494</v>
      </c>
      <c r="L2114" s="27">
        <f t="shared" ca="1" si="420"/>
        <v>0</v>
      </c>
      <c r="M2114" s="27">
        <f t="shared" ca="1" si="421"/>
        <v>0</v>
      </c>
      <c r="N2114" s="28">
        <f t="shared" ca="1" si="422"/>
        <v>0</v>
      </c>
      <c r="O2114" s="29">
        <f t="shared" ca="1" si="423"/>
        <v>0</v>
      </c>
      <c r="P2114" s="30">
        <f t="shared" ca="1" si="424"/>
        <v>0</v>
      </c>
    </row>
    <row r="2115" spans="1:16" x14ac:dyDescent="0.25">
      <c r="A2115" s="3">
        <f t="shared" si="425"/>
        <v>49073</v>
      </c>
      <c r="B2115" s="21">
        <f t="shared" si="416"/>
        <v>36655</v>
      </c>
      <c r="C2115" s="21">
        <f t="shared" si="417"/>
        <v>36697</v>
      </c>
      <c r="D2115" s="1">
        <f t="shared" si="426"/>
        <v>0</v>
      </c>
      <c r="E2115" s="3">
        <f t="array" ref="E2115">INDEX($A$9:A2114, MAX(IF($D$9:D2114=1, ROW(D$9:$D2114)-ROW($D$9)+1, 0)))</f>
        <v>49023</v>
      </c>
      <c r="F2115" s="23">
        <f t="shared" si="418"/>
        <v>8.0711841204654338</v>
      </c>
      <c r="G2115" s="5">
        <f>INDEX('Default Prob'!$P$5:$P$14,MIN(1+_xlfn.IFNA(MATCH(F2115,'Default Prob'!$F$5:$F$14,1),0),COUNT('Default Prob'!$P$5:$P$14)))</f>
        <v>5.8652391073922311E-2</v>
      </c>
      <c r="H2115" s="5">
        <f t="shared" si="427"/>
        <v>0.80335958851910028</v>
      </c>
      <c r="I2115" s="24">
        <f t="shared" si="428"/>
        <v>1.2901504223916671E-4</v>
      </c>
      <c r="J2115" s="25">
        <f>INDEX('Default Prob'!$C$3:$C$13, _xlfn.IFNA(MATCH(F2115, 'Default Prob'!$B$3:$B$13, 1), 1))</f>
        <v>2.4E-2</v>
      </c>
      <c r="K2115" s="26">
        <f t="shared" si="419"/>
        <v>0.82578531121633458</v>
      </c>
      <c r="L2115" s="27">
        <f t="shared" ca="1" si="420"/>
        <v>0</v>
      </c>
      <c r="M2115" s="27">
        <f t="shared" ca="1" si="421"/>
        <v>0</v>
      </c>
      <c r="N2115" s="28">
        <f t="shared" ca="1" si="422"/>
        <v>0</v>
      </c>
      <c r="O2115" s="29">
        <f t="shared" ca="1" si="423"/>
        <v>0</v>
      </c>
      <c r="P2115" s="30">
        <f t="shared" ca="1" si="424"/>
        <v>0</v>
      </c>
    </row>
    <row r="2116" spans="1:16" x14ac:dyDescent="0.25">
      <c r="A2116" s="3">
        <f t="shared" si="425"/>
        <v>49074</v>
      </c>
      <c r="B2116" s="21">
        <f t="shared" si="416"/>
        <v>36656</v>
      </c>
      <c r="C2116" s="21">
        <f t="shared" si="417"/>
        <v>36697</v>
      </c>
      <c r="D2116" s="1">
        <f t="shared" si="426"/>
        <v>0</v>
      </c>
      <c r="E2116" s="3">
        <f t="array" ref="E2116">INDEX($A$9:A2115, MAX(IF($D$9:D2115=1, ROW(D$9:$D2115)-ROW($D$9)+1, 0)))</f>
        <v>49023</v>
      </c>
      <c r="F2116" s="23">
        <f t="shared" si="418"/>
        <v>8.0739219712525667</v>
      </c>
      <c r="G2116" s="5">
        <f>INDEX('Default Prob'!$P$5:$P$14,MIN(1+_xlfn.IFNA(MATCH(F2116,'Default Prob'!$F$5:$F$14,1),0),COUNT('Default Prob'!$P$5:$P$14)))</f>
        <v>5.8652391073922311E-2</v>
      </c>
      <c r="H2116" s="5">
        <f t="shared" si="427"/>
        <v>0.80323059419262599</v>
      </c>
      <c r="I2116" s="24">
        <f t="shared" si="428"/>
        <v>1.2899432647428544E-4</v>
      </c>
      <c r="J2116" s="25">
        <f>INDEX('Default Prob'!$C$3:$C$13, _xlfn.IFNA(MATCH(F2116, 'Default Prob'!$B$3:$B$13, 1), 1))</f>
        <v>2.4E-2</v>
      </c>
      <c r="K2116" s="26">
        <f t="shared" si="419"/>
        <v>0.82573169280843417</v>
      </c>
      <c r="L2116" s="27">
        <f t="shared" ca="1" si="420"/>
        <v>0</v>
      </c>
      <c r="M2116" s="27">
        <f t="shared" ca="1" si="421"/>
        <v>0</v>
      </c>
      <c r="N2116" s="28">
        <f t="shared" ca="1" si="422"/>
        <v>0</v>
      </c>
      <c r="O2116" s="29">
        <f t="shared" ca="1" si="423"/>
        <v>0</v>
      </c>
      <c r="P2116" s="30">
        <f t="shared" ca="1" si="424"/>
        <v>0</v>
      </c>
    </row>
    <row r="2117" spans="1:16" x14ac:dyDescent="0.25">
      <c r="A2117" s="3">
        <f t="shared" si="425"/>
        <v>49075</v>
      </c>
      <c r="B2117" s="21">
        <f t="shared" si="416"/>
        <v>36657</v>
      </c>
      <c r="C2117" s="21">
        <f t="shared" si="417"/>
        <v>36697</v>
      </c>
      <c r="D2117" s="1">
        <f t="shared" si="426"/>
        <v>0</v>
      </c>
      <c r="E2117" s="3">
        <f t="array" ref="E2117">INDEX($A$9:A2116, MAX(IF($D$9:D2116=1, ROW(D$9:$D2116)-ROW($D$9)+1, 0)))</f>
        <v>49023</v>
      </c>
      <c r="F2117" s="23">
        <f t="shared" si="418"/>
        <v>8.0766598220396997</v>
      </c>
      <c r="G2117" s="5">
        <f>INDEX('Default Prob'!$P$5:$P$14,MIN(1+_xlfn.IFNA(MATCH(F2117,'Default Prob'!$F$5:$F$14,1),0),COUNT('Default Prob'!$P$5:$P$14)))</f>
        <v>5.8652391073922311E-2</v>
      </c>
      <c r="H2117" s="5">
        <f t="shared" si="427"/>
        <v>0.80310162057859047</v>
      </c>
      <c r="I2117" s="24">
        <f t="shared" si="428"/>
        <v>1.2897361403552132E-4</v>
      </c>
      <c r="J2117" s="25">
        <f>INDEX('Default Prob'!$C$3:$C$13, _xlfn.IFNA(MATCH(F2117, 'Default Prob'!$B$3:$B$13, 1), 1))</f>
        <v>2.4E-2</v>
      </c>
      <c r="K2117" s="26">
        <f t="shared" si="419"/>
        <v>0.8256780778819881</v>
      </c>
      <c r="L2117" s="27">
        <f t="shared" ca="1" si="420"/>
        <v>0</v>
      </c>
      <c r="M2117" s="27">
        <f t="shared" ca="1" si="421"/>
        <v>0</v>
      </c>
      <c r="N2117" s="28">
        <f t="shared" ca="1" si="422"/>
        <v>0</v>
      </c>
      <c r="O2117" s="29">
        <f t="shared" ca="1" si="423"/>
        <v>0</v>
      </c>
      <c r="P2117" s="30">
        <f t="shared" ca="1" si="424"/>
        <v>0</v>
      </c>
    </row>
    <row r="2118" spans="1:16" x14ac:dyDescent="0.25">
      <c r="A2118" s="3">
        <f t="shared" si="425"/>
        <v>49076</v>
      </c>
      <c r="B2118" s="21">
        <f t="shared" si="416"/>
        <v>36658</v>
      </c>
      <c r="C2118" s="21">
        <f t="shared" si="417"/>
        <v>36697</v>
      </c>
      <c r="D2118" s="1">
        <f t="shared" si="426"/>
        <v>0</v>
      </c>
      <c r="E2118" s="3">
        <f t="array" ref="E2118">INDEX($A$9:A2117, MAX(IF($D$9:D2117=1, ROW(D$9:$D2117)-ROW($D$9)+1, 0)))</f>
        <v>49023</v>
      </c>
      <c r="F2118" s="23">
        <f t="shared" si="418"/>
        <v>8.0793976728268309</v>
      </c>
      <c r="G2118" s="5">
        <f>INDEX('Default Prob'!$P$5:$P$14,MIN(1+_xlfn.IFNA(MATCH(F2118,'Default Prob'!$F$5:$F$14,1),0),COUNT('Default Prob'!$P$5:$P$14)))</f>
        <v>5.8652391073922311E-2</v>
      </c>
      <c r="H2118" s="5">
        <f t="shared" si="427"/>
        <v>0.80297266767366804</v>
      </c>
      <c r="I2118" s="24">
        <f t="shared" si="428"/>
        <v>1.2895290492243028E-4</v>
      </c>
      <c r="J2118" s="25">
        <f>INDEX('Default Prob'!$C$3:$C$13, _xlfn.IFNA(MATCH(F2118, 'Default Prob'!$B$3:$B$13, 1), 1))</f>
        <v>2.4E-2</v>
      </c>
      <c r="K2118" s="26">
        <f t="shared" si="419"/>
        <v>0.82562446643677001</v>
      </c>
      <c r="L2118" s="27">
        <f t="shared" ca="1" si="420"/>
        <v>0</v>
      </c>
      <c r="M2118" s="27">
        <f t="shared" ca="1" si="421"/>
        <v>0</v>
      </c>
      <c r="N2118" s="28">
        <f t="shared" ca="1" si="422"/>
        <v>0</v>
      </c>
      <c r="O2118" s="29">
        <f t="shared" ca="1" si="423"/>
        <v>0</v>
      </c>
      <c r="P2118" s="30">
        <f t="shared" ca="1" si="424"/>
        <v>0</v>
      </c>
    </row>
    <row r="2119" spans="1:16" x14ac:dyDescent="0.25">
      <c r="A2119" s="3">
        <f t="shared" si="425"/>
        <v>49079</v>
      </c>
      <c r="B2119" s="21">
        <f t="shared" si="416"/>
        <v>36661</v>
      </c>
      <c r="C2119" s="21">
        <f t="shared" si="417"/>
        <v>36697</v>
      </c>
      <c r="D2119" s="1">
        <f t="shared" si="426"/>
        <v>0</v>
      </c>
      <c r="E2119" s="3">
        <f t="array" ref="E2119">INDEX($A$9:A2118, MAX(IF($D$9:D2118=1, ROW(D$9:$D2118)-ROW($D$9)+1, 0)))</f>
        <v>49023</v>
      </c>
      <c r="F2119" s="23">
        <f t="shared" si="418"/>
        <v>8.0876112251882279</v>
      </c>
      <c r="G2119" s="5">
        <f>INDEX('Default Prob'!$P$5:$P$14,MIN(1+_xlfn.IFNA(MATCH(F2119,'Default Prob'!$F$5:$F$14,1),0),COUNT('Default Prob'!$P$5:$P$14)))</f>
        <v>5.8652391073922311E-2</v>
      </c>
      <c r="H2119" s="5">
        <f t="shared" si="427"/>
        <v>0.80258593318032856</v>
      </c>
      <c r="I2119" s="24">
        <f t="shared" si="428"/>
        <v>3.8673449333948007E-4</v>
      </c>
      <c r="J2119" s="25">
        <f>INDEX('Default Prob'!$C$3:$C$13, _xlfn.IFNA(MATCH(F2119, 'Default Prob'!$B$3:$B$13, 1), 1))</f>
        <v>2.4E-2</v>
      </c>
      <c r="K2119" s="26">
        <f t="shared" si="419"/>
        <v>0.82546365298622371</v>
      </c>
      <c r="L2119" s="27">
        <f t="shared" ca="1" si="420"/>
        <v>0</v>
      </c>
      <c r="M2119" s="27">
        <f t="shared" ca="1" si="421"/>
        <v>0</v>
      </c>
      <c r="N2119" s="28">
        <f t="shared" ca="1" si="422"/>
        <v>0</v>
      </c>
      <c r="O2119" s="29">
        <f t="shared" ca="1" si="423"/>
        <v>0</v>
      </c>
      <c r="P2119" s="30">
        <f t="shared" ca="1" si="424"/>
        <v>0</v>
      </c>
    </row>
    <row r="2120" spans="1:16" x14ac:dyDescent="0.25">
      <c r="A2120" s="3">
        <f t="shared" si="425"/>
        <v>49080</v>
      </c>
      <c r="B2120" s="21">
        <f t="shared" si="416"/>
        <v>36662</v>
      </c>
      <c r="C2120" s="21">
        <f t="shared" si="417"/>
        <v>36697</v>
      </c>
      <c r="D2120" s="1">
        <f t="shared" si="426"/>
        <v>0</v>
      </c>
      <c r="E2120" s="3">
        <f t="array" ref="E2120">INDEX($A$9:A2119, MAX(IF($D$9:D2119=1, ROW(D$9:$D2119)-ROW($D$9)+1, 0)))</f>
        <v>49023</v>
      </c>
      <c r="F2120" s="23">
        <f t="shared" si="418"/>
        <v>8.0903490759753591</v>
      </c>
      <c r="G2120" s="5">
        <f>INDEX('Default Prob'!$P$5:$P$14,MIN(1+_xlfn.IFNA(MATCH(F2120,'Default Prob'!$F$5:$F$14,1),0),COUNT('Default Prob'!$P$5:$P$14)))</f>
        <v>5.8652391073922311E-2</v>
      </c>
      <c r="H2120" s="5">
        <f t="shared" si="427"/>
        <v>0.80245706307861098</v>
      </c>
      <c r="I2120" s="24">
        <f t="shared" si="428"/>
        <v>1.2887010171758195E-4</v>
      </c>
      <c r="J2120" s="25">
        <f>INDEX('Default Prob'!$C$3:$C$13, _xlfn.IFNA(MATCH(F2120, 'Default Prob'!$B$3:$B$13, 1), 1))</f>
        <v>2.4E-2</v>
      </c>
      <c r="K2120" s="26">
        <f t="shared" si="419"/>
        <v>0.82541005546365775</v>
      </c>
      <c r="L2120" s="27">
        <f t="shared" ca="1" si="420"/>
        <v>0</v>
      </c>
      <c r="M2120" s="27">
        <f t="shared" ca="1" si="421"/>
        <v>0</v>
      </c>
      <c r="N2120" s="28">
        <f t="shared" ca="1" si="422"/>
        <v>0</v>
      </c>
      <c r="O2120" s="29">
        <f t="shared" ca="1" si="423"/>
        <v>0</v>
      </c>
      <c r="P2120" s="30">
        <f t="shared" ca="1" si="424"/>
        <v>0</v>
      </c>
    </row>
    <row r="2121" spans="1:16" x14ac:dyDescent="0.25">
      <c r="A2121" s="3">
        <f t="shared" si="425"/>
        <v>49081</v>
      </c>
      <c r="B2121" s="21">
        <f t="shared" ref="B2121:B2184" si="429">DATE(2000, MONTH(A2121), DAY(A2121))</f>
        <v>36663</v>
      </c>
      <c r="C2121" s="21">
        <f t="shared" ref="C2121:C2184" si="430">VLOOKUP(B2121, $R$9:$S$13, 2)</f>
        <v>36697</v>
      </c>
      <c r="D2121" s="1">
        <f t="shared" si="426"/>
        <v>0</v>
      </c>
      <c r="E2121" s="3">
        <f t="array" ref="E2121">INDEX($A$9:A2120, MAX(IF($D$9:D2120=1, ROW(D$9:$D2120)-ROW($D$9)+1, 0)))</f>
        <v>49023</v>
      </c>
      <c r="F2121" s="23">
        <f t="shared" ref="F2121:F2184" si="431">(A2121-$A$2)/365.25</f>
        <v>8.0930869267624921</v>
      </c>
      <c r="G2121" s="5">
        <f>INDEX('Default Prob'!$P$5:$P$14,MIN(1+_xlfn.IFNA(MATCH(F2121,'Default Prob'!$F$5:$F$14,1),0),COUNT('Default Prob'!$P$5:$P$14)))</f>
        <v>5.8652391073922311E-2</v>
      </c>
      <c r="H2121" s="5">
        <f t="shared" si="427"/>
        <v>0.80232821366938545</v>
      </c>
      <c r="I2121" s="24">
        <f t="shared" si="428"/>
        <v>1.2884940922552879E-4</v>
      </c>
      <c r="J2121" s="25">
        <f>INDEX('Default Prob'!$C$3:$C$13, _xlfn.IFNA(MATCH(F2121, 'Default Prob'!$B$3:$B$13, 1), 1))</f>
        <v>2.4E-2</v>
      </c>
      <c r="K2121" s="26">
        <f t="shared" ref="K2121:K2184" si="432">1/((1+J2121)^F2121)</f>
        <v>0.82535646142118968</v>
      </c>
      <c r="L2121" s="27">
        <f t="shared" ref="L2121:L2184" ca="1" si="433">IF(AND(D2121, A2121 &lt;= $G$2), $D$5*$D$2*(A2121-E2121)/365.25, 0)</f>
        <v>0</v>
      </c>
      <c r="M2121" s="27">
        <f t="shared" ref="M2121:M2184" ca="1" si="434">IF(A2121&lt;=$G$2, $D$5*$D$2*(A2121-E2121)/365.25, 0)</f>
        <v>0</v>
      </c>
      <c r="N2121" s="28">
        <f t="shared" ref="N2121:N2184" ca="1" si="435">(L2121*H2121 + M2121*I2121) * K2121</f>
        <v>0</v>
      </c>
      <c r="O2121" s="29">
        <f t="shared" ref="O2121:O2184" ca="1" si="436">IF(A2121&lt;=$G$2, $D$2*(1-$D$3), 0)</f>
        <v>0</v>
      </c>
      <c r="P2121" s="30">
        <f t="shared" ref="P2121:P2184" ca="1" si="437">O2121*I2121*K2121</f>
        <v>0</v>
      </c>
    </row>
    <row r="2122" spans="1:16" x14ac:dyDescent="0.25">
      <c r="A2122" s="3">
        <f t="shared" ref="A2122:A2185" si="438">WORKDAY(A2121, 1)</f>
        <v>49082</v>
      </c>
      <c r="B2122" s="21">
        <f t="shared" si="429"/>
        <v>36664</v>
      </c>
      <c r="C2122" s="21">
        <f t="shared" si="430"/>
        <v>36697</v>
      </c>
      <c r="D2122" s="1">
        <f t="shared" ref="D2122:D2185" si="439">IF(OR(C2122=B2122, AND(C2122&lt;&gt;C2121, C2121&gt;B2121)), 1, 0)</f>
        <v>0</v>
      </c>
      <c r="E2122" s="3">
        <f t="array" ref="E2122">INDEX($A$9:A2121, MAX(IF($D$9:D2121=1, ROW(D$9:$D2121)-ROW($D$9)+1, 0)))</f>
        <v>49023</v>
      </c>
      <c r="F2122" s="23">
        <f t="shared" si="431"/>
        <v>8.0958247775496233</v>
      </c>
      <c r="G2122" s="5">
        <f>INDEX('Default Prob'!$P$5:$P$14,MIN(1+_xlfn.IFNA(MATCH(F2122,'Default Prob'!$F$5:$F$14,1),0),COUNT('Default Prob'!$P$5:$P$14)))</f>
        <v>5.8652391073922311E-2</v>
      </c>
      <c r="H2122" s="5">
        <f t="shared" ref="H2122:H2185" si="440">H2121*EXP(-G2121*(F2122-F2121))</f>
        <v>0.80219938494932963</v>
      </c>
      <c r="I2122" s="24">
        <f t="shared" ref="I2122:I2185" si="441">H2121-H2122</f>
        <v>1.2882872005581802E-4</v>
      </c>
      <c r="J2122" s="25">
        <f>INDEX('Default Prob'!$C$3:$C$13, _xlfn.IFNA(MATCH(F2122, 'Default Prob'!$B$3:$B$13, 1), 1))</f>
        <v>2.4E-2</v>
      </c>
      <c r="K2122" s="26">
        <f t="shared" si="432"/>
        <v>0.82530287085859366</v>
      </c>
      <c r="L2122" s="27">
        <f t="shared" ca="1" si="433"/>
        <v>0</v>
      </c>
      <c r="M2122" s="27">
        <f t="shared" ca="1" si="434"/>
        <v>0</v>
      </c>
      <c r="N2122" s="28">
        <f t="shared" ca="1" si="435"/>
        <v>0</v>
      </c>
      <c r="O2122" s="29">
        <f t="shared" ca="1" si="436"/>
        <v>0</v>
      </c>
      <c r="P2122" s="30">
        <f t="shared" ca="1" si="437"/>
        <v>0</v>
      </c>
    </row>
    <row r="2123" spans="1:16" x14ac:dyDescent="0.25">
      <c r="A2123" s="3">
        <f t="shared" si="438"/>
        <v>49083</v>
      </c>
      <c r="B2123" s="21">
        <f t="shared" si="429"/>
        <v>36665</v>
      </c>
      <c r="C2123" s="21">
        <f t="shared" si="430"/>
        <v>36697</v>
      </c>
      <c r="D2123" s="1">
        <f t="shared" si="439"/>
        <v>0</v>
      </c>
      <c r="E2123" s="3">
        <f t="array" ref="E2123">INDEX($A$9:A2122, MAX(IF($D$9:D2122=1, ROW(D$9:$D2122)-ROW($D$9)+1, 0)))</f>
        <v>49023</v>
      </c>
      <c r="F2123" s="23">
        <f t="shared" si="431"/>
        <v>8.0985626283367562</v>
      </c>
      <c r="G2123" s="5">
        <f>INDEX('Default Prob'!$P$5:$P$14,MIN(1+_xlfn.IFNA(MATCH(F2123,'Default Prob'!$F$5:$F$14,1),0),COUNT('Default Prob'!$P$5:$P$14)))</f>
        <v>5.8652391073922311E-2</v>
      </c>
      <c r="H2123" s="5">
        <f t="shared" si="440"/>
        <v>0.80207057691512129</v>
      </c>
      <c r="I2123" s="24">
        <f t="shared" si="441"/>
        <v>1.2880803420833864E-4</v>
      </c>
      <c r="J2123" s="25">
        <f>INDEX('Default Prob'!$C$3:$C$13, _xlfn.IFNA(MATCH(F2123, 'Default Prob'!$B$3:$B$13, 1), 1))</f>
        <v>2.4E-2</v>
      </c>
      <c r="K2123" s="26">
        <f t="shared" si="432"/>
        <v>0.82524928377564377</v>
      </c>
      <c r="L2123" s="27">
        <f t="shared" ca="1" si="433"/>
        <v>0</v>
      </c>
      <c r="M2123" s="27">
        <f t="shared" ca="1" si="434"/>
        <v>0</v>
      </c>
      <c r="N2123" s="28">
        <f t="shared" ca="1" si="435"/>
        <v>0</v>
      </c>
      <c r="O2123" s="29">
        <f t="shared" ca="1" si="436"/>
        <v>0</v>
      </c>
      <c r="P2123" s="30">
        <f t="shared" ca="1" si="437"/>
        <v>0</v>
      </c>
    </row>
    <row r="2124" spans="1:16" x14ac:dyDescent="0.25">
      <c r="A2124" s="3">
        <f t="shared" si="438"/>
        <v>49086</v>
      </c>
      <c r="B2124" s="21">
        <f t="shared" si="429"/>
        <v>36668</v>
      </c>
      <c r="C2124" s="21">
        <f t="shared" si="430"/>
        <v>36697</v>
      </c>
      <c r="D2124" s="1">
        <f t="shared" si="439"/>
        <v>0</v>
      </c>
      <c r="E2124" s="3">
        <f t="array" ref="E2124">INDEX($A$9:A2123, MAX(IF($D$9:D2123=1, ROW(D$9:$D2123)-ROW($D$9)+1, 0)))</f>
        <v>49023</v>
      </c>
      <c r="F2124" s="23">
        <f t="shared" si="431"/>
        <v>8.1067761806981515</v>
      </c>
      <c r="G2124" s="5">
        <f>INDEX('Default Prob'!$P$5:$P$14,MIN(1+_xlfn.IFNA(MATCH(F2124,'Default Prob'!$F$5:$F$14,1),0),COUNT('Default Prob'!$P$5:$P$14)))</f>
        <v>5.8652391073922311E-2</v>
      </c>
      <c r="H2124" s="5">
        <f t="shared" si="440"/>
        <v>0.80168427689436916</v>
      </c>
      <c r="I2124" s="24">
        <f t="shared" si="441"/>
        <v>3.8630002075212833E-4</v>
      </c>
      <c r="J2124" s="25">
        <f>INDEX('Default Prob'!$C$3:$C$13, _xlfn.IFNA(MATCH(F2124, 'Default Prob'!$B$3:$B$13, 1), 1))</f>
        <v>2.4E-2</v>
      </c>
      <c r="K2124" s="26">
        <f t="shared" si="432"/>
        <v>0.82508854340241145</v>
      </c>
      <c r="L2124" s="27">
        <f t="shared" ca="1" si="433"/>
        <v>0</v>
      </c>
      <c r="M2124" s="27">
        <f t="shared" ca="1" si="434"/>
        <v>0</v>
      </c>
      <c r="N2124" s="28">
        <f t="shared" ca="1" si="435"/>
        <v>0</v>
      </c>
      <c r="O2124" s="29">
        <f t="shared" ca="1" si="436"/>
        <v>0</v>
      </c>
      <c r="P2124" s="30">
        <f t="shared" ca="1" si="437"/>
        <v>0</v>
      </c>
    </row>
    <row r="2125" spans="1:16" x14ac:dyDescent="0.25">
      <c r="A2125" s="3">
        <f t="shared" si="438"/>
        <v>49087</v>
      </c>
      <c r="B2125" s="21">
        <f t="shared" si="429"/>
        <v>36669</v>
      </c>
      <c r="C2125" s="21">
        <f t="shared" si="430"/>
        <v>36697</v>
      </c>
      <c r="D2125" s="1">
        <f t="shared" si="439"/>
        <v>0</v>
      </c>
      <c r="E2125" s="3">
        <f t="array" ref="E2125">INDEX($A$9:A2124, MAX(IF($D$9:D2124=1, ROW(D$9:$D2124)-ROW($D$9)+1, 0)))</f>
        <v>49023</v>
      </c>
      <c r="F2125" s="23">
        <f t="shared" si="431"/>
        <v>8.1095140314852845</v>
      </c>
      <c r="G2125" s="5">
        <f>INDEX('Default Prob'!$P$5:$P$14,MIN(1+_xlfn.IFNA(MATCH(F2125,'Default Prob'!$F$5:$F$14,1),0),COUNT('Default Prob'!$P$5:$P$14)))</f>
        <v>5.8652391073922311E-2</v>
      </c>
      <c r="H2125" s="5">
        <f t="shared" si="440"/>
        <v>0.80155555157034131</v>
      </c>
      <c r="I2125" s="24">
        <f t="shared" si="441"/>
        <v>1.287253240278563E-4</v>
      </c>
      <c r="J2125" s="25">
        <f>INDEX('Default Prob'!$C$3:$C$13, _xlfn.IFNA(MATCH(F2125, 'Default Prob'!$B$3:$B$13, 1), 1))</f>
        <v>2.4E-2</v>
      </c>
      <c r="K2125" s="26">
        <f t="shared" si="432"/>
        <v>0.82503497023578687</v>
      </c>
      <c r="L2125" s="27">
        <f t="shared" ca="1" si="433"/>
        <v>0</v>
      </c>
      <c r="M2125" s="27">
        <f t="shared" ca="1" si="434"/>
        <v>0</v>
      </c>
      <c r="N2125" s="28">
        <f t="shared" ca="1" si="435"/>
        <v>0</v>
      </c>
      <c r="O2125" s="29">
        <f t="shared" ca="1" si="436"/>
        <v>0</v>
      </c>
      <c r="P2125" s="30">
        <f t="shared" ca="1" si="437"/>
        <v>0</v>
      </c>
    </row>
    <row r="2126" spans="1:16" x14ac:dyDescent="0.25">
      <c r="A2126" s="3">
        <f t="shared" si="438"/>
        <v>49088</v>
      </c>
      <c r="B2126" s="21">
        <f t="shared" si="429"/>
        <v>36670</v>
      </c>
      <c r="C2126" s="21">
        <f t="shared" si="430"/>
        <v>36697</v>
      </c>
      <c r="D2126" s="1">
        <f t="shared" si="439"/>
        <v>0</v>
      </c>
      <c r="E2126" s="3">
        <f t="array" ref="E2126">INDEX($A$9:A2125, MAX(IF($D$9:D2125=1, ROW(D$9:$D2125)-ROW($D$9)+1, 0)))</f>
        <v>49023</v>
      </c>
      <c r="F2126" s="23">
        <f t="shared" si="431"/>
        <v>8.1122518822724157</v>
      </c>
      <c r="G2126" s="5">
        <f>INDEX('Default Prob'!$P$5:$P$14,MIN(1+_xlfn.IFNA(MATCH(F2126,'Default Prob'!$F$5:$F$14,1),0),COUNT('Default Prob'!$P$5:$P$14)))</f>
        <v>5.8652391073922311E-2</v>
      </c>
      <c r="H2126" s="5">
        <f t="shared" si="440"/>
        <v>0.80142684691555899</v>
      </c>
      <c r="I2126" s="24">
        <f t="shared" si="441"/>
        <v>1.2870465478231896E-4</v>
      </c>
      <c r="J2126" s="25">
        <f>INDEX('Default Prob'!$C$3:$C$13, _xlfn.IFNA(MATCH(F2126, 'Default Prob'!$B$3:$B$13, 1), 1))</f>
        <v>2.4E-2</v>
      </c>
      <c r="K2126" s="26">
        <f t="shared" si="432"/>
        <v>0.82498140054767877</v>
      </c>
      <c r="L2126" s="27">
        <f t="shared" ca="1" si="433"/>
        <v>0</v>
      </c>
      <c r="M2126" s="27">
        <f t="shared" ca="1" si="434"/>
        <v>0</v>
      </c>
      <c r="N2126" s="28">
        <f t="shared" ca="1" si="435"/>
        <v>0</v>
      </c>
      <c r="O2126" s="29">
        <f t="shared" ca="1" si="436"/>
        <v>0</v>
      </c>
      <c r="P2126" s="30">
        <f t="shared" ca="1" si="437"/>
        <v>0</v>
      </c>
    </row>
    <row r="2127" spans="1:16" x14ac:dyDescent="0.25">
      <c r="A2127" s="3">
        <f t="shared" si="438"/>
        <v>49089</v>
      </c>
      <c r="B2127" s="21">
        <f t="shared" si="429"/>
        <v>36671</v>
      </c>
      <c r="C2127" s="21">
        <f t="shared" si="430"/>
        <v>36697</v>
      </c>
      <c r="D2127" s="1">
        <f t="shared" si="439"/>
        <v>0</v>
      </c>
      <c r="E2127" s="3">
        <f t="array" ref="E2127">INDEX($A$9:A2126, MAX(IF($D$9:D2126=1, ROW(D$9:$D2126)-ROW($D$9)+1, 0)))</f>
        <v>49023</v>
      </c>
      <c r="F2127" s="23">
        <f t="shared" si="431"/>
        <v>8.1149897330595486</v>
      </c>
      <c r="G2127" s="5">
        <f>INDEX('Default Prob'!$P$5:$P$14,MIN(1+_xlfn.IFNA(MATCH(F2127,'Default Prob'!$F$5:$F$14,1),0),COUNT('Default Prob'!$P$5:$P$14)))</f>
        <v>5.8652391073922311E-2</v>
      </c>
      <c r="H2127" s="5">
        <f t="shared" si="440"/>
        <v>0.80129816292670308</v>
      </c>
      <c r="I2127" s="24">
        <f t="shared" si="441"/>
        <v>1.2868398885590437E-4</v>
      </c>
      <c r="J2127" s="25">
        <f>INDEX('Default Prob'!$C$3:$C$13, _xlfn.IFNA(MATCH(F2127, 'Default Prob'!$B$3:$B$13, 1), 1))</f>
        <v>2.4E-2</v>
      </c>
      <c r="K2127" s="26">
        <f t="shared" si="432"/>
        <v>0.82492783433786143</v>
      </c>
      <c r="L2127" s="27">
        <f t="shared" ca="1" si="433"/>
        <v>0</v>
      </c>
      <c r="M2127" s="27">
        <f t="shared" ca="1" si="434"/>
        <v>0</v>
      </c>
      <c r="N2127" s="28">
        <f t="shared" ca="1" si="435"/>
        <v>0</v>
      </c>
      <c r="O2127" s="29">
        <f t="shared" ca="1" si="436"/>
        <v>0</v>
      </c>
      <c r="P2127" s="30">
        <f t="shared" ca="1" si="437"/>
        <v>0</v>
      </c>
    </row>
    <row r="2128" spans="1:16" x14ac:dyDescent="0.25">
      <c r="A2128" s="3">
        <f t="shared" si="438"/>
        <v>49090</v>
      </c>
      <c r="B2128" s="21">
        <f t="shared" si="429"/>
        <v>36672</v>
      </c>
      <c r="C2128" s="21">
        <f t="shared" si="430"/>
        <v>36697</v>
      </c>
      <c r="D2128" s="1">
        <f t="shared" si="439"/>
        <v>0</v>
      </c>
      <c r="E2128" s="3">
        <f t="array" ref="E2128">INDEX($A$9:A2127, MAX(IF($D$9:D2127=1, ROW(D$9:$D2127)-ROW($D$9)+1, 0)))</f>
        <v>49023</v>
      </c>
      <c r="F2128" s="23">
        <f t="shared" si="431"/>
        <v>8.1177275838466798</v>
      </c>
      <c r="G2128" s="5">
        <f>INDEX('Default Prob'!$P$5:$P$14,MIN(1+_xlfn.IFNA(MATCH(F2128,'Default Prob'!$F$5:$F$14,1),0),COUNT('Default Prob'!$P$5:$P$14)))</f>
        <v>5.8652391073922311E-2</v>
      </c>
      <c r="H2128" s="5">
        <f t="shared" si="440"/>
        <v>0.80116949960045558</v>
      </c>
      <c r="I2128" s="24">
        <f t="shared" si="441"/>
        <v>1.2866332624750232E-4</v>
      </c>
      <c r="J2128" s="25">
        <f>INDEX('Default Prob'!$C$3:$C$13, _xlfn.IFNA(MATCH(F2128, 'Default Prob'!$B$3:$B$13, 1), 1))</f>
        <v>2.4E-2</v>
      </c>
      <c r="K2128" s="26">
        <f t="shared" si="432"/>
        <v>0.82487427160610904</v>
      </c>
      <c r="L2128" s="27">
        <f t="shared" ca="1" si="433"/>
        <v>0</v>
      </c>
      <c r="M2128" s="27">
        <f t="shared" ca="1" si="434"/>
        <v>0</v>
      </c>
      <c r="N2128" s="28">
        <f t="shared" ca="1" si="435"/>
        <v>0</v>
      </c>
      <c r="O2128" s="29">
        <f t="shared" ca="1" si="436"/>
        <v>0</v>
      </c>
      <c r="P2128" s="30">
        <f t="shared" ca="1" si="437"/>
        <v>0</v>
      </c>
    </row>
    <row r="2129" spans="1:16" x14ac:dyDescent="0.25">
      <c r="A2129" s="3">
        <f t="shared" si="438"/>
        <v>49093</v>
      </c>
      <c r="B2129" s="21">
        <f t="shared" si="429"/>
        <v>36675</v>
      </c>
      <c r="C2129" s="21">
        <f t="shared" si="430"/>
        <v>36697</v>
      </c>
      <c r="D2129" s="1">
        <f t="shared" si="439"/>
        <v>0</v>
      </c>
      <c r="E2129" s="3">
        <f t="array" ref="E2129">INDEX($A$9:A2128, MAX(IF($D$9:D2128=1, ROW(D$9:$D2128)-ROW($D$9)+1, 0)))</f>
        <v>49023</v>
      </c>
      <c r="F2129" s="23">
        <f t="shared" si="431"/>
        <v>8.1259411362080769</v>
      </c>
      <c r="G2129" s="5">
        <f>INDEX('Default Prob'!$P$5:$P$14,MIN(1+_xlfn.IFNA(MATCH(F2129,'Default Prob'!$F$5:$F$14,1),0),COUNT('Default Prob'!$P$5:$P$14)))</f>
        <v>5.8652391073922311E-2</v>
      </c>
      <c r="H2129" s="5">
        <f t="shared" si="440"/>
        <v>0.80078363356418725</v>
      </c>
      <c r="I2129" s="24">
        <f t="shared" si="441"/>
        <v>3.8586603626833416E-4</v>
      </c>
      <c r="J2129" s="25">
        <f>INDEX('Default Prob'!$C$3:$C$13, _xlfn.IFNA(MATCH(F2129, 'Default Prob'!$B$3:$B$13, 1), 1))</f>
        <v>2.4E-2</v>
      </c>
      <c r="K2129" s="26">
        <f t="shared" si="432"/>
        <v>0.82471360427698259</v>
      </c>
      <c r="L2129" s="27">
        <f t="shared" ca="1" si="433"/>
        <v>0</v>
      </c>
      <c r="M2129" s="27">
        <f t="shared" ca="1" si="434"/>
        <v>0</v>
      </c>
      <c r="N2129" s="28">
        <f t="shared" ca="1" si="435"/>
        <v>0</v>
      </c>
      <c r="O2129" s="29">
        <f t="shared" ca="1" si="436"/>
        <v>0</v>
      </c>
      <c r="P2129" s="30">
        <f t="shared" ca="1" si="437"/>
        <v>0</v>
      </c>
    </row>
    <row r="2130" spans="1:16" x14ac:dyDescent="0.25">
      <c r="A2130" s="3">
        <f t="shared" si="438"/>
        <v>49094</v>
      </c>
      <c r="B2130" s="21">
        <f t="shared" si="429"/>
        <v>36676</v>
      </c>
      <c r="C2130" s="21">
        <f t="shared" si="430"/>
        <v>36697</v>
      </c>
      <c r="D2130" s="1">
        <f t="shared" si="439"/>
        <v>0</v>
      </c>
      <c r="E2130" s="3">
        <f t="array" ref="E2130">INDEX($A$9:A2129, MAX(IF($D$9:D2129=1, ROW(D$9:$D2129)-ROW($D$9)+1, 0)))</f>
        <v>49023</v>
      </c>
      <c r="F2130" s="23">
        <f t="shared" si="431"/>
        <v>8.1286789869952081</v>
      </c>
      <c r="G2130" s="5">
        <f>INDEX('Default Prob'!$P$5:$P$14,MIN(1+_xlfn.IFNA(MATCH(F2130,'Default Prob'!$F$5:$F$14,1),0),COUNT('Default Prob'!$P$5:$P$14)))</f>
        <v>5.8652391073922311E-2</v>
      </c>
      <c r="H2130" s="5">
        <f t="shared" si="440"/>
        <v>0.80065505285520044</v>
      </c>
      <c r="I2130" s="24">
        <f t="shared" si="441"/>
        <v>1.2858070898680296E-4</v>
      </c>
      <c r="J2130" s="25">
        <f>INDEX('Default Prob'!$C$3:$C$13, _xlfn.IFNA(MATCH(F2130, 'Default Prob'!$B$3:$B$13, 1), 1))</f>
        <v>2.4E-2</v>
      </c>
      <c r="K2130" s="26">
        <f t="shared" si="432"/>
        <v>0.82466005545523147</v>
      </c>
      <c r="L2130" s="27">
        <f t="shared" ca="1" si="433"/>
        <v>0</v>
      </c>
      <c r="M2130" s="27">
        <f t="shared" ca="1" si="434"/>
        <v>0</v>
      </c>
      <c r="N2130" s="28">
        <f t="shared" ca="1" si="435"/>
        <v>0</v>
      </c>
      <c r="O2130" s="29">
        <f t="shared" ca="1" si="436"/>
        <v>0</v>
      </c>
      <c r="P2130" s="30">
        <f t="shared" ca="1" si="437"/>
        <v>0</v>
      </c>
    </row>
    <row r="2131" spans="1:16" x14ac:dyDescent="0.25">
      <c r="A2131" s="3">
        <f t="shared" si="438"/>
        <v>49095</v>
      </c>
      <c r="B2131" s="21">
        <f t="shared" si="429"/>
        <v>36677</v>
      </c>
      <c r="C2131" s="21">
        <f t="shared" si="430"/>
        <v>36697</v>
      </c>
      <c r="D2131" s="1">
        <f t="shared" si="439"/>
        <v>0</v>
      </c>
      <c r="E2131" s="3">
        <f t="array" ref="E2131">INDEX($A$9:A2130, MAX(IF($D$9:D2130=1, ROW(D$9:$D2130)-ROW($D$9)+1, 0)))</f>
        <v>49023</v>
      </c>
      <c r="F2131" s="23">
        <f t="shared" si="431"/>
        <v>8.131416837782341</v>
      </c>
      <c r="G2131" s="5">
        <f>INDEX('Default Prob'!$P$5:$P$14,MIN(1+_xlfn.IFNA(MATCH(F2131,'Default Prob'!$F$5:$F$14,1),0),COUNT('Default Prob'!$P$5:$P$14)))</f>
        <v>5.8652391073922311E-2</v>
      </c>
      <c r="H2131" s="5">
        <f t="shared" si="440"/>
        <v>0.80052649279223831</v>
      </c>
      <c r="I2131" s="24">
        <f t="shared" si="441"/>
        <v>1.2856006296213529E-4</v>
      </c>
      <c r="J2131" s="25">
        <f>INDEX('Default Prob'!$C$3:$C$13, _xlfn.IFNA(MATCH(F2131, 'Default Prob'!$B$3:$B$13, 1), 1))</f>
        <v>2.4E-2</v>
      </c>
      <c r="K2131" s="26">
        <f t="shared" si="432"/>
        <v>0.82460651011041608</v>
      </c>
      <c r="L2131" s="27">
        <f t="shared" ca="1" si="433"/>
        <v>0</v>
      </c>
      <c r="M2131" s="27">
        <f t="shared" ca="1" si="434"/>
        <v>0</v>
      </c>
      <c r="N2131" s="28">
        <f t="shared" ca="1" si="435"/>
        <v>0</v>
      </c>
      <c r="O2131" s="29">
        <f t="shared" ca="1" si="436"/>
        <v>0</v>
      </c>
      <c r="P2131" s="30">
        <f t="shared" ca="1" si="437"/>
        <v>0</v>
      </c>
    </row>
    <row r="2132" spans="1:16" x14ac:dyDescent="0.25">
      <c r="A2132" s="3">
        <f t="shared" si="438"/>
        <v>49096</v>
      </c>
      <c r="B2132" s="21">
        <f t="shared" si="429"/>
        <v>36678</v>
      </c>
      <c r="C2132" s="21">
        <f t="shared" si="430"/>
        <v>36697</v>
      </c>
      <c r="D2132" s="1">
        <f t="shared" si="439"/>
        <v>0</v>
      </c>
      <c r="E2132" s="3">
        <f t="array" ref="E2132">INDEX($A$9:A2131, MAX(IF($D$9:D2131=1, ROW(D$9:$D2131)-ROW($D$9)+1, 0)))</f>
        <v>49023</v>
      </c>
      <c r="F2132" s="23">
        <f t="shared" si="431"/>
        <v>8.1341546885694722</v>
      </c>
      <c r="G2132" s="5">
        <f>INDEX('Default Prob'!$P$5:$P$14,MIN(1+_xlfn.IFNA(MATCH(F2132,'Default Prob'!$F$5:$F$14,1),0),COUNT('Default Prob'!$P$5:$P$14)))</f>
        <v>5.8652391073922311E-2</v>
      </c>
      <c r="H2132" s="5">
        <f t="shared" si="440"/>
        <v>0.80039795337198594</v>
      </c>
      <c r="I2132" s="24">
        <f t="shared" si="441"/>
        <v>1.2853942025237153E-4</v>
      </c>
      <c r="J2132" s="25">
        <f>INDEX('Default Prob'!$C$3:$C$13, _xlfn.IFNA(MATCH(F2132, 'Default Prob'!$B$3:$B$13, 1), 1))</f>
        <v>2.4E-2</v>
      </c>
      <c r="K2132" s="26">
        <f t="shared" si="432"/>
        <v>0.82455296824231106</v>
      </c>
      <c r="L2132" s="27">
        <f t="shared" ca="1" si="433"/>
        <v>0</v>
      </c>
      <c r="M2132" s="27">
        <f t="shared" ca="1" si="434"/>
        <v>0</v>
      </c>
      <c r="N2132" s="28">
        <f t="shared" ca="1" si="435"/>
        <v>0</v>
      </c>
      <c r="O2132" s="29">
        <f t="shared" ca="1" si="436"/>
        <v>0</v>
      </c>
      <c r="P2132" s="30">
        <f t="shared" ca="1" si="437"/>
        <v>0</v>
      </c>
    </row>
    <row r="2133" spans="1:16" x14ac:dyDescent="0.25">
      <c r="A2133" s="3">
        <f t="shared" si="438"/>
        <v>49097</v>
      </c>
      <c r="B2133" s="21">
        <f t="shared" si="429"/>
        <v>36679</v>
      </c>
      <c r="C2133" s="21">
        <f t="shared" si="430"/>
        <v>36697</v>
      </c>
      <c r="D2133" s="1">
        <f t="shared" si="439"/>
        <v>0</v>
      </c>
      <c r="E2133" s="3">
        <f t="array" ref="E2133">INDEX($A$9:A2132, MAX(IF($D$9:D2132=1, ROW(D$9:$D2132)-ROW($D$9)+1, 0)))</f>
        <v>49023</v>
      </c>
      <c r="F2133" s="23">
        <f t="shared" si="431"/>
        <v>8.1368925393566052</v>
      </c>
      <c r="G2133" s="5">
        <f>INDEX('Default Prob'!$P$5:$P$14,MIN(1+_xlfn.IFNA(MATCH(F2133,'Default Prob'!$F$5:$F$14,1),0),COUNT('Default Prob'!$P$5:$P$14)))</f>
        <v>5.8652391073922311E-2</v>
      </c>
      <c r="H2133" s="5">
        <f t="shared" si="440"/>
        <v>0.80026943459112854</v>
      </c>
      <c r="I2133" s="24">
        <f t="shared" si="441"/>
        <v>1.2851878085740065E-4</v>
      </c>
      <c r="J2133" s="25">
        <f>INDEX('Default Prob'!$C$3:$C$13, _xlfn.IFNA(MATCH(F2133, 'Default Prob'!$B$3:$B$13, 1), 1))</f>
        <v>2.4E-2</v>
      </c>
      <c r="K2133" s="26">
        <f t="shared" si="432"/>
        <v>0.82449942985069025</v>
      </c>
      <c r="L2133" s="27">
        <f t="shared" ca="1" si="433"/>
        <v>0</v>
      </c>
      <c r="M2133" s="27">
        <f t="shared" ca="1" si="434"/>
        <v>0</v>
      </c>
      <c r="N2133" s="28">
        <f t="shared" ca="1" si="435"/>
        <v>0</v>
      </c>
      <c r="O2133" s="29">
        <f t="shared" ca="1" si="436"/>
        <v>0</v>
      </c>
      <c r="P2133" s="30">
        <f t="shared" ca="1" si="437"/>
        <v>0</v>
      </c>
    </row>
    <row r="2134" spans="1:16" x14ac:dyDescent="0.25">
      <c r="A2134" s="3">
        <f t="shared" si="438"/>
        <v>49100</v>
      </c>
      <c r="B2134" s="21">
        <f t="shared" si="429"/>
        <v>36682</v>
      </c>
      <c r="C2134" s="21">
        <f t="shared" si="430"/>
        <v>36697</v>
      </c>
      <c r="D2134" s="1">
        <f t="shared" si="439"/>
        <v>0</v>
      </c>
      <c r="E2134" s="3">
        <f t="array" ref="E2134">INDEX($A$9:A2133, MAX(IF($D$9:D2133=1, ROW(D$9:$D2133)-ROW($D$9)+1, 0)))</f>
        <v>49023</v>
      </c>
      <c r="F2134" s="23">
        <f t="shared" si="431"/>
        <v>8.1451060917180005</v>
      </c>
      <c r="G2134" s="5">
        <f>INDEX('Default Prob'!$P$5:$P$14,MIN(1+_xlfn.IFNA(MATCH(F2134,'Default Prob'!$F$5:$F$14,1),0),COUNT('Default Prob'!$P$5:$P$14)))</f>
        <v>5.8652391073922311E-2</v>
      </c>
      <c r="H2134" s="5">
        <f t="shared" si="440"/>
        <v>0.79988400205178911</v>
      </c>
      <c r="I2134" s="24">
        <f t="shared" si="441"/>
        <v>3.8543253933942534E-4</v>
      </c>
      <c r="J2134" s="25">
        <f>INDEX('Default Prob'!$C$3:$C$13, _xlfn.IFNA(MATCH(F2134, 'Default Prob'!$B$3:$B$13, 1), 1))</f>
        <v>2.4E-2</v>
      </c>
      <c r="K2134" s="26">
        <f t="shared" si="432"/>
        <v>0.824338835532477</v>
      </c>
      <c r="L2134" s="27">
        <f t="shared" ca="1" si="433"/>
        <v>0</v>
      </c>
      <c r="M2134" s="27">
        <f t="shared" ca="1" si="434"/>
        <v>0</v>
      </c>
      <c r="N2134" s="28">
        <f t="shared" ca="1" si="435"/>
        <v>0</v>
      </c>
      <c r="O2134" s="29">
        <f t="shared" ca="1" si="436"/>
        <v>0</v>
      </c>
      <c r="P2134" s="30">
        <f t="shared" ca="1" si="437"/>
        <v>0</v>
      </c>
    </row>
    <row r="2135" spans="1:16" x14ac:dyDescent="0.25">
      <c r="A2135" s="3">
        <f t="shared" si="438"/>
        <v>49101</v>
      </c>
      <c r="B2135" s="21">
        <f t="shared" si="429"/>
        <v>36683</v>
      </c>
      <c r="C2135" s="21">
        <f t="shared" si="430"/>
        <v>36697</v>
      </c>
      <c r="D2135" s="1">
        <f t="shared" si="439"/>
        <v>0</v>
      </c>
      <c r="E2135" s="3">
        <f t="array" ref="E2135">INDEX($A$9:A2134, MAX(IF($D$9:D2134=1, ROW(D$9:$D2134)-ROW($D$9)+1, 0)))</f>
        <v>49023</v>
      </c>
      <c r="F2135" s="23">
        <f t="shared" si="431"/>
        <v>8.1478439425051334</v>
      </c>
      <c r="G2135" s="5">
        <f>INDEX('Default Prob'!$P$5:$P$14,MIN(1+_xlfn.IFNA(MATCH(F2135,'Default Prob'!$F$5:$F$14,1),0),COUNT('Default Prob'!$P$5:$P$14)))</f>
        <v>5.8652391073922311E-2</v>
      </c>
      <c r="H2135" s="5">
        <f t="shared" si="440"/>
        <v>0.79975556579537699</v>
      </c>
      <c r="I2135" s="24">
        <f t="shared" si="441"/>
        <v>1.2843625641212331E-4</v>
      </c>
      <c r="J2135" s="25">
        <f>INDEX('Default Prob'!$C$3:$C$13, _xlfn.IFNA(MATCH(F2135, 'Default Prob'!$B$3:$B$13, 1), 1))</f>
        <v>2.4E-2</v>
      </c>
      <c r="K2135" s="26">
        <f t="shared" si="432"/>
        <v>0.8242853110445364</v>
      </c>
      <c r="L2135" s="27">
        <f t="shared" ca="1" si="433"/>
        <v>0</v>
      </c>
      <c r="M2135" s="27">
        <f t="shared" ca="1" si="434"/>
        <v>0</v>
      </c>
      <c r="N2135" s="28">
        <f t="shared" ca="1" si="435"/>
        <v>0</v>
      </c>
      <c r="O2135" s="29">
        <f t="shared" ca="1" si="436"/>
        <v>0</v>
      </c>
      <c r="P2135" s="30">
        <f t="shared" ca="1" si="437"/>
        <v>0</v>
      </c>
    </row>
    <row r="2136" spans="1:16" x14ac:dyDescent="0.25">
      <c r="A2136" s="3">
        <f t="shared" si="438"/>
        <v>49102</v>
      </c>
      <c r="B2136" s="21">
        <f t="shared" si="429"/>
        <v>36684</v>
      </c>
      <c r="C2136" s="21">
        <f t="shared" si="430"/>
        <v>36697</v>
      </c>
      <c r="D2136" s="1">
        <f t="shared" si="439"/>
        <v>0</v>
      </c>
      <c r="E2136" s="3">
        <f t="array" ref="E2136">INDEX($A$9:A2135, MAX(IF($D$9:D2135=1, ROW(D$9:$D2135)-ROW($D$9)+1, 0)))</f>
        <v>49023</v>
      </c>
      <c r="F2136" s="23">
        <f t="shared" si="431"/>
        <v>8.1505817932922664</v>
      </c>
      <c r="G2136" s="5">
        <f>INDEX('Default Prob'!$P$5:$P$14,MIN(1+_xlfn.IFNA(MATCH(F2136,'Default Prob'!$F$5:$F$14,1),0),COUNT('Default Prob'!$P$5:$P$14)))</f>
        <v>5.8652391073922311E-2</v>
      </c>
      <c r="H2136" s="5">
        <f t="shared" si="440"/>
        <v>0.79962715016179509</v>
      </c>
      <c r="I2136" s="24">
        <f t="shared" si="441"/>
        <v>1.28415633581902E-4</v>
      </c>
      <c r="J2136" s="25">
        <f>INDEX('Default Prob'!$C$3:$C$13, _xlfn.IFNA(MATCH(F2136, 'Default Prob'!$B$3:$B$13, 1), 1))</f>
        <v>2.4E-2</v>
      </c>
      <c r="K2136" s="26">
        <f t="shared" si="432"/>
        <v>0.82423179003195179</v>
      </c>
      <c r="L2136" s="27">
        <f t="shared" ca="1" si="433"/>
        <v>0</v>
      </c>
      <c r="M2136" s="27">
        <f t="shared" ca="1" si="434"/>
        <v>0</v>
      </c>
      <c r="N2136" s="28">
        <f t="shared" ca="1" si="435"/>
        <v>0</v>
      </c>
      <c r="O2136" s="29">
        <f t="shared" ca="1" si="436"/>
        <v>0</v>
      </c>
      <c r="P2136" s="30">
        <f t="shared" ca="1" si="437"/>
        <v>0</v>
      </c>
    </row>
    <row r="2137" spans="1:16" x14ac:dyDescent="0.25">
      <c r="A2137" s="3">
        <f t="shared" si="438"/>
        <v>49103</v>
      </c>
      <c r="B2137" s="21">
        <f t="shared" si="429"/>
        <v>36685</v>
      </c>
      <c r="C2137" s="21">
        <f t="shared" si="430"/>
        <v>36697</v>
      </c>
      <c r="D2137" s="1">
        <f t="shared" si="439"/>
        <v>0</v>
      </c>
      <c r="E2137" s="3">
        <f t="array" ref="E2137">INDEX($A$9:A2136, MAX(IF($D$9:D2136=1, ROW(D$9:$D2136)-ROW($D$9)+1, 0)))</f>
        <v>49023</v>
      </c>
      <c r="F2137" s="23">
        <f t="shared" si="431"/>
        <v>8.1533196440793976</v>
      </c>
      <c r="G2137" s="5">
        <f>INDEX('Default Prob'!$P$5:$P$14,MIN(1+_xlfn.IFNA(MATCH(F2137,'Default Prob'!$F$5:$F$14,1),0),COUNT('Default Prob'!$P$5:$P$14)))</f>
        <v>5.8652391073922311E-2</v>
      </c>
      <c r="H2137" s="5">
        <f t="shared" si="440"/>
        <v>0.79949875514773205</v>
      </c>
      <c r="I2137" s="24">
        <f t="shared" si="441"/>
        <v>1.2839501406303189E-4</v>
      </c>
      <c r="J2137" s="25">
        <f>INDEX('Default Prob'!$C$3:$C$13, _xlfn.IFNA(MATCH(F2137, 'Default Prob'!$B$3:$B$13, 1), 1))</f>
        <v>2.4E-2</v>
      </c>
      <c r="K2137" s="26">
        <f t="shared" si="432"/>
        <v>0.82417827249449738</v>
      </c>
      <c r="L2137" s="27">
        <f t="shared" ca="1" si="433"/>
        <v>0</v>
      </c>
      <c r="M2137" s="27">
        <f t="shared" ca="1" si="434"/>
        <v>0</v>
      </c>
      <c r="N2137" s="28">
        <f t="shared" ca="1" si="435"/>
        <v>0</v>
      </c>
      <c r="O2137" s="29">
        <f t="shared" ca="1" si="436"/>
        <v>0</v>
      </c>
      <c r="P2137" s="30">
        <f t="shared" ca="1" si="437"/>
        <v>0</v>
      </c>
    </row>
    <row r="2138" spans="1:16" x14ac:dyDescent="0.25">
      <c r="A2138" s="3">
        <f t="shared" si="438"/>
        <v>49104</v>
      </c>
      <c r="B2138" s="21">
        <f t="shared" si="429"/>
        <v>36686</v>
      </c>
      <c r="C2138" s="21">
        <f t="shared" si="430"/>
        <v>36697</v>
      </c>
      <c r="D2138" s="1">
        <f t="shared" si="439"/>
        <v>0</v>
      </c>
      <c r="E2138" s="3">
        <f t="array" ref="E2138">INDEX($A$9:A2137, MAX(IF($D$9:D2137=1, ROW(D$9:$D2137)-ROW($D$9)+1, 0)))</f>
        <v>49023</v>
      </c>
      <c r="F2138" s="23">
        <f t="shared" si="431"/>
        <v>8.1560574948665305</v>
      </c>
      <c r="G2138" s="5">
        <f>INDEX('Default Prob'!$P$5:$P$14,MIN(1+_xlfn.IFNA(MATCH(F2138,'Default Prob'!$F$5:$F$14,1),0),COUNT('Default Prob'!$P$5:$P$14)))</f>
        <v>5.8652391073922311E-2</v>
      </c>
      <c r="H2138" s="5">
        <f t="shared" si="440"/>
        <v>0.79937038074987687</v>
      </c>
      <c r="I2138" s="24">
        <f t="shared" si="441"/>
        <v>1.283743978551799E-4</v>
      </c>
      <c r="J2138" s="25">
        <f>INDEX('Default Prob'!$C$3:$C$13, _xlfn.IFNA(MATCH(F2138, 'Default Prob'!$B$3:$B$13, 1), 1))</f>
        <v>2.4E-2</v>
      </c>
      <c r="K2138" s="26">
        <f t="shared" si="432"/>
        <v>0.82412475843194755</v>
      </c>
      <c r="L2138" s="27">
        <f t="shared" ca="1" si="433"/>
        <v>0</v>
      </c>
      <c r="M2138" s="27">
        <f t="shared" ca="1" si="434"/>
        <v>0</v>
      </c>
      <c r="N2138" s="28">
        <f t="shared" ca="1" si="435"/>
        <v>0</v>
      </c>
      <c r="O2138" s="29">
        <f t="shared" ca="1" si="436"/>
        <v>0</v>
      </c>
      <c r="P2138" s="30">
        <f t="shared" ca="1" si="437"/>
        <v>0</v>
      </c>
    </row>
    <row r="2139" spans="1:16" x14ac:dyDescent="0.25">
      <c r="A2139" s="3">
        <f t="shared" si="438"/>
        <v>49107</v>
      </c>
      <c r="B2139" s="21">
        <f t="shared" si="429"/>
        <v>36689</v>
      </c>
      <c r="C2139" s="21">
        <f t="shared" si="430"/>
        <v>36697</v>
      </c>
      <c r="D2139" s="1">
        <f t="shared" si="439"/>
        <v>0</v>
      </c>
      <c r="E2139" s="3">
        <f t="array" ref="E2139">INDEX($A$9:A2138, MAX(IF($D$9:D2138=1, ROW(D$9:$D2138)-ROW($D$9)+1, 0)))</f>
        <v>49023</v>
      </c>
      <c r="F2139" s="23">
        <f t="shared" si="431"/>
        <v>8.1642710472279258</v>
      </c>
      <c r="G2139" s="5">
        <f>INDEX('Default Prob'!$P$5:$P$14,MIN(1+_xlfn.IFNA(MATCH(F2139,'Default Prob'!$F$5:$F$14,1),0),COUNT('Default Prob'!$P$5:$P$14)))</f>
        <v>5.8652391073922311E-2</v>
      </c>
      <c r="H2139" s="5">
        <f t="shared" si="440"/>
        <v>0.79898538122045892</v>
      </c>
      <c r="I2139" s="24">
        <f t="shared" si="441"/>
        <v>3.849995294179509E-4</v>
      </c>
      <c r="J2139" s="25">
        <f>INDEX('Default Prob'!$C$3:$C$13, _xlfn.IFNA(MATCH(F2139, 'Default Prob'!$B$3:$B$13, 1), 1))</f>
        <v>2.4E-2</v>
      </c>
      <c r="K2139" s="26">
        <f t="shared" si="432"/>
        <v>0.82396423709146949</v>
      </c>
      <c r="L2139" s="27">
        <f t="shared" ca="1" si="433"/>
        <v>0</v>
      </c>
      <c r="M2139" s="27">
        <f t="shared" ca="1" si="434"/>
        <v>0</v>
      </c>
      <c r="N2139" s="28">
        <f t="shared" ca="1" si="435"/>
        <v>0</v>
      </c>
      <c r="O2139" s="29">
        <f t="shared" ca="1" si="436"/>
        <v>0</v>
      </c>
      <c r="P2139" s="30">
        <f t="shared" ca="1" si="437"/>
        <v>0</v>
      </c>
    </row>
    <row r="2140" spans="1:16" x14ac:dyDescent="0.25">
      <c r="A2140" s="3">
        <f t="shared" si="438"/>
        <v>49108</v>
      </c>
      <c r="B2140" s="21">
        <f t="shared" si="429"/>
        <v>36690</v>
      </c>
      <c r="C2140" s="21">
        <f t="shared" si="430"/>
        <v>36697</v>
      </c>
      <c r="D2140" s="1">
        <f t="shared" si="439"/>
        <v>0</v>
      </c>
      <c r="E2140" s="3">
        <f t="array" ref="E2140">INDEX($A$9:A2139, MAX(IF($D$9:D2139=1, ROW(D$9:$D2139)-ROW($D$9)+1, 0)))</f>
        <v>49023</v>
      </c>
      <c r="F2140" s="23">
        <f t="shared" si="431"/>
        <v>8.1670088980150588</v>
      </c>
      <c r="G2140" s="5">
        <f>INDEX('Default Prob'!$P$5:$P$14,MIN(1+_xlfn.IFNA(MATCH(F2140,'Default Prob'!$F$5:$F$14,1),0),COUNT('Default Prob'!$P$5:$P$14)))</f>
        <v>5.8652391073922311E-2</v>
      </c>
      <c r="H2140" s="5">
        <f t="shared" si="440"/>
        <v>0.79885708925433785</v>
      </c>
      <c r="I2140" s="24">
        <f t="shared" si="441"/>
        <v>1.2829196612107463E-4</v>
      </c>
      <c r="J2140" s="25">
        <f>INDEX('Default Prob'!$C$3:$C$13, _xlfn.IFNA(MATCH(F2140, 'Default Prob'!$B$3:$B$13, 1), 1))</f>
        <v>2.4E-2</v>
      </c>
      <c r="K2140" s="26">
        <f t="shared" si="432"/>
        <v>0.82391073692628181</v>
      </c>
      <c r="L2140" s="27">
        <f t="shared" ca="1" si="433"/>
        <v>0</v>
      </c>
      <c r="M2140" s="27">
        <f t="shared" ca="1" si="434"/>
        <v>0</v>
      </c>
      <c r="N2140" s="28">
        <f t="shared" ca="1" si="435"/>
        <v>0</v>
      </c>
      <c r="O2140" s="29">
        <f t="shared" ca="1" si="436"/>
        <v>0</v>
      </c>
      <c r="P2140" s="30">
        <f t="shared" ca="1" si="437"/>
        <v>0</v>
      </c>
    </row>
    <row r="2141" spans="1:16" x14ac:dyDescent="0.25">
      <c r="A2141" s="3">
        <f t="shared" si="438"/>
        <v>49109</v>
      </c>
      <c r="B2141" s="21">
        <f t="shared" si="429"/>
        <v>36691</v>
      </c>
      <c r="C2141" s="21">
        <f t="shared" si="430"/>
        <v>36697</v>
      </c>
      <c r="D2141" s="1">
        <f t="shared" si="439"/>
        <v>0</v>
      </c>
      <c r="E2141" s="3">
        <f t="array" ref="E2141">INDEX($A$9:A2140, MAX(IF($D$9:D2140=1, ROW(D$9:$D2140)-ROW($D$9)+1, 0)))</f>
        <v>49023</v>
      </c>
      <c r="F2141" s="23">
        <f t="shared" si="431"/>
        <v>8.16974674880219</v>
      </c>
      <c r="G2141" s="5">
        <f>INDEX('Default Prob'!$P$5:$P$14,MIN(1+_xlfn.IFNA(MATCH(F2141,'Default Prob'!$F$5:$F$14,1),0),COUNT('Default Prob'!$P$5:$P$14)))</f>
        <v>5.8652391073922311E-2</v>
      </c>
      <c r="H2141" s="5">
        <f t="shared" si="440"/>
        <v>0.79872881788787864</v>
      </c>
      <c r="I2141" s="24">
        <f t="shared" si="441"/>
        <v>1.2827136645920945E-4</v>
      </c>
      <c r="J2141" s="25">
        <f>INDEX('Default Prob'!$C$3:$C$13, _xlfn.IFNA(MATCH(F2141, 'Default Prob'!$B$3:$B$13, 1), 1))</f>
        <v>2.4E-2</v>
      </c>
      <c r="K2141" s="26">
        <f t="shared" si="432"/>
        <v>0.82385724023487072</v>
      </c>
      <c r="L2141" s="27">
        <f t="shared" ca="1" si="433"/>
        <v>0</v>
      </c>
      <c r="M2141" s="27">
        <f t="shared" ca="1" si="434"/>
        <v>0</v>
      </c>
      <c r="N2141" s="28">
        <f t="shared" ca="1" si="435"/>
        <v>0</v>
      </c>
      <c r="O2141" s="29">
        <f t="shared" ca="1" si="436"/>
        <v>0</v>
      </c>
      <c r="P2141" s="30">
        <f t="shared" ca="1" si="437"/>
        <v>0</v>
      </c>
    </row>
    <row r="2142" spans="1:16" x14ac:dyDescent="0.25">
      <c r="A2142" s="3">
        <f t="shared" si="438"/>
        <v>49110</v>
      </c>
      <c r="B2142" s="21">
        <f t="shared" si="429"/>
        <v>36692</v>
      </c>
      <c r="C2142" s="21">
        <f t="shared" si="430"/>
        <v>36697</v>
      </c>
      <c r="D2142" s="1">
        <f t="shared" si="439"/>
        <v>0</v>
      </c>
      <c r="E2142" s="3">
        <f t="array" ref="E2142">INDEX($A$9:A2141, MAX(IF($D$9:D2141=1, ROW(D$9:$D2141)-ROW($D$9)+1, 0)))</f>
        <v>49023</v>
      </c>
      <c r="F2142" s="23">
        <f t="shared" si="431"/>
        <v>8.1724845995893229</v>
      </c>
      <c r="G2142" s="5">
        <f>INDEX('Default Prob'!$P$5:$P$14,MIN(1+_xlfn.IFNA(MATCH(F2142,'Default Prob'!$F$5:$F$14,1),0),COUNT('Default Prob'!$P$5:$P$14)))</f>
        <v>5.8652391073922311E-2</v>
      </c>
      <c r="H2142" s="5">
        <f t="shared" si="440"/>
        <v>0.79860056711777339</v>
      </c>
      <c r="I2142" s="24">
        <f t="shared" si="441"/>
        <v>1.2825077010525376E-4</v>
      </c>
      <c r="J2142" s="25">
        <f>INDEX('Default Prob'!$C$3:$C$13, _xlfn.IFNA(MATCH(F2142, 'Default Prob'!$B$3:$B$13, 1), 1))</f>
        <v>2.4E-2</v>
      </c>
      <c r="K2142" s="26">
        <f t="shared" si="432"/>
        <v>0.82380374701701076</v>
      </c>
      <c r="L2142" s="27">
        <f t="shared" ca="1" si="433"/>
        <v>0</v>
      </c>
      <c r="M2142" s="27">
        <f t="shared" ca="1" si="434"/>
        <v>0</v>
      </c>
      <c r="N2142" s="28">
        <f t="shared" ca="1" si="435"/>
        <v>0</v>
      </c>
      <c r="O2142" s="29">
        <f t="shared" ca="1" si="436"/>
        <v>0</v>
      </c>
      <c r="P2142" s="30">
        <f t="shared" ca="1" si="437"/>
        <v>0</v>
      </c>
    </row>
    <row r="2143" spans="1:16" x14ac:dyDescent="0.25">
      <c r="A2143" s="3">
        <f t="shared" si="438"/>
        <v>49111</v>
      </c>
      <c r="B2143" s="21">
        <f t="shared" si="429"/>
        <v>36693</v>
      </c>
      <c r="C2143" s="21">
        <f t="shared" si="430"/>
        <v>36697</v>
      </c>
      <c r="D2143" s="1">
        <f t="shared" si="439"/>
        <v>0</v>
      </c>
      <c r="E2143" s="3">
        <f t="array" ref="E2143">INDEX($A$9:A2142, MAX(IF($D$9:D2142=1, ROW(D$9:$D2142)-ROW($D$9)+1, 0)))</f>
        <v>49023</v>
      </c>
      <c r="F2143" s="23">
        <f t="shared" si="431"/>
        <v>8.1752224503764541</v>
      </c>
      <c r="G2143" s="5">
        <f>INDEX('Default Prob'!$P$5:$P$14,MIN(1+_xlfn.IFNA(MATCH(F2143,'Default Prob'!$F$5:$F$14,1),0),COUNT('Default Prob'!$P$5:$P$14)))</f>
        <v>5.8652391073922311E-2</v>
      </c>
      <c r="H2143" s="5">
        <f t="shared" si="440"/>
        <v>0.79847233694071518</v>
      </c>
      <c r="I2143" s="24">
        <f t="shared" si="441"/>
        <v>1.2823017705820838E-4</v>
      </c>
      <c r="J2143" s="25">
        <f>INDEX('Default Prob'!$C$3:$C$13, _xlfn.IFNA(MATCH(F2143, 'Default Prob'!$B$3:$B$13, 1), 1))</f>
        <v>2.4E-2</v>
      </c>
      <c r="K2143" s="26">
        <f t="shared" si="432"/>
        <v>0.82375025727247619</v>
      </c>
      <c r="L2143" s="27">
        <f t="shared" ca="1" si="433"/>
        <v>0</v>
      </c>
      <c r="M2143" s="27">
        <f t="shared" ca="1" si="434"/>
        <v>0</v>
      </c>
      <c r="N2143" s="28">
        <f t="shared" ca="1" si="435"/>
        <v>0</v>
      </c>
      <c r="O2143" s="29">
        <f t="shared" ca="1" si="436"/>
        <v>0</v>
      </c>
      <c r="P2143" s="30">
        <f t="shared" ca="1" si="437"/>
        <v>0</v>
      </c>
    </row>
    <row r="2144" spans="1:16" x14ac:dyDescent="0.25">
      <c r="A2144" s="3">
        <f t="shared" si="438"/>
        <v>49114</v>
      </c>
      <c r="B2144" s="21">
        <f t="shared" si="429"/>
        <v>36696</v>
      </c>
      <c r="C2144" s="21">
        <f t="shared" si="430"/>
        <v>36697</v>
      </c>
      <c r="D2144" s="1">
        <f t="shared" si="439"/>
        <v>0</v>
      </c>
      <c r="E2144" s="3">
        <f t="array" ref="E2144">INDEX($A$9:A2143, MAX(IF($D$9:D2143=1, ROW(D$9:$D2143)-ROW($D$9)+1, 0)))</f>
        <v>49023</v>
      </c>
      <c r="F2144" s="23">
        <f t="shared" si="431"/>
        <v>8.1834360027378512</v>
      </c>
      <c r="G2144" s="5">
        <f>INDEX('Default Prob'!$P$5:$P$14,MIN(1+_xlfn.IFNA(MATCH(F2144,'Default Prob'!$F$5:$F$14,1),0),COUNT('Default Prob'!$P$5:$P$14)))</f>
        <v>5.8652391073922311E-2</v>
      </c>
      <c r="H2144" s="5">
        <f t="shared" si="440"/>
        <v>0.7980877699347585</v>
      </c>
      <c r="I2144" s="24">
        <f t="shared" si="441"/>
        <v>3.8456700595668192E-4</v>
      </c>
      <c r="J2144" s="25">
        <f>INDEX('Default Prob'!$C$3:$C$13, _xlfn.IFNA(MATCH(F2144, 'Default Prob'!$B$3:$B$13, 1), 1))</f>
        <v>2.4E-2</v>
      </c>
      <c r="K2144" s="26">
        <f t="shared" si="432"/>
        <v>0.82358980887657052</v>
      </c>
      <c r="L2144" s="27">
        <f t="shared" ca="1" si="433"/>
        <v>0</v>
      </c>
      <c r="M2144" s="27">
        <f t="shared" ca="1" si="434"/>
        <v>0</v>
      </c>
      <c r="N2144" s="28">
        <f t="shared" ca="1" si="435"/>
        <v>0</v>
      </c>
      <c r="O2144" s="29">
        <f t="shared" ca="1" si="436"/>
        <v>0</v>
      </c>
      <c r="P2144" s="30">
        <f t="shared" ca="1" si="437"/>
        <v>0</v>
      </c>
    </row>
    <row r="2145" spans="1:16" x14ac:dyDescent="0.25">
      <c r="A2145" s="3">
        <f t="shared" si="438"/>
        <v>49115</v>
      </c>
      <c r="B2145" s="21">
        <f t="shared" si="429"/>
        <v>36697</v>
      </c>
      <c r="C2145" s="21">
        <f t="shared" si="430"/>
        <v>36697</v>
      </c>
      <c r="D2145" s="1">
        <f t="shared" si="439"/>
        <v>1</v>
      </c>
      <c r="E2145" s="3">
        <f t="array" ref="E2145">INDEX($A$9:A2144, MAX(IF($D$9:D2144=1, ROW(D$9:$D2144)-ROW($D$9)+1, 0)))</f>
        <v>49023</v>
      </c>
      <c r="F2145" s="23">
        <f t="shared" si="431"/>
        <v>8.1861738535249824</v>
      </c>
      <c r="G2145" s="5">
        <f>INDEX('Default Prob'!$P$5:$P$14,MIN(1+_xlfn.IFNA(MATCH(F2145,'Default Prob'!$F$5:$F$14,1),0),COUNT('Default Prob'!$P$5:$P$14)))</f>
        <v>5.8652391073922311E-2</v>
      </c>
      <c r="H2145" s="5">
        <f t="shared" si="440"/>
        <v>0.79795962209682736</v>
      </c>
      <c r="I2145" s="24">
        <f t="shared" si="441"/>
        <v>1.2814783793113627E-4</v>
      </c>
      <c r="J2145" s="25">
        <f>INDEX('Default Prob'!$C$3:$C$13, _xlfn.IFNA(MATCH(F2145, 'Default Prob'!$B$3:$B$13, 1), 1))</f>
        <v>2.4E-2</v>
      </c>
      <c r="K2145" s="26">
        <f t="shared" si="432"/>
        <v>0.82353633302308282</v>
      </c>
      <c r="L2145" s="27">
        <f t="shared" ca="1" si="433"/>
        <v>0</v>
      </c>
      <c r="M2145" s="27">
        <f t="shared" ca="1" si="434"/>
        <v>0</v>
      </c>
      <c r="N2145" s="28">
        <f t="shared" ca="1" si="435"/>
        <v>0</v>
      </c>
      <c r="O2145" s="29">
        <f t="shared" ca="1" si="436"/>
        <v>0</v>
      </c>
      <c r="P2145" s="30">
        <f t="shared" ca="1" si="437"/>
        <v>0</v>
      </c>
    </row>
    <row r="2146" spans="1:16" x14ac:dyDescent="0.25">
      <c r="A2146" s="3">
        <f t="shared" si="438"/>
        <v>49116</v>
      </c>
      <c r="B2146" s="21">
        <f t="shared" si="429"/>
        <v>36698</v>
      </c>
      <c r="C2146" s="21">
        <f t="shared" si="430"/>
        <v>36789</v>
      </c>
      <c r="D2146" s="1">
        <f t="shared" si="439"/>
        <v>0</v>
      </c>
      <c r="E2146" s="3">
        <f t="array" ref="E2146">INDEX($A$9:A2145, MAX(IF($D$9:D2145=1, ROW(D$9:$D2145)-ROW($D$9)+1, 0)))</f>
        <v>49115</v>
      </c>
      <c r="F2146" s="23">
        <f t="shared" si="431"/>
        <v>8.1889117043121153</v>
      </c>
      <c r="G2146" s="5">
        <f>INDEX('Default Prob'!$P$5:$P$14,MIN(1+_xlfn.IFNA(MATCH(F2146,'Default Prob'!$F$5:$F$14,1),0),COUNT('Default Prob'!$P$5:$P$14)))</f>
        <v>5.8652391073922311E-2</v>
      </c>
      <c r="H2146" s="5">
        <f t="shared" si="440"/>
        <v>0.79783149483541538</v>
      </c>
      <c r="I2146" s="24">
        <f t="shared" si="441"/>
        <v>1.2812726141198105E-4</v>
      </c>
      <c r="J2146" s="25">
        <f>INDEX('Default Prob'!$C$3:$C$13, _xlfn.IFNA(MATCH(F2146, 'Default Prob'!$B$3:$B$13, 1), 1))</f>
        <v>2.4E-2</v>
      </c>
      <c r="K2146" s="26">
        <f t="shared" si="432"/>
        <v>0.82348286064179321</v>
      </c>
      <c r="L2146" s="27">
        <f t="shared" ca="1" si="433"/>
        <v>0</v>
      </c>
      <c r="M2146" s="27">
        <f t="shared" ca="1" si="434"/>
        <v>0</v>
      </c>
      <c r="N2146" s="28">
        <f t="shared" ca="1" si="435"/>
        <v>0</v>
      </c>
      <c r="O2146" s="29">
        <f t="shared" ca="1" si="436"/>
        <v>0</v>
      </c>
      <c r="P2146" s="30">
        <f t="shared" ca="1" si="437"/>
        <v>0</v>
      </c>
    </row>
    <row r="2147" spans="1:16" x14ac:dyDescent="0.25">
      <c r="A2147" s="3">
        <f t="shared" si="438"/>
        <v>49117</v>
      </c>
      <c r="B2147" s="21">
        <f t="shared" si="429"/>
        <v>36699</v>
      </c>
      <c r="C2147" s="21">
        <f t="shared" si="430"/>
        <v>36789</v>
      </c>
      <c r="D2147" s="1">
        <f t="shared" si="439"/>
        <v>0</v>
      </c>
      <c r="E2147" s="3">
        <f t="array" ref="E2147">INDEX($A$9:A2146, MAX(IF($D$9:D2146=1, ROW(D$9:$D2146)-ROW($D$9)+1, 0)))</f>
        <v>49115</v>
      </c>
      <c r="F2147" s="23">
        <f t="shared" si="431"/>
        <v>8.1916495550992465</v>
      </c>
      <c r="G2147" s="5">
        <f>INDEX('Default Prob'!$P$5:$P$14,MIN(1+_xlfn.IFNA(MATCH(F2147,'Default Prob'!$F$5:$F$14,1),0),COUNT('Default Prob'!$P$5:$P$14)))</f>
        <v>5.8652391073922311E-2</v>
      </c>
      <c r="H2147" s="5">
        <f t="shared" si="440"/>
        <v>0.79770338814721875</v>
      </c>
      <c r="I2147" s="24">
        <f t="shared" si="441"/>
        <v>1.2810668819662752E-4</v>
      </c>
      <c r="J2147" s="25">
        <f>INDEX('Default Prob'!$C$3:$C$13, _xlfn.IFNA(MATCH(F2147, 'Default Prob'!$B$3:$B$13, 1), 1))</f>
        <v>2.4E-2</v>
      </c>
      <c r="K2147" s="26">
        <f t="shared" si="432"/>
        <v>0.8234293917324762</v>
      </c>
      <c r="L2147" s="27">
        <f t="shared" ca="1" si="433"/>
        <v>0</v>
      </c>
      <c r="M2147" s="27">
        <f t="shared" ca="1" si="434"/>
        <v>0</v>
      </c>
      <c r="N2147" s="28">
        <f t="shared" ca="1" si="435"/>
        <v>0</v>
      </c>
      <c r="O2147" s="29">
        <f t="shared" ca="1" si="436"/>
        <v>0</v>
      </c>
      <c r="P2147" s="30">
        <f t="shared" ca="1" si="437"/>
        <v>0</v>
      </c>
    </row>
    <row r="2148" spans="1:16" x14ac:dyDescent="0.25">
      <c r="A2148" s="3">
        <f t="shared" si="438"/>
        <v>49118</v>
      </c>
      <c r="B2148" s="21">
        <f t="shared" si="429"/>
        <v>36700</v>
      </c>
      <c r="C2148" s="21">
        <f t="shared" si="430"/>
        <v>36789</v>
      </c>
      <c r="D2148" s="1">
        <f t="shared" si="439"/>
        <v>0</v>
      </c>
      <c r="E2148" s="3">
        <f t="array" ref="E2148">INDEX($A$9:A2147, MAX(IF($D$9:D2147=1, ROW(D$9:$D2147)-ROW($D$9)+1, 0)))</f>
        <v>49115</v>
      </c>
      <c r="F2148" s="23">
        <f t="shared" si="431"/>
        <v>8.1943874058863795</v>
      </c>
      <c r="G2148" s="5">
        <f>INDEX('Default Prob'!$P$5:$P$14,MIN(1+_xlfn.IFNA(MATCH(F2148,'Default Prob'!$F$5:$F$14,1),0),COUNT('Default Prob'!$P$5:$P$14)))</f>
        <v>5.8652391073922311E-2</v>
      </c>
      <c r="H2148" s="5">
        <f t="shared" si="440"/>
        <v>0.7975753020289339</v>
      </c>
      <c r="I2148" s="24">
        <f t="shared" si="441"/>
        <v>1.2808611828485361E-4</v>
      </c>
      <c r="J2148" s="25">
        <f>INDEX('Default Prob'!$C$3:$C$13, _xlfn.IFNA(MATCH(F2148, 'Default Prob'!$B$3:$B$13, 1), 1))</f>
        <v>2.4E-2</v>
      </c>
      <c r="K2148" s="26">
        <f t="shared" si="432"/>
        <v>0.8233759262949063</v>
      </c>
      <c r="L2148" s="27">
        <f t="shared" ca="1" si="433"/>
        <v>0</v>
      </c>
      <c r="M2148" s="27">
        <f t="shared" ca="1" si="434"/>
        <v>0</v>
      </c>
      <c r="N2148" s="28">
        <f t="shared" ca="1" si="435"/>
        <v>0</v>
      </c>
      <c r="O2148" s="29">
        <f t="shared" ca="1" si="436"/>
        <v>0</v>
      </c>
      <c r="P2148" s="30">
        <f t="shared" ca="1" si="437"/>
        <v>0</v>
      </c>
    </row>
    <row r="2149" spans="1:16" x14ac:dyDescent="0.25">
      <c r="A2149" s="3">
        <f t="shared" si="438"/>
        <v>49121</v>
      </c>
      <c r="B2149" s="21">
        <f t="shared" si="429"/>
        <v>36703</v>
      </c>
      <c r="C2149" s="21">
        <f t="shared" si="430"/>
        <v>36789</v>
      </c>
      <c r="D2149" s="1">
        <f t="shared" si="439"/>
        <v>0</v>
      </c>
      <c r="E2149" s="3">
        <f t="array" ref="E2149">INDEX($A$9:A2148, MAX(IF($D$9:D2148=1, ROW(D$9:$D2148)-ROW($D$9)+1, 0)))</f>
        <v>49115</v>
      </c>
      <c r="F2149" s="23">
        <f t="shared" si="431"/>
        <v>8.2026009582477748</v>
      </c>
      <c r="G2149" s="5">
        <f>INDEX('Default Prob'!$P$5:$P$14,MIN(1+_xlfn.IFNA(MATCH(F2149,'Default Prob'!$F$5:$F$14,1),0),COUNT('Default Prob'!$P$5:$P$14)))</f>
        <v>5.8652391073922311E-2</v>
      </c>
      <c r="H2149" s="5">
        <f t="shared" si="440"/>
        <v>0.79719116706052484</v>
      </c>
      <c r="I2149" s="24">
        <f t="shared" si="441"/>
        <v>3.8413496840905559E-4</v>
      </c>
      <c r="J2149" s="25">
        <f>INDEX('Default Prob'!$C$3:$C$13, _xlfn.IFNA(MATCH(F2149, 'Default Prob'!$B$3:$B$13, 1), 1))</f>
        <v>2.4E-2</v>
      </c>
      <c r="K2149" s="26">
        <f t="shared" si="432"/>
        <v>0.8232155508104253</v>
      </c>
      <c r="L2149" s="27">
        <f t="shared" ca="1" si="433"/>
        <v>0</v>
      </c>
      <c r="M2149" s="27">
        <f t="shared" ca="1" si="434"/>
        <v>0</v>
      </c>
      <c r="N2149" s="28">
        <f t="shared" ca="1" si="435"/>
        <v>0</v>
      </c>
      <c r="O2149" s="29">
        <f t="shared" ca="1" si="436"/>
        <v>0</v>
      </c>
      <c r="P2149" s="30">
        <f t="shared" ca="1" si="437"/>
        <v>0</v>
      </c>
    </row>
    <row r="2150" spans="1:16" x14ac:dyDescent="0.25">
      <c r="A2150" s="3">
        <f t="shared" si="438"/>
        <v>49122</v>
      </c>
      <c r="B2150" s="21">
        <f t="shared" si="429"/>
        <v>36704</v>
      </c>
      <c r="C2150" s="21">
        <f t="shared" si="430"/>
        <v>36789</v>
      </c>
      <c r="D2150" s="1">
        <f t="shared" si="439"/>
        <v>0</v>
      </c>
      <c r="E2150" s="3">
        <f t="array" ref="E2150">INDEX($A$9:A2149, MAX(IF($D$9:D2149=1, ROW(D$9:$D2149)-ROW($D$9)+1, 0)))</f>
        <v>49115</v>
      </c>
      <c r="F2150" s="23">
        <f t="shared" si="431"/>
        <v>8.2053388090349078</v>
      </c>
      <c r="G2150" s="5">
        <f>INDEX('Default Prob'!$P$5:$P$14,MIN(1+_xlfn.IFNA(MATCH(F2150,'Default Prob'!$F$5:$F$14,1),0),COUNT('Default Prob'!$P$5:$P$14)))</f>
        <v>5.8652391073922311E-2</v>
      </c>
      <c r="H2150" s="5">
        <f t="shared" si="440"/>
        <v>0.79706316318886417</v>
      </c>
      <c r="I2150" s="24">
        <f t="shared" si="441"/>
        <v>1.2800387166067573E-4</v>
      </c>
      <c r="J2150" s="25">
        <f>INDEX('Default Prob'!$C$3:$C$13, _xlfn.IFNA(MATCH(F2150, 'Default Prob'!$B$3:$B$13, 1), 1))</f>
        <v>2.4E-2</v>
      </c>
      <c r="K2150" s="26">
        <f t="shared" si="432"/>
        <v>0.82316209925758976</v>
      </c>
      <c r="L2150" s="27">
        <f t="shared" ca="1" si="433"/>
        <v>0</v>
      </c>
      <c r="M2150" s="27">
        <f t="shared" ca="1" si="434"/>
        <v>0</v>
      </c>
      <c r="N2150" s="28">
        <f t="shared" ca="1" si="435"/>
        <v>0</v>
      </c>
      <c r="O2150" s="29">
        <f t="shared" ca="1" si="436"/>
        <v>0</v>
      </c>
      <c r="P2150" s="30">
        <f t="shared" ca="1" si="437"/>
        <v>0</v>
      </c>
    </row>
    <row r="2151" spans="1:16" x14ac:dyDescent="0.25">
      <c r="A2151" s="3">
        <f t="shared" si="438"/>
        <v>49123</v>
      </c>
      <c r="B2151" s="21">
        <f t="shared" si="429"/>
        <v>36705</v>
      </c>
      <c r="C2151" s="21">
        <f t="shared" si="430"/>
        <v>36789</v>
      </c>
      <c r="D2151" s="1">
        <f t="shared" si="439"/>
        <v>0</v>
      </c>
      <c r="E2151" s="3">
        <f t="array" ref="E2151">INDEX($A$9:A2150, MAX(IF($D$9:D2150=1, ROW(D$9:$D2150)-ROW($D$9)+1, 0)))</f>
        <v>49115</v>
      </c>
      <c r="F2151" s="23">
        <f t="shared" si="431"/>
        <v>8.2080766598220389</v>
      </c>
      <c r="G2151" s="5">
        <f>INDEX('Default Prob'!$P$5:$P$14,MIN(1+_xlfn.IFNA(MATCH(F2151,'Default Prob'!$F$5:$F$14,1),0),COUNT('Default Prob'!$P$5:$P$14)))</f>
        <v>5.8652391073922311E-2</v>
      </c>
      <c r="H2151" s="5">
        <f t="shared" si="440"/>
        <v>0.79693517987060636</v>
      </c>
      <c r="I2151" s="24">
        <f t="shared" si="441"/>
        <v>1.2798331825780718E-4</v>
      </c>
      <c r="J2151" s="25">
        <f>INDEX('Default Prob'!$C$3:$C$13, _xlfn.IFNA(MATCH(F2151, 'Default Prob'!$B$3:$B$13, 1), 1))</f>
        <v>2.4E-2</v>
      </c>
      <c r="K2151" s="26">
        <f t="shared" si="432"/>
        <v>0.82310865117537468</v>
      </c>
      <c r="L2151" s="27">
        <f t="shared" ca="1" si="433"/>
        <v>0</v>
      </c>
      <c r="M2151" s="27">
        <f t="shared" ca="1" si="434"/>
        <v>0</v>
      </c>
      <c r="N2151" s="28">
        <f t="shared" ca="1" si="435"/>
        <v>0</v>
      </c>
      <c r="O2151" s="29">
        <f t="shared" ca="1" si="436"/>
        <v>0</v>
      </c>
      <c r="P2151" s="30">
        <f t="shared" ca="1" si="437"/>
        <v>0</v>
      </c>
    </row>
    <row r="2152" spans="1:16" x14ac:dyDescent="0.25">
      <c r="A2152" s="3">
        <f t="shared" si="438"/>
        <v>49124</v>
      </c>
      <c r="B2152" s="21">
        <f t="shared" si="429"/>
        <v>36706</v>
      </c>
      <c r="C2152" s="21">
        <f t="shared" si="430"/>
        <v>36789</v>
      </c>
      <c r="D2152" s="1">
        <f t="shared" si="439"/>
        <v>0</v>
      </c>
      <c r="E2152" s="3">
        <f t="array" ref="E2152">INDEX($A$9:A2151, MAX(IF($D$9:D2151=1, ROW(D$9:$D2151)-ROW($D$9)+1, 0)))</f>
        <v>49115</v>
      </c>
      <c r="F2152" s="23">
        <f t="shared" si="431"/>
        <v>8.2108145106091719</v>
      </c>
      <c r="G2152" s="5">
        <f>INDEX('Default Prob'!$P$5:$P$14,MIN(1+_xlfn.IFNA(MATCH(F2152,'Default Prob'!$F$5:$F$14,1),0),COUNT('Default Prob'!$P$5:$P$14)))</f>
        <v>5.8652391073922311E-2</v>
      </c>
      <c r="H2152" s="5">
        <f t="shared" si="440"/>
        <v>0.79680721710245095</v>
      </c>
      <c r="I2152" s="24">
        <f t="shared" si="441"/>
        <v>1.2796276815540963E-4</v>
      </c>
      <c r="J2152" s="25">
        <f>INDEX('Default Prob'!$C$3:$C$13, _xlfn.IFNA(MATCH(F2152, 'Default Prob'!$B$3:$B$13, 1), 1))</f>
        <v>2.4E-2</v>
      </c>
      <c r="K2152" s="26">
        <f t="shared" si="432"/>
        <v>0.82305520656355424</v>
      </c>
      <c r="L2152" s="27">
        <f t="shared" ca="1" si="433"/>
        <v>0</v>
      </c>
      <c r="M2152" s="27">
        <f t="shared" ca="1" si="434"/>
        <v>0</v>
      </c>
      <c r="N2152" s="28">
        <f t="shared" ca="1" si="435"/>
        <v>0</v>
      </c>
      <c r="O2152" s="29">
        <f t="shared" ca="1" si="436"/>
        <v>0</v>
      </c>
      <c r="P2152" s="30">
        <f t="shared" ca="1" si="437"/>
        <v>0</v>
      </c>
    </row>
    <row r="2153" spans="1:16" x14ac:dyDescent="0.25">
      <c r="A2153" s="3">
        <f t="shared" si="438"/>
        <v>49125</v>
      </c>
      <c r="B2153" s="21">
        <f t="shared" si="429"/>
        <v>36707</v>
      </c>
      <c r="C2153" s="21">
        <f t="shared" si="430"/>
        <v>36789</v>
      </c>
      <c r="D2153" s="1">
        <f t="shared" si="439"/>
        <v>0</v>
      </c>
      <c r="E2153" s="3">
        <f t="array" ref="E2153">INDEX($A$9:A2152, MAX(IF($D$9:D2152=1, ROW(D$9:$D2152)-ROW($D$9)+1, 0)))</f>
        <v>49115</v>
      </c>
      <c r="F2153" s="23">
        <f t="shared" si="431"/>
        <v>8.2135523613963031</v>
      </c>
      <c r="G2153" s="5">
        <f>INDEX('Default Prob'!$P$5:$P$14,MIN(1+_xlfn.IFNA(MATCH(F2153,'Default Prob'!$F$5:$F$14,1),0),COUNT('Default Prob'!$P$5:$P$14)))</f>
        <v>5.8652391073922311E-2</v>
      </c>
      <c r="H2153" s="5">
        <f t="shared" si="440"/>
        <v>0.79667927488109858</v>
      </c>
      <c r="I2153" s="24">
        <f t="shared" si="441"/>
        <v>1.2794222135237288E-4</v>
      </c>
      <c r="J2153" s="25">
        <f>INDEX('Default Prob'!$C$3:$C$13, _xlfn.IFNA(MATCH(F2153, 'Default Prob'!$B$3:$B$13, 1), 1))</f>
        <v>2.4E-2</v>
      </c>
      <c r="K2153" s="26">
        <f t="shared" si="432"/>
        <v>0.82300176542190329</v>
      </c>
      <c r="L2153" s="27">
        <f t="shared" ca="1" si="433"/>
        <v>0</v>
      </c>
      <c r="M2153" s="27">
        <f t="shared" ca="1" si="434"/>
        <v>0</v>
      </c>
      <c r="N2153" s="28">
        <f t="shared" ca="1" si="435"/>
        <v>0</v>
      </c>
      <c r="O2153" s="29">
        <f t="shared" ca="1" si="436"/>
        <v>0</v>
      </c>
      <c r="P2153" s="30">
        <f t="shared" ca="1" si="437"/>
        <v>0</v>
      </c>
    </row>
    <row r="2154" spans="1:16" x14ac:dyDescent="0.25">
      <c r="A2154" s="3">
        <f t="shared" si="438"/>
        <v>49128</v>
      </c>
      <c r="B2154" s="21">
        <f t="shared" si="429"/>
        <v>36710</v>
      </c>
      <c r="C2154" s="21">
        <f t="shared" si="430"/>
        <v>36789</v>
      </c>
      <c r="D2154" s="1">
        <f t="shared" si="439"/>
        <v>0</v>
      </c>
      <c r="E2154" s="3">
        <f t="array" ref="E2154">INDEX($A$9:A2153, MAX(IF($D$9:D2153=1, ROW(D$9:$D2153)-ROW($D$9)+1, 0)))</f>
        <v>49115</v>
      </c>
      <c r="F2154" s="23">
        <f t="shared" si="431"/>
        <v>8.2217659137577002</v>
      </c>
      <c r="G2154" s="5">
        <f>INDEX('Default Prob'!$P$5:$P$14,MIN(1+_xlfn.IFNA(MATCH(F2154,'Default Prob'!$F$5:$F$14,1),0),COUNT('Default Prob'!$P$5:$P$14)))</f>
        <v>5.8652391073922311E-2</v>
      </c>
      <c r="H2154" s="5">
        <f t="shared" si="440"/>
        <v>0.79629557146486918</v>
      </c>
      <c r="I2154" s="24">
        <f t="shared" si="441"/>
        <v>3.837034162293973E-4</v>
      </c>
      <c r="J2154" s="25">
        <f>INDEX('Default Prob'!$C$3:$C$13, _xlfn.IFNA(MATCH(F2154, 'Default Prob'!$B$3:$B$13, 1), 1))</f>
        <v>2.4E-2</v>
      </c>
      <c r="K2154" s="26">
        <f t="shared" si="432"/>
        <v>0.82284146281571435</v>
      </c>
      <c r="L2154" s="27">
        <f t="shared" ca="1" si="433"/>
        <v>0</v>
      </c>
      <c r="M2154" s="27">
        <f t="shared" ca="1" si="434"/>
        <v>0</v>
      </c>
      <c r="N2154" s="28">
        <f t="shared" ca="1" si="435"/>
        <v>0</v>
      </c>
      <c r="O2154" s="29">
        <f t="shared" ca="1" si="436"/>
        <v>0</v>
      </c>
      <c r="P2154" s="30">
        <f t="shared" ca="1" si="437"/>
        <v>0</v>
      </c>
    </row>
    <row r="2155" spans="1:16" x14ac:dyDescent="0.25">
      <c r="A2155" s="3">
        <f t="shared" si="438"/>
        <v>49129</v>
      </c>
      <c r="B2155" s="21">
        <f t="shared" si="429"/>
        <v>36711</v>
      </c>
      <c r="C2155" s="21">
        <f t="shared" si="430"/>
        <v>36789</v>
      </c>
      <c r="D2155" s="1">
        <f t="shared" si="439"/>
        <v>0</v>
      </c>
      <c r="E2155" s="3">
        <f t="array" ref="E2155">INDEX($A$9:A2154, MAX(IF($D$9:D2154=1, ROW(D$9:$D2154)-ROW($D$9)+1, 0)))</f>
        <v>49115</v>
      </c>
      <c r="F2155" s="23">
        <f t="shared" si="431"/>
        <v>8.2245037645448331</v>
      </c>
      <c r="G2155" s="5">
        <f>INDEX('Default Prob'!$P$5:$P$14,MIN(1+_xlfn.IFNA(MATCH(F2155,'Default Prob'!$F$5:$F$14,1),0),COUNT('Default Prob'!$P$5:$P$14)))</f>
        <v>5.8652391073922311E-2</v>
      </c>
      <c r="H2155" s="5">
        <f t="shared" si="440"/>
        <v>0.79616771139774167</v>
      </c>
      <c r="I2155" s="24">
        <f t="shared" si="441"/>
        <v>1.2786006712750542E-4</v>
      </c>
      <c r="J2155" s="25">
        <f>INDEX('Default Prob'!$C$3:$C$13, _xlfn.IFNA(MATCH(F2155, 'Default Prob'!$B$3:$B$13, 1), 1))</f>
        <v>2.4E-2</v>
      </c>
      <c r="K2155" s="26">
        <f t="shared" si="432"/>
        <v>0.82278803555248836</v>
      </c>
      <c r="L2155" s="27">
        <f t="shared" ca="1" si="433"/>
        <v>0</v>
      </c>
      <c r="M2155" s="27">
        <f t="shared" ca="1" si="434"/>
        <v>0</v>
      </c>
      <c r="N2155" s="28">
        <f t="shared" ca="1" si="435"/>
        <v>0</v>
      </c>
      <c r="O2155" s="29">
        <f t="shared" ca="1" si="436"/>
        <v>0</v>
      </c>
      <c r="P2155" s="30">
        <f t="shared" ca="1" si="437"/>
        <v>0</v>
      </c>
    </row>
    <row r="2156" spans="1:16" x14ac:dyDescent="0.25">
      <c r="A2156" s="3">
        <f t="shared" si="438"/>
        <v>49130</v>
      </c>
      <c r="B2156" s="21">
        <f t="shared" si="429"/>
        <v>36712</v>
      </c>
      <c r="C2156" s="21">
        <f t="shared" si="430"/>
        <v>36789</v>
      </c>
      <c r="D2156" s="1">
        <f t="shared" si="439"/>
        <v>0</v>
      </c>
      <c r="E2156" s="3">
        <f t="array" ref="E2156">INDEX($A$9:A2155, MAX(IF($D$9:D2155=1, ROW(D$9:$D2155)-ROW($D$9)+1, 0)))</f>
        <v>49115</v>
      </c>
      <c r="F2156" s="23">
        <f t="shared" si="431"/>
        <v>8.2272416153319643</v>
      </c>
      <c r="G2156" s="5">
        <f>INDEX('Default Prob'!$P$5:$P$14,MIN(1+_xlfn.IFNA(MATCH(F2156,'Default Prob'!$F$5:$F$14,1),0),COUNT('Default Prob'!$P$5:$P$14)))</f>
        <v>5.8652391073922311E-2</v>
      </c>
      <c r="H2156" s="5">
        <f t="shared" si="440"/>
        <v>0.79603987186092662</v>
      </c>
      <c r="I2156" s="24">
        <f t="shared" si="441"/>
        <v>1.2783953681505533E-4</v>
      </c>
      <c r="J2156" s="25">
        <f>INDEX('Default Prob'!$C$3:$C$13, _xlfn.IFNA(MATCH(F2156, 'Default Prob'!$B$3:$B$13, 1), 1))</f>
        <v>2.4E-2</v>
      </c>
      <c r="K2156" s="26">
        <f t="shared" si="432"/>
        <v>0.82273461175830553</v>
      </c>
      <c r="L2156" s="27">
        <f t="shared" ca="1" si="433"/>
        <v>0</v>
      </c>
      <c r="M2156" s="27">
        <f t="shared" ca="1" si="434"/>
        <v>0</v>
      </c>
      <c r="N2156" s="28">
        <f t="shared" ca="1" si="435"/>
        <v>0</v>
      </c>
      <c r="O2156" s="29">
        <f t="shared" ca="1" si="436"/>
        <v>0</v>
      </c>
      <c r="P2156" s="30">
        <f t="shared" ca="1" si="437"/>
        <v>0</v>
      </c>
    </row>
    <row r="2157" spans="1:16" x14ac:dyDescent="0.25">
      <c r="A2157" s="3">
        <f t="shared" si="438"/>
        <v>49131</v>
      </c>
      <c r="B2157" s="21">
        <f t="shared" si="429"/>
        <v>36713</v>
      </c>
      <c r="C2157" s="21">
        <f t="shared" si="430"/>
        <v>36789</v>
      </c>
      <c r="D2157" s="1">
        <f t="shared" si="439"/>
        <v>0</v>
      </c>
      <c r="E2157" s="3">
        <f t="array" ref="E2157">INDEX($A$9:A2156, MAX(IF($D$9:D2156=1, ROW(D$9:$D2156)-ROW($D$9)+1, 0)))</f>
        <v>49115</v>
      </c>
      <c r="F2157" s="23">
        <f t="shared" si="431"/>
        <v>8.2299794661190973</v>
      </c>
      <c r="G2157" s="5">
        <f>INDEX('Default Prob'!$P$5:$P$14,MIN(1+_xlfn.IFNA(MATCH(F2157,'Default Prob'!$F$5:$F$14,1),0),COUNT('Default Prob'!$P$5:$P$14)))</f>
        <v>5.8652391073922311E-2</v>
      </c>
      <c r="H2157" s="5">
        <f t="shared" si="440"/>
        <v>0.79591205285112721</v>
      </c>
      <c r="I2157" s="24">
        <f t="shared" si="441"/>
        <v>1.2781900979941252E-4</v>
      </c>
      <c r="J2157" s="25">
        <f>INDEX('Default Prob'!$C$3:$C$13, _xlfn.IFNA(MATCH(F2157, 'Default Prob'!$B$3:$B$13, 1), 1))</f>
        <v>2.4E-2</v>
      </c>
      <c r="K2157" s="26">
        <f t="shared" si="432"/>
        <v>0.82268119143294038</v>
      </c>
      <c r="L2157" s="27">
        <f t="shared" ca="1" si="433"/>
        <v>0</v>
      </c>
      <c r="M2157" s="27">
        <f t="shared" ca="1" si="434"/>
        <v>0</v>
      </c>
      <c r="N2157" s="28">
        <f t="shared" ca="1" si="435"/>
        <v>0</v>
      </c>
      <c r="O2157" s="29">
        <f t="shared" ca="1" si="436"/>
        <v>0</v>
      </c>
      <c r="P2157" s="30">
        <f t="shared" ca="1" si="437"/>
        <v>0</v>
      </c>
    </row>
    <row r="2158" spans="1:16" x14ac:dyDescent="0.25">
      <c r="A2158" s="3">
        <f t="shared" si="438"/>
        <v>49132</v>
      </c>
      <c r="B2158" s="21">
        <f t="shared" si="429"/>
        <v>36714</v>
      </c>
      <c r="C2158" s="21">
        <f t="shared" si="430"/>
        <v>36789</v>
      </c>
      <c r="D2158" s="1">
        <f t="shared" si="439"/>
        <v>0</v>
      </c>
      <c r="E2158" s="3">
        <f t="array" ref="E2158">INDEX($A$9:A2157, MAX(IF($D$9:D2157=1, ROW(D$9:$D2157)-ROW($D$9)+1, 0)))</f>
        <v>49115</v>
      </c>
      <c r="F2158" s="23">
        <f t="shared" si="431"/>
        <v>8.2327173169062284</v>
      </c>
      <c r="G2158" s="5">
        <f>INDEX('Default Prob'!$P$5:$P$14,MIN(1+_xlfn.IFNA(MATCH(F2158,'Default Prob'!$F$5:$F$14,1),0),COUNT('Default Prob'!$P$5:$P$14)))</f>
        <v>5.8652391073922311E-2</v>
      </c>
      <c r="H2158" s="5">
        <f t="shared" si="440"/>
        <v>0.79578425436504763</v>
      </c>
      <c r="I2158" s="24">
        <f t="shared" si="441"/>
        <v>1.2779848607957778E-4</v>
      </c>
      <c r="J2158" s="25">
        <f>INDEX('Default Prob'!$C$3:$C$13, _xlfn.IFNA(MATCH(F2158, 'Default Prob'!$B$3:$B$13, 1), 1))</f>
        <v>2.4E-2</v>
      </c>
      <c r="K2158" s="26">
        <f t="shared" si="432"/>
        <v>0.82262777457616787</v>
      </c>
      <c r="L2158" s="27">
        <f t="shared" ca="1" si="433"/>
        <v>0</v>
      </c>
      <c r="M2158" s="27">
        <f t="shared" ca="1" si="434"/>
        <v>0</v>
      </c>
      <c r="N2158" s="28">
        <f t="shared" ca="1" si="435"/>
        <v>0</v>
      </c>
      <c r="O2158" s="29">
        <f t="shared" ca="1" si="436"/>
        <v>0</v>
      </c>
      <c r="P2158" s="30">
        <f t="shared" ca="1" si="437"/>
        <v>0</v>
      </c>
    </row>
    <row r="2159" spans="1:16" x14ac:dyDescent="0.25">
      <c r="A2159" s="3">
        <f t="shared" si="438"/>
        <v>49135</v>
      </c>
      <c r="B2159" s="21">
        <f t="shared" si="429"/>
        <v>36717</v>
      </c>
      <c r="C2159" s="21">
        <f t="shared" si="430"/>
        <v>36789</v>
      </c>
      <c r="D2159" s="1">
        <f t="shared" si="439"/>
        <v>0</v>
      </c>
      <c r="E2159" s="3">
        <f t="array" ref="E2159">INDEX($A$9:A2158, MAX(IF($D$9:D2158=1, ROW(D$9:$D2158)-ROW($D$9)+1, 0)))</f>
        <v>49115</v>
      </c>
      <c r="F2159" s="23">
        <f t="shared" si="431"/>
        <v>8.2409308692676255</v>
      </c>
      <c r="G2159" s="5">
        <f>INDEX('Default Prob'!$P$5:$P$14,MIN(1+_xlfn.IFNA(MATCH(F2159,'Default Prob'!$F$5:$F$14,1),0),COUNT('Default Prob'!$P$5:$P$14)))</f>
        <v>5.8652391073922311E-2</v>
      </c>
      <c r="H2159" s="5">
        <f t="shared" si="440"/>
        <v>0.79540098201617548</v>
      </c>
      <c r="I2159" s="24">
        <f t="shared" si="441"/>
        <v>3.8327234887214345E-4</v>
      </c>
      <c r="J2159" s="25">
        <f>INDEX('Default Prob'!$C$3:$C$13, _xlfn.IFNA(MATCH(F2159, 'Default Prob'!$B$3:$B$13, 1), 1))</f>
        <v>2.4E-2</v>
      </c>
      <c r="K2159" s="26">
        <f t="shared" si="432"/>
        <v>0.8224675448151535</v>
      </c>
      <c r="L2159" s="27">
        <f t="shared" ca="1" si="433"/>
        <v>0</v>
      </c>
      <c r="M2159" s="27">
        <f t="shared" ca="1" si="434"/>
        <v>0</v>
      </c>
      <c r="N2159" s="28">
        <f t="shared" ca="1" si="435"/>
        <v>0</v>
      </c>
      <c r="O2159" s="29">
        <f t="shared" ca="1" si="436"/>
        <v>0</v>
      </c>
      <c r="P2159" s="30">
        <f t="shared" ca="1" si="437"/>
        <v>0</v>
      </c>
    </row>
    <row r="2160" spans="1:16" x14ac:dyDescent="0.25">
      <c r="A2160" s="3">
        <f t="shared" si="438"/>
        <v>49136</v>
      </c>
      <c r="B2160" s="21">
        <f t="shared" si="429"/>
        <v>36718</v>
      </c>
      <c r="C2160" s="21">
        <f t="shared" si="430"/>
        <v>36789</v>
      </c>
      <c r="D2160" s="1">
        <f t="shared" si="439"/>
        <v>0</v>
      </c>
      <c r="E2160" s="3">
        <f t="array" ref="E2160">INDEX($A$9:A2159, MAX(IF($D$9:D2159=1, ROW(D$9:$D2159)-ROW($D$9)+1, 0)))</f>
        <v>49115</v>
      </c>
      <c r="F2160" s="23">
        <f t="shared" si="431"/>
        <v>8.2436687200547567</v>
      </c>
      <c r="G2160" s="5">
        <f>INDEX('Default Prob'!$P$5:$P$14,MIN(1+_xlfn.IFNA(MATCH(F2160,'Default Prob'!$F$5:$F$14,1),0),COUNT('Default Prob'!$P$5:$P$14)))</f>
        <v>5.8652391073922311E-2</v>
      </c>
      <c r="H2160" s="5">
        <f t="shared" si="440"/>
        <v>0.79527326559202571</v>
      </c>
      <c r="I2160" s="24">
        <f t="shared" si="441"/>
        <v>1.277164241497708E-4</v>
      </c>
      <c r="J2160" s="25">
        <f>INDEX('Default Prob'!$C$3:$C$13, _xlfn.IFNA(MATCH(F2160, 'Default Prob'!$B$3:$B$13, 1), 1))</f>
        <v>2.4E-2</v>
      </c>
      <c r="K2160" s="26">
        <f t="shared" si="432"/>
        <v>0.82241414183049921</v>
      </c>
      <c r="L2160" s="27">
        <f t="shared" ca="1" si="433"/>
        <v>0</v>
      </c>
      <c r="M2160" s="27">
        <f t="shared" ca="1" si="434"/>
        <v>0</v>
      </c>
      <c r="N2160" s="28">
        <f t="shared" ca="1" si="435"/>
        <v>0</v>
      </c>
      <c r="O2160" s="29">
        <f t="shared" ca="1" si="436"/>
        <v>0</v>
      </c>
      <c r="P2160" s="30">
        <f t="shared" ca="1" si="437"/>
        <v>0</v>
      </c>
    </row>
    <row r="2161" spans="1:16" x14ac:dyDescent="0.25">
      <c r="A2161" s="3">
        <f t="shared" si="438"/>
        <v>49137</v>
      </c>
      <c r="B2161" s="21">
        <f t="shared" si="429"/>
        <v>36719</v>
      </c>
      <c r="C2161" s="21">
        <f t="shared" si="430"/>
        <v>36789</v>
      </c>
      <c r="D2161" s="1">
        <f t="shared" si="439"/>
        <v>0</v>
      </c>
      <c r="E2161" s="3">
        <f t="array" ref="E2161">INDEX($A$9:A2160, MAX(IF($D$9:D2160=1, ROW(D$9:$D2160)-ROW($D$9)+1, 0)))</f>
        <v>49115</v>
      </c>
      <c r="F2161" s="23">
        <f t="shared" si="431"/>
        <v>8.2464065708418897</v>
      </c>
      <c r="G2161" s="5">
        <f>INDEX('Default Prob'!$P$5:$P$14,MIN(1+_xlfn.IFNA(MATCH(F2161,'Default Prob'!$F$5:$F$14,1),0),COUNT('Default Prob'!$P$5:$P$14)))</f>
        <v>5.8652391073922311E-2</v>
      </c>
      <c r="H2161" s="5">
        <f t="shared" si="440"/>
        <v>0.79514556967512362</v>
      </c>
      <c r="I2161" s="24">
        <f t="shared" si="441"/>
        <v>1.2769591690209303E-4</v>
      </c>
      <c r="J2161" s="25">
        <f>INDEX('Default Prob'!$C$3:$C$13, _xlfn.IFNA(MATCH(F2161, 'Default Prob'!$B$3:$B$13, 1), 1))</f>
        <v>2.4E-2</v>
      </c>
      <c r="K2161" s="26">
        <f t="shared" si="432"/>
        <v>0.82236074231331147</v>
      </c>
      <c r="L2161" s="27">
        <f t="shared" ca="1" si="433"/>
        <v>0</v>
      </c>
      <c r="M2161" s="27">
        <f t="shared" ca="1" si="434"/>
        <v>0</v>
      </c>
      <c r="N2161" s="28">
        <f t="shared" ca="1" si="435"/>
        <v>0</v>
      </c>
      <c r="O2161" s="29">
        <f t="shared" ca="1" si="436"/>
        <v>0</v>
      </c>
      <c r="P2161" s="30">
        <f t="shared" ca="1" si="437"/>
        <v>0</v>
      </c>
    </row>
    <row r="2162" spans="1:16" x14ac:dyDescent="0.25">
      <c r="A2162" s="3">
        <f t="shared" si="438"/>
        <v>49138</v>
      </c>
      <c r="B2162" s="21">
        <f t="shared" si="429"/>
        <v>36720</v>
      </c>
      <c r="C2162" s="21">
        <f t="shared" si="430"/>
        <v>36789</v>
      </c>
      <c r="D2162" s="1">
        <f t="shared" si="439"/>
        <v>0</v>
      </c>
      <c r="E2162" s="3">
        <f t="array" ref="E2162">INDEX($A$9:A2161, MAX(IF($D$9:D2161=1, ROW(D$9:$D2161)-ROW($D$9)+1, 0)))</f>
        <v>49115</v>
      </c>
      <c r="F2162" s="23">
        <f t="shared" si="431"/>
        <v>8.2491444216290208</v>
      </c>
      <c r="G2162" s="5">
        <f>INDEX('Default Prob'!$P$5:$P$14,MIN(1+_xlfn.IFNA(MATCH(F2162,'Default Prob'!$F$5:$F$14,1),0),COUNT('Default Prob'!$P$5:$P$14)))</f>
        <v>5.8652391073922311E-2</v>
      </c>
      <c r="H2162" s="5">
        <f t="shared" si="440"/>
        <v>0.79501789426217651</v>
      </c>
      <c r="I2162" s="24">
        <f t="shared" si="441"/>
        <v>1.2767541294711471E-4</v>
      </c>
      <c r="J2162" s="25">
        <f>INDEX('Default Prob'!$C$3:$C$13, _xlfn.IFNA(MATCH(F2162, 'Default Prob'!$B$3:$B$13, 1), 1))</f>
        <v>2.4E-2</v>
      </c>
      <c r="K2162" s="26">
        <f t="shared" si="432"/>
        <v>0.82230734626336532</v>
      </c>
      <c r="L2162" s="27">
        <f t="shared" ca="1" si="433"/>
        <v>0</v>
      </c>
      <c r="M2162" s="27">
        <f t="shared" ca="1" si="434"/>
        <v>0</v>
      </c>
      <c r="N2162" s="28">
        <f t="shared" ca="1" si="435"/>
        <v>0</v>
      </c>
      <c r="O2162" s="29">
        <f t="shared" ca="1" si="436"/>
        <v>0</v>
      </c>
      <c r="P2162" s="30">
        <f t="shared" ca="1" si="437"/>
        <v>0</v>
      </c>
    </row>
    <row r="2163" spans="1:16" x14ac:dyDescent="0.25">
      <c r="A2163" s="3">
        <f t="shared" si="438"/>
        <v>49139</v>
      </c>
      <c r="B2163" s="21">
        <f t="shared" si="429"/>
        <v>36721</v>
      </c>
      <c r="C2163" s="21">
        <f t="shared" si="430"/>
        <v>36789</v>
      </c>
      <c r="D2163" s="1">
        <f t="shared" si="439"/>
        <v>0</v>
      </c>
      <c r="E2163" s="3">
        <f t="array" ref="E2163">INDEX($A$9:A2162, MAX(IF($D$9:D2162=1, ROW(D$9:$D2162)-ROW($D$9)+1, 0)))</f>
        <v>49115</v>
      </c>
      <c r="F2163" s="23">
        <f t="shared" si="431"/>
        <v>8.2518822724161538</v>
      </c>
      <c r="G2163" s="5">
        <f>INDEX('Default Prob'!$P$5:$P$14,MIN(1+_xlfn.IFNA(MATCH(F2163,'Default Prob'!$F$5:$F$14,1),0),COUNT('Default Prob'!$P$5:$P$14)))</f>
        <v>5.8652391073922311E-2</v>
      </c>
      <c r="H2163" s="5">
        <f t="shared" si="440"/>
        <v>0.794890239349892</v>
      </c>
      <c r="I2163" s="24">
        <f t="shared" si="441"/>
        <v>1.2765491228450276E-4</v>
      </c>
      <c r="J2163" s="25">
        <f>INDEX('Default Prob'!$C$3:$C$13, _xlfn.IFNA(MATCH(F2163, 'Default Prob'!$B$3:$B$13, 1), 1))</f>
        <v>2.4E-2</v>
      </c>
      <c r="K2163" s="26">
        <f t="shared" si="432"/>
        <v>0.82225395368043552</v>
      </c>
      <c r="L2163" s="27">
        <f t="shared" ca="1" si="433"/>
        <v>0</v>
      </c>
      <c r="M2163" s="27">
        <f t="shared" ca="1" si="434"/>
        <v>0</v>
      </c>
      <c r="N2163" s="28">
        <f t="shared" ca="1" si="435"/>
        <v>0</v>
      </c>
      <c r="O2163" s="29">
        <f t="shared" ca="1" si="436"/>
        <v>0</v>
      </c>
      <c r="P2163" s="30">
        <f t="shared" ca="1" si="437"/>
        <v>0</v>
      </c>
    </row>
    <row r="2164" spans="1:16" x14ac:dyDescent="0.25">
      <c r="A2164" s="3">
        <f t="shared" si="438"/>
        <v>49142</v>
      </c>
      <c r="B2164" s="21">
        <f t="shared" si="429"/>
        <v>36724</v>
      </c>
      <c r="C2164" s="21">
        <f t="shared" si="430"/>
        <v>36789</v>
      </c>
      <c r="D2164" s="1">
        <f t="shared" si="439"/>
        <v>0</v>
      </c>
      <c r="E2164" s="3">
        <f t="array" ref="E2164">INDEX($A$9:A2163, MAX(IF($D$9:D2163=1, ROW(D$9:$D2163)-ROW($D$9)+1, 0)))</f>
        <v>49115</v>
      </c>
      <c r="F2164" s="23">
        <f t="shared" si="431"/>
        <v>8.2600958247775491</v>
      </c>
      <c r="G2164" s="5">
        <f>INDEX('Default Prob'!$P$5:$P$14,MIN(1+_xlfn.IFNA(MATCH(F2164,'Default Prob'!$F$5:$F$14,1),0),COUNT('Default Prob'!$P$5:$P$14)))</f>
        <v>5.8652391073922311E-2</v>
      </c>
      <c r="H2164" s="5">
        <f t="shared" si="440"/>
        <v>0.79450739758409938</v>
      </c>
      <c r="I2164" s="24">
        <f t="shared" si="441"/>
        <v>3.8284176579261864E-4</v>
      </c>
      <c r="J2164" s="25">
        <f>INDEX('Default Prob'!$C$3:$C$13, _xlfn.IFNA(MATCH(F2164, 'Default Prob'!$B$3:$B$13, 1), 1))</f>
        <v>2.4E-2</v>
      </c>
      <c r="K2164" s="26">
        <f t="shared" si="432"/>
        <v>0.8220937967314933</v>
      </c>
      <c r="L2164" s="27">
        <f t="shared" ca="1" si="433"/>
        <v>0</v>
      </c>
      <c r="M2164" s="27">
        <f t="shared" ca="1" si="434"/>
        <v>0</v>
      </c>
      <c r="N2164" s="28">
        <f t="shared" ca="1" si="435"/>
        <v>0</v>
      </c>
      <c r="O2164" s="29">
        <f t="shared" ca="1" si="436"/>
        <v>0</v>
      </c>
      <c r="P2164" s="30">
        <f t="shared" ca="1" si="437"/>
        <v>0</v>
      </c>
    </row>
    <row r="2165" spans="1:16" x14ac:dyDescent="0.25">
      <c r="A2165" s="3">
        <f t="shared" si="438"/>
        <v>49143</v>
      </c>
      <c r="B2165" s="21">
        <f t="shared" si="429"/>
        <v>36725</v>
      </c>
      <c r="C2165" s="21">
        <f t="shared" si="430"/>
        <v>36789</v>
      </c>
      <c r="D2165" s="1">
        <f t="shared" si="439"/>
        <v>0</v>
      </c>
      <c r="E2165" s="3">
        <f t="array" ref="E2165">INDEX($A$9:A2164, MAX(IF($D$9:D2164=1, ROW(D$9:$D2164)-ROW($D$9)+1, 0)))</f>
        <v>49115</v>
      </c>
      <c r="F2165" s="23">
        <f t="shared" si="431"/>
        <v>8.2628336755646821</v>
      </c>
      <c r="G2165" s="5">
        <f>INDEX('Default Prob'!$P$5:$P$14,MIN(1+_xlfn.IFNA(MATCH(F2165,'Default Prob'!$F$5:$F$14,1),0),COUNT('Default Prob'!$P$5:$P$14)))</f>
        <v>5.8652391073922311E-2</v>
      </c>
      <c r="H2165" s="5">
        <f t="shared" si="440"/>
        <v>0.7943798246415531</v>
      </c>
      <c r="I2165" s="24">
        <f t="shared" si="441"/>
        <v>1.2757294254628349E-4</v>
      </c>
      <c r="J2165" s="25">
        <f>INDEX('Default Prob'!$C$3:$C$13, _xlfn.IFNA(MATCH(F2165, 'Default Prob'!$B$3:$B$13, 1), 1))</f>
        <v>2.4E-2</v>
      </c>
      <c r="K2165" s="26">
        <f t="shared" si="432"/>
        <v>0.82204041801437788</v>
      </c>
      <c r="L2165" s="27">
        <f t="shared" ca="1" si="433"/>
        <v>0</v>
      </c>
      <c r="M2165" s="27">
        <f t="shared" ca="1" si="434"/>
        <v>0</v>
      </c>
      <c r="N2165" s="28">
        <f t="shared" ca="1" si="435"/>
        <v>0</v>
      </c>
      <c r="O2165" s="29">
        <f t="shared" ca="1" si="436"/>
        <v>0</v>
      </c>
      <c r="P2165" s="30">
        <f t="shared" ca="1" si="437"/>
        <v>0</v>
      </c>
    </row>
    <row r="2166" spans="1:16" x14ac:dyDescent="0.25">
      <c r="A2166" s="3">
        <f t="shared" si="438"/>
        <v>49144</v>
      </c>
      <c r="B2166" s="21">
        <f t="shared" si="429"/>
        <v>36726</v>
      </c>
      <c r="C2166" s="21">
        <f t="shared" si="430"/>
        <v>36789</v>
      </c>
      <c r="D2166" s="1">
        <f t="shared" si="439"/>
        <v>0</v>
      </c>
      <c r="E2166" s="3">
        <f t="array" ref="E2166">INDEX($A$9:A2165, MAX(IF($D$9:D2165=1, ROW(D$9:$D2165)-ROW($D$9)+1, 0)))</f>
        <v>49115</v>
      </c>
      <c r="F2166" s="23">
        <f t="shared" si="431"/>
        <v>8.2655715263518132</v>
      </c>
      <c r="G2166" s="5">
        <f>INDEX('Default Prob'!$P$5:$P$14,MIN(1+_xlfn.IFNA(MATCH(F2166,'Default Prob'!$F$5:$F$14,1),0),COUNT('Default Prob'!$P$5:$P$14)))</f>
        <v>5.8652391073922311E-2</v>
      </c>
      <c r="H2166" s="5">
        <f t="shared" si="440"/>
        <v>0.79425227218321592</v>
      </c>
      <c r="I2166" s="24">
        <f t="shared" si="441"/>
        <v>1.2755245833717677E-4</v>
      </c>
      <c r="J2166" s="25">
        <f>INDEX('Default Prob'!$C$3:$C$13, _xlfn.IFNA(MATCH(F2166, 'Default Prob'!$B$3:$B$13, 1), 1))</f>
        <v>2.4E-2</v>
      </c>
      <c r="K2166" s="26">
        <f t="shared" si="432"/>
        <v>0.82198704276315349</v>
      </c>
      <c r="L2166" s="27">
        <f t="shared" ca="1" si="433"/>
        <v>0</v>
      </c>
      <c r="M2166" s="27">
        <f t="shared" ca="1" si="434"/>
        <v>0</v>
      </c>
      <c r="N2166" s="28">
        <f t="shared" ca="1" si="435"/>
        <v>0</v>
      </c>
      <c r="O2166" s="29">
        <f t="shared" ca="1" si="436"/>
        <v>0</v>
      </c>
      <c r="P2166" s="30">
        <f t="shared" ca="1" si="437"/>
        <v>0</v>
      </c>
    </row>
    <row r="2167" spans="1:16" x14ac:dyDescent="0.25">
      <c r="A2167" s="3">
        <f t="shared" si="438"/>
        <v>49145</v>
      </c>
      <c r="B2167" s="21">
        <f t="shared" si="429"/>
        <v>36727</v>
      </c>
      <c r="C2167" s="21">
        <f t="shared" si="430"/>
        <v>36789</v>
      </c>
      <c r="D2167" s="1">
        <f t="shared" si="439"/>
        <v>0</v>
      </c>
      <c r="E2167" s="3">
        <f t="array" ref="E2167">INDEX($A$9:A2166, MAX(IF($D$9:D2166=1, ROW(D$9:$D2166)-ROW($D$9)+1, 0)))</f>
        <v>49115</v>
      </c>
      <c r="F2167" s="23">
        <f t="shared" si="431"/>
        <v>8.2683093771389462</v>
      </c>
      <c r="G2167" s="5">
        <f>INDEX('Default Prob'!$P$5:$P$14,MIN(1+_xlfn.IFNA(MATCH(F2167,'Default Prob'!$F$5:$F$14,1),0),COUNT('Default Prob'!$P$5:$P$14)))</f>
        <v>5.8652391073922311E-2</v>
      </c>
      <c r="H2167" s="5">
        <f t="shared" si="440"/>
        <v>0.79412474020579871</v>
      </c>
      <c r="I2167" s="24">
        <f t="shared" si="441"/>
        <v>1.2753197741721678E-4</v>
      </c>
      <c r="J2167" s="25">
        <f>INDEX('Default Prob'!$C$3:$C$13, _xlfn.IFNA(MATCH(F2167, 'Default Prob'!$B$3:$B$13, 1), 1))</f>
        <v>2.4E-2</v>
      </c>
      <c r="K2167" s="26">
        <f t="shared" si="432"/>
        <v>0.82193367097759495</v>
      </c>
      <c r="L2167" s="27">
        <f t="shared" ca="1" si="433"/>
        <v>0</v>
      </c>
      <c r="M2167" s="27">
        <f t="shared" ca="1" si="434"/>
        <v>0</v>
      </c>
      <c r="N2167" s="28">
        <f t="shared" ca="1" si="435"/>
        <v>0</v>
      </c>
      <c r="O2167" s="29">
        <f t="shared" ca="1" si="436"/>
        <v>0</v>
      </c>
      <c r="P2167" s="30">
        <f t="shared" ca="1" si="437"/>
        <v>0</v>
      </c>
    </row>
    <row r="2168" spans="1:16" x14ac:dyDescent="0.25">
      <c r="A2168" s="3">
        <f t="shared" si="438"/>
        <v>49146</v>
      </c>
      <c r="B2168" s="21">
        <f t="shared" si="429"/>
        <v>36728</v>
      </c>
      <c r="C2168" s="21">
        <f t="shared" si="430"/>
        <v>36789</v>
      </c>
      <c r="D2168" s="1">
        <f t="shared" si="439"/>
        <v>0</v>
      </c>
      <c r="E2168" s="3">
        <f t="array" ref="E2168">INDEX($A$9:A2167, MAX(IF($D$9:D2167=1, ROW(D$9:$D2167)-ROW($D$9)+1, 0)))</f>
        <v>49115</v>
      </c>
      <c r="F2168" s="23">
        <f t="shared" si="431"/>
        <v>8.2710472279260774</v>
      </c>
      <c r="G2168" s="5">
        <f>INDEX('Default Prob'!$P$5:$P$14,MIN(1+_xlfn.IFNA(MATCH(F2168,'Default Prob'!$F$5:$F$14,1),0),COUNT('Default Prob'!$P$5:$P$14)))</f>
        <v>5.8652391073922311E-2</v>
      </c>
      <c r="H2168" s="5">
        <f t="shared" si="440"/>
        <v>0.79399722870601297</v>
      </c>
      <c r="I2168" s="24">
        <f t="shared" si="441"/>
        <v>1.2751149978573739E-4</v>
      </c>
      <c r="J2168" s="25">
        <f>INDEX('Default Prob'!$C$3:$C$13, _xlfn.IFNA(MATCH(F2168, 'Default Prob'!$B$3:$B$13, 1), 1))</f>
        <v>2.4E-2</v>
      </c>
      <c r="K2168" s="26">
        <f t="shared" si="432"/>
        <v>0.82188030265747736</v>
      </c>
      <c r="L2168" s="27">
        <f t="shared" ca="1" si="433"/>
        <v>0</v>
      </c>
      <c r="M2168" s="27">
        <f t="shared" ca="1" si="434"/>
        <v>0</v>
      </c>
      <c r="N2168" s="28">
        <f t="shared" ca="1" si="435"/>
        <v>0</v>
      </c>
      <c r="O2168" s="29">
        <f t="shared" ca="1" si="436"/>
        <v>0</v>
      </c>
      <c r="P2168" s="30">
        <f t="shared" ca="1" si="437"/>
        <v>0</v>
      </c>
    </row>
    <row r="2169" spans="1:16" x14ac:dyDescent="0.25">
      <c r="A2169" s="3">
        <f t="shared" si="438"/>
        <v>49149</v>
      </c>
      <c r="B2169" s="21">
        <f t="shared" si="429"/>
        <v>36731</v>
      </c>
      <c r="C2169" s="21">
        <f t="shared" si="430"/>
        <v>36789</v>
      </c>
      <c r="D2169" s="1">
        <f t="shared" si="439"/>
        <v>0</v>
      </c>
      <c r="E2169" s="3">
        <f t="array" ref="E2169">INDEX($A$9:A2168, MAX(IF($D$9:D2168=1, ROW(D$9:$D2168)-ROW($D$9)+1, 0)))</f>
        <v>49115</v>
      </c>
      <c r="F2169" s="23">
        <f t="shared" si="431"/>
        <v>8.2792607802874745</v>
      </c>
      <c r="G2169" s="5">
        <f>INDEX('Default Prob'!$P$5:$P$14,MIN(1+_xlfn.IFNA(MATCH(F2169,'Default Prob'!$F$5:$F$14,1),0),COUNT('Default Prob'!$P$5:$P$14)))</f>
        <v>5.8652391073922311E-2</v>
      </c>
      <c r="H2169" s="5">
        <f t="shared" si="440"/>
        <v>0.79361481703956582</v>
      </c>
      <c r="I2169" s="24">
        <f t="shared" si="441"/>
        <v>3.8241166644714664E-4</v>
      </c>
      <c r="J2169" s="25">
        <f>INDEX('Default Prob'!$C$3:$C$13, _xlfn.IFNA(MATCH(F2169, 'Default Prob'!$B$3:$B$13, 1), 1))</f>
        <v>2.4E-2</v>
      </c>
      <c r="K2169" s="26">
        <f t="shared" si="432"/>
        <v>0.82172021848751964</v>
      </c>
      <c r="L2169" s="27">
        <f t="shared" ca="1" si="433"/>
        <v>0</v>
      </c>
      <c r="M2169" s="27">
        <f t="shared" ca="1" si="434"/>
        <v>0</v>
      </c>
      <c r="N2169" s="28">
        <f t="shared" ca="1" si="435"/>
        <v>0</v>
      </c>
      <c r="O2169" s="29">
        <f t="shared" ca="1" si="436"/>
        <v>0</v>
      </c>
      <c r="P2169" s="30">
        <f t="shared" ca="1" si="437"/>
        <v>0</v>
      </c>
    </row>
    <row r="2170" spans="1:16" x14ac:dyDescent="0.25">
      <c r="A2170" s="3">
        <f t="shared" si="438"/>
        <v>49150</v>
      </c>
      <c r="B2170" s="21">
        <f t="shared" si="429"/>
        <v>36732</v>
      </c>
      <c r="C2170" s="21">
        <f t="shared" si="430"/>
        <v>36789</v>
      </c>
      <c r="D2170" s="1">
        <f t="shared" si="439"/>
        <v>0</v>
      </c>
      <c r="E2170" s="3">
        <f t="array" ref="E2170">INDEX($A$9:A2169, MAX(IF($D$9:D2169=1, ROW(D$9:$D2169)-ROW($D$9)+1, 0)))</f>
        <v>49115</v>
      </c>
      <c r="F2170" s="23">
        <f t="shared" si="431"/>
        <v>8.2819986310746057</v>
      </c>
      <c r="G2170" s="5">
        <f>INDEX('Default Prob'!$P$5:$P$14,MIN(1+_xlfn.IFNA(MATCH(F2170,'Default Prob'!$F$5:$F$14,1),0),COUNT('Default Prob'!$P$5:$P$14)))</f>
        <v>5.8652391073922311E-2</v>
      </c>
      <c r="H2170" s="5">
        <f t="shared" si="440"/>
        <v>0.7934873874174303</v>
      </c>
      <c r="I2170" s="24">
        <f t="shared" si="441"/>
        <v>1.27429622135522E-4</v>
      </c>
      <c r="J2170" s="25">
        <f>INDEX('Default Prob'!$C$3:$C$13, _xlfn.IFNA(MATCH(F2170, 'Default Prob'!$B$3:$B$13, 1), 1))</f>
        <v>2.4E-2</v>
      </c>
      <c r="K2170" s="26">
        <f t="shared" si="432"/>
        <v>0.82166686402691547</v>
      </c>
      <c r="L2170" s="27">
        <f t="shared" ca="1" si="433"/>
        <v>0</v>
      </c>
      <c r="M2170" s="27">
        <f t="shared" ca="1" si="434"/>
        <v>0</v>
      </c>
      <c r="N2170" s="28">
        <f t="shared" ca="1" si="435"/>
        <v>0</v>
      </c>
      <c r="O2170" s="29">
        <f t="shared" ca="1" si="436"/>
        <v>0</v>
      </c>
      <c r="P2170" s="30">
        <f t="shared" ca="1" si="437"/>
        <v>0</v>
      </c>
    </row>
    <row r="2171" spans="1:16" x14ac:dyDescent="0.25">
      <c r="A2171" s="3">
        <f t="shared" si="438"/>
        <v>49151</v>
      </c>
      <c r="B2171" s="21">
        <f t="shared" si="429"/>
        <v>36733</v>
      </c>
      <c r="C2171" s="21">
        <f t="shared" si="430"/>
        <v>36789</v>
      </c>
      <c r="D2171" s="1">
        <f t="shared" si="439"/>
        <v>0</v>
      </c>
      <c r="E2171" s="3">
        <f t="array" ref="E2171">INDEX($A$9:A2170, MAX(IF($D$9:D2170=1, ROW(D$9:$D2170)-ROW($D$9)+1, 0)))</f>
        <v>49115</v>
      </c>
      <c r="F2171" s="23">
        <f t="shared" si="431"/>
        <v>8.2847364818617386</v>
      </c>
      <c r="G2171" s="5">
        <f>INDEX('Default Prob'!$P$5:$P$14,MIN(1+_xlfn.IFNA(MATCH(F2171,'Default Prob'!$F$5:$F$14,1),0),COUNT('Default Prob'!$P$5:$P$14)))</f>
        <v>5.8652391073922311E-2</v>
      </c>
      <c r="H2171" s="5">
        <f t="shared" si="440"/>
        <v>0.79335997825649107</v>
      </c>
      <c r="I2171" s="24">
        <f t="shared" si="441"/>
        <v>1.2740916093922916E-4</v>
      </c>
      <c r="J2171" s="25">
        <f>INDEX('Default Prob'!$C$3:$C$13, _xlfn.IFNA(MATCH(F2171, 'Default Prob'!$B$3:$B$13, 1), 1))</f>
        <v>2.4E-2</v>
      </c>
      <c r="K2171" s="26">
        <f t="shared" si="432"/>
        <v>0.82161351303062735</v>
      </c>
      <c r="L2171" s="27">
        <f t="shared" ca="1" si="433"/>
        <v>0</v>
      </c>
      <c r="M2171" s="27">
        <f t="shared" ca="1" si="434"/>
        <v>0</v>
      </c>
      <c r="N2171" s="28">
        <f t="shared" ca="1" si="435"/>
        <v>0</v>
      </c>
      <c r="O2171" s="29">
        <f t="shared" ca="1" si="436"/>
        <v>0</v>
      </c>
      <c r="P2171" s="30">
        <f t="shared" ca="1" si="437"/>
        <v>0</v>
      </c>
    </row>
    <row r="2172" spans="1:16" x14ac:dyDescent="0.25">
      <c r="A2172" s="3">
        <f t="shared" si="438"/>
        <v>49152</v>
      </c>
      <c r="B2172" s="21">
        <f t="shared" si="429"/>
        <v>36734</v>
      </c>
      <c r="C2172" s="21">
        <f t="shared" si="430"/>
        <v>36789</v>
      </c>
      <c r="D2172" s="1">
        <f t="shared" si="439"/>
        <v>0</v>
      </c>
      <c r="E2172" s="3">
        <f t="array" ref="E2172">INDEX($A$9:A2171, MAX(IF($D$9:D2171=1, ROW(D$9:$D2171)-ROW($D$9)+1, 0)))</f>
        <v>49115</v>
      </c>
      <c r="F2172" s="23">
        <f t="shared" si="431"/>
        <v>8.2874743326488698</v>
      </c>
      <c r="G2172" s="5">
        <f>INDEX('Default Prob'!$P$5:$P$14,MIN(1+_xlfn.IFNA(MATCH(F2172,'Default Prob'!$F$5:$F$14,1),0),COUNT('Default Prob'!$P$5:$P$14)))</f>
        <v>5.8652391073922311E-2</v>
      </c>
      <c r="H2172" s="5">
        <f t="shared" si="440"/>
        <v>0.79323258955346276</v>
      </c>
      <c r="I2172" s="24">
        <f t="shared" si="441"/>
        <v>1.2738870302830829E-4</v>
      </c>
      <c r="J2172" s="25">
        <f>INDEX('Default Prob'!$C$3:$C$13, _xlfn.IFNA(MATCH(F2172, 'Default Prob'!$B$3:$B$13, 1), 1))</f>
        <v>2.4E-2</v>
      </c>
      <c r="K2172" s="26">
        <f t="shared" si="432"/>
        <v>0.82156016549843014</v>
      </c>
      <c r="L2172" s="27">
        <f t="shared" ca="1" si="433"/>
        <v>0</v>
      </c>
      <c r="M2172" s="27">
        <f t="shared" ca="1" si="434"/>
        <v>0</v>
      </c>
      <c r="N2172" s="28">
        <f t="shared" ca="1" si="435"/>
        <v>0</v>
      </c>
      <c r="O2172" s="29">
        <f t="shared" ca="1" si="436"/>
        <v>0</v>
      </c>
      <c r="P2172" s="30">
        <f t="shared" ca="1" si="437"/>
        <v>0</v>
      </c>
    </row>
    <row r="2173" spans="1:16" x14ac:dyDescent="0.25">
      <c r="A2173" s="3">
        <f t="shared" si="438"/>
        <v>49153</v>
      </c>
      <c r="B2173" s="21">
        <f t="shared" si="429"/>
        <v>36735</v>
      </c>
      <c r="C2173" s="21">
        <f t="shared" si="430"/>
        <v>36789</v>
      </c>
      <c r="D2173" s="1">
        <f t="shared" si="439"/>
        <v>0</v>
      </c>
      <c r="E2173" s="3">
        <f t="array" ref="E2173">INDEX($A$9:A2172, MAX(IF($D$9:D2172=1, ROW(D$9:$D2172)-ROW($D$9)+1, 0)))</f>
        <v>49115</v>
      </c>
      <c r="F2173" s="23">
        <f t="shared" si="431"/>
        <v>8.2902121834360027</v>
      </c>
      <c r="G2173" s="5">
        <f>INDEX('Default Prob'!$P$5:$P$14,MIN(1+_xlfn.IFNA(MATCH(F2173,'Default Prob'!$F$5:$F$14,1),0),COUNT('Default Prob'!$P$5:$P$14)))</f>
        <v>5.8652391073922311E-2</v>
      </c>
      <c r="H2173" s="5">
        <f t="shared" si="440"/>
        <v>0.79310522130506045</v>
      </c>
      <c r="I2173" s="24">
        <f t="shared" si="441"/>
        <v>1.2736824840231531E-4</v>
      </c>
      <c r="J2173" s="25">
        <f>INDEX('Default Prob'!$C$3:$C$13, _xlfn.IFNA(MATCH(F2173, 'Default Prob'!$B$3:$B$13, 1), 1))</f>
        <v>2.4E-2</v>
      </c>
      <c r="K2173" s="26">
        <f t="shared" si="432"/>
        <v>0.82150682143009912</v>
      </c>
      <c r="L2173" s="27">
        <f t="shared" ca="1" si="433"/>
        <v>0</v>
      </c>
      <c r="M2173" s="27">
        <f t="shared" ca="1" si="434"/>
        <v>0</v>
      </c>
      <c r="N2173" s="28">
        <f t="shared" ca="1" si="435"/>
        <v>0</v>
      </c>
      <c r="O2173" s="29">
        <f t="shared" ca="1" si="436"/>
        <v>0</v>
      </c>
      <c r="P2173" s="30">
        <f t="shared" ca="1" si="437"/>
        <v>0</v>
      </c>
    </row>
    <row r="2174" spans="1:16" x14ac:dyDescent="0.25">
      <c r="A2174" s="3">
        <f t="shared" si="438"/>
        <v>49156</v>
      </c>
      <c r="B2174" s="21">
        <f t="shared" si="429"/>
        <v>36738</v>
      </c>
      <c r="C2174" s="21">
        <f t="shared" si="430"/>
        <v>36789</v>
      </c>
      <c r="D2174" s="1">
        <f t="shared" si="439"/>
        <v>0</v>
      </c>
      <c r="E2174" s="3">
        <f t="array" ref="E2174">INDEX($A$9:A2173, MAX(IF($D$9:D2173=1, ROW(D$9:$D2173)-ROW($D$9)+1, 0)))</f>
        <v>49115</v>
      </c>
      <c r="F2174" s="23">
        <f t="shared" si="431"/>
        <v>8.2984257357973998</v>
      </c>
      <c r="G2174" s="5">
        <f>INDEX('Default Prob'!$P$5:$P$14,MIN(1+_xlfn.IFNA(MATCH(F2174,'Default Prob'!$F$5:$F$14,1),0),COUNT('Default Prob'!$P$5:$P$14)))</f>
        <v>5.8652391073922311E-2</v>
      </c>
      <c r="H2174" s="5">
        <f t="shared" si="440"/>
        <v>0.79272323925476862</v>
      </c>
      <c r="I2174" s="24">
        <f t="shared" si="441"/>
        <v>3.8198205029182919E-4</v>
      </c>
      <c r="J2174" s="25">
        <f>INDEX('Default Prob'!$C$3:$C$13, _xlfn.IFNA(MATCH(F2174, 'Default Prob'!$B$3:$B$13, 1), 1))</f>
        <v>2.4E-2</v>
      </c>
      <c r="K2174" s="26">
        <f t="shared" si="432"/>
        <v>0.82134681000605347</v>
      </c>
      <c r="L2174" s="27">
        <f t="shared" ca="1" si="433"/>
        <v>0</v>
      </c>
      <c r="M2174" s="27">
        <f t="shared" ca="1" si="434"/>
        <v>0</v>
      </c>
      <c r="N2174" s="28">
        <f t="shared" ca="1" si="435"/>
        <v>0</v>
      </c>
      <c r="O2174" s="29">
        <f t="shared" ca="1" si="436"/>
        <v>0</v>
      </c>
      <c r="P2174" s="30">
        <f t="shared" ca="1" si="437"/>
        <v>0</v>
      </c>
    </row>
    <row r="2175" spans="1:16" x14ac:dyDescent="0.25">
      <c r="A2175" s="3">
        <f t="shared" si="438"/>
        <v>49157</v>
      </c>
      <c r="B2175" s="21">
        <f t="shared" si="429"/>
        <v>36739</v>
      </c>
      <c r="C2175" s="21">
        <f t="shared" si="430"/>
        <v>36789</v>
      </c>
      <c r="D2175" s="1">
        <f t="shared" si="439"/>
        <v>0</v>
      </c>
      <c r="E2175" s="3">
        <f t="array" ref="E2175">INDEX($A$9:A2174, MAX(IF($D$9:D2174=1, ROW(D$9:$D2174)-ROW($D$9)+1, 0)))</f>
        <v>49115</v>
      </c>
      <c r="F2175" s="23">
        <f t="shared" si="431"/>
        <v>8.301163586584531</v>
      </c>
      <c r="G2175" s="5">
        <f>INDEX('Default Prob'!$P$5:$P$14,MIN(1+_xlfn.IFNA(MATCH(F2175,'Default Prob'!$F$5:$F$14,1),0),COUNT('Default Prob'!$P$5:$P$14)))</f>
        <v>5.8652391073922311E-2</v>
      </c>
      <c r="H2175" s="5">
        <f t="shared" si="440"/>
        <v>0.7925959527920321</v>
      </c>
      <c r="I2175" s="24">
        <f t="shared" si="441"/>
        <v>1.2728646273652E-4</v>
      </c>
      <c r="J2175" s="25">
        <f>INDEX('Default Prob'!$C$3:$C$13, _xlfn.IFNA(MATCH(F2175, 'Default Prob'!$B$3:$B$13, 1), 1))</f>
        <v>2.4E-2</v>
      </c>
      <c r="K2175" s="26">
        <f t="shared" si="432"/>
        <v>0.82129347979093781</v>
      </c>
      <c r="L2175" s="27">
        <f t="shared" ca="1" si="433"/>
        <v>0</v>
      </c>
      <c r="M2175" s="27">
        <f t="shared" ca="1" si="434"/>
        <v>0</v>
      </c>
      <c r="N2175" s="28">
        <f t="shared" ca="1" si="435"/>
        <v>0</v>
      </c>
      <c r="O2175" s="29">
        <f t="shared" ca="1" si="436"/>
        <v>0</v>
      </c>
      <c r="P2175" s="30">
        <f t="shared" ca="1" si="437"/>
        <v>0</v>
      </c>
    </row>
    <row r="2176" spans="1:16" x14ac:dyDescent="0.25">
      <c r="A2176" s="3">
        <f t="shared" si="438"/>
        <v>49158</v>
      </c>
      <c r="B2176" s="21">
        <f t="shared" si="429"/>
        <v>36740</v>
      </c>
      <c r="C2176" s="21">
        <f t="shared" si="430"/>
        <v>36789</v>
      </c>
      <c r="D2176" s="1">
        <f t="shared" si="439"/>
        <v>0</v>
      </c>
      <c r="E2176" s="3">
        <f t="array" ref="E2176">INDEX($A$9:A2175, MAX(IF($D$9:D2175=1, ROW(D$9:$D2175)-ROW($D$9)+1, 0)))</f>
        <v>49115</v>
      </c>
      <c r="F2176" s="23">
        <f t="shared" si="431"/>
        <v>8.303901437371664</v>
      </c>
      <c r="G2176" s="5">
        <f>INDEX('Default Prob'!$P$5:$P$14,MIN(1+_xlfn.IFNA(MATCH(F2176,'Default Prob'!$F$5:$F$14,1),0),COUNT('Default Prob'!$P$5:$P$14)))</f>
        <v>5.8652391073922311E-2</v>
      </c>
      <c r="H2176" s="5">
        <f t="shared" si="440"/>
        <v>0.79246868676750493</v>
      </c>
      <c r="I2176" s="24">
        <f t="shared" si="441"/>
        <v>1.2726602452717284E-4</v>
      </c>
      <c r="J2176" s="25">
        <f>INDEX('Default Prob'!$C$3:$C$13, _xlfn.IFNA(MATCH(F2176, 'Default Prob'!$B$3:$B$13, 1), 1))</f>
        <v>2.4E-2</v>
      </c>
      <c r="K2176" s="26">
        <f t="shared" si="432"/>
        <v>0.8212401530385639</v>
      </c>
      <c r="L2176" s="27">
        <f t="shared" ca="1" si="433"/>
        <v>0</v>
      </c>
      <c r="M2176" s="27">
        <f t="shared" ca="1" si="434"/>
        <v>0</v>
      </c>
      <c r="N2176" s="28">
        <f t="shared" ca="1" si="435"/>
        <v>0</v>
      </c>
      <c r="O2176" s="29">
        <f t="shared" ca="1" si="436"/>
        <v>0</v>
      </c>
      <c r="P2176" s="30">
        <f t="shared" ca="1" si="437"/>
        <v>0</v>
      </c>
    </row>
    <row r="2177" spans="1:16" x14ac:dyDescent="0.25">
      <c r="A2177" s="3">
        <f t="shared" si="438"/>
        <v>49159</v>
      </c>
      <c r="B2177" s="21">
        <f t="shared" si="429"/>
        <v>36741</v>
      </c>
      <c r="C2177" s="21">
        <f t="shared" si="430"/>
        <v>36789</v>
      </c>
      <c r="D2177" s="1">
        <f t="shared" si="439"/>
        <v>0</v>
      </c>
      <c r="E2177" s="3">
        <f t="array" ref="E2177">INDEX($A$9:A2176, MAX(IF($D$9:D2176=1, ROW(D$9:$D2176)-ROW($D$9)+1, 0)))</f>
        <v>49115</v>
      </c>
      <c r="F2177" s="23">
        <f t="shared" si="431"/>
        <v>8.3066392881587952</v>
      </c>
      <c r="G2177" s="5">
        <f>INDEX('Default Prob'!$P$5:$P$14,MIN(1+_xlfn.IFNA(MATCH(F2177,'Default Prob'!$F$5:$F$14,1),0),COUNT('Default Prob'!$P$5:$P$14)))</f>
        <v>5.8652391073922311E-2</v>
      </c>
      <c r="H2177" s="5">
        <f t="shared" si="440"/>
        <v>0.7923414411779055</v>
      </c>
      <c r="I2177" s="24">
        <f t="shared" si="441"/>
        <v>1.2724558959942289E-4</v>
      </c>
      <c r="J2177" s="25">
        <f>INDEX('Default Prob'!$C$3:$C$13, _xlfn.IFNA(MATCH(F2177, 'Default Prob'!$B$3:$B$13, 1), 1))</f>
        <v>2.4E-2</v>
      </c>
      <c r="K2177" s="26">
        <f t="shared" si="432"/>
        <v>0.82118682974870694</v>
      </c>
      <c r="L2177" s="27">
        <f t="shared" ca="1" si="433"/>
        <v>0</v>
      </c>
      <c r="M2177" s="27">
        <f t="shared" ca="1" si="434"/>
        <v>0</v>
      </c>
      <c r="N2177" s="28">
        <f t="shared" ca="1" si="435"/>
        <v>0</v>
      </c>
      <c r="O2177" s="29">
        <f t="shared" ca="1" si="436"/>
        <v>0</v>
      </c>
      <c r="P2177" s="30">
        <f t="shared" ca="1" si="437"/>
        <v>0</v>
      </c>
    </row>
    <row r="2178" spans="1:16" x14ac:dyDescent="0.25">
      <c r="A2178" s="3">
        <f t="shared" si="438"/>
        <v>49160</v>
      </c>
      <c r="B2178" s="21">
        <f t="shared" si="429"/>
        <v>36742</v>
      </c>
      <c r="C2178" s="21">
        <f t="shared" si="430"/>
        <v>36789</v>
      </c>
      <c r="D2178" s="1">
        <f t="shared" si="439"/>
        <v>0</v>
      </c>
      <c r="E2178" s="3">
        <f t="array" ref="E2178">INDEX($A$9:A2177, MAX(IF($D$9:D2177=1, ROW(D$9:$D2177)-ROW($D$9)+1, 0)))</f>
        <v>49115</v>
      </c>
      <c r="F2178" s="23">
        <f t="shared" si="431"/>
        <v>8.3093771389459281</v>
      </c>
      <c r="G2178" s="5">
        <f>INDEX('Default Prob'!$P$5:$P$14,MIN(1+_xlfn.IFNA(MATCH(F2178,'Default Prob'!$F$5:$F$14,1),0),COUNT('Default Prob'!$P$5:$P$14)))</f>
        <v>5.8652391073922311E-2</v>
      </c>
      <c r="H2178" s="5">
        <f t="shared" si="440"/>
        <v>0.79221421601995257</v>
      </c>
      <c r="I2178" s="24">
        <f t="shared" si="441"/>
        <v>1.272251579529371E-4</v>
      </c>
      <c r="J2178" s="25">
        <f>INDEX('Default Prob'!$C$3:$C$13, _xlfn.IFNA(MATCH(F2178, 'Default Prob'!$B$3:$B$13, 1), 1))</f>
        <v>2.4E-2</v>
      </c>
      <c r="K2178" s="26">
        <f t="shared" si="432"/>
        <v>0.82113350992114187</v>
      </c>
      <c r="L2178" s="27">
        <f t="shared" ca="1" si="433"/>
        <v>0</v>
      </c>
      <c r="M2178" s="27">
        <f t="shared" ca="1" si="434"/>
        <v>0</v>
      </c>
      <c r="N2178" s="28">
        <f t="shared" ca="1" si="435"/>
        <v>0</v>
      </c>
      <c r="O2178" s="29">
        <f t="shared" ca="1" si="436"/>
        <v>0</v>
      </c>
      <c r="P2178" s="30">
        <f t="shared" ca="1" si="437"/>
        <v>0</v>
      </c>
    </row>
    <row r="2179" spans="1:16" x14ac:dyDescent="0.25">
      <c r="A2179" s="3">
        <f t="shared" si="438"/>
        <v>49163</v>
      </c>
      <c r="B2179" s="21">
        <f t="shared" si="429"/>
        <v>36745</v>
      </c>
      <c r="C2179" s="21">
        <f t="shared" si="430"/>
        <v>36789</v>
      </c>
      <c r="D2179" s="1">
        <f t="shared" si="439"/>
        <v>0</v>
      </c>
      <c r="E2179" s="3">
        <f t="array" ref="E2179">INDEX($A$9:A2178, MAX(IF($D$9:D2178=1, ROW(D$9:$D2178)-ROW($D$9)+1, 0)))</f>
        <v>49115</v>
      </c>
      <c r="F2179" s="23">
        <f t="shared" si="431"/>
        <v>8.3175906913073234</v>
      </c>
      <c r="G2179" s="5">
        <f>INDEX('Default Prob'!$P$5:$P$14,MIN(1+_xlfn.IFNA(MATCH(F2179,'Default Prob'!$F$5:$F$14,1),0),COUNT('Default Prob'!$P$5:$P$14)))</f>
        <v>5.8652391073922311E-2</v>
      </c>
      <c r="H2179" s="5">
        <f t="shared" si="440"/>
        <v>0.79183266310316858</v>
      </c>
      <c r="I2179" s="24">
        <f t="shared" si="441"/>
        <v>3.8155291678398928E-4</v>
      </c>
      <c r="J2179" s="25">
        <f>INDEX('Default Prob'!$C$3:$C$13, _xlfn.IFNA(MATCH(F2179, 'Default Prob'!$B$3:$B$13, 1), 1))</f>
        <v>2.4E-2</v>
      </c>
      <c r="K2179" s="26">
        <f t="shared" si="432"/>
        <v>0.82097357120995096</v>
      </c>
      <c r="L2179" s="27">
        <f t="shared" ca="1" si="433"/>
        <v>0</v>
      </c>
      <c r="M2179" s="27">
        <f t="shared" ca="1" si="434"/>
        <v>0</v>
      </c>
      <c r="N2179" s="28">
        <f t="shared" ca="1" si="435"/>
        <v>0</v>
      </c>
      <c r="O2179" s="29">
        <f t="shared" ca="1" si="436"/>
        <v>0</v>
      </c>
      <c r="P2179" s="30">
        <f t="shared" ca="1" si="437"/>
        <v>0</v>
      </c>
    </row>
    <row r="2180" spans="1:16" x14ac:dyDescent="0.25">
      <c r="A2180" s="3">
        <f t="shared" si="438"/>
        <v>49164</v>
      </c>
      <c r="B2180" s="21">
        <f t="shared" si="429"/>
        <v>36746</v>
      </c>
      <c r="C2180" s="21">
        <f t="shared" si="430"/>
        <v>36789</v>
      </c>
      <c r="D2180" s="1">
        <f t="shared" si="439"/>
        <v>0</v>
      </c>
      <c r="E2180" s="3">
        <f t="array" ref="E2180">INDEX($A$9:A2179, MAX(IF($D$9:D2179=1, ROW(D$9:$D2179)-ROW($D$9)+1, 0)))</f>
        <v>49115</v>
      </c>
      <c r="F2180" s="23">
        <f t="shared" si="431"/>
        <v>8.3203285420944564</v>
      </c>
      <c r="G2180" s="5">
        <f>INDEX('Default Prob'!$P$5:$P$14,MIN(1+_xlfn.IFNA(MATCH(F2180,'Default Prob'!$F$5:$F$14,1),0),COUNT('Default Prob'!$P$5:$P$14)))</f>
        <v>5.8652391073922311E-2</v>
      </c>
      <c r="H2180" s="5">
        <f t="shared" si="440"/>
        <v>0.79170551963900004</v>
      </c>
      <c r="I2180" s="24">
        <f t="shared" si="441"/>
        <v>1.2714346416853317E-4</v>
      </c>
      <c r="J2180" s="25">
        <f>INDEX('Default Prob'!$C$3:$C$13, _xlfn.IFNA(MATCH(F2180, 'Default Prob'!$B$3:$B$13, 1), 1))</f>
        <v>2.4E-2</v>
      </c>
      <c r="K2180" s="26">
        <f t="shared" si="432"/>
        <v>0.82092026522930617</v>
      </c>
      <c r="L2180" s="27">
        <f t="shared" ca="1" si="433"/>
        <v>0</v>
      </c>
      <c r="M2180" s="27">
        <f t="shared" ca="1" si="434"/>
        <v>0</v>
      </c>
      <c r="N2180" s="28">
        <f t="shared" ca="1" si="435"/>
        <v>0</v>
      </c>
      <c r="O2180" s="29">
        <f t="shared" ca="1" si="436"/>
        <v>0</v>
      </c>
      <c r="P2180" s="30">
        <f t="shared" ca="1" si="437"/>
        <v>0</v>
      </c>
    </row>
    <row r="2181" spans="1:16" x14ac:dyDescent="0.25">
      <c r="A2181" s="3">
        <f t="shared" si="438"/>
        <v>49165</v>
      </c>
      <c r="B2181" s="21">
        <f t="shared" si="429"/>
        <v>36747</v>
      </c>
      <c r="C2181" s="21">
        <f t="shared" si="430"/>
        <v>36789</v>
      </c>
      <c r="D2181" s="1">
        <f t="shared" si="439"/>
        <v>0</v>
      </c>
      <c r="E2181" s="3">
        <f t="array" ref="E2181">INDEX($A$9:A2180, MAX(IF($D$9:D2180=1, ROW(D$9:$D2180)-ROW($D$9)+1, 0)))</f>
        <v>49115</v>
      </c>
      <c r="F2181" s="23">
        <f t="shared" si="431"/>
        <v>8.3230663928815876</v>
      </c>
      <c r="G2181" s="5">
        <f>INDEX('Default Prob'!$P$5:$P$14,MIN(1+_xlfn.IFNA(MATCH(F2181,'Default Prob'!$F$5:$F$14,1),0),COUNT('Default Prob'!$P$5:$P$14)))</f>
        <v>5.8652391073922311E-2</v>
      </c>
      <c r="H2181" s="5">
        <f t="shared" si="440"/>
        <v>0.79157839659008</v>
      </c>
      <c r="I2181" s="24">
        <f t="shared" si="441"/>
        <v>1.2712304892004145E-4</v>
      </c>
      <c r="J2181" s="25">
        <f>INDEX('Default Prob'!$C$3:$C$13, _xlfn.IFNA(MATCH(F2181, 'Default Prob'!$B$3:$B$13, 1), 1))</f>
        <v>2.4E-2</v>
      </c>
      <c r="K2181" s="26">
        <f t="shared" si="432"/>
        <v>0.82086696270982951</v>
      </c>
      <c r="L2181" s="27">
        <f t="shared" ca="1" si="433"/>
        <v>0</v>
      </c>
      <c r="M2181" s="27">
        <f t="shared" ca="1" si="434"/>
        <v>0</v>
      </c>
      <c r="N2181" s="28">
        <f t="shared" ca="1" si="435"/>
        <v>0</v>
      </c>
      <c r="O2181" s="29">
        <f t="shared" ca="1" si="436"/>
        <v>0</v>
      </c>
      <c r="P2181" s="30">
        <f t="shared" ca="1" si="437"/>
        <v>0</v>
      </c>
    </row>
    <row r="2182" spans="1:16" x14ac:dyDescent="0.25">
      <c r="A2182" s="3">
        <f t="shared" si="438"/>
        <v>49166</v>
      </c>
      <c r="B2182" s="21">
        <f t="shared" si="429"/>
        <v>36748</v>
      </c>
      <c r="C2182" s="21">
        <f t="shared" si="430"/>
        <v>36789</v>
      </c>
      <c r="D2182" s="1">
        <f t="shared" si="439"/>
        <v>0</v>
      </c>
      <c r="E2182" s="3">
        <f t="array" ref="E2182">INDEX($A$9:A2181, MAX(IF($D$9:D2181=1, ROW(D$9:$D2181)-ROW($D$9)+1, 0)))</f>
        <v>49115</v>
      </c>
      <c r="F2182" s="23">
        <f t="shared" si="431"/>
        <v>8.3258042436687205</v>
      </c>
      <c r="G2182" s="5">
        <f>INDEX('Default Prob'!$P$5:$P$14,MIN(1+_xlfn.IFNA(MATCH(F2182,'Default Prob'!$F$5:$F$14,1),0),COUNT('Default Prob'!$P$5:$P$14)))</f>
        <v>5.8652391073922311E-2</v>
      </c>
      <c r="H2182" s="5">
        <f t="shared" si="440"/>
        <v>0.79145129395313019</v>
      </c>
      <c r="I2182" s="24">
        <f t="shared" si="441"/>
        <v>1.2710263694981627E-4</v>
      </c>
      <c r="J2182" s="25">
        <f>INDEX('Default Prob'!$C$3:$C$13, _xlfn.IFNA(MATCH(F2182, 'Default Prob'!$B$3:$B$13, 1), 1))</f>
        <v>2.4E-2</v>
      </c>
      <c r="K2182" s="26">
        <f t="shared" si="432"/>
        <v>0.82081366365129638</v>
      </c>
      <c r="L2182" s="27">
        <f t="shared" ca="1" si="433"/>
        <v>0</v>
      </c>
      <c r="M2182" s="27">
        <f t="shared" ca="1" si="434"/>
        <v>0</v>
      </c>
      <c r="N2182" s="28">
        <f t="shared" ca="1" si="435"/>
        <v>0</v>
      </c>
      <c r="O2182" s="29">
        <f t="shared" ca="1" si="436"/>
        <v>0</v>
      </c>
      <c r="P2182" s="30">
        <f t="shared" ca="1" si="437"/>
        <v>0</v>
      </c>
    </row>
    <row r="2183" spans="1:16" x14ac:dyDescent="0.25">
      <c r="A2183" s="3">
        <f t="shared" si="438"/>
        <v>49167</v>
      </c>
      <c r="B2183" s="21">
        <f t="shared" si="429"/>
        <v>36749</v>
      </c>
      <c r="C2183" s="21">
        <f t="shared" si="430"/>
        <v>36789</v>
      </c>
      <c r="D2183" s="1">
        <f t="shared" si="439"/>
        <v>0</v>
      </c>
      <c r="E2183" s="3">
        <f t="array" ref="E2183">INDEX($A$9:A2182, MAX(IF($D$9:D2182=1, ROW(D$9:$D2182)-ROW($D$9)+1, 0)))</f>
        <v>49115</v>
      </c>
      <c r="F2183" s="23">
        <f t="shared" si="431"/>
        <v>8.3285420944558517</v>
      </c>
      <c r="G2183" s="5">
        <f>INDEX('Default Prob'!$P$5:$P$14,MIN(1+_xlfn.IFNA(MATCH(F2183,'Default Prob'!$F$5:$F$14,1),0),COUNT('Default Prob'!$P$5:$P$14)))</f>
        <v>5.8652391073922311E-2</v>
      </c>
      <c r="H2183" s="5">
        <f t="shared" si="440"/>
        <v>0.79132421172487322</v>
      </c>
      <c r="I2183" s="24">
        <f t="shared" si="441"/>
        <v>1.2708222825696947E-4</v>
      </c>
      <c r="J2183" s="25">
        <f>INDEX('Default Prob'!$C$3:$C$13, _xlfn.IFNA(MATCH(F2183, 'Default Prob'!$B$3:$B$13, 1), 1))</f>
        <v>2.4E-2</v>
      </c>
      <c r="K2183" s="26">
        <f t="shared" si="432"/>
        <v>0.82076036805348174</v>
      </c>
      <c r="L2183" s="27">
        <f t="shared" ca="1" si="433"/>
        <v>0</v>
      </c>
      <c r="M2183" s="27">
        <f t="shared" ca="1" si="434"/>
        <v>0</v>
      </c>
      <c r="N2183" s="28">
        <f t="shared" ca="1" si="435"/>
        <v>0</v>
      </c>
      <c r="O2183" s="29">
        <f t="shared" ca="1" si="436"/>
        <v>0</v>
      </c>
      <c r="P2183" s="30">
        <f t="shared" ca="1" si="437"/>
        <v>0</v>
      </c>
    </row>
    <row r="2184" spans="1:16" x14ac:dyDescent="0.25">
      <c r="A2184" s="3">
        <f t="shared" si="438"/>
        <v>49170</v>
      </c>
      <c r="B2184" s="21">
        <f t="shared" si="429"/>
        <v>36752</v>
      </c>
      <c r="C2184" s="21">
        <f t="shared" si="430"/>
        <v>36789</v>
      </c>
      <c r="D2184" s="1">
        <f t="shared" si="439"/>
        <v>0</v>
      </c>
      <c r="E2184" s="3">
        <f t="array" ref="E2184">INDEX($A$9:A2183, MAX(IF($D$9:D2183=1, ROW(D$9:$D2183)-ROW($D$9)+1, 0)))</f>
        <v>49115</v>
      </c>
      <c r="F2184" s="23">
        <f t="shared" si="431"/>
        <v>8.3367556468172488</v>
      </c>
      <c r="G2184" s="5">
        <f>INDEX('Default Prob'!$P$5:$P$14,MIN(1+_xlfn.IFNA(MATCH(F2184,'Default Prob'!$F$5:$F$14,1),0),COUNT('Default Prob'!$P$5:$P$14)))</f>
        <v>5.8652391073922311E-2</v>
      </c>
      <c r="H2184" s="5">
        <f t="shared" si="440"/>
        <v>0.7909430874594916</v>
      </c>
      <c r="I2184" s="24">
        <f t="shared" si="441"/>
        <v>3.8112426538161603E-4</v>
      </c>
      <c r="J2184" s="25">
        <f>INDEX('Default Prob'!$C$3:$C$13, _xlfn.IFNA(MATCH(F2184, 'Default Prob'!$B$3:$B$13, 1), 1))</f>
        <v>2.4E-2</v>
      </c>
      <c r="K2184" s="26">
        <f t="shared" si="432"/>
        <v>0.82060050202210322</v>
      </c>
      <c r="L2184" s="27">
        <f t="shared" ca="1" si="433"/>
        <v>0</v>
      </c>
      <c r="M2184" s="27">
        <f t="shared" ca="1" si="434"/>
        <v>0</v>
      </c>
      <c r="N2184" s="28">
        <f t="shared" ca="1" si="435"/>
        <v>0</v>
      </c>
      <c r="O2184" s="29">
        <f t="shared" ca="1" si="436"/>
        <v>0</v>
      </c>
      <c r="P2184" s="30">
        <f t="shared" ca="1" si="437"/>
        <v>0</v>
      </c>
    </row>
    <row r="2185" spans="1:16" x14ac:dyDescent="0.25">
      <c r="A2185" s="3">
        <f t="shared" si="438"/>
        <v>49171</v>
      </c>
      <c r="B2185" s="21">
        <f t="shared" ref="B2185:B2248" si="442">DATE(2000, MONTH(A2185), DAY(A2185))</f>
        <v>36753</v>
      </c>
      <c r="C2185" s="21">
        <f t="shared" ref="C2185:C2248" si="443">VLOOKUP(B2185, $R$9:$S$13, 2)</f>
        <v>36789</v>
      </c>
      <c r="D2185" s="1">
        <f t="shared" si="439"/>
        <v>0</v>
      </c>
      <c r="E2185" s="3">
        <f t="array" ref="E2185">INDEX($A$9:A2184, MAX(IF($D$9:D2184=1, ROW(D$9:$D2184)-ROW($D$9)+1, 0)))</f>
        <v>49115</v>
      </c>
      <c r="F2185" s="23">
        <f t="shared" ref="F2185:F2248" si="444">(A2185-$A$2)/365.25</f>
        <v>8.33949349760438</v>
      </c>
      <c r="G2185" s="5">
        <f>INDEX('Default Prob'!$P$5:$P$14,MIN(1+_xlfn.IFNA(MATCH(F2185,'Default Prob'!$F$5:$F$14,1),0),COUNT('Default Prob'!$P$5:$P$14)))</f>
        <v>5.8652391073922311E-2</v>
      </c>
      <c r="H2185" s="5">
        <f t="shared" si="440"/>
        <v>0.79081608683324112</v>
      </c>
      <c r="I2185" s="24">
        <f t="shared" si="441"/>
        <v>1.2700062625048414E-4</v>
      </c>
      <c r="J2185" s="25">
        <f>INDEX('Default Prob'!$C$3:$C$13, _xlfn.IFNA(MATCH(F2185, 'Default Prob'!$B$3:$B$13, 1), 1))</f>
        <v>2.4E-2</v>
      </c>
      <c r="K2185" s="26">
        <f t="shared" ref="K2185:K2248" si="445">1/((1+J2185)^F2185)</f>
        <v>0.82054722026491655</v>
      </c>
      <c r="L2185" s="27">
        <f t="shared" ref="L2185:L2248" ca="1" si="446">IF(AND(D2185, A2185 &lt;= $G$2), $D$5*$D$2*(A2185-E2185)/365.25, 0)</f>
        <v>0</v>
      </c>
      <c r="M2185" s="27">
        <f t="shared" ref="M2185:M2248" ca="1" si="447">IF(A2185&lt;=$G$2, $D$5*$D$2*(A2185-E2185)/365.25, 0)</f>
        <v>0</v>
      </c>
      <c r="N2185" s="28">
        <f t="shared" ref="N2185:N2248" ca="1" si="448">(L2185*H2185 + M2185*I2185) * K2185</f>
        <v>0</v>
      </c>
      <c r="O2185" s="29">
        <f t="shared" ref="O2185:O2248" ca="1" si="449">IF(A2185&lt;=$G$2, $D$2*(1-$D$3), 0)</f>
        <v>0</v>
      </c>
      <c r="P2185" s="30">
        <f t="shared" ref="P2185:P2248" ca="1" si="450">O2185*I2185*K2185</f>
        <v>0</v>
      </c>
    </row>
    <row r="2186" spans="1:16" x14ac:dyDescent="0.25">
      <c r="A2186" s="3">
        <f t="shared" ref="A2186:A2249" si="451">WORKDAY(A2185, 1)</f>
        <v>49172</v>
      </c>
      <c r="B2186" s="21">
        <f t="shared" si="442"/>
        <v>36754</v>
      </c>
      <c r="C2186" s="21">
        <f t="shared" si="443"/>
        <v>36789</v>
      </c>
      <c r="D2186" s="1">
        <f t="shared" ref="D2186:D2249" si="452">IF(OR(C2186=B2186, AND(C2186&lt;&gt;C2185, C2185&gt;B2185)), 1, 0)</f>
        <v>0</v>
      </c>
      <c r="E2186" s="3">
        <f t="array" ref="E2186">INDEX($A$9:A2185, MAX(IF($D$9:D2185=1, ROW(D$9:$D2185)-ROW($D$9)+1, 0)))</f>
        <v>49115</v>
      </c>
      <c r="F2186" s="23">
        <f t="shared" si="444"/>
        <v>8.3422313483915129</v>
      </c>
      <c r="G2186" s="5">
        <f>INDEX('Default Prob'!$P$5:$P$14,MIN(1+_xlfn.IFNA(MATCH(F2186,'Default Prob'!$F$5:$F$14,1),0),COUNT('Default Prob'!$P$5:$P$14)))</f>
        <v>5.8652391073922311E-2</v>
      </c>
      <c r="H2186" s="5">
        <f t="shared" ref="H2186:H2249" si="453">H2185*EXP(-G2185*(F2186-F2185))</f>
        <v>0.79068910659930369</v>
      </c>
      <c r="I2186" s="24">
        <f t="shared" ref="I2186:I2249" si="454">H2185-H2186</f>
        <v>1.2698023393742375E-4</v>
      </c>
      <c r="J2186" s="25">
        <f>INDEX('Default Prob'!$C$3:$C$13, _xlfn.IFNA(MATCH(F2186, 'Default Prob'!$B$3:$B$13, 1), 1))</f>
        <v>2.4E-2</v>
      </c>
      <c r="K2186" s="26">
        <f t="shared" si="445"/>
        <v>0.82049394196732506</v>
      </c>
      <c r="L2186" s="27">
        <f t="shared" ca="1" si="446"/>
        <v>0</v>
      </c>
      <c r="M2186" s="27">
        <f t="shared" ca="1" si="447"/>
        <v>0</v>
      </c>
      <c r="N2186" s="28">
        <f t="shared" ca="1" si="448"/>
        <v>0</v>
      </c>
      <c r="O2186" s="29">
        <f t="shared" ca="1" si="449"/>
        <v>0</v>
      </c>
      <c r="P2186" s="30">
        <f t="shared" ca="1" si="450"/>
        <v>0</v>
      </c>
    </row>
    <row r="2187" spans="1:16" x14ac:dyDescent="0.25">
      <c r="A2187" s="3">
        <f t="shared" si="451"/>
        <v>49173</v>
      </c>
      <c r="B2187" s="21">
        <f t="shared" si="442"/>
        <v>36755</v>
      </c>
      <c r="C2187" s="21">
        <f t="shared" si="443"/>
        <v>36789</v>
      </c>
      <c r="D2187" s="1">
        <f t="shared" si="452"/>
        <v>0</v>
      </c>
      <c r="E2187" s="3">
        <f t="array" ref="E2187">INDEX($A$9:A2186, MAX(IF($D$9:D2186=1, ROW(D$9:$D2186)-ROW($D$9)+1, 0)))</f>
        <v>49115</v>
      </c>
      <c r="F2187" s="23">
        <f t="shared" si="444"/>
        <v>8.3449691991786441</v>
      </c>
      <c r="G2187" s="5">
        <f>INDEX('Default Prob'!$P$5:$P$14,MIN(1+_xlfn.IFNA(MATCH(F2187,'Default Prob'!$F$5:$F$14,1),0),COUNT('Default Prob'!$P$5:$P$14)))</f>
        <v>5.8652391073922311E-2</v>
      </c>
      <c r="H2187" s="5">
        <f t="shared" si="453"/>
        <v>0.79056214675440506</v>
      </c>
      <c r="I2187" s="24">
        <f t="shared" si="454"/>
        <v>1.269598448986331E-4</v>
      </c>
      <c r="J2187" s="25">
        <f>INDEX('Default Prob'!$C$3:$C$13, _xlfn.IFNA(MATCH(F2187, 'Default Prob'!$B$3:$B$13, 1), 1))</f>
        <v>2.4E-2</v>
      </c>
      <c r="K2187" s="26">
        <f t="shared" si="445"/>
        <v>0.82044066712910435</v>
      </c>
      <c r="L2187" s="27">
        <f t="shared" ca="1" si="446"/>
        <v>0</v>
      </c>
      <c r="M2187" s="27">
        <f t="shared" ca="1" si="447"/>
        <v>0</v>
      </c>
      <c r="N2187" s="28">
        <f t="shared" ca="1" si="448"/>
        <v>0</v>
      </c>
      <c r="O2187" s="29">
        <f t="shared" ca="1" si="449"/>
        <v>0</v>
      </c>
      <c r="P2187" s="30">
        <f t="shared" ca="1" si="450"/>
        <v>0</v>
      </c>
    </row>
    <row r="2188" spans="1:16" x14ac:dyDescent="0.25">
      <c r="A2188" s="3">
        <f t="shared" si="451"/>
        <v>49174</v>
      </c>
      <c r="B2188" s="21">
        <f t="shared" si="442"/>
        <v>36756</v>
      </c>
      <c r="C2188" s="21">
        <f t="shared" si="443"/>
        <v>36789</v>
      </c>
      <c r="D2188" s="1">
        <f t="shared" si="452"/>
        <v>0</v>
      </c>
      <c r="E2188" s="3">
        <f t="array" ref="E2188">INDEX($A$9:A2187, MAX(IF($D$9:D2187=1, ROW(D$9:$D2187)-ROW($D$9)+1, 0)))</f>
        <v>49115</v>
      </c>
      <c r="F2188" s="23">
        <f t="shared" si="444"/>
        <v>8.3477070499657771</v>
      </c>
      <c r="G2188" s="5">
        <f>INDEX('Default Prob'!$P$5:$P$14,MIN(1+_xlfn.IFNA(MATCH(F2188,'Default Prob'!$F$5:$F$14,1),0),COUNT('Default Prob'!$P$5:$P$14)))</f>
        <v>5.8652391073922311E-2</v>
      </c>
      <c r="H2188" s="5">
        <f t="shared" si="453"/>
        <v>0.79043520729527117</v>
      </c>
      <c r="I2188" s="24">
        <f t="shared" si="454"/>
        <v>1.2693945913389015E-4</v>
      </c>
      <c r="J2188" s="25">
        <f>INDEX('Default Prob'!$C$3:$C$13, _xlfn.IFNA(MATCH(F2188, 'Default Prob'!$B$3:$B$13, 1), 1))</f>
        <v>2.4E-2</v>
      </c>
      <c r="K2188" s="26">
        <f t="shared" si="445"/>
        <v>0.82038739575002961</v>
      </c>
      <c r="L2188" s="27">
        <f t="shared" ca="1" si="446"/>
        <v>0</v>
      </c>
      <c r="M2188" s="27">
        <f t="shared" ca="1" si="447"/>
        <v>0</v>
      </c>
      <c r="N2188" s="28">
        <f t="shared" ca="1" si="448"/>
        <v>0</v>
      </c>
      <c r="O2188" s="29">
        <f t="shared" ca="1" si="449"/>
        <v>0</v>
      </c>
      <c r="P2188" s="30">
        <f t="shared" ca="1" si="450"/>
        <v>0</v>
      </c>
    </row>
    <row r="2189" spans="1:16" x14ac:dyDescent="0.25">
      <c r="A2189" s="3">
        <f t="shared" si="451"/>
        <v>49177</v>
      </c>
      <c r="B2189" s="21">
        <f t="shared" si="442"/>
        <v>36759</v>
      </c>
      <c r="C2189" s="21">
        <f t="shared" si="443"/>
        <v>36789</v>
      </c>
      <c r="D2189" s="1">
        <f t="shared" si="452"/>
        <v>0</v>
      </c>
      <c r="E2189" s="3">
        <f t="array" ref="E2189">INDEX($A$9:A2188, MAX(IF($D$9:D2188=1, ROW(D$9:$D2188)-ROW($D$9)+1, 0)))</f>
        <v>49115</v>
      </c>
      <c r="F2189" s="23">
        <f t="shared" si="444"/>
        <v>8.3559206023271724</v>
      </c>
      <c r="G2189" s="5">
        <f>INDEX('Default Prob'!$P$5:$P$14,MIN(1+_xlfn.IFNA(MATCH(F2189,'Default Prob'!$F$5:$F$14,1),0),COUNT('Default Prob'!$P$5:$P$14)))</f>
        <v>5.8652391073922311E-2</v>
      </c>
      <c r="H2189" s="5">
        <f t="shared" si="453"/>
        <v>0.79005451119972836</v>
      </c>
      <c r="I2189" s="24">
        <f t="shared" si="454"/>
        <v>3.8069609554280959E-4</v>
      </c>
      <c r="J2189" s="25">
        <f>INDEX('Default Prob'!$C$3:$C$13, _xlfn.IFNA(MATCH(F2189, 'Default Prob'!$B$3:$B$13, 1), 1))</f>
        <v>2.4E-2</v>
      </c>
      <c r="K2189" s="26">
        <f t="shared" si="445"/>
        <v>0.82022760236543624</v>
      </c>
      <c r="L2189" s="27">
        <f t="shared" ca="1" si="446"/>
        <v>0</v>
      </c>
      <c r="M2189" s="27">
        <f t="shared" ca="1" si="447"/>
        <v>0</v>
      </c>
      <c r="N2189" s="28">
        <f t="shared" ca="1" si="448"/>
        <v>0</v>
      </c>
      <c r="O2189" s="29">
        <f t="shared" ca="1" si="449"/>
        <v>0</v>
      </c>
      <c r="P2189" s="30">
        <f t="shared" ca="1" si="450"/>
        <v>0</v>
      </c>
    </row>
    <row r="2190" spans="1:16" x14ac:dyDescent="0.25">
      <c r="A2190" s="3">
        <f t="shared" si="451"/>
        <v>49178</v>
      </c>
      <c r="B2190" s="21">
        <f t="shared" si="442"/>
        <v>36760</v>
      </c>
      <c r="C2190" s="21">
        <f t="shared" si="443"/>
        <v>36789</v>
      </c>
      <c r="D2190" s="1">
        <f t="shared" si="452"/>
        <v>0</v>
      </c>
      <c r="E2190" s="3">
        <f t="array" ref="E2190">INDEX($A$9:A2189, MAX(IF($D$9:D2189=1, ROW(D$9:$D2189)-ROW($D$9)+1, 0)))</f>
        <v>49115</v>
      </c>
      <c r="F2190" s="23">
        <f t="shared" si="444"/>
        <v>8.3586584531143053</v>
      </c>
      <c r="G2190" s="5">
        <f>INDEX('Default Prob'!$P$5:$P$14,MIN(1+_xlfn.IFNA(MATCH(F2190,'Default Prob'!$F$5:$F$14,1),0),COUNT('Default Prob'!$P$5:$P$14)))</f>
        <v>5.8652391073922311E-2</v>
      </c>
      <c r="H2190" s="5">
        <f t="shared" si="453"/>
        <v>0.78992765325092607</v>
      </c>
      <c r="I2190" s="24">
        <f t="shared" si="454"/>
        <v>1.2685794880229473E-4</v>
      </c>
      <c r="J2190" s="25">
        <f>INDEX('Default Prob'!$C$3:$C$13, _xlfn.IFNA(MATCH(F2190, 'Default Prob'!$B$3:$B$13, 1), 1))</f>
        <v>2.4E-2</v>
      </c>
      <c r="K2190" s="26">
        <f t="shared" si="445"/>
        <v>0.82017434482069973</v>
      </c>
      <c r="L2190" s="27">
        <f t="shared" ca="1" si="446"/>
        <v>0</v>
      </c>
      <c r="M2190" s="27">
        <f t="shared" ca="1" si="447"/>
        <v>0</v>
      </c>
      <c r="N2190" s="28">
        <f t="shared" ca="1" si="448"/>
        <v>0</v>
      </c>
      <c r="O2190" s="29">
        <f t="shared" ca="1" si="449"/>
        <v>0</v>
      </c>
      <c r="P2190" s="30">
        <f t="shared" ca="1" si="450"/>
        <v>0</v>
      </c>
    </row>
    <row r="2191" spans="1:16" x14ac:dyDescent="0.25">
      <c r="A2191" s="3">
        <f t="shared" si="451"/>
        <v>49179</v>
      </c>
      <c r="B2191" s="21">
        <f t="shared" si="442"/>
        <v>36761</v>
      </c>
      <c r="C2191" s="21">
        <f t="shared" si="443"/>
        <v>36789</v>
      </c>
      <c r="D2191" s="1">
        <f t="shared" si="452"/>
        <v>0</v>
      </c>
      <c r="E2191" s="3">
        <f t="array" ref="E2191">INDEX($A$9:A2190, MAX(IF($D$9:D2190=1, ROW(D$9:$D2190)-ROW($D$9)+1, 0)))</f>
        <v>49115</v>
      </c>
      <c r="F2191" s="23">
        <f t="shared" si="444"/>
        <v>8.3613963039014365</v>
      </c>
      <c r="G2191" s="5">
        <f>INDEX('Default Prob'!$P$5:$P$14,MIN(1+_xlfn.IFNA(MATCH(F2191,'Default Prob'!$F$5:$F$14,1),0),COUNT('Default Prob'!$P$5:$P$14)))</f>
        <v>5.8652391073922311E-2</v>
      </c>
      <c r="H2191" s="5">
        <f t="shared" si="453"/>
        <v>0.78980081567152749</v>
      </c>
      <c r="I2191" s="24">
        <f t="shared" si="454"/>
        <v>1.2683757939857543E-4</v>
      </c>
      <c r="J2191" s="25">
        <f>INDEX('Default Prob'!$C$3:$C$13, _xlfn.IFNA(MATCH(F2191, 'Default Prob'!$B$3:$B$13, 1), 1))</f>
        <v>2.4E-2</v>
      </c>
      <c r="K2191" s="26">
        <f t="shared" si="445"/>
        <v>0.82012109073398676</v>
      </c>
      <c r="L2191" s="27">
        <f t="shared" ca="1" si="446"/>
        <v>0</v>
      </c>
      <c r="M2191" s="27">
        <f t="shared" ca="1" si="447"/>
        <v>0</v>
      </c>
      <c r="N2191" s="28">
        <f t="shared" ca="1" si="448"/>
        <v>0</v>
      </c>
      <c r="O2191" s="29">
        <f t="shared" ca="1" si="449"/>
        <v>0</v>
      </c>
      <c r="P2191" s="30">
        <f t="shared" ca="1" si="450"/>
        <v>0</v>
      </c>
    </row>
    <row r="2192" spans="1:16" x14ac:dyDescent="0.25">
      <c r="A2192" s="3">
        <f t="shared" si="451"/>
        <v>49180</v>
      </c>
      <c r="B2192" s="21">
        <f t="shared" si="442"/>
        <v>36762</v>
      </c>
      <c r="C2192" s="21">
        <f t="shared" si="443"/>
        <v>36789</v>
      </c>
      <c r="D2192" s="1">
        <f t="shared" si="452"/>
        <v>0</v>
      </c>
      <c r="E2192" s="3">
        <f t="array" ref="E2192">INDEX($A$9:A2191, MAX(IF($D$9:D2191=1, ROW(D$9:$D2191)-ROW($D$9)+1, 0)))</f>
        <v>49115</v>
      </c>
      <c r="F2192" s="23">
        <f t="shared" si="444"/>
        <v>8.3641341546885695</v>
      </c>
      <c r="G2192" s="5">
        <f>INDEX('Default Prob'!$P$5:$P$14,MIN(1+_xlfn.IFNA(MATCH(F2192,'Default Prob'!$F$5:$F$14,1),0),COUNT('Default Prob'!$P$5:$P$14)))</f>
        <v>5.8652391073922311E-2</v>
      </c>
      <c r="H2192" s="5">
        <f t="shared" si="453"/>
        <v>0.78967399845826169</v>
      </c>
      <c r="I2192" s="24">
        <f t="shared" si="454"/>
        <v>1.268172132657952E-4</v>
      </c>
      <c r="J2192" s="25">
        <f>INDEX('Default Prob'!$C$3:$C$13, _xlfn.IFNA(MATCH(F2192, 'Default Prob'!$B$3:$B$13, 1), 1))</f>
        <v>2.4E-2</v>
      </c>
      <c r="K2192" s="26">
        <f t="shared" si="445"/>
        <v>0.82006784010507217</v>
      </c>
      <c r="L2192" s="27">
        <f t="shared" ca="1" si="446"/>
        <v>0</v>
      </c>
      <c r="M2192" s="27">
        <f t="shared" ca="1" si="447"/>
        <v>0</v>
      </c>
      <c r="N2192" s="28">
        <f t="shared" ca="1" si="448"/>
        <v>0</v>
      </c>
      <c r="O2192" s="29">
        <f t="shared" ca="1" si="449"/>
        <v>0</v>
      </c>
      <c r="P2192" s="30">
        <f t="shared" ca="1" si="450"/>
        <v>0</v>
      </c>
    </row>
    <row r="2193" spans="1:16" x14ac:dyDescent="0.25">
      <c r="A2193" s="3">
        <f t="shared" si="451"/>
        <v>49181</v>
      </c>
      <c r="B2193" s="21">
        <f t="shared" si="442"/>
        <v>36763</v>
      </c>
      <c r="C2193" s="21">
        <f t="shared" si="443"/>
        <v>36789</v>
      </c>
      <c r="D2193" s="1">
        <f t="shared" si="452"/>
        <v>0</v>
      </c>
      <c r="E2193" s="3">
        <f t="array" ref="E2193">INDEX($A$9:A2192, MAX(IF($D$9:D2192=1, ROW(D$9:$D2192)-ROW($D$9)+1, 0)))</f>
        <v>49115</v>
      </c>
      <c r="F2193" s="23">
        <f t="shared" si="444"/>
        <v>8.3668720054757024</v>
      </c>
      <c r="G2193" s="5">
        <f>INDEX('Default Prob'!$P$5:$P$14,MIN(1+_xlfn.IFNA(MATCH(F2193,'Default Prob'!$F$5:$F$14,1),0),COUNT('Default Prob'!$P$5:$P$14)))</f>
        <v>5.8652391073922311E-2</v>
      </c>
      <c r="H2193" s="5">
        <f t="shared" si="453"/>
        <v>0.78954720160785863</v>
      </c>
      <c r="I2193" s="24">
        <f t="shared" si="454"/>
        <v>1.2679685040306587E-4</v>
      </c>
      <c r="J2193" s="25">
        <f>INDEX('Default Prob'!$C$3:$C$13, _xlfn.IFNA(MATCH(F2193, 'Default Prob'!$B$3:$B$13, 1), 1))</f>
        <v>2.4E-2</v>
      </c>
      <c r="K2193" s="26">
        <f t="shared" si="445"/>
        <v>0.82001459293373202</v>
      </c>
      <c r="L2193" s="27">
        <f t="shared" ca="1" si="446"/>
        <v>0</v>
      </c>
      <c r="M2193" s="27">
        <f t="shared" ca="1" si="447"/>
        <v>0</v>
      </c>
      <c r="N2193" s="28">
        <f t="shared" ca="1" si="448"/>
        <v>0</v>
      </c>
      <c r="O2193" s="29">
        <f t="shared" ca="1" si="449"/>
        <v>0</v>
      </c>
      <c r="P2193" s="30">
        <f t="shared" ca="1" si="450"/>
        <v>0</v>
      </c>
    </row>
    <row r="2194" spans="1:16" x14ac:dyDescent="0.25">
      <c r="A2194" s="3">
        <f t="shared" si="451"/>
        <v>49184</v>
      </c>
      <c r="B2194" s="21">
        <f t="shared" si="442"/>
        <v>36766</v>
      </c>
      <c r="C2194" s="21">
        <f t="shared" si="443"/>
        <v>36789</v>
      </c>
      <c r="D2194" s="1">
        <f t="shared" si="452"/>
        <v>0</v>
      </c>
      <c r="E2194" s="3">
        <f t="array" ref="E2194">INDEX($A$9:A2193, MAX(IF($D$9:D2193=1, ROW(D$9:$D2193)-ROW($D$9)+1, 0)))</f>
        <v>49115</v>
      </c>
      <c r="F2194" s="23">
        <f t="shared" si="444"/>
        <v>8.3750855578370977</v>
      </c>
      <c r="G2194" s="5">
        <f>INDEX('Default Prob'!$P$5:$P$14,MIN(1+_xlfn.IFNA(MATCH(F2194,'Default Prob'!$F$5:$F$14,1),0),COUNT('Default Prob'!$P$5:$P$14)))</f>
        <v>5.8652391073922311E-2</v>
      </c>
      <c r="H2194" s="5">
        <f t="shared" si="453"/>
        <v>0.78916693320113196</v>
      </c>
      <c r="I2194" s="24">
        <f t="shared" si="454"/>
        <v>3.8026840672666928E-4</v>
      </c>
      <c r="J2194" s="25">
        <f>INDEX('Default Prob'!$C$3:$C$13, _xlfn.IFNA(MATCH(F2194, 'Default Prob'!$B$3:$B$13, 1), 1))</f>
        <v>2.4E-2</v>
      </c>
      <c r="K2194" s="26">
        <f t="shared" si="445"/>
        <v>0.81985487216291097</v>
      </c>
      <c r="L2194" s="27">
        <f t="shared" ca="1" si="446"/>
        <v>0</v>
      </c>
      <c r="M2194" s="27">
        <f t="shared" ca="1" si="447"/>
        <v>0</v>
      </c>
      <c r="N2194" s="28">
        <f t="shared" ca="1" si="448"/>
        <v>0</v>
      </c>
      <c r="O2194" s="29">
        <f t="shared" ca="1" si="449"/>
        <v>0</v>
      </c>
      <c r="P2194" s="30">
        <f t="shared" ca="1" si="450"/>
        <v>0</v>
      </c>
    </row>
    <row r="2195" spans="1:16" x14ac:dyDescent="0.25">
      <c r="A2195" s="3">
        <f t="shared" si="451"/>
        <v>49185</v>
      </c>
      <c r="B2195" s="21">
        <f t="shared" si="442"/>
        <v>36767</v>
      </c>
      <c r="C2195" s="21">
        <f t="shared" si="443"/>
        <v>36789</v>
      </c>
      <c r="D2195" s="1">
        <f t="shared" si="452"/>
        <v>0</v>
      </c>
      <c r="E2195" s="3">
        <f t="array" ref="E2195">INDEX($A$9:A2194, MAX(IF($D$9:D2194=1, ROW(D$9:$D2194)-ROW($D$9)+1, 0)))</f>
        <v>49115</v>
      </c>
      <c r="F2195" s="23">
        <f t="shared" si="444"/>
        <v>8.3778234086242307</v>
      </c>
      <c r="G2195" s="5">
        <f>INDEX('Default Prob'!$P$5:$P$14,MIN(1+_xlfn.IFNA(MATCH(F2195,'Default Prob'!$F$5:$F$14,1),0),COUNT('Default Prob'!$P$5:$P$14)))</f>
        <v>5.8652391073922311E-2</v>
      </c>
      <c r="H2195" s="5">
        <f t="shared" si="453"/>
        <v>0.78904021776948863</v>
      </c>
      <c r="I2195" s="24">
        <f t="shared" si="454"/>
        <v>1.2671543164333166E-4</v>
      </c>
      <c r="J2195" s="25">
        <f>INDEX('Default Prob'!$C$3:$C$13, _xlfn.IFNA(MATCH(F2195, 'Default Prob'!$B$3:$B$13, 1), 1))</f>
        <v>2.4E-2</v>
      </c>
      <c r="K2195" s="26">
        <f t="shared" si="445"/>
        <v>0.81980163881962231</v>
      </c>
      <c r="L2195" s="27">
        <f t="shared" ca="1" si="446"/>
        <v>0</v>
      </c>
      <c r="M2195" s="27">
        <f t="shared" ca="1" si="447"/>
        <v>0</v>
      </c>
      <c r="N2195" s="28">
        <f t="shared" ca="1" si="448"/>
        <v>0</v>
      </c>
      <c r="O2195" s="29">
        <f t="shared" ca="1" si="449"/>
        <v>0</v>
      </c>
      <c r="P2195" s="30">
        <f t="shared" ca="1" si="450"/>
        <v>0</v>
      </c>
    </row>
    <row r="2196" spans="1:16" x14ac:dyDescent="0.25">
      <c r="A2196" s="3">
        <f t="shared" si="451"/>
        <v>49186</v>
      </c>
      <c r="B2196" s="21">
        <f t="shared" si="442"/>
        <v>36768</v>
      </c>
      <c r="C2196" s="21">
        <f t="shared" si="443"/>
        <v>36789</v>
      </c>
      <c r="D2196" s="1">
        <f t="shared" si="452"/>
        <v>0</v>
      </c>
      <c r="E2196" s="3">
        <f t="array" ref="E2196">INDEX($A$9:A2195, MAX(IF($D$9:D2195=1, ROW(D$9:$D2195)-ROW($D$9)+1, 0)))</f>
        <v>49115</v>
      </c>
      <c r="F2196" s="23">
        <f t="shared" si="444"/>
        <v>8.3805612594113619</v>
      </c>
      <c r="G2196" s="5">
        <f>INDEX('Default Prob'!$P$5:$P$14,MIN(1+_xlfn.IFNA(MATCH(F2196,'Default Prob'!$F$5:$F$14,1),0),COUNT('Default Prob'!$P$5:$P$14)))</f>
        <v>5.8652391073922311E-2</v>
      </c>
      <c r="H2196" s="5">
        <f t="shared" si="453"/>
        <v>0.7889135226843651</v>
      </c>
      <c r="I2196" s="24">
        <f t="shared" si="454"/>
        <v>1.2669508512352934E-4</v>
      </c>
      <c r="J2196" s="25">
        <f>INDEX('Default Prob'!$C$3:$C$13, _xlfn.IFNA(MATCH(F2196, 'Default Prob'!$B$3:$B$13, 1), 1))</f>
        <v>2.4E-2</v>
      </c>
      <c r="K2196" s="26">
        <f t="shared" si="445"/>
        <v>0.81974840893278567</v>
      </c>
      <c r="L2196" s="27">
        <f t="shared" ca="1" si="446"/>
        <v>0</v>
      </c>
      <c r="M2196" s="27">
        <f t="shared" ca="1" si="447"/>
        <v>0</v>
      </c>
      <c r="N2196" s="28">
        <f t="shared" ca="1" si="448"/>
        <v>0</v>
      </c>
      <c r="O2196" s="29">
        <f t="shared" ca="1" si="449"/>
        <v>0</v>
      </c>
      <c r="P2196" s="30">
        <f t="shared" ca="1" si="450"/>
        <v>0</v>
      </c>
    </row>
    <row r="2197" spans="1:16" x14ac:dyDescent="0.25">
      <c r="A2197" s="3">
        <f t="shared" si="451"/>
        <v>49187</v>
      </c>
      <c r="B2197" s="21">
        <f t="shared" si="442"/>
        <v>36769</v>
      </c>
      <c r="C2197" s="21">
        <f t="shared" si="443"/>
        <v>36789</v>
      </c>
      <c r="D2197" s="1">
        <f t="shared" si="452"/>
        <v>0</v>
      </c>
      <c r="E2197" s="3">
        <f t="array" ref="E2197">INDEX($A$9:A2196, MAX(IF($D$9:D2196=1, ROW(D$9:$D2196)-ROW($D$9)+1, 0)))</f>
        <v>49115</v>
      </c>
      <c r="F2197" s="23">
        <f t="shared" si="444"/>
        <v>8.3832991101984948</v>
      </c>
      <c r="G2197" s="5">
        <f>INDEX('Default Prob'!$P$5:$P$14,MIN(1+_xlfn.IFNA(MATCH(F2197,'Default Prob'!$F$5:$F$14,1),0),COUNT('Default Prob'!$P$5:$P$14)))</f>
        <v>5.8652391073922311E-2</v>
      </c>
      <c r="H2197" s="5">
        <f t="shared" si="453"/>
        <v>0.78878684794249432</v>
      </c>
      <c r="I2197" s="24">
        <f t="shared" si="454"/>
        <v>1.2667474187078032E-4</v>
      </c>
      <c r="J2197" s="25">
        <f>INDEX('Default Prob'!$C$3:$C$13, _xlfn.IFNA(MATCH(F2197, 'Default Prob'!$B$3:$B$13, 1), 1))</f>
        <v>2.4E-2</v>
      </c>
      <c r="K2197" s="26">
        <f t="shared" si="445"/>
        <v>0.8196951825021761</v>
      </c>
      <c r="L2197" s="27">
        <f t="shared" ca="1" si="446"/>
        <v>0</v>
      </c>
      <c r="M2197" s="27">
        <f t="shared" ca="1" si="447"/>
        <v>0</v>
      </c>
      <c r="N2197" s="28">
        <f t="shared" ca="1" si="448"/>
        <v>0</v>
      </c>
      <c r="O2197" s="29">
        <f t="shared" ca="1" si="449"/>
        <v>0</v>
      </c>
      <c r="P2197" s="30">
        <f t="shared" ca="1" si="450"/>
        <v>0</v>
      </c>
    </row>
    <row r="2198" spans="1:16" x14ac:dyDescent="0.25">
      <c r="A2198" s="3">
        <f t="shared" si="451"/>
        <v>49188</v>
      </c>
      <c r="B2198" s="21">
        <f t="shared" si="442"/>
        <v>36770</v>
      </c>
      <c r="C2198" s="21">
        <f t="shared" si="443"/>
        <v>36789</v>
      </c>
      <c r="D2198" s="1">
        <f t="shared" si="452"/>
        <v>0</v>
      </c>
      <c r="E2198" s="3">
        <f t="array" ref="E2198">INDEX($A$9:A2197, MAX(IF($D$9:D2197=1, ROW(D$9:$D2197)-ROW($D$9)+1, 0)))</f>
        <v>49115</v>
      </c>
      <c r="F2198" s="23">
        <f t="shared" si="444"/>
        <v>8.386036960985626</v>
      </c>
      <c r="G2198" s="5">
        <f>INDEX('Default Prob'!$P$5:$P$14,MIN(1+_xlfn.IFNA(MATCH(F2198,'Default Prob'!$F$5:$F$14,1),0),COUNT('Default Prob'!$P$5:$P$14)))</f>
        <v>5.8652391073922311E-2</v>
      </c>
      <c r="H2198" s="5">
        <f t="shared" si="453"/>
        <v>0.7886601935406099</v>
      </c>
      <c r="I2198" s="24">
        <f t="shared" si="454"/>
        <v>1.2665440188441845E-4</v>
      </c>
      <c r="J2198" s="25">
        <f>INDEX('Default Prob'!$C$3:$C$13, _xlfn.IFNA(MATCH(F2198, 'Default Prob'!$B$3:$B$13, 1), 1))</f>
        <v>2.4E-2</v>
      </c>
      <c r="K2198" s="26">
        <f t="shared" si="445"/>
        <v>0.81964195952756969</v>
      </c>
      <c r="L2198" s="27">
        <f t="shared" ca="1" si="446"/>
        <v>0</v>
      </c>
      <c r="M2198" s="27">
        <f t="shared" ca="1" si="447"/>
        <v>0</v>
      </c>
      <c r="N2198" s="28">
        <f t="shared" ca="1" si="448"/>
        <v>0</v>
      </c>
      <c r="O2198" s="29">
        <f t="shared" ca="1" si="449"/>
        <v>0</v>
      </c>
      <c r="P2198" s="30">
        <f t="shared" ca="1" si="450"/>
        <v>0</v>
      </c>
    </row>
    <row r="2199" spans="1:16" x14ac:dyDescent="0.25">
      <c r="A2199" s="3">
        <f t="shared" si="451"/>
        <v>49191</v>
      </c>
      <c r="B2199" s="21">
        <f t="shared" si="442"/>
        <v>36773</v>
      </c>
      <c r="C2199" s="21">
        <f t="shared" si="443"/>
        <v>36789</v>
      </c>
      <c r="D2199" s="1">
        <f t="shared" si="452"/>
        <v>0</v>
      </c>
      <c r="E2199" s="3">
        <f t="array" ref="E2199">INDEX($A$9:A2198, MAX(IF($D$9:D2198=1, ROW(D$9:$D2198)-ROW($D$9)+1, 0)))</f>
        <v>49115</v>
      </c>
      <c r="F2199" s="23">
        <f t="shared" si="444"/>
        <v>8.3942505133470231</v>
      </c>
      <c r="G2199" s="5">
        <f>INDEX('Default Prob'!$P$5:$P$14,MIN(1+_xlfn.IFNA(MATCH(F2199,'Default Prob'!$F$5:$F$14,1),0),COUNT('Default Prob'!$P$5:$P$14)))</f>
        <v>5.8652391073922311E-2</v>
      </c>
      <c r="H2199" s="5">
        <f t="shared" si="453"/>
        <v>0.78828035234221694</v>
      </c>
      <c r="I2199" s="24">
        <f t="shared" si="454"/>
        <v>3.798411983929606E-4</v>
      </c>
      <c r="J2199" s="25">
        <f>INDEX('Default Prob'!$C$3:$C$13, _xlfn.IFNA(MATCH(F2199, 'Default Prob'!$B$3:$B$13, 1), 1))</f>
        <v>2.4E-2</v>
      </c>
      <c r="K2199" s="26">
        <f t="shared" si="445"/>
        <v>0.81948231133752392</v>
      </c>
      <c r="L2199" s="27">
        <f t="shared" ca="1" si="446"/>
        <v>0</v>
      </c>
      <c r="M2199" s="27">
        <f t="shared" ca="1" si="447"/>
        <v>0</v>
      </c>
      <c r="N2199" s="28">
        <f t="shared" ca="1" si="448"/>
        <v>0</v>
      </c>
      <c r="O2199" s="29">
        <f t="shared" ca="1" si="449"/>
        <v>0</v>
      </c>
      <c r="P2199" s="30">
        <f t="shared" ca="1" si="450"/>
        <v>0</v>
      </c>
    </row>
    <row r="2200" spans="1:16" x14ac:dyDescent="0.25">
      <c r="A2200" s="3">
        <f t="shared" si="451"/>
        <v>49192</v>
      </c>
      <c r="B2200" s="21">
        <f t="shared" si="442"/>
        <v>36774</v>
      </c>
      <c r="C2200" s="21">
        <f t="shared" si="443"/>
        <v>36789</v>
      </c>
      <c r="D2200" s="1">
        <f t="shared" si="452"/>
        <v>0</v>
      </c>
      <c r="E2200" s="3">
        <f t="array" ref="E2200">INDEX($A$9:A2199, MAX(IF($D$9:D2199=1, ROW(D$9:$D2199)-ROW($D$9)+1, 0)))</f>
        <v>49115</v>
      </c>
      <c r="F2200" s="23">
        <f t="shared" si="444"/>
        <v>8.3969883641341543</v>
      </c>
      <c r="G2200" s="5">
        <f>INDEX('Default Prob'!$P$5:$P$14,MIN(1+_xlfn.IFNA(MATCH(F2200,'Default Prob'!$F$5:$F$14,1),0),COUNT('Default Prob'!$P$5:$P$14)))</f>
        <v>5.8652391073922311E-2</v>
      </c>
      <c r="H2200" s="5">
        <f t="shared" si="453"/>
        <v>0.7881537792676232</v>
      </c>
      <c r="I2200" s="24">
        <f t="shared" si="454"/>
        <v>1.2657307459373879E-4</v>
      </c>
      <c r="J2200" s="25">
        <f>INDEX('Default Prob'!$C$3:$C$13, _xlfn.IFNA(MATCH(F2200, 'Default Prob'!$B$3:$B$13, 1), 1))</f>
        <v>2.4E-2</v>
      </c>
      <c r="K2200" s="26">
        <f t="shared" si="445"/>
        <v>0.81942910218468545</v>
      </c>
      <c r="L2200" s="27">
        <f t="shared" ca="1" si="446"/>
        <v>0</v>
      </c>
      <c r="M2200" s="27">
        <f t="shared" ca="1" si="447"/>
        <v>0</v>
      </c>
      <c r="N2200" s="28">
        <f t="shared" ca="1" si="448"/>
        <v>0</v>
      </c>
      <c r="O2200" s="29">
        <f t="shared" ca="1" si="449"/>
        <v>0</v>
      </c>
      <c r="P2200" s="30">
        <f t="shared" ca="1" si="450"/>
        <v>0</v>
      </c>
    </row>
    <row r="2201" spans="1:16" x14ac:dyDescent="0.25">
      <c r="A2201" s="3">
        <f t="shared" si="451"/>
        <v>49193</v>
      </c>
      <c r="B2201" s="21">
        <f t="shared" si="442"/>
        <v>36775</v>
      </c>
      <c r="C2201" s="21">
        <f t="shared" si="443"/>
        <v>36789</v>
      </c>
      <c r="D2201" s="1">
        <f t="shared" si="452"/>
        <v>0</v>
      </c>
      <c r="E2201" s="3">
        <f t="array" ref="E2201">INDEX($A$9:A2200, MAX(IF($D$9:D2200=1, ROW(D$9:$D2200)-ROW($D$9)+1, 0)))</f>
        <v>49115</v>
      </c>
      <c r="F2201" s="23">
        <f t="shared" si="444"/>
        <v>8.3997262149212872</v>
      </c>
      <c r="G2201" s="5">
        <f>INDEX('Default Prob'!$P$5:$P$14,MIN(1+_xlfn.IFNA(MATCH(F2201,'Default Prob'!$F$5:$F$14,1),0),COUNT('Default Prob'!$P$5:$P$14)))</f>
        <v>5.8652391073922311E-2</v>
      </c>
      <c r="H2201" s="5">
        <f t="shared" si="453"/>
        <v>0.7880272265166911</v>
      </c>
      <c r="I2201" s="24">
        <f t="shared" si="454"/>
        <v>1.2655275093209628E-4</v>
      </c>
      <c r="J2201" s="25">
        <f>INDEX('Default Prob'!$C$3:$C$13, _xlfn.IFNA(MATCH(F2201, 'Default Prob'!$B$3:$B$13, 1), 1))</f>
        <v>2.4E-2</v>
      </c>
      <c r="K2201" s="26">
        <f t="shared" si="445"/>
        <v>0.81937589648672782</v>
      </c>
      <c r="L2201" s="27">
        <f t="shared" ca="1" si="446"/>
        <v>0</v>
      </c>
      <c r="M2201" s="27">
        <f t="shared" ca="1" si="447"/>
        <v>0</v>
      </c>
      <c r="N2201" s="28">
        <f t="shared" ca="1" si="448"/>
        <v>0</v>
      </c>
      <c r="O2201" s="29">
        <f t="shared" ca="1" si="449"/>
        <v>0</v>
      </c>
      <c r="P2201" s="30">
        <f t="shared" ca="1" si="450"/>
        <v>0</v>
      </c>
    </row>
    <row r="2202" spans="1:16" x14ac:dyDescent="0.25">
      <c r="A2202" s="3">
        <f t="shared" si="451"/>
        <v>49194</v>
      </c>
      <c r="B2202" s="21">
        <f t="shared" si="442"/>
        <v>36776</v>
      </c>
      <c r="C2202" s="21">
        <f t="shared" si="443"/>
        <v>36789</v>
      </c>
      <c r="D2202" s="1">
        <f t="shared" si="452"/>
        <v>0</v>
      </c>
      <c r="E2202" s="3">
        <f t="array" ref="E2202">INDEX($A$9:A2201, MAX(IF($D$9:D2201=1, ROW(D$9:$D2201)-ROW($D$9)+1, 0)))</f>
        <v>49115</v>
      </c>
      <c r="F2202" s="23">
        <f t="shared" si="444"/>
        <v>8.4024640657084184</v>
      </c>
      <c r="G2202" s="5">
        <f>INDEX('Default Prob'!$P$5:$P$14,MIN(1+_xlfn.IFNA(MATCH(F2202,'Default Prob'!$F$5:$F$14,1),0),COUNT('Default Prob'!$P$5:$P$14)))</f>
        <v>5.8652391073922311E-2</v>
      </c>
      <c r="H2202" s="5">
        <f t="shared" si="453"/>
        <v>0.78790069408615748</v>
      </c>
      <c r="I2202" s="24">
        <f t="shared" si="454"/>
        <v>1.2653243053362129E-4</v>
      </c>
      <c r="J2202" s="25">
        <f>INDEX('Default Prob'!$C$3:$C$13, _xlfn.IFNA(MATCH(F2202, 'Default Prob'!$B$3:$B$13, 1), 1))</f>
        <v>2.4E-2</v>
      </c>
      <c r="K2202" s="26">
        <f t="shared" si="445"/>
        <v>0.81932269424342719</v>
      </c>
      <c r="L2202" s="27">
        <f t="shared" ca="1" si="446"/>
        <v>0</v>
      </c>
      <c r="M2202" s="27">
        <f t="shared" ca="1" si="447"/>
        <v>0</v>
      </c>
      <c r="N2202" s="28">
        <f t="shared" ca="1" si="448"/>
        <v>0</v>
      </c>
      <c r="O2202" s="29">
        <f t="shared" ca="1" si="449"/>
        <v>0</v>
      </c>
      <c r="P2202" s="30">
        <f t="shared" ca="1" si="450"/>
        <v>0</v>
      </c>
    </row>
    <row r="2203" spans="1:16" x14ac:dyDescent="0.25">
      <c r="A2203" s="3">
        <f t="shared" si="451"/>
        <v>49195</v>
      </c>
      <c r="B2203" s="21">
        <f t="shared" si="442"/>
        <v>36777</v>
      </c>
      <c r="C2203" s="21">
        <f t="shared" si="443"/>
        <v>36789</v>
      </c>
      <c r="D2203" s="1">
        <f t="shared" si="452"/>
        <v>0</v>
      </c>
      <c r="E2203" s="3">
        <f t="array" ref="E2203">INDEX($A$9:A2202, MAX(IF($D$9:D2202=1, ROW(D$9:$D2202)-ROW($D$9)+1, 0)))</f>
        <v>49115</v>
      </c>
      <c r="F2203" s="23">
        <f t="shared" si="444"/>
        <v>8.4052019164955514</v>
      </c>
      <c r="G2203" s="5">
        <f>INDEX('Default Prob'!$P$5:$P$14,MIN(1+_xlfn.IFNA(MATCH(F2203,'Default Prob'!$F$5:$F$14,1),0),COUNT('Default Prob'!$P$5:$P$14)))</f>
        <v>5.8652391073922311E-2</v>
      </c>
      <c r="H2203" s="5">
        <f t="shared" si="453"/>
        <v>0.78777418197275928</v>
      </c>
      <c r="I2203" s="24">
        <f t="shared" si="454"/>
        <v>1.2651211339820279E-4</v>
      </c>
      <c r="J2203" s="25">
        <f>INDEX('Default Prob'!$C$3:$C$13, _xlfn.IFNA(MATCH(F2203, 'Default Prob'!$B$3:$B$13, 1), 1))</f>
        <v>2.4E-2</v>
      </c>
      <c r="K2203" s="26">
        <f t="shared" si="445"/>
        <v>0.81926949545455907</v>
      </c>
      <c r="L2203" s="27">
        <f t="shared" ca="1" si="446"/>
        <v>0</v>
      </c>
      <c r="M2203" s="27">
        <f t="shared" ca="1" si="447"/>
        <v>0</v>
      </c>
      <c r="N2203" s="28">
        <f t="shared" ca="1" si="448"/>
        <v>0</v>
      </c>
      <c r="O2203" s="29">
        <f t="shared" ca="1" si="449"/>
        <v>0</v>
      </c>
      <c r="P2203" s="30">
        <f t="shared" ca="1" si="450"/>
        <v>0</v>
      </c>
    </row>
    <row r="2204" spans="1:16" x14ac:dyDescent="0.25">
      <c r="A2204" s="3">
        <f t="shared" si="451"/>
        <v>49198</v>
      </c>
      <c r="B2204" s="21">
        <f t="shared" si="442"/>
        <v>36780</v>
      </c>
      <c r="C2204" s="21">
        <f t="shared" si="443"/>
        <v>36789</v>
      </c>
      <c r="D2204" s="1">
        <f t="shared" si="452"/>
        <v>0</v>
      </c>
      <c r="E2204" s="3">
        <f t="array" ref="E2204">INDEX($A$9:A2203, MAX(IF($D$9:D2203=1, ROW(D$9:$D2203)-ROW($D$9)+1, 0)))</f>
        <v>49115</v>
      </c>
      <c r="F2204" s="23">
        <f t="shared" si="444"/>
        <v>8.4134154688569467</v>
      </c>
      <c r="G2204" s="5">
        <f>INDEX('Default Prob'!$P$5:$P$14,MIN(1+_xlfn.IFNA(MATCH(F2204,'Default Prob'!$F$5:$F$14,1),0),COUNT('Default Prob'!$P$5:$P$14)))</f>
        <v>5.8652391073922311E-2</v>
      </c>
      <c r="H2204" s="5">
        <f t="shared" si="453"/>
        <v>0.78739476750275783</v>
      </c>
      <c r="I2204" s="24">
        <f t="shared" si="454"/>
        <v>3.7941447000144901E-4</v>
      </c>
      <c r="J2204" s="25">
        <f>INDEX('Default Prob'!$C$3:$C$13, _xlfn.IFNA(MATCH(F2204, 'Default Prob'!$B$3:$B$13, 1), 1))</f>
        <v>2.4E-2</v>
      </c>
      <c r="K2204" s="26">
        <f t="shared" si="445"/>
        <v>0.81910991981230608</v>
      </c>
      <c r="L2204" s="27">
        <f t="shared" ca="1" si="446"/>
        <v>0</v>
      </c>
      <c r="M2204" s="27">
        <f t="shared" ca="1" si="447"/>
        <v>0</v>
      </c>
      <c r="N2204" s="28">
        <f t="shared" ca="1" si="448"/>
        <v>0</v>
      </c>
      <c r="O2204" s="29">
        <f t="shared" ca="1" si="449"/>
        <v>0</v>
      </c>
      <c r="P2204" s="30">
        <f t="shared" ca="1" si="450"/>
        <v>0</v>
      </c>
    </row>
    <row r="2205" spans="1:16" x14ac:dyDescent="0.25">
      <c r="A2205" s="3">
        <f t="shared" si="451"/>
        <v>49199</v>
      </c>
      <c r="B2205" s="21">
        <f t="shared" si="442"/>
        <v>36781</v>
      </c>
      <c r="C2205" s="21">
        <f t="shared" si="443"/>
        <v>36789</v>
      </c>
      <c r="D2205" s="1">
        <f t="shared" si="452"/>
        <v>0</v>
      </c>
      <c r="E2205" s="3">
        <f t="array" ref="E2205">INDEX($A$9:A2204, MAX(IF($D$9:D2204=1, ROW(D$9:$D2204)-ROW($D$9)+1, 0)))</f>
        <v>49115</v>
      </c>
      <c r="F2205" s="23">
        <f t="shared" si="444"/>
        <v>8.4161533196440796</v>
      </c>
      <c r="G2205" s="5">
        <f>INDEX('Default Prob'!$P$5:$P$14,MIN(1+_xlfn.IFNA(MATCH(F2205,'Default Prob'!$F$5:$F$14,1),0),COUNT('Default Prob'!$P$5:$P$14)))</f>
        <v>5.8652391073922311E-2</v>
      </c>
      <c r="H2205" s="5">
        <f t="shared" si="453"/>
        <v>0.78726833662528417</v>
      </c>
      <c r="I2205" s="24">
        <f t="shared" si="454"/>
        <v>1.2643087747366E-4</v>
      </c>
      <c r="J2205" s="25">
        <f>INDEX('Default Prob'!$C$3:$C$13, _xlfn.IFNA(MATCH(F2205, 'Default Prob'!$B$3:$B$13, 1), 1))</f>
        <v>2.4E-2</v>
      </c>
      <c r="K2205" s="26">
        <f t="shared" si="445"/>
        <v>0.81905673483892494</v>
      </c>
      <c r="L2205" s="27">
        <f t="shared" ca="1" si="446"/>
        <v>0</v>
      </c>
      <c r="M2205" s="27">
        <f t="shared" ca="1" si="447"/>
        <v>0</v>
      </c>
      <c r="N2205" s="28">
        <f t="shared" ca="1" si="448"/>
        <v>0</v>
      </c>
      <c r="O2205" s="29">
        <f t="shared" ca="1" si="449"/>
        <v>0</v>
      </c>
      <c r="P2205" s="30">
        <f t="shared" ca="1" si="450"/>
        <v>0</v>
      </c>
    </row>
    <row r="2206" spans="1:16" x14ac:dyDescent="0.25">
      <c r="A2206" s="3">
        <f t="shared" si="451"/>
        <v>49200</v>
      </c>
      <c r="B2206" s="21">
        <f t="shared" si="442"/>
        <v>36782</v>
      </c>
      <c r="C2206" s="21">
        <f t="shared" si="443"/>
        <v>36789</v>
      </c>
      <c r="D2206" s="1">
        <f t="shared" si="452"/>
        <v>0</v>
      </c>
      <c r="E2206" s="3">
        <f t="array" ref="E2206">INDEX($A$9:A2205, MAX(IF($D$9:D2205=1, ROW(D$9:$D2205)-ROW($D$9)+1, 0)))</f>
        <v>49115</v>
      </c>
      <c r="F2206" s="23">
        <f t="shared" si="444"/>
        <v>8.4188911704312108</v>
      </c>
      <c r="G2206" s="5">
        <f>INDEX('Default Prob'!$P$5:$P$14,MIN(1+_xlfn.IFNA(MATCH(F2206,'Default Prob'!$F$5:$F$14,1),0),COUNT('Default Prob'!$P$5:$P$14)))</f>
        <v>5.8652391073922311E-2</v>
      </c>
      <c r="H2206" s="5">
        <f t="shared" si="453"/>
        <v>0.78714192604863986</v>
      </c>
      <c r="I2206" s="24">
        <f t="shared" si="454"/>
        <v>1.264105766443091E-4</v>
      </c>
      <c r="J2206" s="25">
        <f>INDEX('Default Prob'!$C$3:$C$13, _xlfn.IFNA(MATCH(F2206, 'Default Prob'!$B$3:$B$13, 1), 1))</f>
        <v>2.4E-2</v>
      </c>
      <c r="K2206" s="26">
        <f t="shared" si="445"/>
        <v>0.81900355331885488</v>
      </c>
      <c r="L2206" s="27">
        <f t="shared" ca="1" si="446"/>
        <v>0</v>
      </c>
      <c r="M2206" s="27">
        <f t="shared" ca="1" si="447"/>
        <v>0</v>
      </c>
      <c r="N2206" s="28">
        <f t="shared" ca="1" si="448"/>
        <v>0</v>
      </c>
      <c r="O2206" s="29">
        <f t="shared" ca="1" si="449"/>
        <v>0</v>
      </c>
      <c r="P2206" s="30">
        <f t="shared" ca="1" si="450"/>
        <v>0</v>
      </c>
    </row>
    <row r="2207" spans="1:16" x14ac:dyDescent="0.25">
      <c r="A2207" s="3">
        <f t="shared" si="451"/>
        <v>49201</v>
      </c>
      <c r="B2207" s="21">
        <f t="shared" si="442"/>
        <v>36783</v>
      </c>
      <c r="C2207" s="21">
        <f t="shared" si="443"/>
        <v>36789</v>
      </c>
      <c r="D2207" s="1">
        <f t="shared" si="452"/>
        <v>0</v>
      </c>
      <c r="E2207" s="3">
        <f t="array" ref="E2207">INDEX($A$9:A2206, MAX(IF($D$9:D2206=1, ROW(D$9:$D2206)-ROW($D$9)+1, 0)))</f>
        <v>49115</v>
      </c>
      <c r="F2207" s="23">
        <f t="shared" si="444"/>
        <v>8.4216290212183438</v>
      </c>
      <c r="G2207" s="5">
        <f>INDEX('Default Prob'!$P$5:$P$14,MIN(1+_xlfn.IFNA(MATCH(F2207,'Default Prob'!$F$5:$F$14,1),0),COUNT('Default Prob'!$P$5:$P$14)))</f>
        <v>5.8652391073922311E-2</v>
      </c>
      <c r="H2207" s="5">
        <f t="shared" si="453"/>
        <v>0.78701553576956507</v>
      </c>
      <c r="I2207" s="24">
        <f t="shared" si="454"/>
        <v>1.2639027907479505E-4</v>
      </c>
      <c r="J2207" s="25">
        <f>INDEX('Default Prob'!$C$3:$C$13, _xlfn.IFNA(MATCH(F2207, 'Default Prob'!$B$3:$B$13, 1), 1))</f>
        <v>2.4E-2</v>
      </c>
      <c r="K2207" s="26">
        <f t="shared" si="445"/>
        <v>0.81895037525187164</v>
      </c>
      <c r="L2207" s="27">
        <f t="shared" ca="1" si="446"/>
        <v>0</v>
      </c>
      <c r="M2207" s="27">
        <f t="shared" ca="1" si="447"/>
        <v>0</v>
      </c>
      <c r="N2207" s="28">
        <f t="shared" ca="1" si="448"/>
        <v>0</v>
      </c>
      <c r="O2207" s="29">
        <f t="shared" ca="1" si="449"/>
        <v>0</v>
      </c>
      <c r="P2207" s="30">
        <f t="shared" ca="1" si="450"/>
        <v>0</v>
      </c>
    </row>
    <row r="2208" spans="1:16" x14ac:dyDescent="0.25">
      <c r="A2208" s="3">
        <f t="shared" si="451"/>
        <v>49202</v>
      </c>
      <c r="B2208" s="21">
        <f t="shared" si="442"/>
        <v>36784</v>
      </c>
      <c r="C2208" s="21">
        <f t="shared" si="443"/>
        <v>36789</v>
      </c>
      <c r="D2208" s="1">
        <f t="shared" si="452"/>
        <v>0</v>
      </c>
      <c r="E2208" s="3">
        <f t="array" ref="E2208">INDEX($A$9:A2207, MAX(IF($D$9:D2207=1, ROW(D$9:$D2207)-ROW($D$9)+1, 0)))</f>
        <v>49115</v>
      </c>
      <c r="F2208" s="23">
        <f t="shared" si="444"/>
        <v>8.424366872005475</v>
      </c>
      <c r="G2208" s="5">
        <f>INDEX('Default Prob'!$P$5:$P$14,MIN(1+_xlfn.IFNA(MATCH(F2208,'Default Prob'!$F$5:$F$14,1),0),COUNT('Default Prob'!$P$5:$P$14)))</f>
        <v>5.8652391073922311E-2</v>
      </c>
      <c r="H2208" s="5">
        <f t="shared" si="453"/>
        <v>0.78688916578480095</v>
      </c>
      <c r="I2208" s="24">
        <f t="shared" si="454"/>
        <v>1.2636998476411865E-4</v>
      </c>
      <c r="J2208" s="25">
        <f>INDEX('Default Prob'!$C$3:$C$13, _xlfn.IFNA(MATCH(F2208, 'Default Prob'!$B$3:$B$13, 1), 1))</f>
        <v>2.4E-2</v>
      </c>
      <c r="K2208" s="26">
        <f t="shared" si="445"/>
        <v>0.81889720063775107</v>
      </c>
      <c r="L2208" s="27">
        <f t="shared" ca="1" si="446"/>
        <v>0</v>
      </c>
      <c r="M2208" s="27">
        <f t="shared" ca="1" si="447"/>
        <v>0</v>
      </c>
      <c r="N2208" s="28">
        <f t="shared" ca="1" si="448"/>
        <v>0</v>
      </c>
      <c r="O2208" s="29">
        <f t="shared" ca="1" si="449"/>
        <v>0</v>
      </c>
      <c r="P2208" s="30">
        <f t="shared" ca="1" si="450"/>
        <v>0</v>
      </c>
    </row>
    <row r="2209" spans="1:16" x14ac:dyDescent="0.25">
      <c r="A2209" s="3">
        <f t="shared" si="451"/>
        <v>49205</v>
      </c>
      <c r="B2209" s="21">
        <f t="shared" si="442"/>
        <v>36787</v>
      </c>
      <c r="C2209" s="21">
        <f t="shared" si="443"/>
        <v>36789</v>
      </c>
      <c r="D2209" s="1">
        <f t="shared" si="452"/>
        <v>0</v>
      </c>
      <c r="E2209" s="3">
        <f t="array" ref="E2209">INDEX($A$9:A2208, MAX(IF($D$9:D2208=1, ROW(D$9:$D2208)-ROW($D$9)+1, 0)))</f>
        <v>49115</v>
      </c>
      <c r="F2209" s="23">
        <f t="shared" si="444"/>
        <v>8.4325804243668721</v>
      </c>
      <c r="G2209" s="5">
        <f>INDEX('Default Prob'!$P$5:$P$14,MIN(1+_xlfn.IFNA(MATCH(F2209,'Default Prob'!$F$5:$F$14,1),0),COUNT('Default Prob'!$P$5:$P$14)))</f>
        <v>5.8652391073922311E-2</v>
      </c>
      <c r="H2209" s="5">
        <f t="shared" si="453"/>
        <v>0.78651017756378749</v>
      </c>
      <c r="I2209" s="24">
        <f t="shared" si="454"/>
        <v>3.7898822101345431E-4</v>
      </c>
      <c r="J2209" s="25">
        <f>INDEX('Default Prob'!$C$3:$C$13, _xlfn.IFNA(MATCH(F2209, 'Default Prob'!$B$3:$B$13, 1), 1))</f>
        <v>2.4E-2</v>
      </c>
      <c r="K2209" s="26">
        <f t="shared" si="445"/>
        <v>0.81873769751032377</v>
      </c>
      <c r="L2209" s="27">
        <f t="shared" ca="1" si="446"/>
        <v>0</v>
      </c>
      <c r="M2209" s="27">
        <f t="shared" ca="1" si="447"/>
        <v>0</v>
      </c>
      <c r="N2209" s="28">
        <f t="shared" ca="1" si="448"/>
        <v>0</v>
      </c>
      <c r="O2209" s="29">
        <f t="shared" ca="1" si="449"/>
        <v>0</v>
      </c>
      <c r="P2209" s="30">
        <f t="shared" ca="1" si="450"/>
        <v>0</v>
      </c>
    </row>
    <row r="2210" spans="1:16" x14ac:dyDescent="0.25">
      <c r="A2210" s="3">
        <f t="shared" si="451"/>
        <v>49206</v>
      </c>
      <c r="B2210" s="21">
        <f t="shared" si="442"/>
        <v>36788</v>
      </c>
      <c r="C2210" s="21">
        <f t="shared" si="443"/>
        <v>36789</v>
      </c>
      <c r="D2210" s="1">
        <f t="shared" si="452"/>
        <v>0</v>
      </c>
      <c r="E2210" s="3">
        <f t="array" ref="E2210">INDEX($A$9:A2209, MAX(IF($D$9:D2209=1, ROW(D$9:$D2209)-ROW($D$9)+1, 0)))</f>
        <v>49115</v>
      </c>
      <c r="F2210" s="23">
        <f t="shared" si="444"/>
        <v>8.4353182751540032</v>
      </c>
      <c r="G2210" s="5">
        <f>INDEX('Default Prob'!$P$5:$P$14,MIN(1+_xlfn.IFNA(MATCH(F2210,'Default Prob'!$F$5:$F$14,1),0),COUNT('Default Prob'!$P$5:$P$14)))</f>
        <v>5.8652391073922311E-2</v>
      </c>
      <c r="H2210" s="5">
        <f t="shared" si="453"/>
        <v>0.78638388872368425</v>
      </c>
      <c r="I2210" s="24">
        <f t="shared" si="454"/>
        <v>1.2628884010323915E-4</v>
      </c>
      <c r="J2210" s="25">
        <f>INDEX('Default Prob'!$C$3:$C$13, _xlfn.IFNA(MATCH(F2210, 'Default Prob'!$B$3:$B$13, 1), 1))</f>
        <v>2.4E-2</v>
      </c>
      <c r="K2210" s="26">
        <f t="shared" si="445"/>
        <v>0.81868453670541219</v>
      </c>
      <c r="L2210" s="27">
        <f t="shared" ca="1" si="446"/>
        <v>0</v>
      </c>
      <c r="M2210" s="27">
        <f t="shared" ca="1" si="447"/>
        <v>0</v>
      </c>
      <c r="N2210" s="28">
        <f t="shared" ca="1" si="448"/>
        <v>0</v>
      </c>
      <c r="O2210" s="29">
        <f t="shared" ca="1" si="449"/>
        <v>0</v>
      </c>
      <c r="P2210" s="30">
        <f t="shared" ca="1" si="450"/>
        <v>0</v>
      </c>
    </row>
    <row r="2211" spans="1:16" x14ac:dyDescent="0.25">
      <c r="A2211" s="3">
        <f t="shared" si="451"/>
        <v>49207</v>
      </c>
      <c r="B2211" s="21">
        <f t="shared" si="442"/>
        <v>36789</v>
      </c>
      <c r="C2211" s="21">
        <f t="shared" si="443"/>
        <v>36789</v>
      </c>
      <c r="D2211" s="1">
        <f t="shared" si="452"/>
        <v>1</v>
      </c>
      <c r="E2211" s="3">
        <f t="array" ref="E2211">INDEX($A$9:A2210, MAX(IF($D$9:D2210=1, ROW(D$9:$D2210)-ROW($D$9)+1, 0)))</f>
        <v>49115</v>
      </c>
      <c r="F2211" s="23">
        <f t="shared" si="444"/>
        <v>8.4380561259411362</v>
      </c>
      <c r="G2211" s="5">
        <f>INDEX('Default Prob'!$P$5:$P$14,MIN(1+_xlfn.IFNA(MATCH(F2211,'Default Prob'!$F$5:$F$14,1),0),COUNT('Default Prob'!$P$5:$P$14)))</f>
        <v>5.8652391073922311E-2</v>
      </c>
      <c r="H2211" s="5">
        <f t="shared" si="453"/>
        <v>0.7862576201616035</v>
      </c>
      <c r="I2211" s="24">
        <f t="shared" si="454"/>
        <v>1.2626856208075576E-4</v>
      </c>
      <c r="J2211" s="25">
        <f>INDEX('Default Prob'!$C$3:$C$13, _xlfn.IFNA(MATCH(F2211, 'Default Prob'!$B$3:$B$13, 1), 1))</f>
        <v>2.4E-2</v>
      </c>
      <c r="K2211" s="26">
        <f t="shared" si="445"/>
        <v>0.81863137935224239</v>
      </c>
      <c r="L2211" s="27">
        <f t="shared" ca="1" si="446"/>
        <v>0</v>
      </c>
      <c r="M2211" s="27">
        <f t="shared" ca="1" si="447"/>
        <v>0</v>
      </c>
      <c r="N2211" s="28">
        <f t="shared" ca="1" si="448"/>
        <v>0</v>
      </c>
      <c r="O2211" s="29">
        <f t="shared" ca="1" si="449"/>
        <v>0</v>
      </c>
      <c r="P2211" s="30">
        <f t="shared" ca="1" si="450"/>
        <v>0</v>
      </c>
    </row>
    <row r="2212" spans="1:16" x14ac:dyDescent="0.25">
      <c r="A2212" s="3">
        <f t="shared" si="451"/>
        <v>49208</v>
      </c>
      <c r="B2212" s="21">
        <f t="shared" si="442"/>
        <v>36790</v>
      </c>
      <c r="C2212" s="21">
        <f t="shared" si="443"/>
        <v>36880</v>
      </c>
      <c r="D2212" s="1">
        <f t="shared" si="452"/>
        <v>0</v>
      </c>
      <c r="E2212" s="3">
        <f t="array" ref="E2212">INDEX($A$9:A2211, MAX(IF($D$9:D2211=1, ROW(D$9:$D2211)-ROW($D$9)+1, 0)))</f>
        <v>49207</v>
      </c>
      <c r="F2212" s="23">
        <f t="shared" si="444"/>
        <v>8.4407939767282691</v>
      </c>
      <c r="G2212" s="5">
        <f>INDEX('Default Prob'!$P$5:$P$14,MIN(1+_xlfn.IFNA(MATCH(F2212,'Default Prob'!$F$5:$F$14,1),0),COUNT('Default Prob'!$P$5:$P$14)))</f>
        <v>5.8652391073922311E-2</v>
      </c>
      <c r="H2212" s="5">
        <f t="shared" si="453"/>
        <v>0.78613137187428928</v>
      </c>
      <c r="I2212" s="24">
        <f t="shared" si="454"/>
        <v>1.2624828731422344E-4</v>
      </c>
      <c r="J2212" s="25">
        <f>INDEX('Default Prob'!$C$3:$C$13, _xlfn.IFNA(MATCH(F2212, 'Default Prob'!$B$3:$B$13, 1), 1))</f>
        <v>2.4E-2</v>
      </c>
      <c r="K2212" s="26">
        <f t="shared" si="445"/>
        <v>0.81857822545059045</v>
      </c>
      <c r="L2212" s="27">
        <f t="shared" ca="1" si="446"/>
        <v>0</v>
      </c>
      <c r="M2212" s="27">
        <f t="shared" ca="1" si="447"/>
        <v>0</v>
      </c>
      <c r="N2212" s="28">
        <f t="shared" ca="1" si="448"/>
        <v>0</v>
      </c>
      <c r="O2212" s="29">
        <f t="shared" ca="1" si="449"/>
        <v>0</v>
      </c>
      <c r="P2212" s="30">
        <f t="shared" ca="1" si="450"/>
        <v>0</v>
      </c>
    </row>
    <row r="2213" spans="1:16" x14ac:dyDescent="0.25">
      <c r="A2213" s="3">
        <f t="shared" si="451"/>
        <v>49209</v>
      </c>
      <c r="B2213" s="21">
        <f t="shared" si="442"/>
        <v>36791</v>
      </c>
      <c r="C2213" s="21">
        <f t="shared" si="443"/>
        <v>36880</v>
      </c>
      <c r="D2213" s="1">
        <f t="shared" si="452"/>
        <v>0</v>
      </c>
      <c r="E2213" s="3">
        <f t="array" ref="E2213">INDEX($A$9:A2212, MAX(IF($D$9:D2212=1, ROW(D$9:$D2212)-ROW($D$9)+1, 0)))</f>
        <v>49207</v>
      </c>
      <c r="F2213" s="23">
        <f t="shared" si="444"/>
        <v>8.4435318275154003</v>
      </c>
      <c r="G2213" s="5">
        <f>INDEX('Default Prob'!$P$5:$P$14,MIN(1+_xlfn.IFNA(MATCH(F2213,'Default Prob'!$F$5:$F$14,1),0),COUNT('Default Prob'!$P$5:$P$14)))</f>
        <v>5.8652391073922311E-2</v>
      </c>
      <c r="H2213" s="5">
        <f t="shared" si="453"/>
        <v>0.78600514385848619</v>
      </c>
      <c r="I2213" s="24">
        <f t="shared" si="454"/>
        <v>1.2622801580308707E-4</v>
      </c>
      <c r="J2213" s="25">
        <f>INDEX('Default Prob'!$C$3:$C$13, _xlfn.IFNA(MATCH(F2213, 'Default Prob'!$B$3:$B$13, 1), 1))</f>
        <v>2.4E-2</v>
      </c>
      <c r="K2213" s="26">
        <f t="shared" si="445"/>
        <v>0.81852507500023208</v>
      </c>
      <c r="L2213" s="27">
        <f t="shared" ca="1" si="446"/>
        <v>0</v>
      </c>
      <c r="M2213" s="27">
        <f t="shared" ca="1" si="447"/>
        <v>0</v>
      </c>
      <c r="N2213" s="28">
        <f t="shared" ca="1" si="448"/>
        <v>0</v>
      </c>
      <c r="O2213" s="29">
        <f t="shared" ca="1" si="449"/>
        <v>0</v>
      </c>
      <c r="P2213" s="30">
        <f t="shared" ca="1" si="450"/>
        <v>0</v>
      </c>
    </row>
    <row r="2214" spans="1:16" x14ac:dyDescent="0.25">
      <c r="A2214" s="3">
        <f t="shared" si="451"/>
        <v>49212</v>
      </c>
      <c r="B2214" s="21">
        <f t="shared" si="442"/>
        <v>36794</v>
      </c>
      <c r="C2214" s="21">
        <f t="shared" si="443"/>
        <v>36880</v>
      </c>
      <c r="D2214" s="1">
        <f t="shared" si="452"/>
        <v>0</v>
      </c>
      <c r="E2214" s="3">
        <f t="array" ref="E2214">INDEX($A$9:A2213, MAX(IF($D$9:D2213=1, ROW(D$9:$D2213)-ROW($D$9)+1, 0)))</f>
        <v>49207</v>
      </c>
      <c r="F2214" s="23">
        <f t="shared" si="444"/>
        <v>8.4517453798767974</v>
      </c>
      <c r="G2214" s="5">
        <f>INDEX('Default Prob'!$P$5:$P$14,MIN(1+_xlfn.IFNA(MATCH(F2214,'Default Prob'!$F$5:$F$14,1),0),COUNT('Default Prob'!$P$5:$P$14)))</f>
        <v>5.8652391073922311E-2</v>
      </c>
      <c r="H2214" s="5">
        <f t="shared" si="453"/>
        <v>0.78562658140759611</v>
      </c>
      <c r="I2214" s="24">
        <f t="shared" si="454"/>
        <v>3.7856245089007423E-4</v>
      </c>
      <c r="J2214" s="25">
        <f>INDEX('Default Prob'!$C$3:$C$13, _xlfn.IFNA(MATCH(F2214, 'Default Prob'!$B$3:$B$13, 1), 1))</f>
        <v>2.4E-2</v>
      </c>
      <c r="K2214" s="26">
        <f t="shared" si="445"/>
        <v>0.81836564435467785</v>
      </c>
      <c r="L2214" s="27">
        <f t="shared" ca="1" si="446"/>
        <v>0</v>
      </c>
      <c r="M2214" s="27">
        <f t="shared" ca="1" si="447"/>
        <v>0</v>
      </c>
      <c r="N2214" s="28">
        <f t="shared" ca="1" si="448"/>
        <v>0</v>
      </c>
      <c r="O2214" s="29">
        <f t="shared" ca="1" si="449"/>
        <v>0</v>
      </c>
      <c r="P2214" s="30">
        <f t="shared" ca="1" si="450"/>
        <v>0</v>
      </c>
    </row>
    <row r="2215" spans="1:16" x14ac:dyDescent="0.25">
      <c r="A2215" s="3">
        <f t="shared" si="451"/>
        <v>49213</v>
      </c>
      <c r="B2215" s="21">
        <f t="shared" si="442"/>
        <v>36795</v>
      </c>
      <c r="C2215" s="21">
        <f t="shared" si="443"/>
        <v>36880</v>
      </c>
      <c r="D2215" s="1">
        <f t="shared" si="452"/>
        <v>0</v>
      </c>
      <c r="E2215" s="3">
        <f t="array" ref="E2215">INDEX($A$9:A2214, MAX(IF($D$9:D2214=1, ROW(D$9:$D2214)-ROW($D$9)+1, 0)))</f>
        <v>49207</v>
      </c>
      <c r="F2215" s="23">
        <f t="shared" si="444"/>
        <v>8.4544832306639286</v>
      </c>
      <c r="G2215" s="5">
        <f>INDEX('Default Prob'!$P$5:$P$14,MIN(1+_xlfn.IFNA(MATCH(F2215,'Default Prob'!$F$5:$F$14,1),0),COUNT('Default Prob'!$P$5:$P$14)))</f>
        <v>5.8652391073922311E-2</v>
      </c>
      <c r="H2215" s="5">
        <f t="shared" si="453"/>
        <v>0.78550043444529283</v>
      </c>
      <c r="I2215" s="24">
        <f t="shared" si="454"/>
        <v>1.2614696230328626E-4</v>
      </c>
      <c r="J2215" s="25">
        <f>INDEX('Default Prob'!$C$3:$C$13, _xlfn.IFNA(MATCH(F2215, 'Default Prob'!$B$3:$B$13, 1), 1))</f>
        <v>2.4E-2</v>
      </c>
      <c r="K2215" s="26">
        <f t="shared" si="445"/>
        <v>0.81831250770725317</v>
      </c>
      <c r="L2215" s="27">
        <f t="shared" ca="1" si="446"/>
        <v>0</v>
      </c>
      <c r="M2215" s="27">
        <f t="shared" ca="1" si="447"/>
        <v>0</v>
      </c>
      <c r="N2215" s="28">
        <f t="shared" ca="1" si="448"/>
        <v>0</v>
      </c>
      <c r="O2215" s="29">
        <f t="shared" ca="1" si="449"/>
        <v>0</v>
      </c>
      <c r="P2215" s="30">
        <f t="shared" ca="1" si="450"/>
        <v>0</v>
      </c>
    </row>
    <row r="2216" spans="1:16" x14ac:dyDescent="0.25">
      <c r="A2216" s="3">
        <f t="shared" si="451"/>
        <v>49214</v>
      </c>
      <c r="B2216" s="21">
        <f t="shared" si="442"/>
        <v>36796</v>
      </c>
      <c r="C2216" s="21">
        <f t="shared" si="443"/>
        <v>36880</v>
      </c>
      <c r="D2216" s="1">
        <f t="shared" si="452"/>
        <v>0</v>
      </c>
      <c r="E2216" s="3">
        <f t="array" ref="E2216">INDEX($A$9:A2215, MAX(IF($D$9:D2215=1, ROW(D$9:$D2215)-ROW($D$9)+1, 0)))</f>
        <v>49207</v>
      </c>
      <c r="F2216" s="23">
        <f t="shared" si="444"/>
        <v>8.4572210814510616</v>
      </c>
      <c r="G2216" s="5">
        <f>INDEX('Default Prob'!$P$5:$P$14,MIN(1+_xlfn.IFNA(MATCH(F2216,'Default Prob'!$F$5:$F$14,1),0),COUNT('Default Prob'!$P$5:$P$14)))</f>
        <v>5.8652391073922311E-2</v>
      </c>
      <c r="H2216" s="5">
        <f t="shared" si="453"/>
        <v>0.78537430773823091</v>
      </c>
      <c r="I2216" s="24">
        <f t="shared" si="454"/>
        <v>1.261267070619132E-4</v>
      </c>
      <c r="J2216" s="25">
        <f>INDEX('Default Prob'!$C$3:$C$13, _xlfn.IFNA(MATCH(F2216, 'Default Prob'!$B$3:$B$13, 1), 1))</f>
        <v>2.4E-2</v>
      </c>
      <c r="K2216" s="26">
        <f t="shared" si="445"/>
        <v>0.81825937451000164</v>
      </c>
      <c r="L2216" s="27">
        <f t="shared" ca="1" si="446"/>
        <v>0</v>
      </c>
      <c r="M2216" s="27">
        <f t="shared" ca="1" si="447"/>
        <v>0</v>
      </c>
      <c r="N2216" s="28">
        <f t="shared" ca="1" si="448"/>
        <v>0</v>
      </c>
      <c r="O2216" s="29">
        <f t="shared" ca="1" si="449"/>
        <v>0</v>
      </c>
      <c r="P2216" s="30">
        <f t="shared" ca="1" si="450"/>
        <v>0</v>
      </c>
    </row>
    <row r="2217" spans="1:16" x14ac:dyDescent="0.25">
      <c r="A2217" s="3">
        <f t="shared" si="451"/>
        <v>49215</v>
      </c>
      <c r="B2217" s="21">
        <f t="shared" si="442"/>
        <v>36797</v>
      </c>
      <c r="C2217" s="21">
        <f t="shared" si="443"/>
        <v>36880</v>
      </c>
      <c r="D2217" s="1">
        <f t="shared" si="452"/>
        <v>0</v>
      </c>
      <c r="E2217" s="3">
        <f t="array" ref="E2217">INDEX($A$9:A2216, MAX(IF($D$9:D2216=1, ROW(D$9:$D2216)-ROW($D$9)+1, 0)))</f>
        <v>49207</v>
      </c>
      <c r="F2217" s="23">
        <f t="shared" si="444"/>
        <v>8.4599589322381927</v>
      </c>
      <c r="G2217" s="5">
        <f>INDEX('Default Prob'!$P$5:$P$14,MIN(1+_xlfn.IFNA(MATCH(F2217,'Default Prob'!$F$5:$F$14,1),0),COUNT('Default Prob'!$P$5:$P$14)))</f>
        <v>5.8652391073922311E-2</v>
      </c>
      <c r="H2217" s="5">
        <f t="shared" si="453"/>
        <v>0.7852482012831582</v>
      </c>
      <c r="I2217" s="24">
        <f t="shared" si="454"/>
        <v>1.2610645507271645E-4</v>
      </c>
      <c r="J2217" s="25">
        <f>INDEX('Default Prob'!$C$3:$C$13, _xlfn.IFNA(MATCH(F2217, 'Default Prob'!$B$3:$B$13, 1), 1))</f>
        <v>2.4E-2</v>
      </c>
      <c r="K2217" s="26">
        <f t="shared" si="445"/>
        <v>0.81820624476269976</v>
      </c>
      <c r="L2217" s="27">
        <f t="shared" ca="1" si="446"/>
        <v>0</v>
      </c>
      <c r="M2217" s="27">
        <f t="shared" ca="1" si="447"/>
        <v>0</v>
      </c>
      <c r="N2217" s="28">
        <f t="shared" ca="1" si="448"/>
        <v>0</v>
      </c>
      <c r="O2217" s="29">
        <f t="shared" ca="1" si="449"/>
        <v>0</v>
      </c>
      <c r="P2217" s="30">
        <f t="shared" ca="1" si="450"/>
        <v>0</v>
      </c>
    </row>
    <row r="2218" spans="1:16" x14ac:dyDescent="0.25">
      <c r="A2218" s="3">
        <f t="shared" si="451"/>
        <v>49216</v>
      </c>
      <c r="B2218" s="21">
        <f t="shared" si="442"/>
        <v>36798</v>
      </c>
      <c r="C2218" s="21">
        <f t="shared" si="443"/>
        <v>36880</v>
      </c>
      <c r="D2218" s="1">
        <f t="shared" si="452"/>
        <v>0</v>
      </c>
      <c r="E2218" s="3">
        <f t="array" ref="E2218">INDEX($A$9:A2217, MAX(IF($D$9:D2217=1, ROW(D$9:$D2217)-ROW($D$9)+1, 0)))</f>
        <v>49207</v>
      </c>
      <c r="F2218" s="23">
        <f t="shared" si="444"/>
        <v>8.4626967830253257</v>
      </c>
      <c r="G2218" s="5">
        <f>INDEX('Default Prob'!$P$5:$P$14,MIN(1+_xlfn.IFNA(MATCH(F2218,'Default Prob'!$F$5:$F$14,1),0),COUNT('Default Prob'!$P$5:$P$14)))</f>
        <v>5.8652391073922311E-2</v>
      </c>
      <c r="H2218" s="5">
        <f t="shared" si="453"/>
        <v>0.78512211507682261</v>
      </c>
      <c r="I2218" s="24">
        <f t="shared" si="454"/>
        <v>1.2608620633558498E-4</v>
      </c>
      <c r="J2218" s="25">
        <f>INDEX('Default Prob'!$C$3:$C$13, _xlfn.IFNA(MATCH(F2218, 'Default Prob'!$B$3:$B$13, 1), 1))</f>
        <v>2.4E-2</v>
      </c>
      <c r="K2218" s="26">
        <f t="shared" si="445"/>
        <v>0.81815311846512273</v>
      </c>
      <c r="L2218" s="27">
        <f t="shared" ca="1" si="446"/>
        <v>0</v>
      </c>
      <c r="M2218" s="27">
        <f t="shared" ca="1" si="447"/>
        <v>0</v>
      </c>
      <c r="N2218" s="28">
        <f t="shared" ca="1" si="448"/>
        <v>0</v>
      </c>
      <c r="O2218" s="29">
        <f t="shared" ca="1" si="449"/>
        <v>0</v>
      </c>
      <c r="P2218" s="30">
        <f t="shared" ca="1" si="450"/>
        <v>0</v>
      </c>
    </row>
    <row r="2219" spans="1:16" x14ac:dyDescent="0.25">
      <c r="A2219" s="3">
        <f t="shared" si="451"/>
        <v>49219</v>
      </c>
      <c r="B2219" s="21">
        <f t="shared" si="442"/>
        <v>36801</v>
      </c>
      <c r="C2219" s="21">
        <f t="shared" si="443"/>
        <v>36880</v>
      </c>
      <c r="D2219" s="1">
        <f t="shared" si="452"/>
        <v>0</v>
      </c>
      <c r="E2219" s="3">
        <f t="array" ref="E2219">INDEX($A$9:A2218, MAX(IF($D$9:D2218=1, ROW(D$9:$D2218)-ROW($D$9)+1, 0)))</f>
        <v>49207</v>
      </c>
      <c r="F2219" s="23">
        <f t="shared" si="444"/>
        <v>8.470910335386721</v>
      </c>
      <c r="G2219" s="5">
        <f>INDEX('Default Prob'!$P$5:$P$14,MIN(1+_xlfn.IFNA(MATCH(F2219,'Default Prob'!$F$5:$F$14,1),0),COUNT('Default Prob'!$P$5:$P$14)))</f>
        <v>5.8652391073922311E-2</v>
      </c>
      <c r="H2219" s="5">
        <f t="shared" si="453"/>
        <v>0.78474397791772921</v>
      </c>
      <c r="I2219" s="24">
        <f t="shared" si="454"/>
        <v>3.7813715909340573E-4</v>
      </c>
      <c r="J2219" s="25">
        <f>INDEX('Default Prob'!$C$3:$C$13, _xlfn.IFNA(MATCH(F2219, 'Default Prob'!$B$3:$B$13, 1), 1))</f>
        <v>2.4E-2</v>
      </c>
      <c r="K2219" s="26">
        <f t="shared" si="445"/>
        <v>0.81799376026850434</v>
      </c>
      <c r="L2219" s="27">
        <f t="shared" ca="1" si="446"/>
        <v>0</v>
      </c>
      <c r="M2219" s="27">
        <f t="shared" ca="1" si="447"/>
        <v>0</v>
      </c>
      <c r="N2219" s="28">
        <f t="shared" ca="1" si="448"/>
        <v>0</v>
      </c>
      <c r="O2219" s="29">
        <f t="shared" ca="1" si="449"/>
        <v>0</v>
      </c>
      <c r="P2219" s="30">
        <f t="shared" ca="1" si="450"/>
        <v>0</v>
      </c>
    </row>
    <row r="2220" spans="1:16" x14ac:dyDescent="0.25">
      <c r="A2220" s="3">
        <f t="shared" si="451"/>
        <v>49220</v>
      </c>
      <c r="B2220" s="21">
        <f t="shared" si="442"/>
        <v>36802</v>
      </c>
      <c r="C2220" s="21">
        <f t="shared" si="443"/>
        <v>36880</v>
      </c>
      <c r="D2220" s="1">
        <f t="shared" si="452"/>
        <v>0</v>
      </c>
      <c r="E2220" s="3">
        <f t="array" ref="E2220">INDEX($A$9:A2219, MAX(IF($D$9:D2219=1, ROW(D$9:$D2219)-ROW($D$9)+1, 0)))</f>
        <v>49207</v>
      </c>
      <c r="F2220" s="23">
        <f t="shared" si="444"/>
        <v>8.473648186173854</v>
      </c>
      <c r="G2220" s="5">
        <f>INDEX('Default Prob'!$P$5:$P$14,MIN(1+_xlfn.IFNA(MATCH(F2220,'Default Prob'!$F$5:$F$14,1),0),COUNT('Default Prob'!$P$5:$P$14)))</f>
        <v>5.8652391073922311E-2</v>
      </c>
      <c r="H2220" s="5">
        <f t="shared" si="453"/>
        <v>0.78461797267383482</v>
      </c>
      <c r="I2220" s="24">
        <f t="shared" si="454"/>
        <v>1.2600524389438927E-4</v>
      </c>
      <c r="J2220" s="25">
        <f>INDEX('Default Prob'!$C$3:$C$13, _xlfn.IFNA(MATCH(F2220, 'Default Prob'!$B$3:$B$13, 1), 1))</f>
        <v>2.4E-2</v>
      </c>
      <c r="K2220" s="26">
        <f t="shared" si="445"/>
        <v>0.8179406477675889</v>
      </c>
      <c r="L2220" s="27">
        <f t="shared" ca="1" si="446"/>
        <v>0</v>
      </c>
      <c r="M2220" s="27">
        <f t="shared" ca="1" si="447"/>
        <v>0</v>
      </c>
      <c r="N2220" s="28">
        <f t="shared" ca="1" si="448"/>
        <v>0</v>
      </c>
      <c r="O2220" s="29">
        <f t="shared" ca="1" si="449"/>
        <v>0</v>
      </c>
      <c r="P2220" s="30">
        <f t="shared" ca="1" si="450"/>
        <v>0</v>
      </c>
    </row>
    <row r="2221" spans="1:16" x14ac:dyDescent="0.25">
      <c r="A2221" s="3">
        <f t="shared" si="451"/>
        <v>49221</v>
      </c>
      <c r="B2221" s="21">
        <f t="shared" si="442"/>
        <v>36803</v>
      </c>
      <c r="C2221" s="21">
        <f t="shared" si="443"/>
        <v>36880</v>
      </c>
      <c r="D2221" s="1">
        <f t="shared" si="452"/>
        <v>0</v>
      </c>
      <c r="E2221" s="3">
        <f t="array" ref="E2221">INDEX($A$9:A2220, MAX(IF($D$9:D2220=1, ROW(D$9:$D2220)-ROW($D$9)+1, 0)))</f>
        <v>49207</v>
      </c>
      <c r="F2221" s="23">
        <f t="shared" si="444"/>
        <v>8.4763860369609851</v>
      </c>
      <c r="G2221" s="5">
        <f>INDEX('Default Prob'!$P$5:$P$14,MIN(1+_xlfn.IFNA(MATCH(F2221,'Default Prob'!$F$5:$F$14,1),0),COUNT('Default Prob'!$P$5:$P$14)))</f>
        <v>5.8652391073922311E-2</v>
      </c>
      <c r="H2221" s="5">
        <f t="shared" si="453"/>
        <v>0.78449198766242645</v>
      </c>
      <c r="I2221" s="24">
        <f t="shared" si="454"/>
        <v>1.2598501140836937E-4</v>
      </c>
      <c r="J2221" s="25">
        <f>INDEX('Default Prob'!$C$3:$C$13, _xlfn.IFNA(MATCH(F2221, 'Default Prob'!$B$3:$B$13, 1), 1))</f>
        <v>2.4E-2</v>
      </c>
      <c r="K2221" s="26">
        <f t="shared" si="445"/>
        <v>0.81788753871527886</v>
      </c>
      <c r="L2221" s="27">
        <f t="shared" ca="1" si="446"/>
        <v>0</v>
      </c>
      <c r="M2221" s="27">
        <f t="shared" ca="1" si="447"/>
        <v>0</v>
      </c>
      <c r="N2221" s="28">
        <f t="shared" ca="1" si="448"/>
        <v>0</v>
      </c>
      <c r="O2221" s="29">
        <f t="shared" ca="1" si="449"/>
        <v>0</v>
      </c>
      <c r="P2221" s="30">
        <f t="shared" ca="1" si="450"/>
        <v>0</v>
      </c>
    </row>
    <row r="2222" spans="1:16" x14ac:dyDescent="0.25">
      <c r="A2222" s="3">
        <f t="shared" si="451"/>
        <v>49222</v>
      </c>
      <c r="B2222" s="21">
        <f t="shared" si="442"/>
        <v>36804</v>
      </c>
      <c r="C2222" s="21">
        <f t="shared" si="443"/>
        <v>36880</v>
      </c>
      <c r="D2222" s="1">
        <f t="shared" si="452"/>
        <v>0</v>
      </c>
      <c r="E2222" s="3">
        <f t="array" ref="E2222">INDEX($A$9:A2221, MAX(IF($D$9:D2221=1, ROW(D$9:$D2221)-ROW($D$9)+1, 0)))</f>
        <v>49207</v>
      </c>
      <c r="F2222" s="23">
        <f t="shared" si="444"/>
        <v>8.4791238877481181</v>
      </c>
      <c r="G2222" s="5">
        <f>INDEX('Default Prob'!$P$5:$P$14,MIN(1+_xlfn.IFNA(MATCH(F2222,'Default Prob'!$F$5:$F$14,1),0),COUNT('Default Prob'!$P$5:$P$14)))</f>
        <v>5.8652391073922311E-2</v>
      </c>
      <c r="H2222" s="5">
        <f t="shared" si="453"/>
        <v>0.78436602288025525</v>
      </c>
      <c r="I2222" s="24">
        <f t="shared" si="454"/>
        <v>1.2596478217119511E-4</v>
      </c>
      <c r="J2222" s="25">
        <f>INDEX('Default Prob'!$C$3:$C$13, _xlfn.IFNA(MATCH(F2222, 'Default Prob'!$B$3:$B$13, 1), 1))</f>
        <v>2.4E-2</v>
      </c>
      <c r="K2222" s="26">
        <f t="shared" si="445"/>
        <v>0.8178344331113504</v>
      </c>
      <c r="L2222" s="27">
        <f t="shared" ca="1" si="446"/>
        <v>0</v>
      </c>
      <c r="M2222" s="27">
        <f t="shared" ca="1" si="447"/>
        <v>0</v>
      </c>
      <c r="N2222" s="28">
        <f t="shared" ca="1" si="448"/>
        <v>0</v>
      </c>
      <c r="O2222" s="29">
        <f t="shared" ca="1" si="449"/>
        <v>0</v>
      </c>
      <c r="P2222" s="30">
        <f t="shared" ca="1" si="450"/>
        <v>0</v>
      </c>
    </row>
    <row r="2223" spans="1:16" x14ac:dyDescent="0.25">
      <c r="A2223" s="3">
        <f t="shared" si="451"/>
        <v>49223</v>
      </c>
      <c r="B2223" s="21">
        <f t="shared" si="442"/>
        <v>36805</v>
      </c>
      <c r="C2223" s="21">
        <f t="shared" si="443"/>
        <v>36880</v>
      </c>
      <c r="D2223" s="1">
        <f t="shared" si="452"/>
        <v>0</v>
      </c>
      <c r="E2223" s="3">
        <f t="array" ref="E2223">INDEX($A$9:A2222, MAX(IF($D$9:D2222=1, ROW(D$9:$D2222)-ROW($D$9)+1, 0)))</f>
        <v>49207</v>
      </c>
      <c r="F2223" s="23">
        <f t="shared" si="444"/>
        <v>8.4818617385352493</v>
      </c>
      <c r="G2223" s="5">
        <f>INDEX('Default Prob'!$P$5:$P$14,MIN(1+_xlfn.IFNA(MATCH(F2223,'Default Prob'!$F$5:$F$14,1),0),COUNT('Default Prob'!$P$5:$P$14)))</f>
        <v>5.8652391073922311E-2</v>
      </c>
      <c r="H2223" s="5">
        <f t="shared" si="453"/>
        <v>0.78424007832407316</v>
      </c>
      <c r="I2223" s="24">
        <f t="shared" si="454"/>
        <v>1.2594455618208933E-4</v>
      </c>
      <c r="J2223" s="25">
        <f>INDEX('Default Prob'!$C$3:$C$13, _xlfn.IFNA(MATCH(F2223, 'Default Prob'!$B$3:$B$13, 1), 1))</f>
        <v>2.4E-2</v>
      </c>
      <c r="K2223" s="26">
        <f t="shared" si="445"/>
        <v>0.81778133095557959</v>
      </c>
      <c r="L2223" s="27">
        <f t="shared" ca="1" si="446"/>
        <v>0</v>
      </c>
      <c r="M2223" s="27">
        <f t="shared" ca="1" si="447"/>
        <v>0</v>
      </c>
      <c r="N2223" s="28">
        <f t="shared" ca="1" si="448"/>
        <v>0</v>
      </c>
      <c r="O2223" s="29">
        <f t="shared" ca="1" si="449"/>
        <v>0</v>
      </c>
      <c r="P2223" s="30">
        <f t="shared" ca="1" si="450"/>
        <v>0</v>
      </c>
    </row>
    <row r="2224" spans="1:16" x14ac:dyDescent="0.25">
      <c r="A2224" s="3">
        <f t="shared" si="451"/>
        <v>49226</v>
      </c>
      <c r="B2224" s="21">
        <f t="shared" si="442"/>
        <v>36808</v>
      </c>
      <c r="C2224" s="21">
        <f t="shared" si="443"/>
        <v>36880</v>
      </c>
      <c r="D2224" s="1">
        <f t="shared" si="452"/>
        <v>0</v>
      </c>
      <c r="E2224" s="3">
        <f t="array" ref="E2224">INDEX($A$9:A2223, MAX(IF($D$9:D2223=1, ROW(D$9:$D2223)-ROW($D$9)+1, 0)))</f>
        <v>49207</v>
      </c>
      <c r="F2224" s="23">
        <f t="shared" si="444"/>
        <v>8.4900752908966464</v>
      </c>
      <c r="G2224" s="5">
        <f>INDEX('Default Prob'!$P$5:$P$14,MIN(1+_xlfn.IFNA(MATCH(F2224,'Default Prob'!$F$5:$F$14,1),0),COUNT('Default Prob'!$P$5:$P$14)))</f>
        <v>5.8652391073922311E-2</v>
      </c>
      <c r="H2224" s="5">
        <f t="shared" si="453"/>
        <v>0.78386236597898695</v>
      </c>
      <c r="I2224" s="24">
        <f t="shared" si="454"/>
        <v>3.7771234508621188E-4</v>
      </c>
      <c r="J2224" s="25">
        <f>INDEX('Default Prob'!$C$3:$C$13, _xlfn.IFNA(MATCH(F2224, 'Default Prob'!$B$3:$B$13, 1), 1))</f>
        <v>2.4E-2</v>
      </c>
      <c r="K2224" s="26">
        <f t="shared" si="445"/>
        <v>0.81762204517497428</v>
      </c>
      <c r="L2224" s="27">
        <f t="shared" ca="1" si="446"/>
        <v>0</v>
      </c>
      <c r="M2224" s="27">
        <f t="shared" ca="1" si="447"/>
        <v>0</v>
      </c>
      <c r="N2224" s="28">
        <f t="shared" ca="1" si="448"/>
        <v>0</v>
      </c>
      <c r="O2224" s="29">
        <f t="shared" ca="1" si="449"/>
        <v>0</v>
      </c>
      <c r="P2224" s="30">
        <f t="shared" ca="1" si="450"/>
        <v>0</v>
      </c>
    </row>
    <row r="2225" spans="1:16" x14ac:dyDescent="0.25">
      <c r="A2225" s="3">
        <f t="shared" si="451"/>
        <v>49227</v>
      </c>
      <c r="B2225" s="21">
        <f t="shared" si="442"/>
        <v>36809</v>
      </c>
      <c r="C2225" s="21">
        <f t="shared" si="443"/>
        <v>36880</v>
      </c>
      <c r="D2225" s="1">
        <f t="shared" si="452"/>
        <v>0</v>
      </c>
      <c r="E2225" s="3">
        <f t="array" ref="E2225">INDEX($A$9:A2224, MAX(IF($D$9:D2224=1, ROW(D$9:$D2224)-ROW($D$9)+1, 0)))</f>
        <v>49207</v>
      </c>
      <c r="F2225" s="23">
        <f t="shared" si="444"/>
        <v>8.4928131416837775</v>
      </c>
      <c r="G2225" s="5">
        <f>INDEX('Default Prob'!$P$5:$P$14,MIN(1+_xlfn.IFNA(MATCH(F2225,'Default Prob'!$F$5:$F$14,1),0),COUNT('Default Prob'!$P$5:$P$14)))</f>
        <v>5.8652391073922311E-2</v>
      </c>
      <c r="H2225" s="5">
        <f t="shared" si="453"/>
        <v>0.78373650229428971</v>
      </c>
      <c r="I2225" s="24">
        <f t="shared" si="454"/>
        <v>1.2586368469724718E-4</v>
      </c>
      <c r="J2225" s="25">
        <f>INDEX('Default Prob'!$C$3:$C$13, _xlfn.IFNA(MATCH(F2225, 'Default Prob'!$B$3:$B$13, 1), 1))</f>
        <v>2.4E-2</v>
      </c>
      <c r="K2225" s="26">
        <f t="shared" si="445"/>
        <v>0.81756895680959529</v>
      </c>
      <c r="L2225" s="27">
        <f t="shared" ca="1" si="446"/>
        <v>0</v>
      </c>
      <c r="M2225" s="27">
        <f t="shared" ca="1" si="447"/>
        <v>0</v>
      </c>
      <c r="N2225" s="28">
        <f t="shared" ca="1" si="448"/>
        <v>0</v>
      </c>
      <c r="O2225" s="29">
        <f t="shared" ca="1" si="449"/>
        <v>0</v>
      </c>
      <c r="P2225" s="30">
        <f t="shared" ca="1" si="450"/>
        <v>0</v>
      </c>
    </row>
    <row r="2226" spans="1:16" x14ac:dyDescent="0.25">
      <c r="A2226" s="3">
        <f t="shared" si="451"/>
        <v>49228</v>
      </c>
      <c r="B2226" s="21">
        <f t="shared" si="442"/>
        <v>36810</v>
      </c>
      <c r="C2226" s="21">
        <f t="shared" si="443"/>
        <v>36880</v>
      </c>
      <c r="D2226" s="1">
        <f t="shared" si="452"/>
        <v>0</v>
      </c>
      <c r="E2226" s="3">
        <f t="array" ref="E2226">INDEX($A$9:A2225, MAX(IF($D$9:D2225=1, ROW(D$9:$D2225)-ROW($D$9)+1, 0)))</f>
        <v>49207</v>
      </c>
      <c r="F2226" s="23">
        <f t="shared" si="444"/>
        <v>8.4955509924709105</v>
      </c>
      <c r="G2226" s="5">
        <f>INDEX('Default Prob'!$P$5:$P$14,MIN(1+_xlfn.IFNA(MATCH(F2226,'Default Prob'!$F$5:$F$14,1),0),COUNT('Default Prob'!$P$5:$P$14)))</f>
        <v>5.8652391073922311E-2</v>
      </c>
      <c r="H2226" s="5">
        <f t="shared" si="453"/>
        <v>0.78361065881934833</v>
      </c>
      <c r="I2226" s="24">
        <f t="shared" si="454"/>
        <v>1.2584347494137837E-4</v>
      </c>
      <c r="J2226" s="25">
        <f>INDEX('Default Prob'!$C$3:$C$13, _xlfn.IFNA(MATCH(F2226, 'Default Prob'!$B$3:$B$13, 1), 1))</f>
        <v>2.4E-2</v>
      </c>
      <c r="K2226" s="26">
        <f t="shared" si="445"/>
        <v>0.81751587189125474</v>
      </c>
      <c r="L2226" s="27">
        <f t="shared" ca="1" si="446"/>
        <v>0</v>
      </c>
      <c r="M2226" s="27">
        <f t="shared" ca="1" si="447"/>
        <v>0</v>
      </c>
      <c r="N2226" s="28">
        <f t="shared" ca="1" si="448"/>
        <v>0</v>
      </c>
      <c r="O2226" s="29">
        <f t="shared" ca="1" si="449"/>
        <v>0</v>
      </c>
      <c r="P2226" s="30">
        <f t="shared" ca="1" si="450"/>
        <v>0</v>
      </c>
    </row>
    <row r="2227" spans="1:16" x14ac:dyDescent="0.25">
      <c r="A2227" s="3">
        <f t="shared" si="451"/>
        <v>49229</v>
      </c>
      <c r="B2227" s="21">
        <f t="shared" si="442"/>
        <v>36811</v>
      </c>
      <c r="C2227" s="21">
        <f t="shared" si="443"/>
        <v>36880</v>
      </c>
      <c r="D2227" s="1">
        <f t="shared" si="452"/>
        <v>0</v>
      </c>
      <c r="E2227" s="3">
        <f t="array" ref="E2227">INDEX($A$9:A2226, MAX(IF($D$9:D2226=1, ROW(D$9:$D2226)-ROW($D$9)+1, 0)))</f>
        <v>49207</v>
      </c>
      <c r="F2227" s="23">
        <f t="shared" si="444"/>
        <v>8.4982888432580417</v>
      </c>
      <c r="G2227" s="5">
        <f>INDEX('Default Prob'!$P$5:$P$14,MIN(1+_xlfn.IFNA(MATCH(F2227,'Default Prob'!$F$5:$F$14,1),0),COUNT('Default Prob'!$P$5:$P$14)))</f>
        <v>5.8652391073922311E-2</v>
      </c>
      <c r="H2227" s="5">
        <f t="shared" si="453"/>
        <v>0.78348483555091786</v>
      </c>
      <c r="I2227" s="24">
        <f t="shared" si="454"/>
        <v>1.2582326843046943E-4</v>
      </c>
      <c r="J2227" s="25">
        <f>INDEX('Default Prob'!$C$3:$C$13, _xlfn.IFNA(MATCH(F2227, 'Default Prob'!$B$3:$B$13, 1), 1))</f>
        <v>2.4E-2</v>
      </c>
      <c r="K2227" s="26">
        <f t="shared" si="445"/>
        <v>0.81746279041972858</v>
      </c>
      <c r="L2227" s="27">
        <f t="shared" ca="1" si="446"/>
        <v>0</v>
      </c>
      <c r="M2227" s="27">
        <f t="shared" ca="1" si="447"/>
        <v>0</v>
      </c>
      <c r="N2227" s="28">
        <f t="shared" ca="1" si="448"/>
        <v>0</v>
      </c>
      <c r="O2227" s="29">
        <f t="shared" ca="1" si="449"/>
        <v>0</v>
      </c>
      <c r="P2227" s="30">
        <f t="shared" ca="1" si="450"/>
        <v>0</v>
      </c>
    </row>
    <row r="2228" spans="1:16" x14ac:dyDescent="0.25">
      <c r="A2228" s="3">
        <f t="shared" si="451"/>
        <v>49230</v>
      </c>
      <c r="B2228" s="21">
        <f t="shared" si="442"/>
        <v>36812</v>
      </c>
      <c r="C2228" s="21">
        <f t="shared" si="443"/>
        <v>36880</v>
      </c>
      <c r="D2228" s="1">
        <f t="shared" si="452"/>
        <v>0</v>
      </c>
      <c r="E2228" s="3">
        <f t="array" ref="E2228">INDEX($A$9:A2227, MAX(IF($D$9:D2227=1, ROW(D$9:$D2227)-ROW($D$9)+1, 0)))</f>
        <v>49207</v>
      </c>
      <c r="F2228" s="23">
        <f t="shared" si="444"/>
        <v>8.5010266940451746</v>
      </c>
      <c r="G2228" s="5">
        <f>INDEX('Default Prob'!$P$5:$P$14,MIN(1+_xlfn.IFNA(MATCH(F2228,'Default Prob'!$F$5:$F$14,1),0),COUNT('Default Prob'!$P$5:$P$14)))</f>
        <v>5.8652391073922311E-2</v>
      </c>
      <c r="H2228" s="5">
        <f t="shared" si="453"/>
        <v>0.78335903248575378</v>
      </c>
      <c r="I2228" s="24">
        <f t="shared" si="454"/>
        <v>1.2580306516407624E-4</v>
      </c>
      <c r="J2228" s="25">
        <f>INDEX('Default Prob'!$C$3:$C$13, _xlfn.IFNA(MATCH(F2228, 'Default Prob'!$B$3:$B$13, 1), 1))</f>
        <v>2.4E-2</v>
      </c>
      <c r="K2228" s="26">
        <f t="shared" si="445"/>
        <v>0.8174097123947931</v>
      </c>
      <c r="L2228" s="27">
        <f t="shared" ca="1" si="446"/>
        <v>0</v>
      </c>
      <c r="M2228" s="27">
        <f t="shared" ca="1" si="447"/>
        <v>0</v>
      </c>
      <c r="N2228" s="28">
        <f t="shared" ca="1" si="448"/>
        <v>0</v>
      </c>
      <c r="O2228" s="29">
        <f t="shared" ca="1" si="449"/>
        <v>0</v>
      </c>
      <c r="P2228" s="30">
        <f t="shared" ca="1" si="450"/>
        <v>0</v>
      </c>
    </row>
    <row r="2229" spans="1:16" x14ac:dyDescent="0.25">
      <c r="A2229" s="3">
        <f t="shared" si="451"/>
        <v>49233</v>
      </c>
      <c r="B2229" s="21">
        <f t="shared" si="442"/>
        <v>36815</v>
      </c>
      <c r="C2229" s="21">
        <f t="shared" si="443"/>
        <v>36880</v>
      </c>
      <c r="D2229" s="1">
        <f t="shared" si="452"/>
        <v>0</v>
      </c>
      <c r="E2229" s="3">
        <f t="array" ref="E2229">INDEX($A$9:A2228, MAX(IF($D$9:D2228=1, ROW(D$9:$D2228)-ROW($D$9)+1, 0)))</f>
        <v>49207</v>
      </c>
      <c r="F2229" s="23">
        <f t="shared" si="444"/>
        <v>8.5092402464065717</v>
      </c>
      <c r="G2229" s="5">
        <f>INDEX('Default Prob'!$P$5:$P$14,MIN(1+_xlfn.IFNA(MATCH(F2229,'Default Prob'!$F$5:$F$14,1),0),COUNT('Default Prob'!$P$5:$P$14)))</f>
        <v>5.8652391073922311E-2</v>
      </c>
      <c r="H2229" s="5">
        <f t="shared" si="453"/>
        <v>0.78298174447742219</v>
      </c>
      <c r="I2229" s="24">
        <f t="shared" si="454"/>
        <v>3.7728800833158882E-4</v>
      </c>
      <c r="J2229" s="25">
        <f>INDEX('Default Prob'!$C$3:$C$13, _xlfn.IFNA(MATCH(F2229, 'Default Prob'!$B$3:$B$13, 1), 1))</f>
        <v>2.4E-2</v>
      </c>
      <c r="K2229" s="26">
        <f t="shared" si="445"/>
        <v>0.81725049899729352</v>
      </c>
      <c r="L2229" s="27">
        <f t="shared" ca="1" si="446"/>
        <v>0</v>
      </c>
      <c r="M2229" s="27">
        <f t="shared" ca="1" si="447"/>
        <v>0</v>
      </c>
      <c r="N2229" s="28">
        <f t="shared" ca="1" si="448"/>
        <v>0</v>
      </c>
      <c r="O2229" s="29">
        <f t="shared" ca="1" si="449"/>
        <v>0</v>
      </c>
      <c r="P2229" s="30">
        <f t="shared" ca="1" si="450"/>
        <v>0</v>
      </c>
    </row>
    <row r="2230" spans="1:16" x14ac:dyDescent="0.25">
      <c r="A2230" s="3">
        <f t="shared" si="451"/>
        <v>49234</v>
      </c>
      <c r="B2230" s="21">
        <f t="shared" si="442"/>
        <v>36816</v>
      </c>
      <c r="C2230" s="21">
        <f t="shared" si="443"/>
        <v>36880</v>
      </c>
      <c r="D2230" s="1">
        <f t="shared" si="452"/>
        <v>0</v>
      </c>
      <c r="E2230" s="3">
        <f t="array" ref="E2230">INDEX($A$9:A2229, MAX(IF($D$9:D2229=1, ROW(D$9:$D2229)-ROW($D$9)+1, 0)))</f>
        <v>49207</v>
      </c>
      <c r="F2230" s="23">
        <f t="shared" si="444"/>
        <v>8.5119780971937029</v>
      </c>
      <c r="G2230" s="5">
        <f>INDEX('Default Prob'!$P$5:$P$14,MIN(1+_xlfn.IFNA(MATCH(F2230,'Default Prob'!$F$5:$F$14,1),0),COUNT('Default Prob'!$P$5:$P$14)))</f>
        <v>5.8652391073922311E-2</v>
      </c>
      <c r="H2230" s="5">
        <f t="shared" si="453"/>
        <v>0.78285602219288875</v>
      </c>
      <c r="I2230" s="24">
        <f t="shared" si="454"/>
        <v>1.2572228453344714E-4</v>
      </c>
      <c r="J2230" s="25">
        <f>INDEX('Default Prob'!$C$3:$C$13, _xlfn.IFNA(MATCH(F2230, 'Default Prob'!$B$3:$B$13, 1), 1))</f>
        <v>2.4E-2</v>
      </c>
      <c r="K2230" s="26">
        <f t="shared" si="445"/>
        <v>0.81719743475648332</v>
      </c>
      <c r="L2230" s="27">
        <f t="shared" ca="1" si="446"/>
        <v>0</v>
      </c>
      <c r="M2230" s="27">
        <f t="shared" ca="1" si="447"/>
        <v>0</v>
      </c>
      <c r="N2230" s="28">
        <f t="shared" ca="1" si="448"/>
        <v>0</v>
      </c>
      <c r="O2230" s="29">
        <f t="shared" ca="1" si="449"/>
        <v>0</v>
      </c>
      <c r="P2230" s="30">
        <f t="shared" ca="1" si="450"/>
        <v>0</v>
      </c>
    </row>
    <row r="2231" spans="1:16" x14ac:dyDescent="0.25">
      <c r="A2231" s="3">
        <f t="shared" si="451"/>
        <v>49235</v>
      </c>
      <c r="B2231" s="21">
        <f t="shared" si="442"/>
        <v>36817</v>
      </c>
      <c r="C2231" s="21">
        <f t="shared" si="443"/>
        <v>36880</v>
      </c>
      <c r="D2231" s="1">
        <f t="shared" si="452"/>
        <v>0</v>
      </c>
      <c r="E2231" s="3">
        <f t="array" ref="E2231">INDEX($A$9:A2230, MAX(IF($D$9:D2230=1, ROW(D$9:$D2230)-ROW($D$9)+1, 0)))</f>
        <v>49207</v>
      </c>
      <c r="F2231" s="23">
        <f t="shared" si="444"/>
        <v>8.5147159479808359</v>
      </c>
      <c r="G2231" s="5">
        <f>INDEX('Default Prob'!$P$5:$P$14,MIN(1+_xlfn.IFNA(MATCH(F2231,'Default Prob'!$F$5:$F$14,1),0),COUNT('Default Prob'!$P$5:$P$14)))</f>
        <v>5.8652391073922311E-2</v>
      </c>
      <c r="H2231" s="5">
        <f t="shared" si="453"/>
        <v>0.78273032009540677</v>
      </c>
      <c r="I2231" s="24">
        <f t="shared" si="454"/>
        <v>1.2570209748197225E-4</v>
      </c>
      <c r="J2231" s="25">
        <f>INDEX('Default Prob'!$C$3:$C$13, _xlfn.IFNA(MATCH(F2231, 'Default Prob'!$B$3:$B$13, 1), 1))</f>
        <v>2.4E-2</v>
      </c>
      <c r="K2231" s="26">
        <f t="shared" si="445"/>
        <v>0.81714437396114503</v>
      </c>
      <c r="L2231" s="27">
        <f t="shared" ca="1" si="446"/>
        <v>0</v>
      </c>
      <c r="M2231" s="27">
        <f t="shared" ca="1" si="447"/>
        <v>0</v>
      </c>
      <c r="N2231" s="28">
        <f t="shared" ca="1" si="448"/>
        <v>0</v>
      </c>
      <c r="O2231" s="29">
        <f t="shared" ca="1" si="449"/>
        <v>0</v>
      </c>
      <c r="P2231" s="30">
        <f t="shared" ca="1" si="450"/>
        <v>0</v>
      </c>
    </row>
    <row r="2232" spans="1:16" x14ac:dyDescent="0.25">
      <c r="A2232" s="3">
        <f t="shared" si="451"/>
        <v>49236</v>
      </c>
      <c r="B2232" s="21">
        <f t="shared" si="442"/>
        <v>36818</v>
      </c>
      <c r="C2232" s="21">
        <f t="shared" si="443"/>
        <v>36880</v>
      </c>
      <c r="D2232" s="1">
        <f t="shared" si="452"/>
        <v>0</v>
      </c>
      <c r="E2232" s="3">
        <f t="array" ref="E2232">INDEX($A$9:A2231, MAX(IF($D$9:D2231=1, ROW(D$9:$D2231)-ROW($D$9)+1, 0)))</f>
        <v>49207</v>
      </c>
      <c r="F2232" s="23">
        <f t="shared" si="444"/>
        <v>8.517453798767967</v>
      </c>
      <c r="G2232" s="5">
        <f>INDEX('Default Prob'!$P$5:$P$14,MIN(1+_xlfn.IFNA(MATCH(F2232,'Default Prob'!$F$5:$F$14,1),0),COUNT('Default Prob'!$P$5:$P$14)))</f>
        <v>5.8652391073922311E-2</v>
      </c>
      <c r="H2232" s="5">
        <f t="shared" si="453"/>
        <v>0.78260463818173498</v>
      </c>
      <c r="I2232" s="24">
        <f t="shared" si="454"/>
        <v>1.2568191367179349E-4</v>
      </c>
      <c r="J2232" s="25">
        <f>INDEX('Default Prob'!$C$3:$C$13, _xlfn.IFNA(MATCH(F2232, 'Default Prob'!$B$3:$B$13, 1), 1))</f>
        <v>2.4E-2</v>
      </c>
      <c r="K2232" s="26">
        <f t="shared" si="445"/>
        <v>0.81709131661105494</v>
      </c>
      <c r="L2232" s="27">
        <f t="shared" ca="1" si="446"/>
        <v>0</v>
      </c>
      <c r="M2232" s="27">
        <f t="shared" ca="1" si="447"/>
        <v>0</v>
      </c>
      <c r="N2232" s="28">
        <f t="shared" ca="1" si="448"/>
        <v>0</v>
      </c>
      <c r="O2232" s="29">
        <f t="shared" ca="1" si="449"/>
        <v>0</v>
      </c>
      <c r="P2232" s="30">
        <f t="shared" ca="1" si="450"/>
        <v>0</v>
      </c>
    </row>
    <row r="2233" spans="1:16" x14ac:dyDescent="0.25">
      <c r="A2233" s="3">
        <f t="shared" si="451"/>
        <v>49237</v>
      </c>
      <c r="B2233" s="21">
        <f t="shared" si="442"/>
        <v>36819</v>
      </c>
      <c r="C2233" s="21">
        <f t="shared" si="443"/>
        <v>36880</v>
      </c>
      <c r="D2233" s="1">
        <f t="shared" si="452"/>
        <v>0</v>
      </c>
      <c r="E2233" s="3">
        <f t="array" ref="E2233">INDEX($A$9:A2232, MAX(IF($D$9:D2232=1, ROW(D$9:$D2232)-ROW($D$9)+1, 0)))</f>
        <v>49207</v>
      </c>
      <c r="F2233" s="23">
        <f t="shared" si="444"/>
        <v>8.5201916495551</v>
      </c>
      <c r="G2233" s="5">
        <f>INDEX('Default Prob'!$P$5:$P$14,MIN(1+_xlfn.IFNA(MATCH(F2233,'Default Prob'!$F$5:$F$14,1),0),COUNT('Default Prob'!$P$5:$P$14)))</f>
        <v>5.8652391073922311E-2</v>
      </c>
      <c r="H2233" s="5">
        <f t="shared" si="453"/>
        <v>0.7824789764486324</v>
      </c>
      <c r="I2233" s="24">
        <f t="shared" si="454"/>
        <v>1.2566173310257778E-4</v>
      </c>
      <c r="J2233" s="25">
        <f>INDEX('Default Prob'!$C$3:$C$13, _xlfn.IFNA(MATCH(F2233, 'Default Prob'!$B$3:$B$13, 1), 1))</f>
        <v>2.4E-2</v>
      </c>
      <c r="K2233" s="26">
        <f t="shared" si="445"/>
        <v>0.81703826270598934</v>
      </c>
      <c r="L2233" s="27">
        <f t="shared" ca="1" si="446"/>
        <v>0</v>
      </c>
      <c r="M2233" s="27">
        <f t="shared" ca="1" si="447"/>
        <v>0</v>
      </c>
      <c r="N2233" s="28">
        <f t="shared" ca="1" si="448"/>
        <v>0</v>
      </c>
      <c r="O2233" s="29">
        <f t="shared" ca="1" si="449"/>
        <v>0</v>
      </c>
      <c r="P2233" s="30">
        <f t="shared" ca="1" si="450"/>
        <v>0</v>
      </c>
    </row>
    <row r="2234" spans="1:16" x14ac:dyDescent="0.25">
      <c r="A2234" s="3">
        <f t="shared" si="451"/>
        <v>49240</v>
      </c>
      <c r="B2234" s="21">
        <f t="shared" si="442"/>
        <v>36822</v>
      </c>
      <c r="C2234" s="21">
        <f t="shared" si="443"/>
        <v>36880</v>
      </c>
      <c r="D2234" s="1">
        <f t="shared" si="452"/>
        <v>0</v>
      </c>
      <c r="E2234" s="3">
        <f t="array" ref="E2234">INDEX($A$9:A2233, MAX(IF($D$9:D2233=1, ROW(D$9:$D2233)-ROW($D$9)+1, 0)))</f>
        <v>49207</v>
      </c>
      <c r="F2234" s="23">
        <f t="shared" si="444"/>
        <v>8.5284052019164953</v>
      </c>
      <c r="G2234" s="5">
        <f>INDEX('Default Prob'!$P$5:$P$14,MIN(1+_xlfn.IFNA(MATCH(F2234,'Default Prob'!$F$5:$F$14,1),0),COUNT('Default Prob'!$P$5:$P$14)))</f>
        <v>5.8652391073922311E-2</v>
      </c>
      <c r="H2234" s="5">
        <f t="shared" si="453"/>
        <v>0.78210211230033921</v>
      </c>
      <c r="I2234" s="24">
        <f t="shared" si="454"/>
        <v>3.7686414829318782E-4</v>
      </c>
      <c r="J2234" s="25">
        <f>INDEX('Default Prob'!$C$3:$C$13, _xlfn.IFNA(MATCH(F2234, 'Default Prob'!$B$3:$B$13, 1), 1))</f>
        <v>2.4E-2</v>
      </c>
      <c r="K2234" s="26">
        <f t="shared" si="445"/>
        <v>0.81687912165870302</v>
      </c>
      <c r="L2234" s="27">
        <f t="shared" ca="1" si="446"/>
        <v>0</v>
      </c>
      <c r="M2234" s="27">
        <f t="shared" ca="1" si="447"/>
        <v>0</v>
      </c>
      <c r="N2234" s="28">
        <f t="shared" ca="1" si="448"/>
        <v>0</v>
      </c>
      <c r="O2234" s="29">
        <f t="shared" ca="1" si="449"/>
        <v>0</v>
      </c>
      <c r="P2234" s="30">
        <f t="shared" ca="1" si="450"/>
        <v>0</v>
      </c>
    </row>
    <row r="2235" spans="1:16" x14ac:dyDescent="0.25">
      <c r="A2235" s="3">
        <f t="shared" si="451"/>
        <v>49241</v>
      </c>
      <c r="B2235" s="21">
        <f t="shared" si="442"/>
        <v>36823</v>
      </c>
      <c r="C2235" s="21">
        <f t="shared" si="443"/>
        <v>36880</v>
      </c>
      <c r="D2235" s="1">
        <f t="shared" si="452"/>
        <v>0</v>
      </c>
      <c r="E2235" s="3">
        <f t="array" ref="E2235">INDEX($A$9:A2234, MAX(IF($D$9:D2234=1, ROW(D$9:$D2234)-ROW($D$9)+1, 0)))</f>
        <v>49207</v>
      </c>
      <c r="F2235" s="23">
        <f t="shared" si="444"/>
        <v>8.5311430527036283</v>
      </c>
      <c r="G2235" s="5">
        <f>INDEX('Default Prob'!$P$5:$P$14,MIN(1+_xlfn.IFNA(MATCH(F2235,'Default Prob'!$F$5:$F$14,1),0),COUNT('Default Prob'!$P$5:$P$14)))</f>
        <v>5.8652391073922311E-2</v>
      </c>
      <c r="H2235" s="5">
        <f t="shared" si="453"/>
        <v>0.78197653125711519</v>
      </c>
      <c r="I2235" s="24">
        <f t="shared" si="454"/>
        <v>1.2558104322402119E-4</v>
      </c>
      <c r="J2235" s="25">
        <f>INDEX('Default Prob'!$C$3:$C$13, _xlfn.IFNA(MATCH(F2235, 'Default Prob'!$B$3:$B$13, 1), 1))</f>
        <v>2.4E-2</v>
      </c>
      <c r="K2235" s="26">
        <f t="shared" si="445"/>
        <v>0.81682608153149872</v>
      </c>
      <c r="L2235" s="27">
        <f t="shared" ca="1" si="446"/>
        <v>0</v>
      </c>
      <c r="M2235" s="27">
        <f t="shared" ca="1" si="447"/>
        <v>0</v>
      </c>
      <c r="N2235" s="28">
        <f t="shared" ca="1" si="448"/>
        <v>0</v>
      </c>
      <c r="O2235" s="29">
        <f t="shared" ca="1" si="449"/>
        <v>0</v>
      </c>
      <c r="P2235" s="30">
        <f t="shared" ca="1" si="450"/>
        <v>0</v>
      </c>
    </row>
    <row r="2236" spans="1:16" x14ac:dyDescent="0.25">
      <c r="A2236" s="3">
        <f t="shared" si="451"/>
        <v>49242</v>
      </c>
      <c r="B2236" s="21">
        <f t="shared" si="442"/>
        <v>36824</v>
      </c>
      <c r="C2236" s="21">
        <f t="shared" si="443"/>
        <v>36880</v>
      </c>
      <c r="D2236" s="1">
        <f t="shared" si="452"/>
        <v>0</v>
      </c>
      <c r="E2236" s="3">
        <f t="array" ref="E2236">INDEX($A$9:A2235, MAX(IF($D$9:D2235=1, ROW(D$9:$D2235)-ROW($D$9)+1, 0)))</f>
        <v>49207</v>
      </c>
      <c r="F2236" s="23">
        <f t="shared" si="444"/>
        <v>8.5338809034907595</v>
      </c>
      <c r="G2236" s="5">
        <f>INDEX('Default Prob'!$P$5:$P$14,MIN(1+_xlfn.IFNA(MATCH(F2236,'Default Prob'!$F$5:$F$14,1),0),COUNT('Default Prob'!$P$5:$P$14)))</f>
        <v>5.8652391073922311E-2</v>
      </c>
      <c r="H2236" s="5">
        <f t="shared" si="453"/>
        <v>0.78185097037826379</v>
      </c>
      <c r="I2236" s="24">
        <f t="shared" si="454"/>
        <v>1.255608788514051E-4</v>
      </c>
      <c r="J2236" s="25">
        <f>INDEX('Default Prob'!$C$3:$C$13, _xlfn.IFNA(MATCH(F2236, 'Default Prob'!$B$3:$B$13, 1), 1))</f>
        <v>2.4E-2</v>
      </c>
      <c r="K2236" s="26">
        <f t="shared" si="445"/>
        <v>0.81677304484820079</v>
      </c>
      <c r="L2236" s="27">
        <f t="shared" ca="1" si="446"/>
        <v>0</v>
      </c>
      <c r="M2236" s="27">
        <f t="shared" ca="1" si="447"/>
        <v>0</v>
      </c>
      <c r="N2236" s="28">
        <f t="shared" ca="1" si="448"/>
        <v>0</v>
      </c>
      <c r="O2236" s="29">
        <f t="shared" ca="1" si="449"/>
        <v>0</v>
      </c>
      <c r="P2236" s="30">
        <f t="shared" ca="1" si="450"/>
        <v>0</v>
      </c>
    </row>
    <row r="2237" spans="1:16" x14ac:dyDescent="0.25">
      <c r="A2237" s="3">
        <f t="shared" si="451"/>
        <v>49243</v>
      </c>
      <c r="B2237" s="21">
        <f t="shared" si="442"/>
        <v>36825</v>
      </c>
      <c r="C2237" s="21">
        <f t="shared" si="443"/>
        <v>36880</v>
      </c>
      <c r="D2237" s="1">
        <f t="shared" si="452"/>
        <v>0</v>
      </c>
      <c r="E2237" s="3">
        <f t="array" ref="E2237">INDEX($A$9:A2236, MAX(IF($D$9:D2236=1, ROW(D$9:$D2236)-ROW($D$9)+1, 0)))</f>
        <v>49207</v>
      </c>
      <c r="F2237" s="23">
        <f t="shared" si="444"/>
        <v>8.5366187542778924</v>
      </c>
      <c r="G2237" s="5">
        <f>INDEX('Default Prob'!$P$5:$P$14,MIN(1+_xlfn.IFNA(MATCH(F2237,'Default Prob'!$F$5:$F$14,1),0),COUNT('Default Prob'!$P$5:$P$14)))</f>
        <v>5.8652391073922311E-2</v>
      </c>
      <c r="H2237" s="5">
        <f t="shared" si="453"/>
        <v>0.78172542966054714</v>
      </c>
      <c r="I2237" s="24">
        <f t="shared" si="454"/>
        <v>1.2554071771664344E-4</v>
      </c>
      <c r="J2237" s="25">
        <f>INDEX('Default Prob'!$C$3:$C$13, _xlfn.IFNA(MATCH(F2237, 'Default Prob'!$B$3:$B$13, 1), 1))</f>
        <v>2.4E-2</v>
      </c>
      <c r="K2237" s="26">
        <f t="shared" si="445"/>
        <v>0.81672001160858532</v>
      </c>
      <c r="L2237" s="27">
        <f t="shared" ca="1" si="446"/>
        <v>0</v>
      </c>
      <c r="M2237" s="27">
        <f t="shared" ca="1" si="447"/>
        <v>0</v>
      </c>
      <c r="N2237" s="28">
        <f t="shared" ca="1" si="448"/>
        <v>0</v>
      </c>
      <c r="O2237" s="29">
        <f t="shared" ca="1" si="449"/>
        <v>0</v>
      </c>
      <c r="P2237" s="30">
        <f t="shared" ca="1" si="450"/>
        <v>0</v>
      </c>
    </row>
    <row r="2238" spans="1:16" x14ac:dyDescent="0.25">
      <c r="A2238" s="3">
        <f t="shared" si="451"/>
        <v>49244</v>
      </c>
      <c r="B2238" s="21">
        <f t="shared" si="442"/>
        <v>36826</v>
      </c>
      <c r="C2238" s="21">
        <f t="shared" si="443"/>
        <v>36880</v>
      </c>
      <c r="D2238" s="1">
        <f t="shared" si="452"/>
        <v>0</v>
      </c>
      <c r="E2238" s="3">
        <f t="array" ref="E2238">INDEX($A$9:A2237, MAX(IF($D$9:D2237=1, ROW(D$9:$D2237)-ROW($D$9)+1, 0)))</f>
        <v>49207</v>
      </c>
      <c r="F2238" s="23">
        <f t="shared" si="444"/>
        <v>8.5393566050650236</v>
      </c>
      <c r="G2238" s="5">
        <f>INDEX('Default Prob'!$P$5:$P$14,MIN(1+_xlfn.IFNA(MATCH(F2238,'Default Prob'!$F$5:$F$14,1),0),COUNT('Default Prob'!$P$5:$P$14)))</f>
        <v>5.8652391073922311E-2</v>
      </c>
      <c r="H2238" s="5">
        <f t="shared" si="453"/>
        <v>0.7815999091007283</v>
      </c>
      <c r="I2238" s="24">
        <f t="shared" si="454"/>
        <v>1.2552055981884802E-4</v>
      </c>
      <c r="J2238" s="25">
        <f>INDEX('Default Prob'!$C$3:$C$13, _xlfn.IFNA(MATCH(F2238, 'Default Prob'!$B$3:$B$13, 1), 1))</f>
        <v>2.4E-2</v>
      </c>
      <c r="K2238" s="26">
        <f t="shared" si="445"/>
        <v>0.81666698181242892</v>
      </c>
      <c r="L2238" s="27">
        <f t="shared" ca="1" si="446"/>
        <v>0</v>
      </c>
      <c r="M2238" s="27">
        <f t="shared" ca="1" si="447"/>
        <v>0</v>
      </c>
      <c r="N2238" s="28">
        <f t="shared" ca="1" si="448"/>
        <v>0</v>
      </c>
      <c r="O2238" s="29">
        <f t="shared" ca="1" si="449"/>
        <v>0</v>
      </c>
      <c r="P2238" s="30">
        <f t="shared" ca="1" si="450"/>
        <v>0</v>
      </c>
    </row>
    <row r="2239" spans="1:16" x14ac:dyDescent="0.25">
      <c r="A2239" s="3">
        <f t="shared" si="451"/>
        <v>49247</v>
      </c>
      <c r="B2239" s="21">
        <f t="shared" si="442"/>
        <v>36829</v>
      </c>
      <c r="C2239" s="21">
        <f t="shared" si="443"/>
        <v>36880</v>
      </c>
      <c r="D2239" s="1">
        <f t="shared" si="452"/>
        <v>0</v>
      </c>
      <c r="E2239" s="3">
        <f t="array" ref="E2239">INDEX($A$9:A2238, MAX(IF($D$9:D2238=1, ROW(D$9:$D2238)-ROW($D$9)+1, 0)))</f>
        <v>49207</v>
      </c>
      <c r="F2239" s="23">
        <f t="shared" si="444"/>
        <v>8.5475701574264207</v>
      </c>
      <c r="G2239" s="5">
        <f>INDEX('Default Prob'!$P$5:$P$14,MIN(1+_xlfn.IFNA(MATCH(F2239,'Default Prob'!$F$5:$F$14,1),0),COUNT('Default Prob'!$P$5:$P$14)))</f>
        <v>5.8652391073922311E-2</v>
      </c>
      <c r="H2239" s="5">
        <f t="shared" si="453"/>
        <v>0.7812234683362923</v>
      </c>
      <c r="I2239" s="24">
        <f t="shared" si="454"/>
        <v>3.7644076443599239E-4</v>
      </c>
      <c r="J2239" s="25">
        <f>INDEX('Default Prob'!$C$3:$C$13, _xlfn.IFNA(MATCH(F2239, 'Default Prob'!$B$3:$B$13, 1), 1))</f>
        <v>2.4E-2</v>
      </c>
      <c r="K2239" s="26">
        <f t="shared" si="445"/>
        <v>0.81650791308247805</v>
      </c>
      <c r="L2239" s="27">
        <f t="shared" ca="1" si="446"/>
        <v>0</v>
      </c>
      <c r="M2239" s="27">
        <f t="shared" ca="1" si="447"/>
        <v>0</v>
      </c>
      <c r="N2239" s="28">
        <f t="shared" ca="1" si="448"/>
        <v>0</v>
      </c>
      <c r="O2239" s="29">
        <f t="shared" ca="1" si="449"/>
        <v>0</v>
      </c>
      <c r="P2239" s="30">
        <f t="shared" ca="1" si="450"/>
        <v>0</v>
      </c>
    </row>
    <row r="2240" spans="1:16" x14ac:dyDescent="0.25">
      <c r="A2240" s="3">
        <f t="shared" si="451"/>
        <v>49248</v>
      </c>
      <c r="B2240" s="21">
        <f t="shared" si="442"/>
        <v>36830</v>
      </c>
      <c r="C2240" s="21">
        <f t="shared" si="443"/>
        <v>36880</v>
      </c>
      <c r="D2240" s="1">
        <f t="shared" si="452"/>
        <v>0</v>
      </c>
      <c r="E2240" s="3">
        <f t="array" ref="E2240">INDEX($A$9:A2239, MAX(IF($D$9:D2239=1, ROW(D$9:$D2239)-ROW($D$9)+1, 0)))</f>
        <v>49207</v>
      </c>
      <c r="F2240" s="23">
        <f t="shared" si="444"/>
        <v>8.5503080082135519</v>
      </c>
      <c r="G2240" s="5">
        <f>INDEX('Default Prob'!$P$5:$P$14,MIN(1+_xlfn.IFNA(MATCH(F2240,'Default Prob'!$F$5:$F$14,1),0),COUNT('Default Prob'!$P$5:$P$14)))</f>
        <v>5.8652391073922311E-2</v>
      </c>
      <c r="H2240" s="5">
        <f t="shared" si="453"/>
        <v>0.78109802837570175</v>
      </c>
      <c r="I2240" s="24">
        <f t="shared" si="454"/>
        <v>1.2543996059055651E-4</v>
      </c>
      <c r="J2240" s="25">
        <f>INDEX('Default Prob'!$C$3:$C$13, _xlfn.IFNA(MATCH(F2240, 'Default Prob'!$B$3:$B$13, 1), 1))</f>
        <v>2.4E-2</v>
      </c>
      <c r="K2240" s="26">
        <f t="shared" si="445"/>
        <v>0.81645489705792218</v>
      </c>
      <c r="L2240" s="27">
        <f t="shared" ca="1" si="446"/>
        <v>0</v>
      </c>
      <c r="M2240" s="27">
        <f t="shared" ca="1" si="447"/>
        <v>0</v>
      </c>
      <c r="N2240" s="28">
        <f t="shared" ca="1" si="448"/>
        <v>0</v>
      </c>
      <c r="O2240" s="29">
        <f t="shared" ca="1" si="449"/>
        <v>0</v>
      </c>
      <c r="P2240" s="30">
        <f t="shared" ca="1" si="450"/>
        <v>0</v>
      </c>
    </row>
    <row r="2241" spans="1:16" x14ac:dyDescent="0.25">
      <c r="A2241" s="3">
        <f t="shared" si="451"/>
        <v>49249</v>
      </c>
      <c r="B2241" s="21">
        <f t="shared" si="442"/>
        <v>36831</v>
      </c>
      <c r="C2241" s="21">
        <f t="shared" si="443"/>
        <v>36880</v>
      </c>
      <c r="D2241" s="1">
        <f t="shared" si="452"/>
        <v>0</v>
      </c>
      <c r="E2241" s="3">
        <f t="array" ref="E2241">INDEX($A$9:A2240, MAX(IF($D$9:D2240=1, ROW(D$9:$D2240)-ROW($D$9)+1, 0)))</f>
        <v>49207</v>
      </c>
      <c r="F2241" s="23">
        <f t="shared" si="444"/>
        <v>8.5530458590006848</v>
      </c>
      <c r="G2241" s="5">
        <f>INDEX('Default Prob'!$P$5:$P$14,MIN(1+_xlfn.IFNA(MATCH(F2241,'Default Prob'!$F$5:$F$14,1),0),COUNT('Default Prob'!$P$5:$P$14)))</f>
        <v>5.8652391073922311E-2</v>
      </c>
      <c r="H2241" s="5">
        <f t="shared" si="453"/>
        <v>0.78097260855683026</v>
      </c>
      <c r="I2241" s="24">
        <f t="shared" si="454"/>
        <v>1.2541981887148612E-4</v>
      </c>
      <c r="J2241" s="25">
        <f>INDEX('Default Prob'!$C$3:$C$13, _xlfn.IFNA(MATCH(F2241, 'Default Prob'!$B$3:$B$13, 1), 1))</f>
        <v>2.4E-2</v>
      </c>
      <c r="K2241" s="26">
        <f t="shared" si="445"/>
        <v>0.81640188447570738</v>
      </c>
      <c r="L2241" s="27">
        <f t="shared" ca="1" si="446"/>
        <v>0</v>
      </c>
      <c r="M2241" s="27">
        <f t="shared" ca="1" si="447"/>
        <v>0</v>
      </c>
      <c r="N2241" s="28">
        <f t="shared" ca="1" si="448"/>
        <v>0</v>
      </c>
      <c r="O2241" s="29">
        <f t="shared" ca="1" si="449"/>
        <v>0</v>
      </c>
      <c r="P2241" s="30">
        <f t="shared" ca="1" si="450"/>
        <v>0</v>
      </c>
    </row>
    <row r="2242" spans="1:16" x14ac:dyDescent="0.25">
      <c r="A2242" s="3">
        <f t="shared" si="451"/>
        <v>49250</v>
      </c>
      <c r="B2242" s="21">
        <f t="shared" si="442"/>
        <v>36832</v>
      </c>
      <c r="C2242" s="21">
        <f t="shared" si="443"/>
        <v>36880</v>
      </c>
      <c r="D2242" s="1">
        <f t="shared" si="452"/>
        <v>0</v>
      </c>
      <c r="E2242" s="3">
        <f t="array" ref="E2242">INDEX($A$9:A2241, MAX(IF($D$9:D2241=1, ROW(D$9:$D2241)-ROW($D$9)+1, 0)))</f>
        <v>49207</v>
      </c>
      <c r="F2242" s="23">
        <f t="shared" si="444"/>
        <v>8.555783709787816</v>
      </c>
      <c r="G2242" s="5">
        <f>INDEX('Default Prob'!$P$5:$P$14,MIN(1+_xlfn.IFNA(MATCH(F2242,'Default Prob'!$F$5:$F$14,1),0),COUNT('Default Prob'!$P$5:$P$14)))</f>
        <v>5.8652391073922311E-2</v>
      </c>
      <c r="H2242" s="5">
        <f t="shared" si="453"/>
        <v>0.78084720887644399</v>
      </c>
      <c r="I2242" s="24">
        <f t="shared" si="454"/>
        <v>1.2539968038627336E-4</v>
      </c>
      <c r="J2242" s="25">
        <f>INDEX('Default Prob'!$C$3:$C$13, _xlfn.IFNA(MATCH(F2242, 'Default Prob'!$B$3:$B$13, 1), 1))</f>
        <v>2.4E-2</v>
      </c>
      <c r="K2242" s="26">
        <f t="shared" si="445"/>
        <v>0.81634887533561029</v>
      </c>
      <c r="L2242" s="27">
        <f t="shared" ca="1" si="446"/>
        <v>0</v>
      </c>
      <c r="M2242" s="27">
        <f t="shared" ca="1" si="447"/>
        <v>0</v>
      </c>
      <c r="N2242" s="28">
        <f t="shared" ca="1" si="448"/>
        <v>0</v>
      </c>
      <c r="O2242" s="29">
        <f t="shared" ca="1" si="449"/>
        <v>0</v>
      </c>
      <c r="P2242" s="30">
        <f t="shared" ca="1" si="450"/>
        <v>0</v>
      </c>
    </row>
    <row r="2243" spans="1:16" x14ac:dyDescent="0.25">
      <c r="A2243" s="3">
        <f t="shared" si="451"/>
        <v>49251</v>
      </c>
      <c r="B2243" s="21">
        <f t="shared" si="442"/>
        <v>36833</v>
      </c>
      <c r="C2243" s="21">
        <f t="shared" si="443"/>
        <v>36880</v>
      </c>
      <c r="D2243" s="1">
        <f t="shared" si="452"/>
        <v>0</v>
      </c>
      <c r="E2243" s="3">
        <f t="array" ref="E2243">INDEX($A$9:A2242, MAX(IF($D$9:D2242=1, ROW(D$9:$D2242)-ROW($D$9)+1, 0)))</f>
        <v>49207</v>
      </c>
      <c r="F2243" s="23">
        <f t="shared" si="444"/>
        <v>8.5585215605749489</v>
      </c>
      <c r="G2243" s="5">
        <f>INDEX('Default Prob'!$P$5:$P$14,MIN(1+_xlfn.IFNA(MATCH(F2243,'Default Prob'!$F$5:$F$14,1),0),COUNT('Default Prob'!$P$5:$P$14)))</f>
        <v>5.8652391073922311E-2</v>
      </c>
      <c r="H2243" s="5">
        <f t="shared" si="453"/>
        <v>0.78072182933130907</v>
      </c>
      <c r="I2243" s="24">
        <f t="shared" si="454"/>
        <v>1.2537954513491822E-4</v>
      </c>
      <c r="J2243" s="25">
        <f>INDEX('Default Prob'!$C$3:$C$13, _xlfn.IFNA(MATCH(F2243, 'Default Prob'!$B$3:$B$13, 1), 1))</f>
        <v>2.4E-2</v>
      </c>
      <c r="K2243" s="26">
        <f t="shared" si="445"/>
        <v>0.81629586963740741</v>
      </c>
      <c r="L2243" s="27">
        <f t="shared" ca="1" si="446"/>
        <v>0</v>
      </c>
      <c r="M2243" s="27">
        <f t="shared" ca="1" si="447"/>
        <v>0</v>
      </c>
      <c r="N2243" s="28">
        <f t="shared" ca="1" si="448"/>
        <v>0</v>
      </c>
      <c r="O2243" s="29">
        <f t="shared" ca="1" si="449"/>
        <v>0</v>
      </c>
      <c r="P2243" s="30">
        <f t="shared" ca="1" si="450"/>
        <v>0</v>
      </c>
    </row>
    <row r="2244" spans="1:16" x14ac:dyDescent="0.25">
      <c r="A2244" s="3">
        <f t="shared" si="451"/>
        <v>49254</v>
      </c>
      <c r="B2244" s="21">
        <f t="shared" si="442"/>
        <v>36836</v>
      </c>
      <c r="C2244" s="21">
        <f t="shared" si="443"/>
        <v>36880</v>
      </c>
      <c r="D2244" s="1">
        <f t="shared" si="452"/>
        <v>0</v>
      </c>
      <c r="E2244" s="3">
        <f t="array" ref="E2244">INDEX($A$9:A2243, MAX(IF($D$9:D2243=1, ROW(D$9:$D2243)-ROW($D$9)+1, 0)))</f>
        <v>49207</v>
      </c>
      <c r="F2244" s="23">
        <f t="shared" si="444"/>
        <v>8.5667351129363443</v>
      </c>
      <c r="G2244" s="5">
        <f>INDEX('Default Prob'!$P$5:$P$14,MIN(1+_xlfn.IFNA(MATCH(F2244,'Default Prob'!$F$5:$F$14,1),0),COUNT('Default Prob'!$P$5:$P$14)))</f>
        <v>5.8652391073922311E-2</v>
      </c>
      <c r="H2244" s="5">
        <f t="shared" si="453"/>
        <v>0.78034581147508464</v>
      </c>
      <c r="I2244" s="24">
        <f t="shared" si="454"/>
        <v>3.7601785622443096E-4</v>
      </c>
      <c r="J2244" s="25">
        <f>INDEX('Default Prob'!$C$3:$C$13, _xlfn.IFNA(MATCH(F2244, 'Default Prob'!$B$3:$B$13, 1), 1))</f>
        <v>2.4E-2</v>
      </c>
      <c r="K2244" s="26">
        <f t="shared" si="445"/>
        <v>0.81613687319192951</v>
      </c>
      <c r="L2244" s="27">
        <f t="shared" ca="1" si="446"/>
        <v>0</v>
      </c>
      <c r="M2244" s="27">
        <f t="shared" ca="1" si="447"/>
        <v>0</v>
      </c>
      <c r="N2244" s="28">
        <f t="shared" ca="1" si="448"/>
        <v>0</v>
      </c>
      <c r="O2244" s="29">
        <f t="shared" ca="1" si="449"/>
        <v>0</v>
      </c>
      <c r="P2244" s="30">
        <f t="shared" ca="1" si="450"/>
        <v>0</v>
      </c>
    </row>
    <row r="2245" spans="1:16" x14ac:dyDescent="0.25">
      <c r="A2245" s="3">
        <f t="shared" si="451"/>
        <v>49255</v>
      </c>
      <c r="B2245" s="21">
        <f t="shared" si="442"/>
        <v>36837</v>
      </c>
      <c r="C2245" s="21">
        <f t="shared" si="443"/>
        <v>36880</v>
      </c>
      <c r="D2245" s="1">
        <f t="shared" si="452"/>
        <v>0</v>
      </c>
      <c r="E2245" s="3">
        <f t="array" ref="E2245">INDEX($A$9:A2244, MAX(IF($D$9:D2244=1, ROW(D$9:$D2244)-ROW($D$9)+1, 0)))</f>
        <v>49207</v>
      </c>
      <c r="F2245" s="23">
        <f t="shared" si="444"/>
        <v>8.5694729637234772</v>
      </c>
      <c r="G2245" s="5">
        <f>INDEX('Default Prob'!$P$5:$P$14,MIN(1+_xlfn.IFNA(MATCH(F2245,'Default Prob'!$F$5:$F$14,1),0),COUNT('Default Prob'!$P$5:$P$14)))</f>
        <v>5.8652391073922311E-2</v>
      </c>
      <c r="H2245" s="5">
        <f t="shared" si="453"/>
        <v>0.78022051243862978</v>
      </c>
      <c r="I2245" s="24">
        <f t="shared" si="454"/>
        <v>1.2529903645486229E-4</v>
      </c>
      <c r="J2245" s="25">
        <f>INDEX('Default Prob'!$C$3:$C$13, _xlfn.IFNA(MATCH(F2245, 'Default Prob'!$B$3:$B$13, 1), 1))</f>
        <v>2.4E-2</v>
      </c>
      <c r="K2245" s="26">
        <f t="shared" si="445"/>
        <v>0.81608388125906894</v>
      </c>
      <c r="L2245" s="27">
        <f t="shared" ca="1" si="446"/>
        <v>0</v>
      </c>
      <c r="M2245" s="27">
        <f t="shared" ca="1" si="447"/>
        <v>0</v>
      </c>
      <c r="N2245" s="28">
        <f t="shared" ca="1" si="448"/>
        <v>0</v>
      </c>
      <c r="O2245" s="29">
        <f t="shared" ca="1" si="449"/>
        <v>0</v>
      </c>
      <c r="P2245" s="30">
        <f t="shared" ca="1" si="450"/>
        <v>0</v>
      </c>
    </row>
    <row r="2246" spans="1:16" x14ac:dyDescent="0.25">
      <c r="A2246" s="3">
        <f t="shared" si="451"/>
        <v>49256</v>
      </c>
      <c r="B2246" s="21">
        <f t="shared" si="442"/>
        <v>36838</v>
      </c>
      <c r="C2246" s="21">
        <f t="shared" si="443"/>
        <v>36880</v>
      </c>
      <c r="D2246" s="1">
        <f t="shared" si="452"/>
        <v>0</v>
      </c>
      <c r="E2246" s="3">
        <f t="array" ref="E2246">INDEX($A$9:A2245, MAX(IF($D$9:D2245=1, ROW(D$9:$D2245)-ROW($D$9)+1, 0)))</f>
        <v>49207</v>
      </c>
      <c r="F2246" s="23">
        <f t="shared" si="444"/>
        <v>8.5722108145106084</v>
      </c>
      <c r="G2246" s="5">
        <f>INDEX('Default Prob'!$P$5:$P$14,MIN(1+_xlfn.IFNA(MATCH(F2246,'Default Prob'!$F$5:$F$14,1),0),COUNT('Default Prob'!$P$5:$P$14)))</f>
        <v>5.8652391073922311E-2</v>
      </c>
      <c r="H2246" s="5">
        <f t="shared" si="453"/>
        <v>0.7800952335212662</v>
      </c>
      <c r="I2246" s="24">
        <f t="shared" si="454"/>
        <v>1.2527891736358043E-4</v>
      </c>
      <c r="J2246" s="25">
        <f>INDEX('Default Prob'!$C$3:$C$13, _xlfn.IFNA(MATCH(F2246, 'Default Prob'!$B$3:$B$13, 1), 1))</f>
        <v>2.4E-2</v>
      </c>
      <c r="K2246" s="26">
        <f t="shared" si="445"/>
        <v>0.81603089276698526</v>
      </c>
      <c r="L2246" s="27">
        <f t="shared" ca="1" si="446"/>
        <v>0</v>
      </c>
      <c r="M2246" s="27">
        <f t="shared" ca="1" si="447"/>
        <v>0</v>
      </c>
      <c r="N2246" s="28">
        <f t="shared" ca="1" si="448"/>
        <v>0</v>
      </c>
      <c r="O2246" s="29">
        <f t="shared" ca="1" si="449"/>
        <v>0</v>
      </c>
      <c r="P2246" s="30">
        <f t="shared" ca="1" si="450"/>
        <v>0</v>
      </c>
    </row>
    <row r="2247" spans="1:16" x14ac:dyDescent="0.25">
      <c r="A2247" s="3">
        <f t="shared" si="451"/>
        <v>49257</v>
      </c>
      <c r="B2247" s="21">
        <f t="shared" si="442"/>
        <v>36839</v>
      </c>
      <c r="C2247" s="21">
        <f t="shared" si="443"/>
        <v>36880</v>
      </c>
      <c r="D2247" s="1">
        <f t="shared" si="452"/>
        <v>0</v>
      </c>
      <c r="E2247" s="3">
        <f t="array" ref="E2247">INDEX($A$9:A2246, MAX(IF($D$9:D2246=1, ROW(D$9:$D2246)-ROW($D$9)+1, 0)))</f>
        <v>49207</v>
      </c>
      <c r="F2247" s="23">
        <f t="shared" si="444"/>
        <v>8.5749486652977414</v>
      </c>
      <c r="G2247" s="5">
        <f>INDEX('Default Prob'!$P$5:$P$14,MIN(1+_xlfn.IFNA(MATCH(F2247,'Default Prob'!$F$5:$F$14,1),0),COUNT('Default Prob'!$P$5:$P$14)))</f>
        <v>5.8652391073922311E-2</v>
      </c>
      <c r="H2247" s="5">
        <f t="shared" si="453"/>
        <v>0.77996997471976315</v>
      </c>
      <c r="I2247" s="24">
        <f t="shared" si="454"/>
        <v>1.2525880150304758E-4</v>
      </c>
      <c r="J2247" s="25">
        <f>INDEX('Default Prob'!$C$3:$C$13, _xlfn.IFNA(MATCH(F2247, 'Default Prob'!$B$3:$B$13, 1), 1))</f>
        <v>2.4E-2</v>
      </c>
      <c r="K2247" s="26">
        <f t="shared" si="445"/>
        <v>0.8159779077154552</v>
      </c>
      <c r="L2247" s="27">
        <f t="shared" ca="1" si="446"/>
        <v>0</v>
      </c>
      <c r="M2247" s="27">
        <f t="shared" ca="1" si="447"/>
        <v>0</v>
      </c>
      <c r="N2247" s="28">
        <f t="shared" ca="1" si="448"/>
        <v>0</v>
      </c>
      <c r="O2247" s="29">
        <f t="shared" ca="1" si="449"/>
        <v>0</v>
      </c>
      <c r="P2247" s="30">
        <f t="shared" ca="1" si="450"/>
        <v>0</v>
      </c>
    </row>
    <row r="2248" spans="1:16" x14ac:dyDescent="0.25">
      <c r="A2248" s="3">
        <f t="shared" si="451"/>
        <v>49258</v>
      </c>
      <c r="B2248" s="21">
        <f t="shared" si="442"/>
        <v>36840</v>
      </c>
      <c r="C2248" s="21">
        <f t="shared" si="443"/>
        <v>36880</v>
      </c>
      <c r="D2248" s="1">
        <f t="shared" si="452"/>
        <v>0</v>
      </c>
      <c r="E2248" s="3">
        <f t="array" ref="E2248">INDEX($A$9:A2247, MAX(IF($D$9:D2247=1, ROW(D$9:$D2247)-ROW($D$9)+1, 0)))</f>
        <v>49207</v>
      </c>
      <c r="F2248" s="23">
        <f t="shared" si="444"/>
        <v>8.5776865160848725</v>
      </c>
      <c r="G2248" s="5">
        <f>INDEX('Default Prob'!$P$5:$P$14,MIN(1+_xlfn.IFNA(MATCH(F2248,'Default Prob'!$F$5:$F$14,1),0),COUNT('Default Prob'!$P$5:$P$14)))</f>
        <v>5.8652391073922311E-2</v>
      </c>
      <c r="H2248" s="5">
        <f t="shared" si="453"/>
        <v>0.77984473603089088</v>
      </c>
      <c r="I2248" s="24">
        <f t="shared" si="454"/>
        <v>1.2523868887226453E-4</v>
      </c>
      <c r="J2248" s="25">
        <f>INDEX('Default Prob'!$C$3:$C$13, _xlfn.IFNA(MATCH(F2248, 'Default Prob'!$B$3:$B$13, 1), 1))</f>
        <v>2.4E-2</v>
      </c>
      <c r="K2248" s="26">
        <f t="shared" si="445"/>
        <v>0.81592492610425527</v>
      </c>
      <c r="L2248" s="27">
        <f t="shared" ca="1" si="446"/>
        <v>0</v>
      </c>
      <c r="M2248" s="27">
        <f t="shared" ca="1" si="447"/>
        <v>0</v>
      </c>
      <c r="N2248" s="28">
        <f t="shared" ca="1" si="448"/>
        <v>0</v>
      </c>
      <c r="O2248" s="29">
        <f t="shared" ca="1" si="449"/>
        <v>0</v>
      </c>
      <c r="P2248" s="30">
        <f t="shared" ca="1" si="450"/>
        <v>0</v>
      </c>
    </row>
    <row r="2249" spans="1:16" x14ac:dyDescent="0.25">
      <c r="A2249" s="3">
        <f t="shared" si="451"/>
        <v>49261</v>
      </c>
      <c r="B2249" s="21">
        <f t="shared" ref="B2249:B2312" si="455">DATE(2000, MONTH(A2249), DAY(A2249))</f>
        <v>36843</v>
      </c>
      <c r="C2249" s="21">
        <f t="shared" ref="C2249:C2312" si="456">VLOOKUP(B2249, $R$9:$S$13, 2)</f>
        <v>36880</v>
      </c>
      <c r="D2249" s="1">
        <f t="shared" si="452"/>
        <v>0</v>
      </c>
      <c r="E2249" s="3">
        <f t="array" ref="E2249">INDEX($A$9:A2248, MAX(IF($D$9:D2248=1, ROW(D$9:$D2248)-ROW($D$9)+1, 0)))</f>
        <v>49207</v>
      </c>
      <c r="F2249" s="23">
        <f t="shared" ref="F2249:F2312" si="457">(A2249-$A$2)/365.25</f>
        <v>8.5859000684462696</v>
      </c>
      <c r="G2249" s="5">
        <f>INDEX('Default Prob'!$P$5:$P$14,MIN(1+_xlfn.IFNA(MATCH(F2249,'Default Prob'!$F$5:$F$14,1),0),COUNT('Default Prob'!$P$5:$P$14)))</f>
        <v>5.8652391073922311E-2</v>
      </c>
      <c r="H2249" s="5">
        <f t="shared" si="453"/>
        <v>0.77946914060776629</v>
      </c>
      <c r="I2249" s="24">
        <f t="shared" si="454"/>
        <v>3.7559542312459726E-4</v>
      </c>
      <c r="J2249" s="25">
        <f>INDEX('Default Prob'!$C$3:$C$13, _xlfn.IFNA(MATCH(F2249, 'Default Prob'!$B$3:$B$13, 1), 1))</f>
        <v>2.4E-2</v>
      </c>
      <c r="K2249" s="26">
        <f t="shared" ref="K2249:K2312" si="458">1/((1+J2249)^F2249)</f>
        <v>0.81576600191040249</v>
      </c>
      <c r="L2249" s="27">
        <f t="shared" ref="L2249:L2312" ca="1" si="459">IF(AND(D2249, A2249 &lt;= $G$2), $D$5*$D$2*(A2249-E2249)/365.25, 0)</f>
        <v>0</v>
      </c>
      <c r="M2249" s="27">
        <f t="shared" ref="M2249:M2312" ca="1" si="460">IF(A2249&lt;=$G$2, $D$5*$D$2*(A2249-E2249)/365.25, 0)</f>
        <v>0</v>
      </c>
      <c r="N2249" s="28">
        <f t="shared" ref="N2249:N2312" ca="1" si="461">(L2249*H2249 + M2249*I2249) * K2249</f>
        <v>0</v>
      </c>
      <c r="O2249" s="29">
        <f t="shared" ref="O2249:O2312" ca="1" si="462">IF(A2249&lt;=$G$2, $D$2*(1-$D$3), 0)</f>
        <v>0</v>
      </c>
      <c r="P2249" s="30">
        <f t="shared" ref="P2249:P2312" ca="1" si="463">O2249*I2249*K2249</f>
        <v>0</v>
      </c>
    </row>
    <row r="2250" spans="1:16" x14ac:dyDescent="0.25">
      <c r="A2250" s="3">
        <f t="shared" ref="A2250:A2313" si="464">WORKDAY(A2249, 1)</f>
        <v>49262</v>
      </c>
      <c r="B2250" s="21">
        <f t="shared" si="455"/>
        <v>36844</v>
      </c>
      <c r="C2250" s="21">
        <f t="shared" si="456"/>
        <v>36880</v>
      </c>
      <c r="D2250" s="1">
        <f t="shared" ref="D2250:D2313" si="465">IF(OR(C2250=B2250, AND(C2250&lt;&gt;C2249, C2249&gt;B2249)), 1, 0)</f>
        <v>0</v>
      </c>
      <c r="E2250" s="3">
        <f t="array" ref="E2250">INDEX($A$9:A2249, MAX(IF($D$9:D2249=1, ROW(D$9:$D2249)-ROW($D$9)+1, 0)))</f>
        <v>49207</v>
      </c>
      <c r="F2250" s="23">
        <f t="shared" si="457"/>
        <v>8.5886379192334026</v>
      </c>
      <c r="G2250" s="5">
        <f>INDEX('Default Prob'!$P$5:$P$14,MIN(1+_xlfn.IFNA(MATCH(F2250,'Default Prob'!$F$5:$F$14,1),0),COUNT('Default Prob'!$P$5:$P$14)))</f>
        <v>5.8652391073922311E-2</v>
      </c>
      <c r="H2250" s="5">
        <f t="shared" ref="H2250:H2313" si="466">H2249*EXP(-G2249*(F2250-F2249))</f>
        <v>0.77934398233712743</v>
      </c>
      <c r="I2250" s="24">
        <f t="shared" ref="I2250:I2313" si="467">H2249-H2250</f>
        <v>1.2515827063885876E-4</v>
      </c>
      <c r="J2250" s="25">
        <f>INDEX('Default Prob'!$C$3:$C$13, _xlfn.IFNA(MATCH(F2250, 'Default Prob'!$B$3:$B$13, 1), 1))</f>
        <v>2.4E-2</v>
      </c>
      <c r="K2250" s="26">
        <f t="shared" si="458"/>
        <v>0.81571303405828954</v>
      </c>
      <c r="L2250" s="27">
        <f t="shared" ca="1" si="459"/>
        <v>0</v>
      </c>
      <c r="M2250" s="27">
        <f t="shared" ca="1" si="460"/>
        <v>0</v>
      </c>
      <c r="N2250" s="28">
        <f t="shared" ca="1" si="461"/>
        <v>0</v>
      </c>
      <c r="O2250" s="29">
        <f t="shared" ca="1" si="462"/>
        <v>0</v>
      </c>
      <c r="P2250" s="30">
        <f t="shared" ca="1" si="463"/>
        <v>0</v>
      </c>
    </row>
    <row r="2251" spans="1:16" x14ac:dyDescent="0.25">
      <c r="A2251" s="3">
        <f t="shared" si="464"/>
        <v>49263</v>
      </c>
      <c r="B2251" s="21">
        <f t="shared" si="455"/>
        <v>36845</v>
      </c>
      <c r="C2251" s="21">
        <f t="shared" si="456"/>
        <v>36880</v>
      </c>
      <c r="D2251" s="1">
        <f t="shared" si="465"/>
        <v>0</v>
      </c>
      <c r="E2251" s="3">
        <f t="array" ref="E2251">INDEX($A$9:A2250, MAX(IF($D$9:D2250=1, ROW(D$9:$D2250)-ROW($D$9)+1, 0)))</f>
        <v>49207</v>
      </c>
      <c r="F2251" s="23">
        <f t="shared" si="457"/>
        <v>8.5913757700205338</v>
      </c>
      <c r="G2251" s="5">
        <f>INDEX('Default Prob'!$P$5:$P$14,MIN(1+_xlfn.IFNA(MATCH(F2251,'Default Prob'!$F$5:$F$14,1),0),COUNT('Default Prob'!$P$5:$P$14)))</f>
        <v>5.8652391073922311E-2</v>
      </c>
      <c r="H2251" s="5">
        <f t="shared" si="466"/>
        <v>0.77921884416297726</v>
      </c>
      <c r="I2251" s="24">
        <f t="shared" si="467"/>
        <v>1.2513817415016337E-4</v>
      </c>
      <c r="J2251" s="25">
        <f>INDEX('Default Prob'!$C$3:$C$13, _xlfn.IFNA(MATCH(F2251, 'Default Prob'!$B$3:$B$13, 1), 1))</f>
        <v>2.4E-2</v>
      </c>
      <c r="K2251" s="26">
        <f t="shared" si="458"/>
        <v>0.81566006964539006</v>
      </c>
      <c r="L2251" s="27">
        <f t="shared" ca="1" si="459"/>
        <v>0</v>
      </c>
      <c r="M2251" s="27">
        <f t="shared" ca="1" si="460"/>
        <v>0</v>
      </c>
      <c r="N2251" s="28">
        <f t="shared" ca="1" si="461"/>
        <v>0</v>
      </c>
      <c r="O2251" s="29">
        <f t="shared" ca="1" si="462"/>
        <v>0</v>
      </c>
      <c r="P2251" s="30">
        <f t="shared" ca="1" si="463"/>
        <v>0</v>
      </c>
    </row>
    <row r="2252" spans="1:16" x14ac:dyDescent="0.25">
      <c r="A2252" s="3">
        <f t="shared" si="464"/>
        <v>49264</v>
      </c>
      <c r="B2252" s="21">
        <f t="shared" si="455"/>
        <v>36846</v>
      </c>
      <c r="C2252" s="21">
        <f t="shared" si="456"/>
        <v>36880</v>
      </c>
      <c r="D2252" s="1">
        <f t="shared" si="465"/>
        <v>0</v>
      </c>
      <c r="E2252" s="3">
        <f t="array" ref="E2252">INDEX($A$9:A2251, MAX(IF($D$9:D2251=1, ROW(D$9:$D2251)-ROW($D$9)+1, 0)))</f>
        <v>49207</v>
      </c>
      <c r="F2252" s="23">
        <f t="shared" si="457"/>
        <v>8.5941136208076667</v>
      </c>
      <c r="G2252" s="5">
        <f>INDEX('Default Prob'!$P$5:$P$14,MIN(1+_xlfn.IFNA(MATCH(F2252,'Default Prob'!$F$5:$F$14,1),0),COUNT('Default Prob'!$P$5:$P$14)))</f>
        <v>5.8652391073922311E-2</v>
      </c>
      <c r="H2252" s="5">
        <f t="shared" si="466"/>
        <v>0.77909372608208882</v>
      </c>
      <c r="I2252" s="24">
        <f t="shared" si="467"/>
        <v>1.2511808088844223E-4</v>
      </c>
      <c r="J2252" s="25">
        <f>INDEX('Default Prob'!$C$3:$C$13, _xlfn.IFNA(MATCH(F2252, 'Default Prob'!$B$3:$B$13, 1), 1))</f>
        <v>2.4E-2</v>
      </c>
      <c r="K2252" s="26">
        <f t="shared" si="458"/>
        <v>0.81560710867148034</v>
      </c>
      <c r="L2252" s="27">
        <f t="shared" ca="1" si="459"/>
        <v>0</v>
      </c>
      <c r="M2252" s="27">
        <f t="shared" ca="1" si="460"/>
        <v>0</v>
      </c>
      <c r="N2252" s="28">
        <f t="shared" ca="1" si="461"/>
        <v>0</v>
      </c>
      <c r="O2252" s="29">
        <f t="shared" ca="1" si="462"/>
        <v>0</v>
      </c>
      <c r="P2252" s="30">
        <f t="shared" ca="1" si="463"/>
        <v>0</v>
      </c>
    </row>
    <row r="2253" spans="1:16" x14ac:dyDescent="0.25">
      <c r="A2253" s="3">
        <f t="shared" si="464"/>
        <v>49265</v>
      </c>
      <c r="B2253" s="21">
        <f t="shared" si="455"/>
        <v>36847</v>
      </c>
      <c r="C2253" s="21">
        <f t="shared" si="456"/>
        <v>36880</v>
      </c>
      <c r="D2253" s="1">
        <f t="shared" si="465"/>
        <v>0</v>
      </c>
      <c r="E2253" s="3">
        <f t="array" ref="E2253">INDEX($A$9:A2252, MAX(IF($D$9:D2252=1, ROW(D$9:$D2252)-ROW($D$9)+1, 0)))</f>
        <v>49207</v>
      </c>
      <c r="F2253" s="23">
        <f t="shared" si="457"/>
        <v>8.5968514715947979</v>
      </c>
      <c r="G2253" s="5">
        <f>INDEX('Default Prob'!$P$5:$P$14,MIN(1+_xlfn.IFNA(MATCH(F2253,'Default Prob'!$F$5:$F$14,1),0),COUNT('Default Prob'!$P$5:$P$14)))</f>
        <v>5.8652391073922311E-2</v>
      </c>
      <c r="H2253" s="5">
        <f t="shared" si="466"/>
        <v>0.77896862809123579</v>
      </c>
      <c r="I2253" s="24">
        <f t="shared" si="467"/>
        <v>1.250979908530292E-4</v>
      </c>
      <c r="J2253" s="25">
        <f>INDEX('Default Prob'!$C$3:$C$13, _xlfn.IFNA(MATCH(F2253, 'Default Prob'!$B$3:$B$13, 1), 1))</f>
        <v>2.4E-2</v>
      </c>
      <c r="K2253" s="26">
        <f t="shared" si="458"/>
        <v>0.81555415113633767</v>
      </c>
      <c r="L2253" s="27">
        <f t="shared" ca="1" si="459"/>
        <v>0</v>
      </c>
      <c r="M2253" s="27">
        <f t="shared" ca="1" si="460"/>
        <v>0</v>
      </c>
      <c r="N2253" s="28">
        <f t="shared" ca="1" si="461"/>
        <v>0</v>
      </c>
      <c r="O2253" s="29">
        <f t="shared" ca="1" si="462"/>
        <v>0</v>
      </c>
      <c r="P2253" s="30">
        <f t="shared" ca="1" si="463"/>
        <v>0</v>
      </c>
    </row>
    <row r="2254" spans="1:16" x14ac:dyDescent="0.25">
      <c r="A2254" s="3">
        <f t="shared" si="464"/>
        <v>49268</v>
      </c>
      <c r="B2254" s="21">
        <f t="shared" si="455"/>
        <v>36850</v>
      </c>
      <c r="C2254" s="21">
        <f t="shared" si="456"/>
        <v>36880</v>
      </c>
      <c r="D2254" s="1">
        <f t="shared" si="465"/>
        <v>0</v>
      </c>
      <c r="E2254" s="3">
        <f t="array" ref="E2254">INDEX($A$9:A2253, MAX(IF($D$9:D2253=1, ROW(D$9:$D2253)-ROW($D$9)+1, 0)))</f>
        <v>49207</v>
      </c>
      <c r="F2254" s="23">
        <f t="shared" si="457"/>
        <v>8.605065023956195</v>
      </c>
      <c r="G2254" s="5">
        <f>INDEX('Default Prob'!$P$5:$P$14,MIN(1+_xlfn.IFNA(MATCH(F2254,'Default Prob'!$F$5:$F$14,1),0),COUNT('Default Prob'!$P$5:$P$14)))</f>
        <v>5.8652391073922311E-2</v>
      </c>
      <c r="H2254" s="5">
        <f t="shared" si="466"/>
        <v>0.77859345462663332</v>
      </c>
      <c r="I2254" s="24">
        <f t="shared" si="467"/>
        <v>3.7517346460247403E-4</v>
      </c>
      <c r="J2254" s="25">
        <f>INDEX('Default Prob'!$C$3:$C$13, _xlfn.IFNA(MATCH(F2254, 'Default Prob'!$B$3:$B$13, 1), 1))</f>
        <v>2.4E-2</v>
      </c>
      <c r="K2254" s="26">
        <f t="shared" si="458"/>
        <v>0.81539529916127751</v>
      </c>
      <c r="L2254" s="27">
        <f t="shared" ca="1" si="459"/>
        <v>0</v>
      </c>
      <c r="M2254" s="27">
        <f t="shared" ca="1" si="460"/>
        <v>0</v>
      </c>
      <c r="N2254" s="28">
        <f t="shared" ca="1" si="461"/>
        <v>0</v>
      </c>
      <c r="O2254" s="29">
        <f t="shared" ca="1" si="462"/>
        <v>0</v>
      </c>
      <c r="P2254" s="30">
        <f t="shared" ca="1" si="463"/>
        <v>0</v>
      </c>
    </row>
    <row r="2255" spans="1:16" x14ac:dyDescent="0.25">
      <c r="A2255" s="3">
        <f t="shared" si="464"/>
        <v>49269</v>
      </c>
      <c r="B2255" s="21">
        <f t="shared" si="455"/>
        <v>36851</v>
      </c>
      <c r="C2255" s="21">
        <f t="shared" si="456"/>
        <v>36880</v>
      </c>
      <c r="D2255" s="1">
        <f t="shared" si="465"/>
        <v>0</v>
      </c>
      <c r="E2255" s="3">
        <f t="array" ref="E2255">INDEX($A$9:A2254, MAX(IF($D$9:D2254=1, ROW(D$9:$D2254)-ROW($D$9)+1, 0)))</f>
        <v>49207</v>
      </c>
      <c r="F2255" s="23">
        <f t="shared" si="457"/>
        <v>8.6078028747433262</v>
      </c>
      <c r="G2255" s="5">
        <f>INDEX('Default Prob'!$P$5:$P$14,MIN(1+_xlfn.IFNA(MATCH(F2255,'Default Prob'!$F$5:$F$14,1),0),COUNT('Default Prob'!$P$5:$P$14)))</f>
        <v>5.8652391073922311E-2</v>
      </c>
      <c r="H2255" s="5">
        <f t="shared" si="466"/>
        <v>0.77846843696366885</v>
      </c>
      <c r="I2255" s="24">
        <f t="shared" si="467"/>
        <v>1.2501766296446615E-4</v>
      </c>
      <c r="J2255" s="25">
        <f>INDEX('Default Prob'!$C$3:$C$13, _xlfn.IFNA(MATCH(F2255, 'Default Prob'!$B$3:$B$13, 1), 1))</f>
        <v>2.4E-2</v>
      </c>
      <c r="K2255" s="26">
        <f t="shared" si="458"/>
        <v>0.81534235537896915</v>
      </c>
      <c r="L2255" s="27">
        <f t="shared" ca="1" si="459"/>
        <v>0</v>
      </c>
      <c r="M2255" s="27">
        <f t="shared" ca="1" si="460"/>
        <v>0</v>
      </c>
      <c r="N2255" s="28">
        <f t="shared" ca="1" si="461"/>
        <v>0</v>
      </c>
      <c r="O2255" s="29">
        <f t="shared" ca="1" si="462"/>
        <v>0</v>
      </c>
      <c r="P2255" s="30">
        <f t="shared" ca="1" si="463"/>
        <v>0</v>
      </c>
    </row>
    <row r="2256" spans="1:16" x14ac:dyDescent="0.25">
      <c r="A2256" s="3">
        <f t="shared" si="464"/>
        <v>49270</v>
      </c>
      <c r="B2256" s="21">
        <f t="shared" si="455"/>
        <v>36852</v>
      </c>
      <c r="C2256" s="21">
        <f t="shared" si="456"/>
        <v>36880</v>
      </c>
      <c r="D2256" s="1">
        <f t="shared" si="465"/>
        <v>0</v>
      </c>
      <c r="E2256" s="3">
        <f t="array" ref="E2256">INDEX($A$9:A2255, MAX(IF($D$9:D2255=1, ROW(D$9:$D2255)-ROW($D$9)+1, 0)))</f>
        <v>49207</v>
      </c>
      <c r="F2256" s="23">
        <f t="shared" si="457"/>
        <v>8.6105407255304591</v>
      </c>
      <c r="G2256" s="5">
        <f>INDEX('Default Prob'!$P$5:$P$14,MIN(1+_xlfn.IFNA(MATCH(F2256,'Default Prob'!$F$5:$F$14,1),0),COUNT('Default Prob'!$P$5:$P$14)))</f>
        <v>5.8652391073922311E-2</v>
      </c>
      <c r="H2256" s="5">
        <f t="shared" si="466"/>
        <v>0.7783434393746157</v>
      </c>
      <c r="I2256" s="24">
        <f t="shared" si="467"/>
        <v>1.2499758905315517E-4</v>
      </c>
      <c r="J2256" s="25">
        <f>INDEX('Default Prob'!$C$3:$C$13, _xlfn.IFNA(MATCH(F2256, 'Default Prob'!$B$3:$B$13, 1), 1))</f>
        <v>2.4E-2</v>
      </c>
      <c r="K2256" s="26">
        <f t="shared" si="458"/>
        <v>0.81528941503431152</v>
      </c>
      <c r="L2256" s="27">
        <f t="shared" ca="1" si="459"/>
        <v>0</v>
      </c>
      <c r="M2256" s="27">
        <f t="shared" ca="1" si="460"/>
        <v>0</v>
      </c>
      <c r="N2256" s="28">
        <f t="shared" ca="1" si="461"/>
        <v>0</v>
      </c>
      <c r="O2256" s="29">
        <f t="shared" ca="1" si="462"/>
        <v>0</v>
      </c>
      <c r="P2256" s="30">
        <f t="shared" ca="1" si="463"/>
        <v>0</v>
      </c>
    </row>
    <row r="2257" spans="1:16" x14ac:dyDescent="0.25">
      <c r="A2257" s="3">
        <f t="shared" si="464"/>
        <v>49271</v>
      </c>
      <c r="B2257" s="21">
        <f t="shared" si="455"/>
        <v>36853</v>
      </c>
      <c r="C2257" s="21">
        <f t="shared" si="456"/>
        <v>36880</v>
      </c>
      <c r="D2257" s="1">
        <f t="shared" si="465"/>
        <v>0</v>
      </c>
      <c r="E2257" s="3">
        <f t="array" ref="E2257">INDEX($A$9:A2256, MAX(IF($D$9:D2256=1, ROW(D$9:$D2256)-ROW($D$9)+1, 0)))</f>
        <v>49207</v>
      </c>
      <c r="F2257" s="23">
        <f t="shared" si="457"/>
        <v>8.6132785763175903</v>
      </c>
      <c r="G2257" s="5">
        <f>INDEX('Default Prob'!$P$5:$P$14,MIN(1+_xlfn.IFNA(MATCH(F2257,'Default Prob'!$F$5:$F$14,1),0),COUNT('Default Prob'!$P$5:$P$14)))</f>
        <v>5.8652391073922311E-2</v>
      </c>
      <c r="H2257" s="5">
        <f t="shared" si="466"/>
        <v>0.77821846185625088</v>
      </c>
      <c r="I2257" s="24">
        <f t="shared" si="467"/>
        <v>1.2497751836482163E-4</v>
      </c>
      <c r="J2257" s="25">
        <f>INDEX('Default Prob'!$C$3:$C$13, _xlfn.IFNA(MATCH(F2257, 'Default Prob'!$B$3:$B$13, 1), 1))</f>
        <v>2.4E-2</v>
      </c>
      <c r="K2257" s="26">
        <f t="shared" si="458"/>
        <v>0.81523647812708111</v>
      </c>
      <c r="L2257" s="27">
        <f t="shared" ca="1" si="459"/>
        <v>0</v>
      </c>
      <c r="M2257" s="27">
        <f t="shared" ca="1" si="460"/>
        <v>0</v>
      </c>
      <c r="N2257" s="28">
        <f t="shared" ca="1" si="461"/>
        <v>0</v>
      </c>
      <c r="O2257" s="29">
        <f t="shared" ca="1" si="462"/>
        <v>0</v>
      </c>
      <c r="P2257" s="30">
        <f t="shared" ca="1" si="463"/>
        <v>0</v>
      </c>
    </row>
    <row r="2258" spans="1:16" x14ac:dyDescent="0.25">
      <c r="A2258" s="3">
        <f t="shared" si="464"/>
        <v>49272</v>
      </c>
      <c r="B2258" s="21">
        <f t="shared" si="455"/>
        <v>36854</v>
      </c>
      <c r="C2258" s="21">
        <f t="shared" si="456"/>
        <v>36880</v>
      </c>
      <c r="D2258" s="1">
        <f t="shared" si="465"/>
        <v>0</v>
      </c>
      <c r="E2258" s="3">
        <f t="array" ref="E2258">INDEX($A$9:A2257, MAX(IF($D$9:D2257=1, ROW(D$9:$D2257)-ROW($D$9)+1, 0)))</f>
        <v>49207</v>
      </c>
      <c r="F2258" s="23">
        <f t="shared" si="457"/>
        <v>8.6160164271047233</v>
      </c>
      <c r="G2258" s="5">
        <f>INDEX('Default Prob'!$P$5:$P$14,MIN(1+_xlfn.IFNA(MATCH(F2258,'Default Prob'!$F$5:$F$14,1),0),COUNT('Default Prob'!$P$5:$P$14)))</f>
        <v>5.8652391073922311E-2</v>
      </c>
      <c r="H2258" s="5">
        <f t="shared" si="466"/>
        <v>0.77809350440535141</v>
      </c>
      <c r="I2258" s="24">
        <f t="shared" si="467"/>
        <v>1.2495745089946553E-4</v>
      </c>
      <c r="J2258" s="25">
        <f>INDEX('Default Prob'!$C$3:$C$13, _xlfn.IFNA(MATCH(F2258, 'Default Prob'!$B$3:$B$13, 1), 1))</f>
        <v>2.4E-2</v>
      </c>
      <c r="K2258" s="26">
        <f t="shared" si="458"/>
        <v>0.81518354465705478</v>
      </c>
      <c r="L2258" s="27">
        <f t="shared" ca="1" si="459"/>
        <v>0</v>
      </c>
      <c r="M2258" s="27">
        <f t="shared" ca="1" si="460"/>
        <v>0</v>
      </c>
      <c r="N2258" s="28">
        <f t="shared" ca="1" si="461"/>
        <v>0</v>
      </c>
      <c r="O2258" s="29">
        <f t="shared" ca="1" si="462"/>
        <v>0</v>
      </c>
      <c r="P2258" s="30">
        <f t="shared" ca="1" si="463"/>
        <v>0</v>
      </c>
    </row>
    <row r="2259" spans="1:16" x14ac:dyDescent="0.25">
      <c r="A2259" s="3">
        <f t="shared" si="464"/>
        <v>49275</v>
      </c>
      <c r="B2259" s="21">
        <f t="shared" si="455"/>
        <v>36857</v>
      </c>
      <c r="C2259" s="21">
        <f t="shared" si="456"/>
        <v>36880</v>
      </c>
      <c r="D2259" s="1">
        <f t="shared" si="465"/>
        <v>0</v>
      </c>
      <c r="E2259" s="3">
        <f t="array" ref="E2259">INDEX($A$9:A2258, MAX(IF($D$9:D2258=1, ROW(D$9:$D2258)-ROW($D$9)+1, 0)))</f>
        <v>49207</v>
      </c>
      <c r="F2259" s="23">
        <f t="shared" si="457"/>
        <v>8.6242299794661186</v>
      </c>
      <c r="G2259" s="5">
        <f>INDEX('Default Prob'!$P$5:$P$14,MIN(1+_xlfn.IFNA(MATCH(F2259,'Default Prob'!$F$5:$F$14,1),0),COUNT('Default Prob'!$P$5:$P$14)))</f>
        <v>5.8652391073922311E-2</v>
      </c>
      <c r="H2259" s="5">
        <f t="shared" si="466"/>
        <v>0.77771875242522648</v>
      </c>
      <c r="I2259" s="24">
        <f t="shared" si="467"/>
        <v>3.7475198012493216E-4</v>
      </c>
      <c r="J2259" s="25">
        <f>INDEX('Default Prob'!$C$3:$C$13, _xlfn.IFNA(MATCH(F2259, 'Default Prob'!$B$3:$B$13, 1), 1))</f>
        <v>2.4E-2</v>
      </c>
      <c r="K2259" s="26">
        <f t="shared" si="458"/>
        <v>0.81502476486796915</v>
      </c>
      <c r="L2259" s="27">
        <f t="shared" ca="1" si="459"/>
        <v>0</v>
      </c>
      <c r="M2259" s="27">
        <f t="shared" ca="1" si="460"/>
        <v>0</v>
      </c>
      <c r="N2259" s="28">
        <f t="shared" ca="1" si="461"/>
        <v>0</v>
      </c>
      <c r="O2259" s="29">
        <f t="shared" ca="1" si="462"/>
        <v>0</v>
      </c>
      <c r="P2259" s="30">
        <f t="shared" ca="1" si="463"/>
        <v>0</v>
      </c>
    </row>
    <row r="2260" spans="1:16" x14ac:dyDescent="0.25">
      <c r="A2260" s="3">
        <f t="shared" si="464"/>
        <v>49276</v>
      </c>
      <c r="B2260" s="21">
        <f t="shared" si="455"/>
        <v>36858</v>
      </c>
      <c r="C2260" s="21">
        <f t="shared" si="456"/>
        <v>36880</v>
      </c>
      <c r="D2260" s="1">
        <f t="shared" si="465"/>
        <v>0</v>
      </c>
      <c r="E2260" s="3">
        <f t="array" ref="E2260">INDEX($A$9:A2259, MAX(IF($D$9:D2259=1, ROW(D$9:$D2259)-ROW($D$9)+1, 0)))</f>
        <v>49207</v>
      </c>
      <c r="F2260" s="23">
        <f t="shared" si="457"/>
        <v>8.6269678302532515</v>
      </c>
      <c r="G2260" s="5">
        <f>INDEX('Default Prob'!$P$5:$P$14,MIN(1+_xlfn.IFNA(MATCH(F2260,'Default Prob'!$F$5:$F$14,1),0),COUNT('Default Prob'!$P$5:$P$14)))</f>
        <v>5.8652391073922311E-2</v>
      </c>
      <c r="H2260" s="5">
        <f t="shared" si="466"/>
        <v>0.77759387521197199</v>
      </c>
      <c r="I2260" s="24">
        <f t="shared" si="467"/>
        <v>1.2487721325449286E-4</v>
      </c>
      <c r="J2260" s="25">
        <f>INDEX('Default Prob'!$C$3:$C$13, _xlfn.IFNA(MATCH(F2260, 'Default Prob'!$B$3:$B$13, 1), 1))</f>
        <v>2.4E-2</v>
      </c>
      <c r="K2260" s="26">
        <f t="shared" si="458"/>
        <v>0.81497184514452781</v>
      </c>
      <c r="L2260" s="27">
        <f t="shared" ca="1" si="459"/>
        <v>0</v>
      </c>
      <c r="M2260" s="27">
        <f t="shared" ca="1" si="460"/>
        <v>0</v>
      </c>
      <c r="N2260" s="28">
        <f t="shared" ca="1" si="461"/>
        <v>0</v>
      </c>
      <c r="O2260" s="29">
        <f t="shared" ca="1" si="462"/>
        <v>0</v>
      </c>
      <c r="P2260" s="30">
        <f t="shared" ca="1" si="463"/>
        <v>0</v>
      </c>
    </row>
    <row r="2261" spans="1:16" x14ac:dyDescent="0.25">
      <c r="A2261" s="3">
        <f t="shared" si="464"/>
        <v>49277</v>
      </c>
      <c r="B2261" s="21">
        <f t="shared" si="455"/>
        <v>36859</v>
      </c>
      <c r="C2261" s="21">
        <f t="shared" si="456"/>
        <v>36880</v>
      </c>
      <c r="D2261" s="1">
        <f t="shared" si="465"/>
        <v>0</v>
      </c>
      <c r="E2261" s="3">
        <f t="array" ref="E2261">INDEX($A$9:A2260, MAX(IF($D$9:D2260=1, ROW(D$9:$D2260)-ROW($D$9)+1, 0)))</f>
        <v>49207</v>
      </c>
      <c r="F2261" s="23">
        <f t="shared" si="457"/>
        <v>8.6297056810403827</v>
      </c>
      <c r="G2261" s="5">
        <f>INDEX('Default Prob'!$P$5:$P$14,MIN(1+_xlfn.IFNA(MATCH(F2261,'Default Prob'!$F$5:$F$14,1),0),COUNT('Default Prob'!$P$5:$P$14)))</f>
        <v>5.8652391073922311E-2</v>
      </c>
      <c r="H2261" s="5">
        <f t="shared" si="466"/>
        <v>0.77746901805007729</v>
      </c>
      <c r="I2261" s="24">
        <f t="shared" si="467"/>
        <v>1.2485716189469809E-4</v>
      </c>
      <c r="J2261" s="25">
        <f>INDEX('Default Prob'!$C$3:$C$13, _xlfn.IFNA(MATCH(F2261, 'Default Prob'!$B$3:$B$13, 1), 1))</f>
        <v>2.4E-2</v>
      </c>
      <c r="K2261" s="26">
        <f t="shared" si="458"/>
        <v>0.81491892885717476</v>
      </c>
      <c r="L2261" s="27">
        <f t="shared" ca="1" si="459"/>
        <v>0</v>
      </c>
      <c r="M2261" s="27">
        <f t="shared" ca="1" si="460"/>
        <v>0</v>
      </c>
      <c r="N2261" s="28">
        <f t="shared" ca="1" si="461"/>
        <v>0</v>
      </c>
      <c r="O2261" s="29">
        <f t="shared" ca="1" si="462"/>
        <v>0</v>
      </c>
      <c r="P2261" s="30">
        <f t="shared" ca="1" si="463"/>
        <v>0</v>
      </c>
    </row>
    <row r="2262" spans="1:16" x14ac:dyDescent="0.25">
      <c r="A2262" s="3">
        <f t="shared" si="464"/>
        <v>49278</v>
      </c>
      <c r="B2262" s="21">
        <f t="shared" si="455"/>
        <v>36860</v>
      </c>
      <c r="C2262" s="21">
        <f t="shared" si="456"/>
        <v>36880</v>
      </c>
      <c r="D2262" s="1">
        <f t="shared" si="465"/>
        <v>0</v>
      </c>
      <c r="E2262" s="3">
        <f t="array" ref="E2262">INDEX($A$9:A2261, MAX(IF($D$9:D2261=1, ROW(D$9:$D2261)-ROW($D$9)+1, 0)))</f>
        <v>49207</v>
      </c>
      <c r="F2262" s="23">
        <f t="shared" si="457"/>
        <v>8.6324435318275157</v>
      </c>
      <c r="G2262" s="5">
        <f>INDEX('Default Prob'!$P$5:$P$14,MIN(1+_xlfn.IFNA(MATCH(F2262,'Default Prob'!$F$5:$F$14,1),0),COUNT('Default Prob'!$P$5:$P$14)))</f>
        <v>5.8652391073922311E-2</v>
      </c>
      <c r="H2262" s="5">
        <f t="shared" si="466"/>
        <v>0.77734418093632252</v>
      </c>
      <c r="I2262" s="24">
        <f t="shared" si="467"/>
        <v>1.2483711375477213E-4</v>
      </c>
      <c r="J2262" s="25">
        <f>INDEX('Default Prob'!$C$3:$C$13, _xlfn.IFNA(MATCH(F2262, 'Default Prob'!$B$3:$B$13, 1), 1))</f>
        <v>2.4E-2</v>
      </c>
      <c r="K2262" s="26">
        <f t="shared" si="458"/>
        <v>0.81486601600568709</v>
      </c>
      <c r="L2262" s="27">
        <f t="shared" ca="1" si="459"/>
        <v>0</v>
      </c>
      <c r="M2262" s="27">
        <f t="shared" ca="1" si="460"/>
        <v>0</v>
      </c>
      <c r="N2262" s="28">
        <f t="shared" ca="1" si="461"/>
        <v>0</v>
      </c>
      <c r="O2262" s="29">
        <f t="shared" ca="1" si="462"/>
        <v>0</v>
      </c>
      <c r="P2262" s="30">
        <f t="shared" ca="1" si="463"/>
        <v>0</v>
      </c>
    </row>
    <row r="2263" spans="1:16" x14ac:dyDescent="0.25">
      <c r="A2263" s="3">
        <f t="shared" si="464"/>
        <v>49279</v>
      </c>
      <c r="B2263" s="21">
        <f t="shared" si="455"/>
        <v>36861</v>
      </c>
      <c r="C2263" s="21">
        <f t="shared" si="456"/>
        <v>36880</v>
      </c>
      <c r="D2263" s="1">
        <f t="shared" si="465"/>
        <v>0</v>
      </c>
      <c r="E2263" s="3">
        <f t="array" ref="E2263">INDEX($A$9:A2262, MAX(IF($D$9:D2262=1, ROW(D$9:$D2262)-ROW($D$9)+1, 0)))</f>
        <v>49207</v>
      </c>
      <c r="F2263" s="23">
        <f t="shared" si="457"/>
        <v>8.6351813826146469</v>
      </c>
      <c r="G2263" s="5">
        <f>INDEX('Default Prob'!$P$5:$P$14,MIN(1+_xlfn.IFNA(MATCH(F2263,'Default Prob'!$F$5:$F$14,1),0),COUNT('Default Prob'!$P$5:$P$14)))</f>
        <v>5.8652391073922311E-2</v>
      </c>
      <c r="H2263" s="5">
        <f t="shared" si="466"/>
        <v>0.77721936386748869</v>
      </c>
      <c r="I2263" s="24">
        <f t="shared" si="467"/>
        <v>1.2481706883382682E-4</v>
      </c>
      <c r="J2263" s="25">
        <f>INDEX('Default Prob'!$C$3:$C$13, _xlfn.IFNA(MATCH(F2263, 'Default Prob'!$B$3:$B$13, 1), 1))</f>
        <v>2.4E-2</v>
      </c>
      <c r="K2263" s="26">
        <f t="shared" si="458"/>
        <v>0.81481310658984163</v>
      </c>
      <c r="L2263" s="27">
        <f t="shared" ca="1" si="459"/>
        <v>0</v>
      </c>
      <c r="M2263" s="27">
        <f t="shared" ca="1" si="460"/>
        <v>0</v>
      </c>
      <c r="N2263" s="28">
        <f t="shared" ca="1" si="461"/>
        <v>0</v>
      </c>
      <c r="O2263" s="29">
        <f t="shared" ca="1" si="462"/>
        <v>0</v>
      </c>
      <c r="P2263" s="30">
        <f t="shared" ca="1" si="463"/>
        <v>0</v>
      </c>
    </row>
    <row r="2264" spans="1:16" x14ac:dyDescent="0.25">
      <c r="A2264" s="3">
        <f t="shared" si="464"/>
        <v>49282</v>
      </c>
      <c r="B2264" s="21">
        <f t="shared" si="455"/>
        <v>36864</v>
      </c>
      <c r="C2264" s="21">
        <f t="shared" si="456"/>
        <v>36880</v>
      </c>
      <c r="D2264" s="1">
        <f t="shared" si="465"/>
        <v>0</v>
      </c>
      <c r="E2264" s="3">
        <f t="array" ref="E2264">INDEX($A$9:A2263, MAX(IF($D$9:D2263=1, ROW(D$9:$D2263)-ROW($D$9)+1, 0)))</f>
        <v>49207</v>
      </c>
      <c r="F2264" s="23">
        <f t="shared" si="457"/>
        <v>8.6433949349760439</v>
      </c>
      <c r="G2264" s="5">
        <f>INDEX('Default Prob'!$P$5:$P$14,MIN(1+_xlfn.IFNA(MATCH(F2264,'Default Prob'!$F$5:$F$14,1),0),COUNT('Default Prob'!$P$5:$P$14)))</f>
        <v>5.8652391073922311E-2</v>
      </c>
      <c r="H2264" s="5">
        <f t="shared" si="466"/>
        <v>0.77684503289832918</v>
      </c>
      <c r="I2264" s="24">
        <f t="shared" si="467"/>
        <v>3.743309691595087E-4</v>
      </c>
      <c r="J2264" s="25">
        <f>INDEX('Default Prob'!$C$3:$C$13, _xlfn.IFNA(MATCH(F2264, 'Default Prob'!$B$3:$B$13, 1), 1))</f>
        <v>2.4E-2</v>
      </c>
      <c r="K2264" s="26">
        <f t="shared" si="458"/>
        <v>0.81465439895392755</v>
      </c>
      <c r="L2264" s="27">
        <f t="shared" ca="1" si="459"/>
        <v>0</v>
      </c>
      <c r="M2264" s="27">
        <f t="shared" ca="1" si="460"/>
        <v>0</v>
      </c>
      <c r="N2264" s="28">
        <f t="shared" ca="1" si="461"/>
        <v>0</v>
      </c>
      <c r="O2264" s="29">
        <f t="shared" ca="1" si="462"/>
        <v>0</v>
      </c>
      <c r="P2264" s="30">
        <f t="shared" ca="1" si="463"/>
        <v>0</v>
      </c>
    </row>
    <row r="2265" spans="1:16" x14ac:dyDescent="0.25">
      <c r="A2265" s="3">
        <f t="shared" si="464"/>
        <v>49283</v>
      </c>
      <c r="B2265" s="21">
        <f t="shared" si="455"/>
        <v>36865</v>
      </c>
      <c r="C2265" s="21">
        <f t="shared" si="456"/>
        <v>36880</v>
      </c>
      <c r="D2265" s="1">
        <f t="shared" si="465"/>
        <v>0</v>
      </c>
      <c r="E2265" s="3">
        <f t="array" ref="E2265">INDEX($A$9:A2264, MAX(IF($D$9:D2264=1, ROW(D$9:$D2264)-ROW($D$9)+1, 0)))</f>
        <v>49207</v>
      </c>
      <c r="F2265" s="23">
        <f t="shared" si="457"/>
        <v>8.6461327857631751</v>
      </c>
      <c r="G2265" s="5">
        <f>INDEX('Default Prob'!$P$5:$P$14,MIN(1+_xlfn.IFNA(MATCH(F2265,'Default Prob'!$F$5:$F$14,1),0),COUNT('Default Prob'!$P$5:$P$14)))</f>
        <v>5.8652391073922311E-2</v>
      </c>
      <c r="H2265" s="5">
        <f t="shared" si="466"/>
        <v>0.77672029597699832</v>
      </c>
      <c r="I2265" s="24">
        <f t="shared" si="467"/>
        <v>1.2473692133085912E-4</v>
      </c>
      <c r="J2265" s="25">
        <f>INDEX('Default Prob'!$C$3:$C$13, _xlfn.IFNA(MATCH(F2265, 'Default Prob'!$B$3:$B$13, 1), 1))</f>
        <v>2.4E-2</v>
      </c>
      <c r="K2265" s="26">
        <f t="shared" si="458"/>
        <v>0.81460150327842018</v>
      </c>
      <c r="L2265" s="27">
        <f t="shared" ca="1" si="459"/>
        <v>0</v>
      </c>
      <c r="M2265" s="27">
        <f t="shared" ca="1" si="460"/>
        <v>0</v>
      </c>
      <c r="N2265" s="28">
        <f t="shared" ca="1" si="461"/>
        <v>0</v>
      </c>
      <c r="O2265" s="29">
        <f t="shared" ca="1" si="462"/>
        <v>0</v>
      </c>
      <c r="P2265" s="30">
        <f t="shared" ca="1" si="463"/>
        <v>0</v>
      </c>
    </row>
    <row r="2266" spans="1:16" x14ac:dyDescent="0.25">
      <c r="A2266" s="3">
        <f t="shared" si="464"/>
        <v>49284</v>
      </c>
      <c r="B2266" s="21">
        <f t="shared" si="455"/>
        <v>36866</v>
      </c>
      <c r="C2266" s="21">
        <f t="shared" si="456"/>
        <v>36880</v>
      </c>
      <c r="D2266" s="1">
        <f t="shared" si="465"/>
        <v>0</v>
      </c>
      <c r="E2266" s="3">
        <f t="array" ref="E2266">INDEX($A$9:A2265, MAX(IF($D$9:D2265=1, ROW(D$9:$D2265)-ROW($D$9)+1, 0)))</f>
        <v>49207</v>
      </c>
      <c r="F2266" s="23">
        <f t="shared" si="457"/>
        <v>8.6488706365503081</v>
      </c>
      <c r="G2266" s="5">
        <f>INDEX('Default Prob'!$P$5:$P$14,MIN(1+_xlfn.IFNA(MATCH(F2266,'Default Prob'!$F$5:$F$14,1),0),COUNT('Default Prob'!$P$5:$P$14)))</f>
        <v>5.8652391073922311E-2</v>
      </c>
      <c r="H2266" s="5">
        <f t="shared" si="466"/>
        <v>0.7765955790845005</v>
      </c>
      <c r="I2266" s="24">
        <f t="shared" si="467"/>
        <v>1.2471689249782258E-4</v>
      </c>
      <c r="J2266" s="25">
        <f>INDEX('Default Prob'!$C$3:$C$13, _xlfn.IFNA(MATCH(F2266, 'Default Prob'!$B$3:$B$13, 1), 1))</f>
        <v>2.4E-2</v>
      </c>
      <c r="K2266" s="26">
        <f t="shared" si="458"/>
        <v>0.81454861103743981</v>
      </c>
      <c r="L2266" s="27">
        <f t="shared" ca="1" si="459"/>
        <v>0</v>
      </c>
      <c r="M2266" s="27">
        <f t="shared" ca="1" si="460"/>
        <v>0</v>
      </c>
      <c r="N2266" s="28">
        <f t="shared" ca="1" si="461"/>
        <v>0</v>
      </c>
      <c r="O2266" s="29">
        <f t="shared" ca="1" si="462"/>
        <v>0</v>
      </c>
      <c r="P2266" s="30">
        <f t="shared" ca="1" si="463"/>
        <v>0</v>
      </c>
    </row>
    <row r="2267" spans="1:16" x14ac:dyDescent="0.25">
      <c r="A2267" s="3">
        <f t="shared" si="464"/>
        <v>49285</v>
      </c>
      <c r="B2267" s="21">
        <f t="shared" si="455"/>
        <v>36867</v>
      </c>
      <c r="C2267" s="21">
        <f t="shared" si="456"/>
        <v>36880</v>
      </c>
      <c r="D2267" s="1">
        <f t="shared" si="465"/>
        <v>0</v>
      </c>
      <c r="E2267" s="3">
        <f t="array" ref="E2267">INDEX($A$9:A2266, MAX(IF($D$9:D2266=1, ROW(D$9:$D2266)-ROW($D$9)+1, 0)))</f>
        <v>49207</v>
      </c>
      <c r="F2267" s="23">
        <f t="shared" si="457"/>
        <v>8.6516084873374393</v>
      </c>
      <c r="G2267" s="5">
        <f>INDEX('Default Prob'!$P$5:$P$14,MIN(1+_xlfn.IFNA(MATCH(F2267,'Default Prob'!$F$5:$F$14,1),0),COUNT('Default Prob'!$P$5:$P$14)))</f>
        <v>5.8652391073922311E-2</v>
      </c>
      <c r="H2267" s="5">
        <f t="shared" si="466"/>
        <v>0.77647088221761984</v>
      </c>
      <c r="I2267" s="24">
        <f t="shared" si="467"/>
        <v>1.2469686688065806E-4</v>
      </c>
      <c r="J2267" s="25">
        <f>INDEX('Default Prob'!$C$3:$C$13, _xlfn.IFNA(MATCH(F2267, 'Default Prob'!$B$3:$B$13, 1), 1))</f>
        <v>2.4E-2</v>
      </c>
      <c r="K2267" s="26">
        <f t="shared" si="458"/>
        <v>0.81449572223076327</v>
      </c>
      <c r="L2267" s="27">
        <f t="shared" ca="1" si="459"/>
        <v>0</v>
      </c>
      <c r="M2267" s="27">
        <f t="shared" ca="1" si="460"/>
        <v>0</v>
      </c>
      <c r="N2267" s="28">
        <f t="shared" ca="1" si="461"/>
        <v>0</v>
      </c>
      <c r="O2267" s="29">
        <f t="shared" ca="1" si="462"/>
        <v>0</v>
      </c>
      <c r="P2267" s="30">
        <f t="shared" ca="1" si="463"/>
        <v>0</v>
      </c>
    </row>
    <row r="2268" spans="1:16" x14ac:dyDescent="0.25">
      <c r="A2268" s="3">
        <f t="shared" si="464"/>
        <v>49286</v>
      </c>
      <c r="B2268" s="21">
        <f t="shared" si="455"/>
        <v>36868</v>
      </c>
      <c r="C2268" s="21">
        <f t="shared" si="456"/>
        <v>36880</v>
      </c>
      <c r="D2268" s="1">
        <f t="shared" si="465"/>
        <v>0</v>
      </c>
      <c r="E2268" s="3">
        <f t="array" ref="E2268">INDEX($A$9:A2267, MAX(IF($D$9:D2267=1, ROW(D$9:$D2267)-ROW($D$9)+1, 0)))</f>
        <v>49207</v>
      </c>
      <c r="F2268" s="23">
        <f t="shared" si="457"/>
        <v>8.6543463381245722</v>
      </c>
      <c r="G2268" s="5">
        <f>INDEX('Default Prob'!$P$5:$P$14,MIN(1+_xlfn.IFNA(MATCH(F2268,'Default Prob'!$F$5:$F$14,1),0),COUNT('Default Prob'!$P$5:$P$14)))</f>
        <v>5.8652391073922311E-2</v>
      </c>
      <c r="H2268" s="5">
        <f t="shared" si="466"/>
        <v>0.77634620537314081</v>
      </c>
      <c r="I2268" s="24">
        <f t="shared" si="467"/>
        <v>1.2467684447903249E-4</v>
      </c>
      <c r="J2268" s="25">
        <f>INDEX('Default Prob'!$C$3:$C$13, _xlfn.IFNA(MATCH(F2268, 'Default Prob'!$B$3:$B$13, 1), 1))</f>
        <v>2.4E-2</v>
      </c>
      <c r="K2268" s="26">
        <f t="shared" si="458"/>
        <v>0.81444283685816787</v>
      </c>
      <c r="L2268" s="27">
        <f t="shared" ca="1" si="459"/>
        <v>0</v>
      </c>
      <c r="M2268" s="27">
        <f t="shared" ca="1" si="460"/>
        <v>0</v>
      </c>
      <c r="N2268" s="28">
        <f t="shared" ca="1" si="461"/>
        <v>0</v>
      </c>
      <c r="O2268" s="29">
        <f t="shared" ca="1" si="462"/>
        <v>0</v>
      </c>
      <c r="P2268" s="30">
        <f t="shared" ca="1" si="463"/>
        <v>0</v>
      </c>
    </row>
    <row r="2269" spans="1:16" x14ac:dyDescent="0.25">
      <c r="A2269" s="3">
        <f t="shared" si="464"/>
        <v>49289</v>
      </c>
      <c r="B2269" s="21">
        <f t="shared" si="455"/>
        <v>36871</v>
      </c>
      <c r="C2269" s="21">
        <f t="shared" si="456"/>
        <v>36880</v>
      </c>
      <c r="D2269" s="1">
        <f t="shared" si="465"/>
        <v>0</v>
      </c>
      <c r="E2269" s="3">
        <f t="array" ref="E2269">INDEX($A$9:A2268, MAX(IF($D$9:D2268=1, ROW(D$9:$D2268)-ROW($D$9)+1, 0)))</f>
        <v>49207</v>
      </c>
      <c r="F2269" s="23">
        <f t="shared" si="457"/>
        <v>8.6625598904859693</v>
      </c>
      <c r="G2269" s="5">
        <f>INDEX('Default Prob'!$P$5:$P$14,MIN(1+_xlfn.IFNA(MATCH(F2269,'Default Prob'!$F$5:$F$14,1),0),COUNT('Default Prob'!$P$5:$P$14)))</f>
        <v>5.8652391073922311E-2</v>
      </c>
      <c r="H2269" s="5">
        <f t="shared" si="466"/>
        <v>0.77597229494196651</v>
      </c>
      <c r="I2269" s="24">
        <f t="shared" si="467"/>
        <v>3.7391043117429579E-4</v>
      </c>
      <c r="J2269" s="25">
        <f>INDEX('Default Prob'!$C$3:$C$13, _xlfn.IFNA(MATCH(F2269, 'Default Prob'!$B$3:$B$13, 1), 1))</f>
        <v>2.4E-2</v>
      </c>
      <c r="K2269" s="26">
        <f t="shared" si="458"/>
        <v>0.81428420134263724</v>
      </c>
      <c r="L2269" s="27">
        <f t="shared" ca="1" si="459"/>
        <v>0</v>
      </c>
      <c r="M2269" s="27">
        <f t="shared" ca="1" si="460"/>
        <v>0</v>
      </c>
      <c r="N2269" s="28">
        <f t="shared" ca="1" si="461"/>
        <v>0</v>
      </c>
      <c r="O2269" s="29">
        <f t="shared" ca="1" si="462"/>
        <v>0</v>
      </c>
      <c r="P2269" s="30">
        <f t="shared" ca="1" si="463"/>
        <v>0</v>
      </c>
    </row>
    <row r="2270" spans="1:16" x14ac:dyDescent="0.25">
      <c r="A2270" s="3">
        <f t="shared" si="464"/>
        <v>49290</v>
      </c>
      <c r="B2270" s="21">
        <f t="shared" si="455"/>
        <v>36872</v>
      </c>
      <c r="C2270" s="21">
        <f t="shared" si="456"/>
        <v>36880</v>
      </c>
      <c r="D2270" s="1">
        <f t="shared" si="465"/>
        <v>0</v>
      </c>
      <c r="E2270" s="3">
        <f t="array" ref="E2270">INDEX($A$9:A2269, MAX(IF($D$9:D2269=1, ROW(D$9:$D2269)-ROW($D$9)+1, 0)))</f>
        <v>49207</v>
      </c>
      <c r="F2270" s="23">
        <f t="shared" si="457"/>
        <v>8.6652977412731005</v>
      </c>
      <c r="G2270" s="5">
        <f>INDEX('Default Prob'!$P$5:$P$14,MIN(1+_xlfn.IFNA(MATCH(F2270,'Default Prob'!$F$5:$F$14,1),0),COUNT('Default Prob'!$P$5:$P$14)))</f>
        <v>5.8652391073922311E-2</v>
      </c>
      <c r="H2270" s="5">
        <f t="shared" si="466"/>
        <v>0.77584769815494969</v>
      </c>
      <c r="I2270" s="24">
        <f t="shared" si="467"/>
        <v>1.2459678701681742E-4</v>
      </c>
      <c r="J2270" s="25">
        <f>INDEX('Default Prob'!$C$3:$C$13, _xlfn.IFNA(MATCH(F2270, 'Default Prob'!$B$3:$B$13, 1), 1))</f>
        <v>2.4E-2</v>
      </c>
      <c r="K2270" s="26">
        <f t="shared" si="458"/>
        <v>0.81423132970413592</v>
      </c>
      <c r="L2270" s="27">
        <f t="shared" ca="1" si="459"/>
        <v>0</v>
      </c>
      <c r="M2270" s="27">
        <f t="shared" ca="1" si="460"/>
        <v>0</v>
      </c>
      <c r="N2270" s="28">
        <f t="shared" ca="1" si="461"/>
        <v>0</v>
      </c>
      <c r="O2270" s="29">
        <f t="shared" ca="1" si="462"/>
        <v>0</v>
      </c>
      <c r="P2270" s="30">
        <f t="shared" ca="1" si="463"/>
        <v>0</v>
      </c>
    </row>
    <row r="2271" spans="1:16" x14ac:dyDescent="0.25">
      <c r="A2271" s="3">
        <f t="shared" si="464"/>
        <v>49291</v>
      </c>
      <c r="B2271" s="21">
        <f t="shared" si="455"/>
        <v>36873</v>
      </c>
      <c r="C2271" s="21">
        <f t="shared" si="456"/>
        <v>36880</v>
      </c>
      <c r="D2271" s="1">
        <f t="shared" si="465"/>
        <v>0</v>
      </c>
      <c r="E2271" s="3">
        <f t="array" ref="E2271">INDEX($A$9:A2270, MAX(IF($D$9:D2270=1, ROW(D$9:$D2270)-ROW($D$9)+1, 0)))</f>
        <v>49207</v>
      </c>
      <c r="F2271" s="23">
        <f t="shared" si="457"/>
        <v>8.6680355920602334</v>
      </c>
      <c r="G2271" s="5">
        <f>INDEX('Default Prob'!$P$5:$P$14,MIN(1+_xlfn.IFNA(MATCH(F2271,'Default Prob'!$F$5:$F$14,1),0),COUNT('Default Prob'!$P$5:$P$14)))</f>
        <v>5.8652391073922311E-2</v>
      </c>
      <c r="H2271" s="5">
        <f t="shared" si="466"/>
        <v>0.77572312137426469</v>
      </c>
      <c r="I2271" s="24">
        <f t="shared" si="467"/>
        <v>1.24576780685004E-4</v>
      </c>
      <c r="J2271" s="25">
        <f>INDEX('Default Prob'!$C$3:$C$13, _xlfn.IFNA(MATCH(F2271, 'Default Prob'!$B$3:$B$13, 1), 1))</f>
        <v>2.4E-2</v>
      </c>
      <c r="K2271" s="26">
        <f t="shared" si="458"/>
        <v>0.81417846149860074</v>
      </c>
      <c r="L2271" s="27">
        <f t="shared" ca="1" si="459"/>
        <v>0</v>
      </c>
      <c r="M2271" s="27">
        <f t="shared" ca="1" si="460"/>
        <v>0</v>
      </c>
      <c r="N2271" s="28">
        <f t="shared" ca="1" si="461"/>
        <v>0</v>
      </c>
      <c r="O2271" s="29">
        <f t="shared" ca="1" si="462"/>
        <v>0</v>
      </c>
      <c r="P2271" s="30">
        <f t="shared" ca="1" si="463"/>
        <v>0</v>
      </c>
    </row>
    <row r="2272" spans="1:16" x14ac:dyDescent="0.25">
      <c r="A2272" s="3">
        <f t="shared" si="464"/>
        <v>49292</v>
      </c>
      <c r="B2272" s="21">
        <f t="shared" si="455"/>
        <v>36874</v>
      </c>
      <c r="C2272" s="21">
        <f t="shared" si="456"/>
        <v>36880</v>
      </c>
      <c r="D2272" s="1">
        <f t="shared" si="465"/>
        <v>0</v>
      </c>
      <c r="E2272" s="3">
        <f t="array" ref="E2272">INDEX($A$9:A2271, MAX(IF($D$9:D2271=1, ROW(D$9:$D2271)-ROW($D$9)+1, 0)))</f>
        <v>49207</v>
      </c>
      <c r="F2272" s="23">
        <f t="shared" si="457"/>
        <v>8.6707734428473646</v>
      </c>
      <c r="G2272" s="5">
        <f>INDEX('Default Prob'!$P$5:$P$14,MIN(1+_xlfn.IFNA(MATCH(F2272,'Default Prob'!$F$5:$F$14,1),0),COUNT('Default Prob'!$P$5:$P$14)))</f>
        <v>5.8652391073922311E-2</v>
      </c>
      <c r="H2272" s="5">
        <f t="shared" si="466"/>
        <v>0.7755985645966994</v>
      </c>
      <c r="I2272" s="24">
        <f t="shared" si="467"/>
        <v>1.2455677756528782E-4</v>
      </c>
      <c r="J2272" s="25">
        <f>INDEX('Default Prob'!$C$3:$C$13, _xlfn.IFNA(MATCH(F2272, 'Default Prob'!$B$3:$B$13, 1), 1))</f>
        <v>2.4E-2</v>
      </c>
      <c r="K2272" s="26">
        <f t="shared" si="458"/>
        <v>0.81412559672580898</v>
      </c>
      <c r="L2272" s="27">
        <f t="shared" ca="1" si="459"/>
        <v>0</v>
      </c>
      <c r="M2272" s="27">
        <f t="shared" ca="1" si="460"/>
        <v>0</v>
      </c>
      <c r="N2272" s="28">
        <f t="shared" ca="1" si="461"/>
        <v>0</v>
      </c>
      <c r="O2272" s="29">
        <f t="shared" ca="1" si="462"/>
        <v>0</v>
      </c>
      <c r="P2272" s="30">
        <f t="shared" ca="1" si="463"/>
        <v>0</v>
      </c>
    </row>
    <row r="2273" spans="1:16" x14ac:dyDescent="0.25">
      <c r="A2273" s="3">
        <f t="shared" si="464"/>
        <v>49293</v>
      </c>
      <c r="B2273" s="21">
        <f t="shared" si="455"/>
        <v>36875</v>
      </c>
      <c r="C2273" s="21">
        <f t="shared" si="456"/>
        <v>36880</v>
      </c>
      <c r="D2273" s="1">
        <f t="shared" si="465"/>
        <v>0</v>
      </c>
      <c r="E2273" s="3">
        <f t="array" ref="E2273">INDEX($A$9:A2272, MAX(IF($D$9:D2272=1, ROW(D$9:$D2272)-ROW($D$9)+1, 0)))</f>
        <v>49207</v>
      </c>
      <c r="F2273" s="23">
        <f t="shared" si="457"/>
        <v>8.6735112936344976</v>
      </c>
      <c r="G2273" s="5">
        <f>INDEX('Default Prob'!$P$5:$P$14,MIN(1+_xlfn.IFNA(MATCH(F2273,'Default Prob'!$F$5:$F$14,1),0),COUNT('Default Prob'!$P$5:$P$14)))</f>
        <v>5.8652391073922311E-2</v>
      </c>
      <c r="H2273" s="5">
        <f t="shared" si="466"/>
        <v>0.77547402781904173</v>
      </c>
      <c r="I2273" s="24">
        <f t="shared" si="467"/>
        <v>1.2453677765766891E-4</v>
      </c>
      <c r="J2273" s="25">
        <f>INDEX('Default Prob'!$C$3:$C$13, _xlfn.IFNA(MATCH(F2273, 'Default Prob'!$B$3:$B$13, 1), 1))</f>
        <v>2.4E-2</v>
      </c>
      <c r="K2273" s="26">
        <f t="shared" si="458"/>
        <v>0.81407273538553759</v>
      </c>
      <c r="L2273" s="27">
        <f t="shared" ca="1" si="459"/>
        <v>0</v>
      </c>
      <c r="M2273" s="27">
        <f t="shared" ca="1" si="460"/>
        <v>0</v>
      </c>
      <c r="N2273" s="28">
        <f t="shared" ca="1" si="461"/>
        <v>0</v>
      </c>
      <c r="O2273" s="29">
        <f t="shared" ca="1" si="462"/>
        <v>0</v>
      </c>
      <c r="P2273" s="30">
        <f t="shared" ca="1" si="463"/>
        <v>0</v>
      </c>
    </row>
    <row r="2274" spans="1:16" x14ac:dyDescent="0.25">
      <c r="A2274" s="3">
        <f t="shared" si="464"/>
        <v>49296</v>
      </c>
      <c r="B2274" s="21">
        <f t="shared" si="455"/>
        <v>36878</v>
      </c>
      <c r="C2274" s="21">
        <f t="shared" si="456"/>
        <v>36880</v>
      </c>
      <c r="D2274" s="1">
        <f t="shared" si="465"/>
        <v>0</v>
      </c>
      <c r="E2274" s="3">
        <f t="array" ref="E2274">INDEX($A$9:A2273, MAX(IF($D$9:D2273=1, ROW(D$9:$D2273)-ROW($D$9)+1, 0)))</f>
        <v>49207</v>
      </c>
      <c r="F2274" s="23">
        <f t="shared" si="457"/>
        <v>8.6817248459958929</v>
      </c>
      <c r="G2274" s="5">
        <f>INDEX('Default Prob'!$P$5:$P$14,MIN(1+_xlfn.IFNA(MATCH(F2274,'Default Prob'!$F$5:$F$14,1),0),COUNT('Default Prob'!$P$5:$P$14)))</f>
        <v>5.8652391073922311E-2</v>
      </c>
      <c r="H2274" s="5">
        <f t="shared" si="466"/>
        <v>0.77510053745340413</v>
      </c>
      <c r="I2274" s="24">
        <f t="shared" si="467"/>
        <v>3.7349036563760762E-4</v>
      </c>
      <c r="J2274" s="25">
        <f>INDEX('Default Prob'!$C$3:$C$13, _xlfn.IFNA(MATCH(F2274, 'Default Prob'!$B$3:$B$13, 1), 1))</f>
        <v>2.4E-2</v>
      </c>
      <c r="K2274" s="26">
        <f t="shared" si="458"/>
        <v>0.8139141719576175</v>
      </c>
      <c r="L2274" s="27">
        <f t="shared" ca="1" si="459"/>
        <v>0</v>
      </c>
      <c r="M2274" s="27">
        <f t="shared" ca="1" si="460"/>
        <v>0</v>
      </c>
      <c r="N2274" s="28">
        <f t="shared" ca="1" si="461"/>
        <v>0</v>
      </c>
      <c r="O2274" s="29">
        <f t="shared" ca="1" si="462"/>
        <v>0</v>
      </c>
      <c r="P2274" s="30">
        <f t="shared" ca="1" si="463"/>
        <v>0</v>
      </c>
    </row>
    <row r="2275" spans="1:16" x14ac:dyDescent="0.25">
      <c r="A2275" s="3">
        <f t="shared" si="464"/>
        <v>49297</v>
      </c>
      <c r="B2275" s="21">
        <f t="shared" si="455"/>
        <v>36879</v>
      </c>
      <c r="C2275" s="21">
        <f t="shared" si="456"/>
        <v>36880</v>
      </c>
      <c r="D2275" s="1">
        <f t="shared" si="465"/>
        <v>0</v>
      </c>
      <c r="E2275" s="3">
        <f t="array" ref="E2275">INDEX($A$9:A2274, MAX(IF($D$9:D2274=1, ROW(D$9:$D2274)-ROW($D$9)+1, 0)))</f>
        <v>49207</v>
      </c>
      <c r="F2275" s="23">
        <f t="shared" si="457"/>
        <v>8.6844626967830258</v>
      </c>
      <c r="G2275" s="5">
        <f>INDEX('Default Prob'!$P$5:$P$14,MIN(1+_xlfn.IFNA(MATCH(F2275,'Default Prob'!$F$5:$F$14,1),0),COUNT('Default Prob'!$P$5:$P$14)))</f>
        <v>5.8652391073922311E-2</v>
      </c>
      <c r="H2275" s="5">
        <f t="shared" si="466"/>
        <v>0.77497608064326884</v>
      </c>
      <c r="I2275" s="24">
        <f t="shared" si="467"/>
        <v>1.244568101352872E-4</v>
      </c>
      <c r="J2275" s="25">
        <f>INDEX('Default Prob'!$C$3:$C$13, _xlfn.IFNA(MATCH(F2275, 'Default Prob'!$B$3:$B$13, 1), 1))</f>
        <v>2.4E-2</v>
      </c>
      <c r="K2275" s="26">
        <f t="shared" si="458"/>
        <v>0.81386132434519931</v>
      </c>
      <c r="L2275" s="27">
        <f t="shared" ca="1" si="459"/>
        <v>0</v>
      </c>
      <c r="M2275" s="27">
        <f t="shared" ca="1" si="460"/>
        <v>0</v>
      </c>
      <c r="N2275" s="28">
        <f t="shared" ca="1" si="461"/>
        <v>0</v>
      </c>
      <c r="O2275" s="29">
        <f t="shared" ca="1" si="462"/>
        <v>0</v>
      </c>
      <c r="P2275" s="30">
        <f t="shared" ca="1" si="463"/>
        <v>0</v>
      </c>
    </row>
    <row r="2276" spans="1:16" x14ac:dyDescent="0.25">
      <c r="A2276" s="3">
        <f t="shared" si="464"/>
        <v>49298</v>
      </c>
      <c r="B2276" s="21">
        <f t="shared" si="455"/>
        <v>36880</v>
      </c>
      <c r="C2276" s="21">
        <f t="shared" si="456"/>
        <v>36880</v>
      </c>
      <c r="D2276" s="1">
        <f t="shared" si="465"/>
        <v>1</v>
      </c>
      <c r="E2276" s="3">
        <f t="array" ref="E2276">INDEX($A$9:A2275, MAX(IF($D$9:D2275=1, ROW(D$9:$D2275)-ROW($D$9)+1, 0)))</f>
        <v>49207</v>
      </c>
      <c r="F2276" s="23">
        <f t="shared" si="457"/>
        <v>8.687200547570157</v>
      </c>
      <c r="G2276" s="5">
        <f>INDEX('Default Prob'!$P$5:$P$14,MIN(1+_xlfn.IFNA(MATCH(F2276,'Default Prob'!$F$5:$F$14,1),0),COUNT('Default Prob'!$P$5:$P$14)))</f>
        <v>5.8652391073922311E-2</v>
      </c>
      <c r="H2276" s="5">
        <f t="shared" si="466"/>
        <v>0.77485164381698979</v>
      </c>
      <c r="I2276" s="24">
        <f t="shared" si="467"/>
        <v>1.2443682627905073E-4</v>
      </c>
      <c r="J2276" s="25">
        <f>INDEX('Default Prob'!$C$3:$C$13, _xlfn.IFNA(MATCH(F2276, 'Default Prob'!$B$3:$B$13, 1), 1))</f>
        <v>2.4E-2</v>
      </c>
      <c r="K2276" s="26">
        <f t="shared" si="458"/>
        <v>0.81380848016418728</v>
      </c>
      <c r="L2276" s="27">
        <f t="shared" ca="1" si="459"/>
        <v>0</v>
      </c>
      <c r="M2276" s="27">
        <f t="shared" ca="1" si="460"/>
        <v>0</v>
      </c>
      <c r="N2276" s="28">
        <f t="shared" ca="1" si="461"/>
        <v>0</v>
      </c>
      <c r="O2276" s="29">
        <f t="shared" ca="1" si="462"/>
        <v>0</v>
      </c>
      <c r="P2276" s="30">
        <f t="shared" ca="1" si="463"/>
        <v>0</v>
      </c>
    </row>
    <row r="2277" spans="1:16" x14ac:dyDescent="0.25">
      <c r="A2277" s="3">
        <f t="shared" si="464"/>
        <v>49299</v>
      </c>
      <c r="B2277" s="21">
        <f t="shared" si="455"/>
        <v>36881</v>
      </c>
      <c r="C2277" s="21">
        <f t="shared" si="456"/>
        <v>36605</v>
      </c>
      <c r="D2277" s="1">
        <f t="shared" si="465"/>
        <v>0</v>
      </c>
      <c r="E2277" s="3">
        <f t="array" ref="E2277">INDEX($A$9:A2276, MAX(IF($D$9:D2276=1, ROW(D$9:$D2276)-ROW($D$9)+1, 0)))</f>
        <v>49298</v>
      </c>
      <c r="F2277" s="23">
        <f t="shared" si="457"/>
        <v>8.68993839835729</v>
      </c>
      <c r="G2277" s="5">
        <f>INDEX('Default Prob'!$P$5:$P$14,MIN(1+_xlfn.IFNA(MATCH(F2277,'Default Prob'!$F$5:$F$14,1),0),COUNT('Default Prob'!$P$5:$P$14)))</f>
        <v>5.8652391073922311E-2</v>
      </c>
      <c r="H2277" s="5">
        <f t="shared" si="466"/>
        <v>0.77472722697135799</v>
      </c>
      <c r="I2277" s="24">
        <f t="shared" si="467"/>
        <v>1.2441684563180289E-4</v>
      </c>
      <c r="J2277" s="25">
        <f>INDEX('Default Prob'!$C$3:$C$13, _xlfn.IFNA(MATCH(F2277, 'Default Prob'!$B$3:$B$13, 1), 1))</f>
        <v>2.4E-2</v>
      </c>
      <c r="K2277" s="26">
        <f t="shared" si="458"/>
        <v>0.81375563941435858</v>
      </c>
      <c r="L2277" s="27">
        <f t="shared" ca="1" si="459"/>
        <v>0</v>
      </c>
      <c r="M2277" s="27">
        <f t="shared" ca="1" si="460"/>
        <v>0</v>
      </c>
      <c r="N2277" s="28">
        <f t="shared" ca="1" si="461"/>
        <v>0</v>
      </c>
      <c r="O2277" s="29">
        <f t="shared" ca="1" si="462"/>
        <v>0</v>
      </c>
      <c r="P2277" s="30">
        <f t="shared" ca="1" si="463"/>
        <v>0</v>
      </c>
    </row>
    <row r="2278" spans="1:16" x14ac:dyDescent="0.25">
      <c r="A2278" s="3">
        <f t="shared" si="464"/>
        <v>49300</v>
      </c>
      <c r="B2278" s="21">
        <f t="shared" si="455"/>
        <v>36882</v>
      </c>
      <c r="C2278" s="21">
        <f t="shared" si="456"/>
        <v>36605</v>
      </c>
      <c r="D2278" s="1">
        <f t="shared" si="465"/>
        <v>0</v>
      </c>
      <c r="E2278" s="3">
        <f t="array" ref="E2278">INDEX($A$9:A2277, MAX(IF($D$9:D2277=1, ROW(D$9:$D2277)-ROW($D$9)+1, 0)))</f>
        <v>49298</v>
      </c>
      <c r="F2278" s="23">
        <f t="shared" si="457"/>
        <v>8.6926762491444212</v>
      </c>
      <c r="G2278" s="5">
        <f>INDEX('Default Prob'!$P$5:$P$14,MIN(1+_xlfn.IFNA(MATCH(F2278,'Default Prob'!$F$5:$F$14,1),0),COUNT('Default Prob'!$P$5:$P$14)))</f>
        <v>5.8652391073922311E-2</v>
      </c>
      <c r="H2278" s="5">
        <f t="shared" si="466"/>
        <v>0.77460283010316522</v>
      </c>
      <c r="I2278" s="24">
        <f t="shared" si="467"/>
        <v>1.2439686819276652E-4</v>
      </c>
      <c r="J2278" s="25">
        <f>INDEX('Default Prob'!$C$3:$C$13, _xlfn.IFNA(MATCH(F2278, 'Default Prob'!$B$3:$B$13, 1), 1))</f>
        <v>2.4E-2</v>
      </c>
      <c r="K2278" s="26">
        <f t="shared" si="458"/>
        <v>0.81370280209549062</v>
      </c>
      <c r="L2278" s="27">
        <f t="shared" ca="1" si="459"/>
        <v>0</v>
      </c>
      <c r="M2278" s="27">
        <f t="shared" ca="1" si="460"/>
        <v>0</v>
      </c>
      <c r="N2278" s="28">
        <f t="shared" ca="1" si="461"/>
        <v>0</v>
      </c>
      <c r="O2278" s="29">
        <f t="shared" ca="1" si="462"/>
        <v>0</v>
      </c>
      <c r="P2278" s="30">
        <f t="shared" ca="1" si="463"/>
        <v>0</v>
      </c>
    </row>
    <row r="2279" spans="1:16" x14ac:dyDescent="0.25">
      <c r="A2279" s="3">
        <f t="shared" si="464"/>
        <v>49303</v>
      </c>
      <c r="B2279" s="21">
        <f t="shared" si="455"/>
        <v>36885</v>
      </c>
      <c r="C2279" s="21">
        <f t="shared" si="456"/>
        <v>36605</v>
      </c>
      <c r="D2279" s="1">
        <f t="shared" si="465"/>
        <v>0</v>
      </c>
      <c r="E2279" s="3">
        <f t="array" ref="E2279">INDEX($A$9:A2278, MAX(IF($D$9:D2278=1, ROW(D$9:$D2278)-ROW($D$9)+1, 0)))</f>
        <v>49298</v>
      </c>
      <c r="F2279" s="23">
        <f t="shared" si="457"/>
        <v>8.7008898015058183</v>
      </c>
      <c r="G2279" s="5">
        <f>INDEX('Default Prob'!$P$5:$P$14,MIN(1+_xlfn.IFNA(MATCH(F2279,'Default Prob'!$F$5:$F$14,1),0),COUNT('Default Prob'!$P$5:$P$14)))</f>
        <v>5.8652391073922311E-2</v>
      </c>
      <c r="H2279" s="5">
        <f t="shared" si="466"/>
        <v>0.77422975933114613</v>
      </c>
      <c r="I2279" s="24">
        <f t="shared" si="467"/>
        <v>3.7307077201909067E-4</v>
      </c>
      <c r="J2279" s="25">
        <f>INDEX('Default Prob'!$C$3:$C$13, _xlfn.IFNA(MATCH(F2279, 'Default Prob'!$B$3:$B$13, 1), 1))</f>
        <v>2.4E-2</v>
      </c>
      <c r="K2279" s="26">
        <f t="shared" si="458"/>
        <v>0.81354431072242261</v>
      </c>
      <c r="L2279" s="27">
        <f t="shared" ca="1" si="459"/>
        <v>0</v>
      </c>
      <c r="M2279" s="27">
        <f t="shared" ca="1" si="460"/>
        <v>0</v>
      </c>
      <c r="N2279" s="28">
        <f t="shared" ca="1" si="461"/>
        <v>0</v>
      </c>
      <c r="O2279" s="29">
        <f t="shared" ca="1" si="462"/>
        <v>0</v>
      </c>
      <c r="P2279" s="30">
        <f t="shared" ca="1" si="463"/>
        <v>0</v>
      </c>
    </row>
    <row r="2280" spans="1:16" x14ac:dyDescent="0.25">
      <c r="A2280" s="3">
        <f t="shared" si="464"/>
        <v>49304</v>
      </c>
      <c r="B2280" s="21">
        <f t="shared" si="455"/>
        <v>36886</v>
      </c>
      <c r="C2280" s="21">
        <f t="shared" si="456"/>
        <v>36605</v>
      </c>
      <c r="D2280" s="1">
        <f t="shared" si="465"/>
        <v>0</v>
      </c>
      <c r="E2280" s="3">
        <f t="array" ref="E2280">INDEX($A$9:A2279, MAX(IF($D$9:D2279=1, ROW(D$9:$D2279)-ROW($D$9)+1, 0)))</f>
        <v>49298</v>
      </c>
      <c r="F2280" s="23">
        <f t="shared" si="457"/>
        <v>8.7036276522929494</v>
      </c>
      <c r="G2280" s="5">
        <f>INDEX('Default Prob'!$P$5:$P$14,MIN(1+_xlfn.IFNA(MATCH(F2280,'Default Prob'!$F$5:$F$14,1),0),COUNT('Default Prob'!$P$5:$P$14)))</f>
        <v>5.8652391073922311E-2</v>
      </c>
      <c r="H2280" s="5">
        <f t="shared" si="466"/>
        <v>0.77410544234063716</v>
      </c>
      <c r="I2280" s="24">
        <f t="shared" si="467"/>
        <v>1.2431699050896583E-4</v>
      </c>
      <c r="J2280" s="25">
        <f>INDEX('Default Prob'!$C$3:$C$13, _xlfn.IFNA(MATCH(F2280, 'Default Prob'!$B$3:$B$13, 1), 1))</f>
        <v>2.4E-2</v>
      </c>
      <c r="K2280" s="26">
        <f t="shared" si="458"/>
        <v>0.8134914871251695</v>
      </c>
      <c r="L2280" s="27">
        <f t="shared" ca="1" si="459"/>
        <v>0</v>
      </c>
      <c r="M2280" s="27">
        <f t="shared" ca="1" si="460"/>
        <v>0</v>
      </c>
      <c r="N2280" s="28">
        <f t="shared" ca="1" si="461"/>
        <v>0</v>
      </c>
      <c r="O2280" s="29">
        <f t="shared" ca="1" si="462"/>
        <v>0</v>
      </c>
      <c r="P2280" s="30">
        <f t="shared" ca="1" si="463"/>
        <v>0</v>
      </c>
    </row>
    <row r="2281" spans="1:16" x14ac:dyDescent="0.25">
      <c r="A2281" s="3">
        <f t="shared" si="464"/>
        <v>49305</v>
      </c>
      <c r="B2281" s="21">
        <f t="shared" si="455"/>
        <v>36887</v>
      </c>
      <c r="C2281" s="21">
        <f t="shared" si="456"/>
        <v>36605</v>
      </c>
      <c r="D2281" s="1">
        <f t="shared" si="465"/>
        <v>0</v>
      </c>
      <c r="E2281" s="3">
        <f t="array" ref="E2281">INDEX($A$9:A2280, MAX(IF($D$9:D2280=1, ROW(D$9:$D2280)-ROW($D$9)+1, 0)))</f>
        <v>49298</v>
      </c>
      <c r="F2281" s="23">
        <f t="shared" si="457"/>
        <v>8.7063655030800824</v>
      </c>
      <c r="G2281" s="5">
        <f>INDEX('Default Prob'!$P$5:$P$14,MIN(1+_xlfn.IFNA(MATCH(F2281,'Default Prob'!$F$5:$F$14,1),0),COUNT('Default Prob'!$P$5:$P$14)))</f>
        <v>5.8652391073922311E-2</v>
      </c>
      <c r="H2281" s="5">
        <f t="shared" si="466"/>
        <v>0.77398114531153361</v>
      </c>
      <c r="I2281" s="24">
        <f t="shared" si="467"/>
        <v>1.2429702910354834E-4</v>
      </c>
      <c r="J2281" s="25">
        <f>INDEX('Default Prob'!$C$3:$C$13, _xlfn.IFNA(MATCH(F2281, 'Default Prob'!$B$3:$B$13, 1), 1))</f>
        <v>2.4E-2</v>
      </c>
      <c r="K2281" s="26">
        <f t="shared" si="458"/>
        <v>0.81343866695776312</v>
      </c>
      <c r="L2281" s="27">
        <f t="shared" ca="1" si="459"/>
        <v>0</v>
      </c>
      <c r="M2281" s="27">
        <f t="shared" ca="1" si="460"/>
        <v>0</v>
      </c>
      <c r="N2281" s="28">
        <f t="shared" ca="1" si="461"/>
        <v>0</v>
      </c>
      <c r="O2281" s="29">
        <f t="shared" ca="1" si="462"/>
        <v>0</v>
      </c>
      <c r="P2281" s="30">
        <f t="shared" ca="1" si="463"/>
        <v>0</v>
      </c>
    </row>
    <row r="2282" spans="1:16" x14ac:dyDescent="0.25">
      <c r="A2282" s="3">
        <f t="shared" si="464"/>
        <v>49306</v>
      </c>
      <c r="B2282" s="21">
        <f t="shared" si="455"/>
        <v>36888</v>
      </c>
      <c r="C2282" s="21">
        <f t="shared" si="456"/>
        <v>36605</v>
      </c>
      <c r="D2282" s="1">
        <f t="shared" si="465"/>
        <v>0</v>
      </c>
      <c r="E2282" s="3">
        <f t="array" ref="E2282">INDEX($A$9:A2281, MAX(IF($D$9:D2281=1, ROW(D$9:$D2281)-ROW($D$9)+1, 0)))</f>
        <v>49298</v>
      </c>
      <c r="F2282" s="23">
        <f t="shared" si="457"/>
        <v>8.7091033538672136</v>
      </c>
      <c r="G2282" s="5">
        <f>INDEX('Default Prob'!$P$5:$P$14,MIN(1+_xlfn.IFNA(MATCH(F2282,'Default Prob'!$F$5:$F$14,1),0),COUNT('Default Prob'!$P$5:$P$14)))</f>
        <v>5.8652391073922311E-2</v>
      </c>
      <c r="H2282" s="5">
        <f t="shared" si="466"/>
        <v>0.77385686824063038</v>
      </c>
      <c r="I2282" s="24">
        <f t="shared" si="467"/>
        <v>1.242770709032337E-4</v>
      </c>
      <c r="J2282" s="25">
        <f>INDEX('Default Prob'!$C$3:$C$13, _xlfn.IFNA(MATCH(F2282, 'Default Prob'!$B$3:$B$13, 1), 1))</f>
        <v>2.4E-2</v>
      </c>
      <c r="K2282" s="26">
        <f t="shared" si="458"/>
        <v>0.81338585021998122</v>
      </c>
      <c r="L2282" s="27">
        <f t="shared" ca="1" si="459"/>
        <v>0</v>
      </c>
      <c r="M2282" s="27">
        <f t="shared" ca="1" si="460"/>
        <v>0</v>
      </c>
      <c r="N2282" s="28">
        <f t="shared" ca="1" si="461"/>
        <v>0</v>
      </c>
      <c r="O2282" s="29">
        <f t="shared" ca="1" si="462"/>
        <v>0</v>
      </c>
      <c r="P2282" s="30">
        <f t="shared" ca="1" si="463"/>
        <v>0</v>
      </c>
    </row>
    <row r="2283" spans="1:16" x14ac:dyDescent="0.25">
      <c r="A2283" s="3">
        <f t="shared" si="464"/>
        <v>49307</v>
      </c>
      <c r="B2283" s="21">
        <f t="shared" si="455"/>
        <v>36889</v>
      </c>
      <c r="C2283" s="21">
        <f t="shared" si="456"/>
        <v>36605</v>
      </c>
      <c r="D2283" s="1">
        <f t="shared" si="465"/>
        <v>0</v>
      </c>
      <c r="E2283" s="3">
        <f t="array" ref="E2283">INDEX($A$9:A2282, MAX(IF($D$9:D2282=1, ROW(D$9:$D2282)-ROW($D$9)+1, 0)))</f>
        <v>49298</v>
      </c>
      <c r="F2283" s="23">
        <f t="shared" si="457"/>
        <v>8.7118412046543465</v>
      </c>
      <c r="G2283" s="5">
        <f>INDEX('Default Prob'!$P$5:$P$14,MIN(1+_xlfn.IFNA(MATCH(F2283,'Default Prob'!$F$5:$F$14,1),0),COUNT('Default Prob'!$P$5:$P$14)))</f>
        <v>5.8652391073922311E-2</v>
      </c>
      <c r="H2283" s="5">
        <f t="shared" si="466"/>
        <v>0.77373261112472269</v>
      </c>
      <c r="I2283" s="24">
        <f t="shared" si="467"/>
        <v>1.2425711590768884E-4</v>
      </c>
      <c r="J2283" s="25">
        <f>INDEX('Default Prob'!$C$3:$C$13, _xlfn.IFNA(MATCH(F2283, 'Default Prob'!$B$3:$B$13, 1), 1))</f>
        <v>2.4E-2</v>
      </c>
      <c r="K2283" s="26">
        <f t="shared" si="458"/>
        <v>0.81333303691160064</v>
      </c>
      <c r="L2283" s="27">
        <f t="shared" ca="1" si="459"/>
        <v>0</v>
      </c>
      <c r="M2283" s="27">
        <f t="shared" ca="1" si="460"/>
        <v>0</v>
      </c>
      <c r="N2283" s="28">
        <f t="shared" ca="1" si="461"/>
        <v>0</v>
      </c>
      <c r="O2283" s="29">
        <f t="shared" ca="1" si="462"/>
        <v>0</v>
      </c>
      <c r="P2283" s="30">
        <f t="shared" ca="1" si="463"/>
        <v>0</v>
      </c>
    </row>
    <row r="2284" spans="1:16" x14ac:dyDescent="0.25">
      <c r="A2284" s="3">
        <f t="shared" si="464"/>
        <v>49310</v>
      </c>
      <c r="B2284" s="21">
        <f t="shared" si="455"/>
        <v>36526</v>
      </c>
      <c r="C2284" s="21">
        <f t="shared" si="456"/>
        <v>36605</v>
      </c>
      <c r="D2284" s="1">
        <f t="shared" si="465"/>
        <v>0</v>
      </c>
      <c r="E2284" s="3">
        <f t="array" ref="E2284">INDEX($A$9:A2283, MAX(IF($D$9:D2283=1, ROW(D$9:$D2283)-ROW($D$9)+1, 0)))</f>
        <v>49298</v>
      </c>
      <c r="F2284" s="23">
        <f t="shared" si="457"/>
        <v>8.7200547570157418</v>
      </c>
      <c r="G2284" s="5">
        <f>INDEX('Default Prob'!$P$5:$P$14,MIN(1+_xlfn.IFNA(MATCH(F2284,'Default Prob'!$F$5:$F$14,1),0),COUNT('Default Prob'!$P$5:$P$14)))</f>
        <v>5.8652391073922311E-2</v>
      </c>
      <c r="H2284" s="5">
        <f t="shared" si="466"/>
        <v>0.77335995947493441</v>
      </c>
      <c r="I2284" s="24">
        <f t="shared" si="467"/>
        <v>3.7265164978828036E-4</v>
      </c>
      <c r="J2284" s="25">
        <f>INDEX('Default Prob'!$C$3:$C$13, _xlfn.IFNA(MATCH(F2284, 'Default Prob'!$B$3:$B$13, 1), 1))</f>
        <v>2.4E-2</v>
      </c>
      <c r="K2284" s="26">
        <f t="shared" si="458"/>
        <v>0.81317461756064147</v>
      </c>
      <c r="L2284" s="27">
        <f t="shared" ca="1" si="459"/>
        <v>0</v>
      </c>
      <c r="M2284" s="27">
        <f t="shared" ca="1" si="460"/>
        <v>0</v>
      </c>
      <c r="N2284" s="28">
        <f t="shared" ca="1" si="461"/>
        <v>0</v>
      </c>
      <c r="O2284" s="29">
        <f t="shared" ca="1" si="462"/>
        <v>0</v>
      </c>
      <c r="P2284" s="30">
        <f t="shared" ca="1" si="463"/>
        <v>0</v>
      </c>
    </row>
    <row r="2285" spans="1:16" x14ac:dyDescent="0.25">
      <c r="A2285" s="3">
        <f t="shared" si="464"/>
        <v>49311</v>
      </c>
      <c r="B2285" s="21">
        <f t="shared" si="455"/>
        <v>36527</v>
      </c>
      <c r="C2285" s="21">
        <f t="shared" si="456"/>
        <v>36605</v>
      </c>
      <c r="D2285" s="1">
        <f t="shared" si="465"/>
        <v>0</v>
      </c>
      <c r="E2285" s="3">
        <f t="array" ref="E2285">INDEX($A$9:A2284, MAX(IF($D$9:D2284=1, ROW(D$9:$D2284)-ROW($D$9)+1, 0)))</f>
        <v>49298</v>
      </c>
      <c r="F2285" s="23">
        <f t="shared" si="457"/>
        <v>8.7227926078028748</v>
      </c>
      <c r="G2285" s="5">
        <f>INDEX('Default Prob'!$P$5:$P$14,MIN(1+_xlfn.IFNA(MATCH(F2285,'Default Prob'!$F$5:$F$14,1),0),COUNT('Default Prob'!$P$5:$P$14)))</f>
        <v>5.8652391073922311E-2</v>
      </c>
      <c r="H2285" s="5">
        <f t="shared" si="466"/>
        <v>0.77323578214697286</v>
      </c>
      <c r="I2285" s="24">
        <f t="shared" si="467"/>
        <v>1.241773279615499E-4</v>
      </c>
      <c r="J2285" s="25">
        <f>INDEX('Default Prob'!$C$3:$C$13, _xlfn.IFNA(MATCH(F2285, 'Default Prob'!$B$3:$B$13, 1), 1))</f>
        <v>2.4E-2</v>
      </c>
      <c r="K2285" s="26">
        <f t="shared" si="458"/>
        <v>0.81312181796764038</v>
      </c>
      <c r="L2285" s="27">
        <f t="shared" ca="1" si="459"/>
        <v>0</v>
      </c>
      <c r="M2285" s="27">
        <f t="shared" ca="1" si="460"/>
        <v>0</v>
      </c>
      <c r="N2285" s="28">
        <f t="shared" ca="1" si="461"/>
        <v>0</v>
      </c>
      <c r="O2285" s="29">
        <f t="shared" ca="1" si="462"/>
        <v>0</v>
      </c>
      <c r="P2285" s="30">
        <f t="shared" ca="1" si="463"/>
        <v>0</v>
      </c>
    </row>
    <row r="2286" spans="1:16" x14ac:dyDescent="0.25">
      <c r="A2286" s="3">
        <f t="shared" si="464"/>
        <v>49312</v>
      </c>
      <c r="B2286" s="21">
        <f t="shared" si="455"/>
        <v>36528</v>
      </c>
      <c r="C2286" s="21">
        <f t="shared" si="456"/>
        <v>36605</v>
      </c>
      <c r="D2286" s="1">
        <f t="shared" si="465"/>
        <v>0</v>
      </c>
      <c r="E2286" s="3">
        <f t="array" ref="E2286">INDEX($A$9:A2285, MAX(IF($D$9:D2285=1, ROW(D$9:$D2285)-ROW($D$9)+1, 0)))</f>
        <v>49298</v>
      </c>
      <c r="F2286" s="23">
        <f t="shared" si="457"/>
        <v>8.725530458590006</v>
      </c>
      <c r="G2286" s="5">
        <f>INDEX('Default Prob'!$P$5:$P$14,MIN(1+_xlfn.IFNA(MATCH(F2286,'Default Prob'!$F$5:$F$14,1),0),COUNT('Default Prob'!$P$5:$P$14)))</f>
        <v>5.8652391073922311E-2</v>
      </c>
      <c r="H2286" s="5">
        <f t="shared" si="466"/>
        <v>0.77311162475799133</v>
      </c>
      <c r="I2286" s="24">
        <f t="shared" si="467"/>
        <v>1.2415738898152728E-4</v>
      </c>
      <c r="J2286" s="25">
        <f>INDEX('Default Prob'!$C$3:$C$13, _xlfn.IFNA(MATCH(F2286, 'Default Prob'!$B$3:$B$13, 1), 1))</f>
        <v>2.4E-2</v>
      </c>
      <c r="K2286" s="26">
        <f t="shared" si="458"/>
        <v>0.81306902180292751</v>
      </c>
      <c r="L2286" s="27">
        <f t="shared" ca="1" si="459"/>
        <v>0</v>
      </c>
      <c r="M2286" s="27">
        <f t="shared" ca="1" si="460"/>
        <v>0</v>
      </c>
      <c r="N2286" s="28">
        <f t="shared" ca="1" si="461"/>
        <v>0</v>
      </c>
      <c r="O2286" s="29">
        <f t="shared" ca="1" si="462"/>
        <v>0</v>
      </c>
      <c r="P2286" s="30">
        <f t="shared" ca="1" si="463"/>
        <v>0</v>
      </c>
    </row>
    <row r="2287" spans="1:16" x14ac:dyDescent="0.25">
      <c r="A2287" s="3">
        <f t="shared" si="464"/>
        <v>49313</v>
      </c>
      <c r="B2287" s="21">
        <f t="shared" si="455"/>
        <v>36529</v>
      </c>
      <c r="C2287" s="21">
        <f t="shared" si="456"/>
        <v>36605</v>
      </c>
      <c r="D2287" s="1">
        <f t="shared" si="465"/>
        <v>0</v>
      </c>
      <c r="E2287" s="3">
        <f t="array" ref="E2287">INDEX($A$9:A2286, MAX(IF($D$9:D2286=1, ROW(D$9:$D2286)-ROW($D$9)+1, 0)))</f>
        <v>49298</v>
      </c>
      <c r="F2287" s="23">
        <f t="shared" si="457"/>
        <v>8.7282683093771389</v>
      </c>
      <c r="G2287" s="5">
        <f>INDEX('Default Prob'!$P$5:$P$14,MIN(1+_xlfn.IFNA(MATCH(F2287,'Default Prob'!$F$5:$F$14,1),0),COUNT('Default Prob'!$P$5:$P$14)))</f>
        <v>5.8652391073922311E-2</v>
      </c>
      <c r="H2287" s="5">
        <f t="shared" si="466"/>
        <v>0.77298748730478817</v>
      </c>
      <c r="I2287" s="24">
        <f t="shared" si="467"/>
        <v>1.2413745320316583E-4</v>
      </c>
      <c r="J2287" s="25">
        <f>INDEX('Default Prob'!$C$3:$C$13, _xlfn.IFNA(MATCH(F2287, 'Default Prob'!$B$3:$B$13, 1), 1))</f>
        <v>2.4E-2</v>
      </c>
      <c r="K2287" s="26">
        <f t="shared" si="458"/>
        <v>0.81301622906628035</v>
      </c>
      <c r="L2287" s="27">
        <f t="shared" ca="1" si="459"/>
        <v>0</v>
      </c>
      <c r="M2287" s="27">
        <f t="shared" ca="1" si="460"/>
        <v>0</v>
      </c>
      <c r="N2287" s="28">
        <f t="shared" ca="1" si="461"/>
        <v>0</v>
      </c>
      <c r="O2287" s="29">
        <f t="shared" ca="1" si="462"/>
        <v>0</v>
      </c>
      <c r="P2287" s="30">
        <f t="shared" ca="1" si="463"/>
        <v>0</v>
      </c>
    </row>
    <row r="2288" spans="1:16" x14ac:dyDescent="0.25">
      <c r="A2288" s="3">
        <f t="shared" si="464"/>
        <v>49314</v>
      </c>
      <c r="B2288" s="21">
        <f t="shared" si="455"/>
        <v>36530</v>
      </c>
      <c r="C2288" s="21">
        <f t="shared" si="456"/>
        <v>36605</v>
      </c>
      <c r="D2288" s="1">
        <f t="shared" si="465"/>
        <v>0</v>
      </c>
      <c r="E2288" s="3">
        <f t="array" ref="E2288">INDEX($A$9:A2287, MAX(IF($D$9:D2287=1, ROW(D$9:$D2287)-ROW($D$9)+1, 0)))</f>
        <v>49298</v>
      </c>
      <c r="F2288" s="23">
        <f t="shared" si="457"/>
        <v>8.7310061601642719</v>
      </c>
      <c r="G2288" s="5">
        <f>INDEX('Default Prob'!$P$5:$P$14,MIN(1+_xlfn.IFNA(MATCH(F2288,'Default Prob'!$F$5:$F$14,1),0),COUNT('Default Prob'!$P$5:$P$14)))</f>
        <v>5.8652391073922311E-2</v>
      </c>
      <c r="H2288" s="5">
        <f t="shared" si="466"/>
        <v>0.77286336978416237</v>
      </c>
      <c r="I2288" s="24">
        <f t="shared" si="467"/>
        <v>1.2411752062579939E-4</v>
      </c>
      <c r="J2288" s="25">
        <f>INDEX('Default Prob'!$C$3:$C$13, _xlfn.IFNA(MATCH(F2288, 'Default Prob'!$B$3:$B$13, 1), 1))</f>
        <v>2.4E-2</v>
      </c>
      <c r="K2288" s="26">
        <f t="shared" si="458"/>
        <v>0.81296343975747642</v>
      </c>
      <c r="L2288" s="27">
        <f t="shared" ca="1" si="459"/>
        <v>0</v>
      </c>
      <c r="M2288" s="27">
        <f t="shared" ca="1" si="460"/>
        <v>0</v>
      </c>
      <c r="N2288" s="28">
        <f t="shared" ca="1" si="461"/>
        <v>0</v>
      </c>
      <c r="O2288" s="29">
        <f t="shared" ca="1" si="462"/>
        <v>0</v>
      </c>
      <c r="P2288" s="30">
        <f t="shared" ca="1" si="463"/>
        <v>0</v>
      </c>
    </row>
    <row r="2289" spans="1:16" x14ac:dyDescent="0.25">
      <c r="A2289" s="3">
        <f t="shared" si="464"/>
        <v>49317</v>
      </c>
      <c r="B2289" s="21">
        <f t="shared" si="455"/>
        <v>36533</v>
      </c>
      <c r="C2289" s="21">
        <f t="shared" si="456"/>
        <v>36605</v>
      </c>
      <c r="D2289" s="1">
        <f t="shared" si="465"/>
        <v>0</v>
      </c>
      <c r="E2289" s="3">
        <f t="array" ref="E2289">INDEX($A$9:A2288, MAX(IF($D$9:D2288=1, ROW(D$9:$D2288)-ROW($D$9)+1, 0)))</f>
        <v>49298</v>
      </c>
      <c r="F2289" s="23">
        <f t="shared" si="457"/>
        <v>8.7392197125256672</v>
      </c>
      <c r="G2289" s="5">
        <f>INDEX('Default Prob'!$P$5:$P$14,MIN(1+_xlfn.IFNA(MATCH(F2289,'Default Prob'!$F$5:$F$14,1),0),COUNT('Default Prob'!$P$5:$P$14)))</f>
        <v>5.8652391073922311E-2</v>
      </c>
      <c r="H2289" s="5">
        <f t="shared" si="466"/>
        <v>0.77249113678574666</v>
      </c>
      <c r="I2289" s="24">
        <f t="shared" si="467"/>
        <v>3.7223299841571134E-4</v>
      </c>
      <c r="J2289" s="25">
        <f>INDEX('Default Prob'!$C$3:$C$13, _xlfn.IFNA(MATCH(F2289, 'Default Prob'!$B$3:$B$13, 1), 1))</f>
        <v>2.4E-2</v>
      </c>
      <c r="K2289" s="26">
        <f t="shared" si="458"/>
        <v>0.81280509239589738</v>
      </c>
      <c r="L2289" s="27">
        <f t="shared" ca="1" si="459"/>
        <v>0</v>
      </c>
      <c r="M2289" s="27">
        <f t="shared" ca="1" si="460"/>
        <v>0</v>
      </c>
      <c r="N2289" s="28">
        <f t="shared" ca="1" si="461"/>
        <v>0</v>
      </c>
      <c r="O2289" s="29">
        <f t="shared" ca="1" si="462"/>
        <v>0</v>
      </c>
      <c r="P2289" s="30">
        <f t="shared" ca="1" si="463"/>
        <v>0</v>
      </c>
    </row>
    <row r="2290" spans="1:16" x14ac:dyDescent="0.25">
      <c r="A2290" s="3">
        <f t="shared" si="464"/>
        <v>49318</v>
      </c>
      <c r="B2290" s="21">
        <f t="shared" si="455"/>
        <v>36534</v>
      </c>
      <c r="C2290" s="21">
        <f t="shared" si="456"/>
        <v>36605</v>
      </c>
      <c r="D2290" s="1">
        <f t="shared" si="465"/>
        <v>0</v>
      </c>
      <c r="E2290" s="3">
        <f t="array" ref="E2290">INDEX($A$9:A2289, MAX(IF($D$9:D2289=1, ROW(D$9:$D2289)-ROW($D$9)+1, 0)))</f>
        <v>49298</v>
      </c>
      <c r="F2290" s="23">
        <f t="shared" si="457"/>
        <v>8.7419575633128002</v>
      </c>
      <c r="G2290" s="5">
        <f>INDEX('Default Prob'!$P$5:$P$14,MIN(1+_xlfn.IFNA(MATCH(F2290,'Default Prob'!$F$5:$F$14,1),0),COUNT('Default Prob'!$P$5:$P$14)))</f>
        <v>5.8652391073922311E-2</v>
      </c>
      <c r="H2290" s="5">
        <f t="shared" si="466"/>
        <v>0.77236709896343014</v>
      </c>
      <c r="I2290" s="24">
        <f t="shared" si="467"/>
        <v>1.2403782231651395E-4</v>
      </c>
      <c r="J2290" s="25">
        <f>INDEX('Default Prob'!$C$3:$C$13, _xlfn.IFNA(MATCH(F2290, 'Default Prob'!$B$3:$B$13, 1), 1))</f>
        <v>2.4E-2</v>
      </c>
      <c r="K2290" s="26">
        <f t="shared" si="458"/>
        <v>0.81275231679624027</v>
      </c>
      <c r="L2290" s="27">
        <f t="shared" ca="1" si="459"/>
        <v>0</v>
      </c>
      <c r="M2290" s="27">
        <f t="shared" ca="1" si="460"/>
        <v>0</v>
      </c>
      <c r="N2290" s="28">
        <f t="shared" ca="1" si="461"/>
        <v>0</v>
      </c>
      <c r="O2290" s="29">
        <f t="shared" ca="1" si="462"/>
        <v>0</v>
      </c>
      <c r="P2290" s="30">
        <f t="shared" ca="1" si="463"/>
        <v>0</v>
      </c>
    </row>
    <row r="2291" spans="1:16" x14ac:dyDescent="0.25">
      <c r="A2291" s="3">
        <f t="shared" si="464"/>
        <v>49319</v>
      </c>
      <c r="B2291" s="21">
        <f t="shared" si="455"/>
        <v>36535</v>
      </c>
      <c r="C2291" s="21">
        <f t="shared" si="456"/>
        <v>36605</v>
      </c>
      <c r="D2291" s="1">
        <f t="shared" si="465"/>
        <v>0</v>
      </c>
      <c r="E2291" s="3">
        <f t="array" ref="E2291">INDEX($A$9:A2290, MAX(IF($D$9:D2290=1, ROW(D$9:$D2290)-ROW($D$9)+1, 0)))</f>
        <v>49298</v>
      </c>
      <c r="F2291" s="23">
        <f t="shared" si="457"/>
        <v>8.7446954140999313</v>
      </c>
      <c r="G2291" s="5">
        <f>INDEX('Default Prob'!$P$5:$P$14,MIN(1+_xlfn.IFNA(MATCH(F2291,'Default Prob'!$F$5:$F$14,1),0),COUNT('Default Prob'!$P$5:$P$14)))</f>
        <v>5.8652391073922311E-2</v>
      </c>
      <c r="H2291" s="5">
        <f t="shared" si="466"/>
        <v>0.77224308105769346</v>
      </c>
      <c r="I2291" s="24">
        <f t="shared" si="467"/>
        <v>1.2401790573668414E-4</v>
      </c>
      <c r="J2291" s="25">
        <f>INDEX('Default Prob'!$C$3:$C$13, _xlfn.IFNA(MATCH(F2291, 'Default Prob'!$B$3:$B$13, 1), 1))</f>
        <v>2.4E-2</v>
      </c>
      <c r="K2291" s="26">
        <f t="shared" si="458"/>
        <v>0.8126995446233134</v>
      </c>
      <c r="L2291" s="27">
        <f t="shared" ca="1" si="459"/>
        <v>0</v>
      </c>
      <c r="M2291" s="27">
        <f t="shared" ca="1" si="460"/>
        <v>0</v>
      </c>
      <c r="N2291" s="28">
        <f t="shared" ca="1" si="461"/>
        <v>0</v>
      </c>
      <c r="O2291" s="29">
        <f t="shared" ca="1" si="462"/>
        <v>0</v>
      </c>
      <c r="P2291" s="30">
        <f t="shared" ca="1" si="463"/>
        <v>0</v>
      </c>
    </row>
    <row r="2292" spans="1:16" x14ac:dyDescent="0.25">
      <c r="A2292" s="3">
        <f t="shared" si="464"/>
        <v>49320</v>
      </c>
      <c r="B2292" s="21">
        <f t="shared" si="455"/>
        <v>36536</v>
      </c>
      <c r="C2292" s="21">
        <f t="shared" si="456"/>
        <v>36605</v>
      </c>
      <c r="D2292" s="1">
        <f t="shared" si="465"/>
        <v>0</v>
      </c>
      <c r="E2292" s="3">
        <f t="array" ref="E2292">INDEX($A$9:A2291, MAX(IF($D$9:D2291=1, ROW(D$9:$D2291)-ROW($D$9)+1, 0)))</f>
        <v>49298</v>
      </c>
      <c r="F2292" s="23">
        <f t="shared" si="457"/>
        <v>8.7474332648870643</v>
      </c>
      <c r="G2292" s="5">
        <f>INDEX('Default Prob'!$P$5:$P$14,MIN(1+_xlfn.IFNA(MATCH(F2292,'Default Prob'!$F$5:$F$14,1),0),COUNT('Default Prob'!$P$5:$P$14)))</f>
        <v>5.8652391073922311E-2</v>
      </c>
      <c r="H2292" s="5">
        <f t="shared" si="466"/>
        <v>0.7721190830653385</v>
      </c>
      <c r="I2292" s="24">
        <f t="shared" si="467"/>
        <v>1.2399799235496278E-4</v>
      </c>
      <c r="J2292" s="25">
        <f>INDEX('Default Prob'!$C$3:$C$13, _xlfn.IFNA(MATCH(F2292, 'Default Prob'!$B$3:$B$13, 1), 1))</f>
        <v>2.4E-2</v>
      </c>
      <c r="K2292" s="26">
        <f t="shared" si="458"/>
        <v>0.81264677587689471</v>
      </c>
      <c r="L2292" s="27">
        <f t="shared" ca="1" si="459"/>
        <v>0</v>
      </c>
      <c r="M2292" s="27">
        <f t="shared" ca="1" si="460"/>
        <v>0</v>
      </c>
      <c r="N2292" s="28">
        <f t="shared" ca="1" si="461"/>
        <v>0</v>
      </c>
      <c r="O2292" s="29">
        <f t="shared" ca="1" si="462"/>
        <v>0</v>
      </c>
      <c r="P2292" s="30">
        <f t="shared" ca="1" si="463"/>
        <v>0</v>
      </c>
    </row>
    <row r="2293" spans="1:16" x14ac:dyDescent="0.25">
      <c r="A2293" s="3">
        <f t="shared" si="464"/>
        <v>49321</v>
      </c>
      <c r="B2293" s="21">
        <f t="shared" si="455"/>
        <v>36537</v>
      </c>
      <c r="C2293" s="21">
        <f t="shared" si="456"/>
        <v>36605</v>
      </c>
      <c r="D2293" s="1">
        <f t="shared" si="465"/>
        <v>0</v>
      </c>
      <c r="E2293" s="3">
        <f t="array" ref="E2293">INDEX($A$9:A2292, MAX(IF($D$9:D2292=1, ROW(D$9:$D2292)-ROW($D$9)+1, 0)))</f>
        <v>49298</v>
      </c>
      <c r="F2293" s="23">
        <f t="shared" si="457"/>
        <v>8.7501711156741955</v>
      </c>
      <c r="G2293" s="5">
        <f>INDEX('Default Prob'!$P$5:$P$14,MIN(1+_xlfn.IFNA(MATCH(F2293,'Default Prob'!$F$5:$F$14,1),0),COUNT('Default Prob'!$P$5:$P$14)))</f>
        <v>5.8652391073922311E-2</v>
      </c>
      <c r="H2293" s="5">
        <f t="shared" si="466"/>
        <v>0.77199510498316803</v>
      </c>
      <c r="I2293" s="24">
        <f t="shared" si="467"/>
        <v>1.2397808217046169E-4</v>
      </c>
      <c r="J2293" s="25">
        <f>INDEX('Default Prob'!$C$3:$C$13, _xlfn.IFNA(MATCH(F2293, 'Default Prob'!$B$3:$B$13, 1), 1))</f>
        <v>2.4E-2</v>
      </c>
      <c r="K2293" s="26">
        <f t="shared" si="458"/>
        <v>0.81259401055676117</v>
      </c>
      <c r="L2293" s="27">
        <f t="shared" ca="1" si="459"/>
        <v>0</v>
      </c>
      <c r="M2293" s="27">
        <f t="shared" ca="1" si="460"/>
        <v>0</v>
      </c>
      <c r="N2293" s="28">
        <f t="shared" ca="1" si="461"/>
        <v>0</v>
      </c>
      <c r="O2293" s="29">
        <f t="shared" ca="1" si="462"/>
        <v>0</v>
      </c>
      <c r="P2293" s="30">
        <f t="shared" ca="1" si="463"/>
        <v>0</v>
      </c>
    </row>
    <row r="2294" spans="1:16" x14ac:dyDescent="0.25">
      <c r="A2294" s="3">
        <f t="shared" si="464"/>
        <v>49324</v>
      </c>
      <c r="B2294" s="21">
        <f t="shared" si="455"/>
        <v>36540</v>
      </c>
      <c r="C2294" s="21">
        <f t="shared" si="456"/>
        <v>36605</v>
      </c>
      <c r="D2294" s="1">
        <f t="shared" si="465"/>
        <v>0</v>
      </c>
      <c r="E2294" s="3">
        <f t="array" ref="E2294">INDEX($A$9:A2293, MAX(IF($D$9:D2293=1, ROW(D$9:$D2293)-ROW($D$9)+1, 0)))</f>
        <v>49298</v>
      </c>
      <c r="F2294" s="23">
        <f t="shared" si="457"/>
        <v>8.7583846680355926</v>
      </c>
      <c r="G2294" s="5">
        <f>INDEX('Default Prob'!$P$5:$P$14,MIN(1+_xlfn.IFNA(MATCH(F2294,'Default Prob'!$F$5:$F$14,1),0),COUNT('Default Prob'!$P$5:$P$14)))</f>
        <v>5.8652391073922311E-2</v>
      </c>
      <c r="H2294" s="5">
        <f t="shared" si="466"/>
        <v>0.77162329016579556</v>
      </c>
      <c r="I2294" s="24">
        <f t="shared" si="467"/>
        <v>3.7181481737247335E-4</v>
      </c>
      <c r="J2294" s="25">
        <f>INDEX('Default Prob'!$C$3:$C$13, _xlfn.IFNA(MATCH(F2294, 'Default Prob'!$B$3:$B$13, 1), 1))</f>
        <v>2.4E-2</v>
      </c>
      <c r="K2294" s="26">
        <f t="shared" si="458"/>
        <v>0.81243573515184897</v>
      </c>
      <c r="L2294" s="27">
        <f t="shared" ca="1" si="459"/>
        <v>0</v>
      </c>
      <c r="M2294" s="27">
        <f t="shared" ca="1" si="460"/>
        <v>0</v>
      </c>
      <c r="N2294" s="28">
        <f t="shared" ca="1" si="461"/>
        <v>0</v>
      </c>
      <c r="O2294" s="29">
        <f t="shared" ca="1" si="462"/>
        <v>0</v>
      </c>
      <c r="P2294" s="30">
        <f t="shared" ca="1" si="463"/>
        <v>0</v>
      </c>
    </row>
    <row r="2295" spans="1:16" x14ac:dyDescent="0.25">
      <c r="A2295" s="3">
        <f t="shared" si="464"/>
        <v>49325</v>
      </c>
      <c r="B2295" s="21">
        <f t="shared" si="455"/>
        <v>36541</v>
      </c>
      <c r="C2295" s="21">
        <f t="shared" si="456"/>
        <v>36605</v>
      </c>
      <c r="D2295" s="1">
        <f t="shared" si="465"/>
        <v>0</v>
      </c>
      <c r="E2295" s="3">
        <f t="array" ref="E2295">INDEX($A$9:A2294, MAX(IF($D$9:D2294=1, ROW(D$9:$D2294)-ROW($D$9)+1, 0)))</f>
        <v>49298</v>
      </c>
      <c r="F2295" s="23">
        <f t="shared" si="457"/>
        <v>8.7611225188227237</v>
      </c>
      <c r="G2295" s="5">
        <f>INDEX('Default Prob'!$P$5:$P$14,MIN(1+_xlfn.IFNA(MATCH(F2295,'Default Prob'!$F$5:$F$14,1),0),COUNT('Default Prob'!$P$5:$P$14)))</f>
        <v>5.8652391073922311E-2</v>
      </c>
      <c r="H2295" s="5">
        <f t="shared" si="466"/>
        <v>0.77149939169239812</v>
      </c>
      <c r="I2295" s="24">
        <f t="shared" si="467"/>
        <v>1.2389847339744353E-4</v>
      </c>
      <c r="J2295" s="25">
        <f>INDEX('Default Prob'!$C$3:$C$13, _xlfn.IFNA(MATCH(F2295, 'Default Prob'!$B$3:$B$13, 1), 1))</f>
        <v>2.4E-2</v>
      </c>
      <c r="K2295" s="26">
        <f t="shared" si="458"/>
        <v>0.81238298353463256</v>
      </c>
      <c r="L2295" s="27">
        <f t="shared" ca="1" si="459"/>
        <v>0</v>
      </c>
      <c r="M2295" s="27">
        <f t="shared" ca="1" si="460"/>
        <v>0</v>
      </c>
      <c r="N2295" s="28">
        <f t="shared" ca="1" si="461"/>
        <v>0</v>
      </c>
      <c r="O2295" s="29">
        <f t="shared" ca="1" si="462"/>
        <v>0</v>
      </c>
      <c r="P2295" s="30">
        <f t="shared" ca="1" si="463"/>
        <v>0</v>
      </c>
    </row>
    <row r="2296" spans="1:16" x14ac:dyDescent="0.25">
      <c r="A2296" s="3">
        <f t="shared" si="464"/>
        <v>49326</v>
      </c>
      <c r="B2296" s="21">
        <f t="shared" si="455"/>
        <v>36542</v>
      </c>
      <c r="C2296" s="21">
        <f t="shared" si="456"/>
        <v>36605</v>
      </c>
      <c r="D2296" s="1">
        <f t="shared" si="465"/>
        <v>0</v>
      </c>
      <c r="E2296" s="3">
        <f t="array" ref="E2296">INDEX($A$9:A2295, MAX(IF($D$9:D2295=1, ROW(D$9:$D2295)-ROW($D$9)+1, 0)))</f>
        <v>49298</v>
      </c>
      <c r="F2296" s="23">
        <f t="shared" si="457"/>
        <v>8.7638603696098567</v>
      </c>
      <c r="G2296" s="5">
        <f>INDEX('Default Prob'!$P$5:$P$14,MIN(1+_xlfn.IFNA(MATCH(F2296,'Default Prob'!$F$5:$F$14,1),0),COUNT('Default Prob'!$P$5:$P$14)))</f>
        <v>5.8652391073922311E-2</v>
      </c>
      <c r="H2296" s="5">
        <f t="shared" si="466"/>
        <v>0.77137551311320529</v>
      </c>
      <c r="I2296" s="24">
        <f t="shared" si="467"/>
        <v>1.2387857919282652E-4</v>
      </c>
      <c r="J2296" s="25">
        <f>INDEX('Default Prob'!$C$3:$C$13, _xlfn.IFNA(MATCH(F2296, 'Default Prob'!$B$3:$B$13, 1), 1))</f>
        <v>2.4E-2</v>
      </c>
      <c r="K2296" s="26">
        <f t="shared" si="458"/>
        <v>0.81233023534258952</v>
      </c>
      <c r="L2296" s="27">
        <f t="shared" ca="1" si="459"/>
        <v>0</v>
      </c>
      <c r="M2296" s="27">
        <f t="shared" ca="1" si="460"/>
        <v>0</v>
      </c>
      <c r="N2296" s="28">
        <f t="shared" ca="1" si="461"/>
        <v>0</v>
      </c>
      <c r="O2296" s="29">
        <f t="shared" ca="1" si="462"/>
        <v>0</v>
      </c>
      <c r="P2296" s="30">
        <f t="shared" ca="1" si="463"/>
        <v>0</v>
      </c>
    </row>
    <row r="2297" spans="1:16" x14ac:dyDescent="0.25">
      <c r="A2297" s="3">
        <f t="shared" si="464"/>
        <v>49327</v>
      </c>
      <c r="B2297" s="21">
        <f t="shared" si="455"/>
        <v>36543</v>
      </c>
      <c r="C2297" s="21">
        <f t="shared" si="456"/>
        <v>36605</v>
      </c>
      <c r="D2297" s="1">
        <f t="shared" si="465"/>
        <v>0</v>
      </c>
      <c r="E2297" s="3">
        <f t="array" ref="E2297">INDEX($A$9:A2296, MAX(IF($D$9:D2296=1, ROW(D$9:$D2296)-ROW($D$9)+1, 0)))</f>
        <v>49298</v>
      </c>
      <c r="F2297" s="23">
        <f t="shared" si="457"/>
        <v>8.7665982203969879</v>
      </c>
      <c r="G2297" s="5">
        <f>INDEX('Default Prob'!$P$5:$P$14,MIN(1+_xlfn.IFNA(MATCH(F2297,'Default Prob'!$F$5:$F$14,1),0),COUNT('Default Prob'!$P$5:$P$14)))</f>
        <v>5.8652391073922311E-2</v>
      </c>
      <c r="H2297" s="5">
        <f t="shared" si="466"/>
        <v>0.77125165442502297</v>
      </c>
      <c r="I2297" s="24">
        <f t="shared" si="467"/>
        <v>1.2385868818232115E-4</v>
      </c>
      <c r="J2297" s="25">
        <f>INDEX('Default Prob'!$C$3:$C$13, _xlfn.IFNA(MATCH(F2297, 'Default Prob'!$B$3:$B$13, 1), 1))</f>
        <v>2.4E-2</v>
      </c>
      <c r="K2297" s="26">
        <f t="shared" si="458"/>
        <v>0.81227749057549725</v>
      </c>
      <c r="L2297" s="27">
        <f t="shared" ca="1" si="459"/>
        <v>0</v>
      </c>
      <c r="M2297" s="27">
        <f t="shared" ca="1" si="460"/>
        <v>0</v>
      </c>
      <c r="N2297" s="28">
        <f t="shared" ca="1" si="461"/>
        <v>0</v>
      </c>
      <c r="O2297" s="29">
        <f t="shared" ca="1" si="462"/>
        <v>0</v>
      </c>
      <c r="P2297" s="30">
        <f t="shared" ca="1" si="463"/>
        <v>0</v>
      </c>
    </row>
    <row r="2298" spans="1:16" x14ac:dyDescent="0.25">
      <c r="A2298" s="3">
        <f t="shared" si="464"/>
        <v>49328</v>
      </c>
      <c r="B2298" s="21">
        <f t="shared" si="455"/>
        <v>36544</v>
      </c>
      <c r="C2298" s="21">
        <f t="shared" si="456"/>
        <v>36605</v>
      </c>
      <c r="D2298" s="1">
        <f t="shared" si="465"/>
        <v>0</v>
      </c>
      <c r="E2298" s="3">
        <f t="array" ref="E2298">INDEX($A$9:A2297, MAX(IF($D$9:D2297=1, ROW(D$9:$D2297)-ROW($D$9)+1, 0)))</f>
        <v>49298</v>
      </c>
      <c r="F2298" s="23">
        <f t="shared" si="457"/>
        <v>8.7693360711841208</v>
      </c>
      <c r="G2298" s="5">
        <f>INDEX('Default Prob'!$P$5:$P$14,MIN(1+_xlfn.IFNA(MATCH(F2298,'Default Prob'!$F$5:$F$14,1),0),COUNT('Default Prob'!$P$5:$P$14)))</f>
        <v>5.8652391073922311E-2</v>
      </c>
      <c r="H2298" s="5">
        <f t="shared" si="466"/>
        <v>0.77112781562465693</v>
      </c>
      <c r="I2298" s="24">
        <f t="shared" si="467"/>
        <v>1.2383880036603845E-4</v>
      </c>
      <c r="J2298" s="25">
        <f>INDEX('Default Prob'!$C$3:$C$13, _xlfn.IFNA(MATCH(F2298, 'Default Prob'!$B$3:$B$13, 1), 1))</f>
        <v>2.4E-2</v>
      </c>
      <c r="K2298" s="26">
        <f t="shared" si="458"/>
        <v>0.81222474923313348</v>
      </c>
      <c r="L2298" s="27">
        <f t="shared" ca="1" si="459"/>
        <v>0</v>
      </c>
      <c r="M2298" s="27">
        <f t="shared" ca="1" si="460"/>
        <v>0</v>
      </c>
      <c r="N2298" s="28">
        <f t="shared" ca="1" si="461"/>
        <v>0</v>
      </c>
      <c r="O2298" s="29">
        <f t="shared" ca="1" si="462"/>
        <v>0</v>
      </c>
      <c r="P2298" s="30">
        <f t="shared" ca="1" si="463"/>
        <v>0</v>
      </c>
    </row>
    <row r="2299" spans="1:16" x14ac:dyDescent="0.25">
      <c r="A2299" s="3">
        <f t="shared" si="464"/>
        <v>49331</v>
      </c>
      <c r="B2299" s="21">
        <f t="shared" si="455"/>
        <v>36547</v>
      </c>
      <c r="C2299" s="21">
        <f t="shared" si="456"/>
        <v>36605</v>
      </c>
      <c r="D2299" s="1">
        <f t="shared" si="465"/>
        <v>0</v>
      </c>
      <c r="E2299" s="3">
        <f t="array" ref="E2299">INDEX($A$9:A2298, MAX(IF($D$9:D2298=1, ROW(D$9:$D2298)-ROW($D$9)+1, 0)))</f>
        <v>49298</v>
      </c>
      <c r="F2299" s="23">
        <f t="shared" si="457"/>
        <v>8.7775496235455162</v>
      </c>
      <c r="G2299" s="5">
        <f>INDEX('Default Prob'!$P$5:$P$14,MIN(1+_xlfn.IFNA(MATCH(F2299,'Default Prob'!$F$5:$F$14,1),0),COUNT('Default Prob'!$P$5:$P$14)))</f>
        <v>5.8652391073922311E-2</v>
      </c>
      <c r="H2299" s="5">
        <f t="shared" si="466"/>
        <v>0.77075641851852694</v>
      </c>
      <c r="I2299" s="24">
        <f t="shared" si="467"/>
        <v>3.7139710612998922E-4</v>
      </c>
      <c r="J2299" s="25">
        <f>INDEX('Default Prob'!$C$3:$C$13, _xlfn.IFNA(MATCH(F2299, 'Default Prob'!$B$3:$B$13, 1), 1))</f>
        <v>2.4E-2</v>
      </c>
      <c r="K2299" s="26">
        <f t="shared" si="458"/>
        <v>0.81206654575218906</v>
      </c>
      <c r="L2299" s="27">
        <f t="shared" ca="1" si="459"/>
        <v>0</v>
      </c>
      <c r="M2299" s="27">
        <f t="shared" ca="1" si="460"/>
        <v>0</v>
      </c>
      <c r="N2299" s="28">
        <f t="shared" ca="1" si="461"/>
        <v>0</v>
      </c>
      <c r="O2299" s="29">
        <f t="shared" ca="1" si="462"/>
        <v>0</v>
      </c>
      <c r="P2299" s="30">
        <f t="shared" ca="1" si="463"/>
        <v>0</v>
      </c>
    </row>
    <row r="2300" spans="1:16" x14ac:dyDescent="0.25">
      <c r="A2300" s="3">
        <f t="shared" si="464"/>
        <v>49332</v>
      </c>
      <c r="B2300" s="21">
        <f t="shared" si="455"/>
        <v>36548</v>
      </c>
      <c r="C2300" s="21">
        <f t="shared" si="456"/>
        <v>36605</v>
      </c>
      <c r="D2300" s="1">
        <f t="shared" si="465"/>
        <v>0</v>
      </c>
      <c r="E2300" s="3">
        <f t="array" ref="E2300">INDEX($A$9:A2299, MAX(IF($D$9:D2299=1, ROW(D$9:$D2299)-ROW($D$9)+1, 0)))</f>
        <v>49298</v>
      </c>
      <c r="F2300" s="23">
        <f t="shared" si="457"/>
        <v>8.7802874743326491</v>
      </c>
      <c r="G2300" s="5">
        <f>INDEX('Default Prob'!$P$5:$P$14,MIN(1+_xlfn.IFNA(MATCH(F2300,'Default Prob'!$F$5:$F$14,1),0),COUNT('Default Prob'!$P$5:$P$14)))</f>
        <v>5.8652391073922311E-2</v>
      </c>
      <c r="H2300" s="5">
        <f t="shared" si="466"/>
        <v>0.77063265923749835</v>
      </c>
      <c r="I2300" s="24">
        <f t="shared" si="467"/>
        <v>1.2375928102859035E-4</v>
      </c>
      <c r="J2300" s="25">
        <f>INDEX('Default Prob'!$C$3:$C$13, _xlfn.IFNA(MATCH(F2300, 'Default Prob'!$B$3:$B$13, 1), 1))</f>
        <v>2.4E-2</v>
      </c>
      <c r="K2300" s="26">
        <f t="shared" si="458"/>
        <v>0.81201381810651529</v>
      </c>
      <c r="L2300" s="27">
        <f t="shared" ca="1" si="459"/>
        <v>0</v>
      </c>
      <c r="M2300" s="27">
        <f t="shared" ca="1" si="460"/>
        <v>0</v>
      </c>
      <c r="N2300" s="28">
        <f t="shared" ca="1" si="461"/>
        <v>0</v>
      </c>
      <c r="O2300" s="29">
        <f t="shared" ca="1" si="462"/>
        <v>0</v>
      </c>
      <c r="P2300" s="30">
        <f t="shared" ca="1" si="463"/>
        <v>0</v>
      </c>
    </row>
    <row r="2301" spans="1:16" x14ac:dyDescent="0.25">
      <c r="A2301" s="3">
        <f t="shared" si="464"/>
        <v>49333</v>
      </c>
      <c r="B2301" s="21">
        <f t="shared" si="455"/>
        <v>36549</v>
      </c>
      <c r="C2301" s="21">
        <f t="shared" si="456"/>
        <v>36605</v>
      </c>
      <c r="D2301" s="1">
        <f t="shared" si="465"/>
        <v>0</v>
      </c>
      <c r="E2301" s="3">
        <f t="array" ref="E2301">INDEX($A$9:A2300, MAX(IF($D$9:D2300=1, ROW(D$9:$D2300)-ROW($D$9)+1, 0)))</f>
        <v>49298</v>
      </c>
      <c r="F2301" s="23">
        <f t="shared" si="457"/>
        <v>8.7830253251197803</v>
      </c>
      <c r="G2301" s="5">
        <f>INDEX('Default Prob'!$P$5:$P$14,MIN(1+_xlfn.IFNA(MATCH(F2301,'Default Prob'!$F$5:$F$14,1),0),COUNT('Default Prob'!$P$5:$P$14)))</f>
        <v>5.8652391073922311E-2</v>
      </c>
      <c r="H2301" s="5">
        <f t="shared" si="466"/>
        <v>0.7705089198283247</v>
      </c>
      <c r="I2301" s="24">
        <f t="shared" si="467"/>
        <v>1.23739409173651E-4</v>
      </c>
      <c r="J2301" s="25">
        <f>INDEX('Default Prob'!$C$3:$C$13, _xlfn.IFNA(MATCH(F2301, 'Default Prob'!$B$3:$B$13, 1), 1))</f>
        <v>2.4E-2</v>
      </c>
      <c r="K2301" s="26">
        <f t="shared" si="458"/>
        <v>0.81196109388445847</v>
      </c>
      <c r="L2301" s="27">
        <f t="shared" ca="1" si="459"/>
        <v>0</v>
      </c>
      <c r="M2301" s="27">
        <f t="shared" ca="1" si="460"/>
        <v>0</v>
      </c>
      <c r="N2301" s="28">
        <f t="shared" ca="1" si="461"/>
        <v>0</v>
      </c>
      <c r="O2301" s="29">
        <f t="shared" ca="1" si="462"/>
        <v>0</v>
      </c>
      <c r="P2301" s="30">
        <f t="shared" ca="1" si="463"/>
        <v>0</v>
      </c>
    </row>
    <row r="2302" spans="1:16" x14ac:dyDescent="0.25">
      <c r="A2302" s="3">
        <f t="shared" si="464"/>
        <v>49334</v>
      </c>
      <c r="B2302" s="21">
        <f t="shared" si="455"/>
        <v>36550</v>
      </c>
      <c r="C2302" s="21">
        <f t="shared" si="456"/>
        <v>36605</v>
      </c>
      <c r="D2302" s="1">
        <f t="shared" si="465"/>
        <v>0</v>
      </c>
      <c r="E2302" s="3">
        <f t="array" ref="E2302">INDEX($A$9:A2301, MAX(IF($D$9:D2301=1, ROW(D$9:$D2301)-ROW($D$9)+1, 0)))</f>
        <v>49298</v>
      </c>
      <c r="F2302" s="23">
        <f t="shared" si="457"/>
        <v>8.7857631759069132</v>
      </c>
      <c r="G2302" s="5">
        <f>INDEX('Default Prob'!$P$5:$P$14,MIN(1+_xlfn.IFNA(MATCH(F2302,'Default Prob'!$F$5:$F$14,1),0),COUNT('Default Prob'!$P$5:$P$14)))</f>
        <v>5.8652391073922311E-2</v>
      </c>
      <c r="H2302" s="5">
        <f t="shared" si="466"/>
        <v>0.77038520028781499</v>
      </c>
      <c r="I2302" s="24">
        <f t="shared" si="467"/>
        <v>1.2371954050971468E-4</v>
      </c>
      <c r="J2302" s="25">
        <f>INDEX('Default Prob'!$C$3:$C$13, _xlfn.IFNA(MATCH(F2302, 'Default Prob'!$B$3:$B$13, 1), 1))</f>
        <v>2.4E-2</v>
      </c>
      <c r="K2302" s="26">
        <f t="shared" si="458"/>
        <v>0.81190837308579589</v>
      </c>
      <c r="L2302" s="27">
        <f t="shared" ca="1" si="459"/>
        <v>0</v>
      </c>
      <c r="M2302" s="27">
        <f t="shared" ca="1" si="460"/>
        <v>0</v>
      </c>
      <c r="N2302" s="28">
        <f t="shared" ca="1" si="461"/>
        <v>0</v>
      </c>
      <c r="O2302" s="29">
        <f t="shared" ca="1" si="462"/>
        <v>0</v>
      </c>
      <c r="P2302" s="30">
        <f t="shared" ca="1" si="463"/>
        <v>0</v>
      </c>
    </row>
    <row r="2303" spans="1:16" x14ac:dyDescent="0.25">
      <c r="A2303" s="3">
        <f t="shared" si="464"/>
        <v>49335</v>
      </c>
      <c r="B2303" s="21">
        <f t="shared" si="455"/>
        <v>36551</v>
      </c>
      <c r="C2303" s="21">
        <f t="shared" si="456"/>
        <v>36605</v>
      </c>
      <c r="D2303" s="1">
        <f t="shared" si="465"/>
        <v>0</v>
      </c>
      <c r="E2303" s="3">
        <f t="array" ref="E2303">INDEX($A$9:A2302, MAX(IF($D$9:D2302=1, ROW(D$9:$D2302)-ROW($D$9)+1, 0)))</f>
        <v>49298</v>
      </c>
      <c r="F2303" s="23">
        <f t="shared" si="457"/>
        <v>8.7885010266940444</v>
      </c>
      <c r="G2303" s="5">
        <f>INDEX('Default Prob'!$P$5:$P$14,MIN(1+_xlfn.IFNA(MATCH(F2303,'Default Prob'!$F$5:$F$14,1),0),COUNT('Default Prob'!$P$5:$P$14)))</f>
        <v>5.8652391073922311E-2</v>
      </c>
      <c r="H2303" s="5">
        <f t="shared" si="466"/>
        <v>0.77026150061277909</v>
      </c>
      <c r="I2303" s="24">
        <f t="shared" si="467"/>
        <v>1.2369967503589319E-4</v>
      </c>
      <c r="J2303" s="25">
        <f>INDEX('Default Prob'!$C$3:$C$13, _xlfn.IFNA(MATCH(F2303, 'Default Prob'!$B$3:$B$13, 1), 1))</f>
        <v>2.4E-2</v>
      </c>
      <c r="K2303" s="26">
        <f t="shared" si="458"/>
        <v>0.81185565571030571</v>
      </c>
      <c r="L2303" s="27">
        <f t="shared" ca="1" si="459"/>
        <v>0</v>
      </c>
      <c r="M2303" s="27">
        <f t="shared" ca="1" si="460"/>
        <v>0</v>
      </c>
      <c r="N2303" s="28">
        <f t="shared" ca="1" si="461"/>
        <v>0</v>
      </c>
      <c r="O2303" s="29">
        <f t="shared" ca="1" si="462"/>
        <v>0</v>
      </c>
      <c r="P2303" s="30">
        <f t="shared" ca="1" si="463"/>
        <v>0</v>
      </c>
    </row>
    <row r="2304" spans="1:16" x14ac:dyDescent="0.25">
      <c r="A2304" s="3">
        <f t="shared" si="464"/>
        <v>49338</v>
      </c>
      <c r="B2304" s="21">
        <f t="shared" si="455"/>
        <v>36554</v>
      </c>
      <c r="C2304" s="21">
        <f t="shared" si="456"/>
        <v>36605</v>
      </c>
      <c r="D2304" s="1">
        <f t="shared" si="465"/>
        <v>0</v>
      </c>
      <c r="E2304" s="3">
        <f t="array" ref="E2304">INDEX($A$9:A2303, MAX(IF($D$9:D2303=1, ROW(D$9:$D2303)-ROW($D$9)+1, 0)))</f>
        <v>49298</v>
      </c>
      <c r="F2304" s="23">
        <f t="shared" si="457"/>
        <v>8.7967145790554415</v>
      </c>
      <c r="G2304" s="5">
        <f>INDEX('Default Prob'!$P$5:$P$14,MIN(1+_xlfn.IFNA(MATCH(F2304,'Default Prob'!$F$5:$F$14,1),0),COUNT('Default Prob'!$P$5:$P$14)))</f>
        <v>5.8652391073922311E-2</v>
      </c>
      <c r="H2304" s="5">
        <f t="shared" si="466"/>
        <v>0.7698905207486183</v>
      </c>
      <c r="I2304" s="24">
        <f t="shared" si="467"/>
        <v>3.7097986416079198E-4</v>
      </c>
      <c r="J2304" s="25">
        <f>INDEX('Default Prob'!$C$3:$C$13, _xlfn.IFNA(MATCH(F2304, 'Default Prob'!$B$3:$B$13, 1), 1))</f>
        <v>2.4E-2</v>
      </c>
      <c r="K2304" s="26">
        <f t="shared" si="458"/>
        <v>0.81169752412064522</v>
      </c>
      <c r="L2304" s="27">
        <f t="shared" ca="1" si="459"/>
        <v>0</v>
      </c>
      <c r="M2304" s="27">
        <f t="shared" ca="1" si="460"/>
        <v>0</v>
      </c>
      <c r="N2304" s="28">
        <f t="shared" ca="1" si="461"/>
        <v>0</v>
      </c>
      <c r="O2304" s="29">
        <f t="shared" ca="1" si="462"/>
        <v>0</v>
      </c>
      <c r="P2304" s="30">
        <f t="shared" ca="1" si="463"/>
        <v>0</v>
      </c>
    </row>
    <row r="2305" spans="1:16" x14ac:dyDescent="0.25">
      <c r="A2305" s="3">
        <f t="shared" si="464"/>
        <v>49339</v>
      </c>
      <c r="B2305" s="21">
        <f t="shared" si="455"/>
        <v>36555</v>
      </c>
      <c r="C2305" s="21">
        <f t="shared" si="456"/>
        <v>36605</v>
      </c>
      <c r="D2305" s="1">
        <f t="shared" si="465"/>
        <v>0</v>
      </c>
      <c r="E2305" s="3">
        <f t="array" ref="E2305">INDEX($A$9:A2304, MAX(IF($D$9:D2304=1, ROW(D$9:$D2304)-ROW($D$9)+1, 0)))</f>
        <v>49298</v>
      </c>
      <c r="F2305" s="23">
        <f t="shared" si="457"/>
        <v>8.7994524298425727</v>
      </c>
      <c r="G2305" s="5">
        <f>INDEX('Default Prob'!$P$5:$P$14,MIN(1+_xlfn.IFNA(MATCH(F2305,'Default Prob'!$F$5:$F$14,1),0),COUNT('Default Prob'!$P$5:$P$14)))</f>
        <v>5.8652391073922311E-2</v>
      </c>
      <c r="H2305" s="5">
        <f t="shared" si="466"/>
        <v>0.76976690050358465</v>
      </c>
      <c r="I2305" s="24">
        <f t="shared" si="467"/>
        <v>1.2362024503365099E-4</v>
      </c>
      <c r="J2305" s="25">
        <f>INDEX('Default Prob'!$C$3:$C$13, _xlfn.IFNA(MATCH(F2305, 'Default Prob'!$B$3:$B$13, 1), 1))</f>
        <v>2.4E-2</v>
      </c>
      <c r="K2305" s="26">
        <f t="shared" si="458"/>
        <v>0.81164482043562103</v>
      </c>
      <c r="L2305" s="27">
        <f t="shared" ca="1" si="459"/>
        <v>0</v>
      </c>
      <c r="M2305" s="27">
        <f t="shared" ca="1" si="460"/>
        <v>0</v>
      </c>
      <c r="N2305" s="28">
        <f t="shared" ca="1" si="461"/>
        <v>0</v>
      </c>
      <c r="O2305" s="29">
        <f t="shared" ca="1" si="462"/>
        <v>0</v>
      </c>
      <c r="P2305" s="30">
        <f t="shared" ca="1" si="463"/>
        <v>0</v>
      </c>
    </row>
    <row r="2306" spans="1:16" x14ac:dyDescent="0.25">
      <c r="A2306" s="3">
        <f t="shared" si="464"/>
        <v>49340</v>
      </c>
      <c r="B2306" s="21">
        <f t="shared" si="455"/>
        <v>36556</v>
      </c>
      <c r="C2306" s="21">
        <f t="shared" si="456"/>
        <v>36605</v>
      </c>
      <c r="D2306" s="1">
        <f t="shared" si="465"/>
        <v>0</v>
      </c>
      <c r="E2306" s="3">
        <f t="array" ref="E2306">INDEX($A$9:A2305, MAX(IF($D$9:D2305=1, ROW(D$9:$D2305)-ROW($D$9)+1, 0)))</f>
        <v>49298</v>
      </c>
      <c r="F2306" s="23">
        <f t="shared" si="457"/>
        <v>8.8021902806297057</v>
      </c>
      <c r="G2306" s="5">
        <f>INDEX('Default Prob'!$P$5:$P$14,MIN(1+_xlfn.IFNA(MATCH(F2306,'Default Prob'!$F$5:$F$14,1),0),COUNT('Default Prob'!$P$5:$P$14)))</f>
        <v>5.8652391073922311E-2</v>
      </c>
      <c r="H2306" s="5">
        <f t="shared" si="466"/>
        <v>0.76964330010808091</v>
      </c>
      <c r="I2306" s="24">
        <f t="shared" si="467"/>
        <v>1.2360039550374236E-4</v>
      </c>
      <c r="J2306" s="25">
        <f>INDEX('Default Prob'!$C$3:$C$13, _xlfn.IFNA(MATCH(F2306, 'Default Prob'!$B$3:$B$13, 1), 1))</f>
        <v>2.4E-2</v>
      </c>
      <c r="K2306" s="26">
        <f t="shared" si="458"/>
        <v>0.81159212017265792</v>
      </c>
      <c r="L2306" s="27">
        <f t="shared" ca="1" si="459"/>
        <v>0</v>
      </c>
      <c r="M2306" s="27">
        <f t="shared" ca="1" si="460"/>
        <v>0</v>
      </c>
      <c r="N2306" s="28">
        <f t="shared" ca="1" si="461"/>
        <v>0</v>
      </c>
      <c r="O2306" s="29">
        <f t="shared" ca="1" si="462"/>
        <v>0</v>
      </c>
      <c r="P2306" s="30">
        <f t="shared" ca="1" si="463"/>
        <v>0</v>
      </c>
    </row>
    <row r="2307" spans="1:16" x14ac:dyDescent="0.25">
      <c r="A2307" s="3">
        <f t="shared" si="464"/>
        <v>49341</v>
      </c>
      <c r="B2307" s="21">
        <f t="shared" si="455"/>
        <v>36557</v>
      </c>
      <c r="C2307" s="21">
        <f t="shared" si="456"/>
        <v>36605</v>
      </c>
      <c r="D2307" s="1">
        <f t="shared" si="465"/>
        <v>0</v>
      </c>
      <c r="E2307" s="3">
        <f t="array" ref="E2307">INDEX($A$9:A2306, MAX(IF($D$9:D2306=1, ROW(D$9:$D2306)-ROW($D$9)+1, 0)))</f>
        <v>49298</v>
      </c>
      <c r="F2307" s="23">
        <f t="shared" si="457"/>
        <v>8.8049281314168386</v>
      </c>
      <c r="G2307" s="5">
        <f>INDEX('Default Prob'!$P$5:$P$14,MIN(1+_xlfn.IFNA(MATCH(F2307,'Default Prob'!$F$5:$F$14,1),0),COUNT('Default Prob'!$P$5:$P$14)))</f>
        <v>5.8652391073922311E-2</v>
      </c>
      <c r="H2307" s="5">
        <f t="shared" si="466"/>
        <v>0.76951971955891996</v>
      </c>
      <c r="I2307" s="24">
        <f t="shared" si="467"/>
        <v>1.2358054916095096E-4</v>
      </c>
      <c r="J2307" s="25">
        <f>INDEX('Default Prob'!$C$3:$C$13, _xlfn.IFNA(MATCH(F2307, 'Default Prob'!$B$3:$B$13, 1), 1))</f>
        <v>2.4E-2</v>
      </c>
      <c r="K2307" s="26">
        <f t="shared" si="458"/>
        <v>0.8115394233315335</v>
      </c>
      <c r="L2307" s="27">
        <f t="shared" ca="1" si="459"/>
        <v>0</v>
      </c>
      <c r="M2307" s="27">
        <f t="shared" ca="1" si="460"/>
        <v>0</v>
      </c>
      <c r="N2307" s="28">
        <f t="shared" ca="1" si="461"/>
        <v>0</v>
      </c>
      <c r="O2307" s="29">
        <f t="shared" ca="1" si="462"/>
        <v>0</v>
      </c>
      <c r="P2307" s="30">
        <f t="shared" ca="1" si="463"/>
        <v>0</v>
      </c>
    </row>
    <row r="2308" spans="1:16" x14ac:dyDescent="0.25">
      <c r="A2308" s="3">
        <f t="shared" si="464"/>
        <v>49342</v>
      </c>
      <c r="B2308" s="21">
        <f t="shared" si="455"/>
        <v>36558</v>
      </c>
      <c r="C2308" s="21">
        <f t="shared" si="456"/>
        <v>36605</v>
      </c>
      <c r="D2308" s="1">
        <f t="shared" si="465"/>
        <v>0</v>
      </c>
      <c r="E2308" s="3">
        <f t="array" ref="E2308">INDEX($A$9:A2307, MAX(IF($D$9:D2307=1, ROW(D$9:$D2307)-ROW($D$9)+1, 0)))</f>
        <v>49298</v>
      </c>
      <c r="F2308" s="23">
        <f t="shared" si="457"/>
        <v>8.8076659822039698</v>
      </c>
      <c r="G2308" s="5">
        <f>INDEX('Default Prob'!$P$5:$P$14,MIN(1+_xlfn.IFNA(MATCH(F2308,'Default Prob'!$F$5:$F$14,1),0),COUNT('Default Prob'!$P$5:$P$14)))</f>
        <v>5.8652391073922311E-2</v>
      </c>
      <c r="H2308" s="5">
        <f t="shared" si="466"/>
        <v>0.76939615885291524</v>
      </c>
      <c r="I2308" s="24">
        <f t="shared" si="467"/>
        <v>1.2356070600472169E-4</v>
      </c>
      <c r="J2308" s="25">
        <f>INDEX('Default Prob'!$C$3:$C$13, _xlfn.IFNA(MATCH(F2308, 'Default Prob'!$B$3:$B$13, 1), 1))</f>
        <v>2.4E-2</v>
      </c>
      <c r="K2308" s="26">
        <f t="shared" si="458"/>
        <v>0.81148672991202564</v>
      </c>
      <c r="L2308" s="27">
        <f t="shared" ca="1" si="459"/>
        <v>0</v>
      </c>
      <c r="M2308" s="27">
        <f t="shared" ca="1" si="460"/>
        <v>0</v>
      </c>
      <c r="N2308" s="28">
        <f t="shared" ca="1" si="461"/>
        <v>0</v>
      </c>
      <c r="O2308" s="29">
        <f t="shared" ca="1" si="462"/>
        <v>0</v>
      </c>
      <c r="P2308" s="30">
        <f t="shared" ca="1" si="463"/>
        <v>0</v>
      </c>
    </row>
    <row r="2309" spans="1:16" x14ac:dyDescent="0.25">
      <c r="A2309" s="3">
        <f t="shared" si="464"/>
        <v>49345</v>
      </c>
      <c r="B2309" s="21">
        <f t="shared" si="455"/>
        <v>36561</v>
      </c>
      <c r="C2309" s="21">
        <f t="shared" si="456"/>
        <v>36605</v>
      </c>
      <c r="D2309" s="1">
        <f t="shared" si="465"/>
        <v>0</v>
      </c>
      <c r="E2309" s="3">
        <f t="array" ref="E2309">INDEX($A$9:A2308, MAX(IF($D$9:D2308=1, ROW(D$9:$D2308)-ROW($D$9)+1, 0)))</f>
        <v>49298</v>
      </c>
      <c r="F2309" s="23">
        <f t="shared" si="457"/>
        <v>8.8158795345653669</v>
      </c>
      <c r="G2309" s="5">
        <f>INDEX('Default Prob'!$P$5:$P$14,MIN(1+_xlfn.IFNA(MATCH(F2309,'Default Prob'!$F$5:$F$14,1),0),COUNT('Default Prob'!$P$5:$P$14)))</f>
        <v>5.8652391073922311E-2</v>
      </c>
      <c r="H2309" s="5">
        <f t="shared" si="466"/>
        <v>0.76902559576197793</v>
      </c>
      <c r="I2309" s="24">
        <f t="shared" si="467"/>
        <v>3.7056309093730366E-4</v>
      </c>
      <c r="J2309" s="25">
        <f>INDEX('Default Prob'!$C$3:$C$13, _xlfn.IFNA(MATCH(F2309, 'Default Prob'!$B$3:$B$13, 1), 1))</f>
        <v>2.4E-2</v>
      </c>
      <c r="K2309" s="26">
        <f t="shared" si="458"/>
        <v>0.81132867018097998</v>
      </c>
      <c r="L2309" s="27">
        <f t="shared" ca="1" si="459"/>
        <v>0</v>
      </c>
      <c r="M2309" s="27">
        <f t="shared" ca="1" si="460"/>
        <v>0</v>
      </c>
      <c r="N2309" s="28">
        <f t="shared" ca="1" si="461"/>
        <v>0</v>
      </c>
      <c r="O2309" s="29">
        <f t="shared" ca="1" si="462"/>
        <v>0</v>
      </c>
      <c r="P2309" s="30">
        <f t="shared" ca="1" si="463"/>
        <v>0</v>
      </c>
    </row>
    <row r="2310" spans="1:16" x14ac:dyDescent="0.25">
      <c r="A2310" s="3">
        <f t="shared" si="464"/>
        <v>49346</v>
      </c>
      <c r="B2310" s="21">
        <f t="shared" si="455"/>
        <v>36562</v>
      </c>
      <c r="C2310" s="21">
        <f t="shared" si="456"/>
        <v>36605</v>
      </c>
      <c r="D2310" s="1">
        <f t="shared" si="465"/>
        <v>0</v>
      </c>
      <c r="E2310" s="3">
        <f t="array" ref="E2310">INDEX($A$9:A2309, MAX(IF($D$9:D2309=1, ROW(D$9:$D2309)-ROW($D$9)+1, 0)))</f>
        <v>49298</v>
      </c>
      <c r="F2310" s="23">
        <f t="shared" si="457"/>
        <v>8.8186173853524981</v>
      </c>
      <c r="G2310" s="5">
        <f>INDEX('Default Prob'!$P$5:$P$14,MIN(1+_xlfn.IFNA(MATCH(F2310,'Default Prob'!$F$5:$F$14,1),0),COUNT('Default Prob'!$P$5:$P$14)))</f>
        <v>5.8652391073922311E-2</v>
      </c>
      <c r="H2310" s="5">
        <f t="shared" si="466"/>
        <v>0.76890211439674072</v>
      </c>
      <c r="I2310" s="24">
        <f t="shared" si="467"/>
        <v>1.2348136523721021E-4</v>
      </c>
      <c r="J2310" s="25">
        <f>INDEX('Default Prob'!$C$3:$C$13, _xlfn.IFNA(MATCH(F2310, 'Default Prob'!$B$3:$B$13, 1), 1))</f>
        <v>2.4E-2</v>
      </c>
      <c r="K2310" s="26">
        <f t="shared" si="458"/>
        <v>0.81127599044571708</v>
      </c>
      <c r="L2310" s="27">
        <f t="shared" ca="1" si="459"/>
        <v>0</v>
      </c>
      <c r="M2310" s="27">
        <f t="shared" ca="1" si="460"/>
        <v>0</v>
      </c>
      <c r="N2310" s="28">
        <f t="shared" ca="1" si="461"/>
        <v>0</v>
      </c>
      <c r="O2310" s="29">
        <f t="shared" ca="1" si="462"/>
        <v>0</v>
      </c>
      <c r="P2310" s="30">
        <f t="shared" ca="1" si="463"/>
        <v>0</v>
      </c>
    </row>
    <row r="2311" spans="1:16" x14ac:dyDescent="0.25">
      <c r="A2311" s="3">
        <f t="shared" si="464"/>
        <v>49347</v>
      </c>
      <c r="B2311" s="21">
        <f t="shared" si="455"/>
        <v>36563</v>
      </c>
      <c r="C2311" s="21">
        <f t="shared" si="456"/>
        <v>36605</v>
      </c>
      <c r="D2311" s="1">
        <f t="shared" si="465"/>
        <v>0</v>
      </c>
      <c r="E2311" s="3">
        <f t="array" ref="E2311">INDEX($A$9:A2310, MAX(IF($D$9:D2310=1, ROW(D$9:$D2310)-ROW($D$9)+1, 0)))</f>
        <v>49298</v>
      </c>
      <c r="F2311" s="23">
        <f t="shared" si="457"/>
        <v>8.821355236139631</v>
      </c>
      <c r="G2311" s="5">
        <f>INDEX('Default Prob'!$P$5:$P$14,MIN(1+_xlfn.IFNA(MATCH(F2311,'Default Prob'!$F$5:$F$14,1),0),COUNT('Default Prob'!$P$5:$P$14)))</f>
        <v>5.8652391073922311E-2</v>
      </c>
      <c r="H2311" s="5">
        <f t="shared" si="466"/>
        <v>0.7687786528587337</v>
      </c>
      <c r="I2311" s="24">
        <f t="shared" si="467"/>
        <v>1.234615380070192E-4</v>
      </c>
      <c r="J2311" s="25">
        <f>INDEX('Default Prob'!$C$3:$C$13, _xlfn.IFNA(MATCH(F2311, 'Default Prob'!$B$3:$B$13, 1), 1))</f>
        <v>2.4E-2</v>
      </c>
      <c r="K2311" s="26">
        <f t="shared" si="458"/>
        <v>0.81122331413096005</v>
      </c>
      <c r="L2311" s="27">
        <f t="shared" ca="1" si="459"/>
        <v>0</v>
      </c>
      <c r="M2311" s="27">
        <f t="shared" ca="1" si="460"/>
        <v>0</v>
      </c>
      <c r="N2311" s="28">
        <f t="shared" ca="1" si="461"/>
        <v>0</v>
      </c>
      <c r="O2311" s="29">
        <f t="shared" ca="1" si="462"/>
        <v>0</v>
      </c>
      <c r="P2311" s="30">
        <f t="shared" ca="1" si="463"/>
        <v>0</v>
      </c>
    </row>
    <row r="2312" spans="1:16" x14ac:dyDescent="0.25">
      <c r="A2312" s="3">
        <f t="shared" si="464"/>
        <v>49348</v>
      </c>
      <c r="B2312" s="21">
        <f t="shared" si="455"/>
        <v>36564</v>
      </c>
      <c r="C2312" s="21">
        <f t="shared" si="456"/>
        <v>36605</v>
      </c>
      <c r="D2312" s="1">
        <f t="shared" si="465"/>
        <v>0</v>
      </c>
      <c r="E2312" s="3">
        <f t="array" ref="E2312">INDEX($A$9:A2311, MAX(IF($D$9:D2311=1, ROW(D$9:$D2311)-ROW($D$9)+1, 0)))</f>
        <v>49298</v>
      </c>
      <c r="F2312" s="23">
        <f t="shared" si="457"/>
        <v>8.8240930869267622</v>
      </c>
      <c r="G2312" s="5">
        <f>INDEX('Default Prob'!$P$5:$P$14,MIN(1+_xlfn.IFNA(MATCH(F2312,'Default Prob'!$F$5:$F$14,1),0),COUNT('Default Prob'!$P$5:$P$14)))</f>
        <v>5.8652391073922311E-2</v>
      </c>
      <c r="H2312" s="5">
        <f t="shared" si="466"/>
        <v>0.76865521114477342</v>
      </c>
      <c r="I2312" s="24">
        <f t="shared" si="467"/>
        <v>1.234417139602817E-4</v>
      </c>
      <c r="J2312" s="25">
        <f>INDEX('Default Prob'!$C$3:$C$13, _xlfn.IFNA(MATCH(F2312, 'Default Prob'!$B$3:$B$13, 1), 1))</f>
        <v>2.4E-2</v>
      </c>
      <c r="K2312" s="26">
        <f t="shared" si="458"/>
        <v>0.81117064123648663</v>
      </c>
      <c r="L2312" s="27">
        <f t="shared" ca="1" si="459"/>
        <v>0</v>
      </c>
      <c r="M2312" s="27">
        <f t="shared" ca="1" si="460"/>
        <v>0</v>
      </c>
      <c r="N2312" s="28">
        <f t="shared" ca="1" si="461"/>
        <v>0</v>
      </c>
      <c r="O2312" s="29">
        <f t="shared" ca="1" si="462"/>
        <v>0</v>
      </c>
      <c r="P2312" s="30">
        <f t="shared" ca="1" si="463"/>
        <v>0</v>
      </c>
    </row>
    <row r="2313" spans="1:16" x14ac:dyDescent="0.25">
      <c r="A2313" s="3">
        <f t="shared" si="464"/>
        <v>49349</v>
      </c>
      <c r="B2313" s="21">
        <f t="shared" ref="B2313:B2376" si="468">DATE(2000, MONTH(A2313), DAY(A2313))</f>
        <v>36565</v>
      </c>
      <c r="C2313" s="21">
        <f t="shared" ref="C2313:C2376" si="469">VLOOKUP(B2313, $R$9:$S$13, 2)</f>
        <v>36605</v>
      </c>
      <c r="D2313" s="1">
        <f t="shared" si="465"/>
        <v>0</v>
      </c>
      <c r="E2313" s="3">
        <f t="array" ref="E2313">INDEX($A$9:A2312, MAX(IF($D$9:D2312=1, ROW(D$9:$D2312)-ROW($D$9)+1, 0)))</f>
        <v>49298</v>
      </c>
      <c r="F2313" s="23">
        <f t="shared" ref="F2313:F2376" si="470">(A2313-$A$2)/365.25</f>
        <v>8.8268309377138952</v>
      </c>
      <c r="G2313" s="5">
        <f>INDEX('Default Prob'!$P$5:$P$14,MIN(1+_xlfn.IFNA(MATCH(F2313,'Default Prob'!$F$5:$F$14,1),0),COUNT('Default Prob'!$P$5:$P$14)))</f>
        <v>5.8652391073922311E-2</v>
      </c>
      <c r="H2313" s="5">
        <f t="shared" si="466"/>
        <v>0.76853178925167653</v>
      </c>
      <c r="I2313" s="24">
        <f t="shared" si="467"/>
        <v>1.2342189309688667E-4</v>
      </c>
      <c r="J2313" s="25">
        <f>INDEX('Default Prob'!$C$3:$C$13, _xlfn.IFNA(MATCH(F2313, 'Default Prob'!$B$3:$B$13, 1), 1))</f>
        <v>2.4E-2</v>
      </c>
      <c r="K2313" s="26">
        <f t="shared" ref="K2313:K2376" si="471">1/((1+J2313)^F2313)</f>
        <v>0.81111797176207512</v>
      </c>
      <c r="L2313" s="27">
        <f t="shared" ref="L2313:L2376" ca="1" si="472">IF(AND(D2313, A2313 &lt;= $G$2), $D$5*$D$2*(A2313-E2313)/365.25, 0)</f>
        <v>0</v>
      </c>
      <c r="M2313" s="27">
        <f t="shared" ref="M2313:M2376" ca="1" si="473">IF(A2313&lt;=$G$2, $D$5*$D$2*(A2313-E2313)/365.25, 0)</f>
        <v>0</v>
      </c>
      <c r="N2313" s="28">
        <f t="shared" ref="N2313:N2376" ca="1" si="474">(L2313*H2313 + M2313*I2313) * K2313</f>
        <v>0</v>
      </c>
      <c r="O2313" s="29">
        <f t="shared" ref="O2313:O2376" ca="1" si="475">IF(A2313&lt;=$G$2, $D$2*(1-$D$3), 0)</f>
        <v>0</v>
      </c>
      <c r="P2313" s="30">
        <f t="shared" ref="P2313:P2376" ca="1" si="476">O2313*I2313*K2313</f>
        <v>0</v>
      </c>
    </row>
    <row r="2314" spans="1:16" x14ac:dyDescent="0.25">
      <c r="A2314" s="3">
        <f t="shared" ref="A2314:A2377" si="477">WORKDAY(A2313, 1)</f>
        <v>49352</v>
      </c>
      <c r="B2314" s="21">
        <f t="shared" si="468"/>
        <v>36568</v>
      </c>
      <c r="C2314" s="21">
        <f t="shared" si="469"/>
        <v>36605</v>
      </c>
      <c r="D2314" s="1">
        <f t="shared" ref="D2314:D2377" si="478">IF(OR(C2314=B2314, AND(C2314&lt;&gt;C2313, C2313&gt;B2313)), 1, 0)</f>
        <v>0</v>
      </c>
      <c r="E2314" s="3">
        <f t="array" ref="E2314">INDEX($A$9:A2313, MAX(IF($D$9:D2313=1, ROW(D$9:$D2313)-ROW($D$9)+1, 0)))</f>
        <v>49298</v>
      </c>
      <c r="F2314" s="23">
        <f t="shared" si="470"/>
        <v>8.8350444900752905</v>
      </c>
      <c r="G2314" s="5">
        <f>INDEX('Default Prob'!$P$5:$P$14,MIN(1+_xlfn.IFNA(MATCH(F2314,'Default Prob'!$F$5:$F$14,1),0),COUNT('Default Prob'!$P$5:$P$14)))</f>
        <v>5.8652391073922311E-2</v>
      </c>
      <c r="H2314" s="5">
        <f t="shared" ref="H2314:H2377" si="479">H2313*EXP(-G2313*(F2314-F2313))</f>
        <v>0.76816164246574359</v>
      </c>
      <c r="I2314" s="24">
        <f t="shared" ref="I2314:I2377" si="480">H2313-H2314</f>
        <v>3.7014678593294548E-4</v>
      </c>
      <c r="J2314" s="25">
        <f>INDEX('Default Prob'!$C$3:$C$13, _xlfn.IFNA(MATCH(F2314, 'Default Prob'!$B$3:$B$13, 1), 1))</f>
        <v>2.4E-2</v>
      </c>
      <c r="K2314" s="26">
        <f t="shared" si="471"/>
        <v>0.81095998385699042</v>
      </c>
      <c r="L2314" s="27">
        <f t="shared" ca="1" si="472"/>
        <v>0</v>
      </c>
      <c r="M2314" s="27">
        <f t="shared" ca="1" si="473"/>
        <v>0</v>
      </c>
      <c r="N2314" s="28">
        <f t="shared" ca="1" si="474"/>
        <v>0</v>
      </c>
      <c r="O2314" s="29">
        <f t="shared" ca="1" si="475"/>
        <v>0</v>
      </c>
      <c r="P2314" s="30">
        <f t="shared" ca="1" si="476"/>
        <v>0</v>
      </c>
    </row>
    <row r="2315" spans="1:16" x14ac:dyDescent="0.25">
      <c r="A2315" s="3">
        <f t="shared" si="477"/>
        <v>49353</v>
      </c>
      <c r="B2315" s="21">
        <f t="shared" si="468"/>
        <v>36569</v>
      </c>
      <c r="C2315" s="21">
        <f t="shared" si="469"/>
        <v>36605</v>
      </c>
      <c r="D2315" s="1">
        <f t="shared" si="478"/>
        <v>0</v>
      </c>
      <c r="E2315" s="3">
        <f t="array" ref="E2315">INDEX($A$9:A2314, MAX(IF($D$9:D2314=1, ROW(D$9:$D2314)-ROW($D$9)+1, 0)))</f>
        <v>49298</v>
      </c>
      <c r="F2315" s="23">
        <f t="shared" si="470"/>
        <v>8.8377823408624234</v>
      </c>
      <c r="G2315" s="5">
        <f>INDEX('Default Prob'!$P$5:$P$14,MIN(1+_xlfn.IFNA(MATCH(F2315,'Default Prob'!$F$5:$F$14,1),0),COUNT('Default Prob'!$P$5:$P$14)))</f>
        <v>5.8652391073922311E-2</v>
      </c>
      <c r="H2315" s="5">
        <f t="shared" si="479"/>
        <v>0.76803829982427974</v>
      </c>
      <c r="I2315" s="24">
        <f t="shared" si="480"/>
        <v>1.2334264146385276E-4</v>
      </c>
      <c r="J2315" s="25">
        <f>INDEX('Default Prob'!$C$3:$C$13, _xlfn.IFNA(MATCH(F2315, 'Default Prob'!$B$3:$B$13, 1), 1))</f>
        <v>2.4E-2</v>
      </c>
      <c r="K2315" s="26">
        <f t="shared" si="471"/>
        <v>0.81090732806060517</v>
      </c>
      <c r="L2315" s="27">
        <f t="shared" ca="1" si="472"/>
        <v>0</v>
      </c>
      <c r="M2315" s="27">
        <f t="shared" ca="1" si="473"/>
        <v>0</v>
      </c>
      <c r="N2315" s="28">
        <f t="shared" ca="1" si="474"/>
        <v>0</v>
      </c>
      <c r="O2315" s="29">
        <f t="shared" ca="1" si="475"/>
        <v>0</v>
      </c>
      <c r="P2315" s="30">
        <f t="shared" ca="1" si="476"/>
        <v>0</v>
      </c>
    </row>
    <row r="2316" spans="1:16" x14ac:dyDescent="0.25">
      <c r="A2316" s="3">
        <f t="shared" si="477"/>
        <v>49354</v>
      </c>
      <c r="B2316" s="21">
        <f t="shared" si="468"/>
        <v>36570</v>
      </c>
      <c r="C2316" s="21">
        <f t="shared" si="469"/>
        <v>36605</v>
      </c>
      <c r="D2316" s="1">
        <f t="shared" si="478"/>
        <v>0</v>
      </c>
      <c r="E2316" s="3">
        <f t="array" ref="E2316">INDEX($A$9:A2315, MAX(IF($D$9:D2315=1, ROW(D$9:$D2315)-ROW($D$9)+1, 0)))</f>
        <v>49298</v>
      </c>
      <c r="F2316" s="23">
        <f t="shared" si="470"/>
        <v>8.8405201916495546</v>
      </c>
      <c r="G2316" s="5">
        <f>INDEX('Default Prob'!$P$5:$P$14,MIN(1+_xlfn.IFNA(MATCH(F2316,'Default Prob'!$F$5:$F$14,1),0),COUNT('Default Prob'!$P$5:$P$14)))</f>
        <v>5.8652391073922311E-2</v>
      </c>
      <c r="H2316" s="5">
        <f t="shared" si="479"/>
        <v>0.76791497698777156</v>
      </c>
      <c r="I2316" s="24">
        <f t="shared" si="480"/>
        <v>1.2332283650817732E-4</v>
      </c>
      <c r="J2316" s="25">
        <f>INDEX('Default Prob'!$C$3:$C$13, _xlfn.IFNA(MATCH(F2316, 'Default Prob'!$B$3:$B$13, 1), 1))</f>
        <v>2.4E-2</v>
      </c>
      <c r="K2316" s="26">
        <f t="shared" si="471"/>
        <v>0.81085467568317171</v>
      </c>
      <c r="L2316" s="27">
        <f t="shared" ca="1" si="472"/>
        <v>0</v>
      </c>
      <c r="M2316" s="27">
        <f t="shared" ca="1" si="473"/>
        <v>0</v>
      </c>
      <c r="N2316" s="28">
        <f t="shared" ca="1" si="474"/>
        <v>0</v>
      </c>
      <c r="O2316" s="29">
        <f t="shared" ca="1" si="475"/>
        <v>0</v>
      </c>
      <c r="P2316" s="30">
        <f t="shared" ca="1" si="476"/>
        <v>0</v>
      </c>
    </row>
    <row r="2317" spans="1:16" x14ac:dyDescent="0.25">
      <c r="A2317" s="3">
        <f t="shared" si="477"/>
        <v>49355</v>
      </c>
      <c r="B2317" s="21">
        <f t="shared" si="468"/>
        <v>36571</v>
      </c>
      <c r="C2317" s="21">
        <f t="shared" si="469"/>
        <v>36605</v>
      </c>
      <c r="D2317" s="1">
        <f t="shared" si="478"/>
        <v>0</v>
      </c>
      <c r="E2317" s="3">
        <f t="array" ref="E2317">INDEX($A$9:A2316, MAX(IF($D$9:D2316=1, ROW(D$9:$D2316)-ROW($D$9)+1, 0)))</f>
        <v>49298</v>
      </c>
      <c r="F2317" s="23">
        <f t="shared" si="470"/>
        <v>8.8432580424366876</v>
      </c>
      <c r="G2317" s="5">
        <f>INDEX('Default Prob'!$P$5:$P$14,MIN(1+_xlfn.IFNA(MATCH(F2317,'Default Prob'!$F$5:$F$14,1),0),COUNT('Default Prob'!$P$5:$P$14)))</f>
        <v>5.8652391073922311E-2</v>
      </c>
      <c r="H2317" s="5">
        <f t="shared" si="479"/>
        <v>0.76779167395303882</v>
      </c>
      <c r="I2317" s="24">
        <f t="shared" si="480"/>
        <v>1.2330303473273574E-4</v>
      </c>
      <c r="J2317" s="25">
        <f>INDEX('Default Prob'!$C$3:$C$13, _xlfn.IFNA(MATCH(F2317, 'Default Prob'!$B$3:$B$13, 1), 1))</f>
        <v>2.4E-2</v>
      </c>
      <c r="K2317" s="26">
        <f t="shared" si="471"/>
        <v>0.81080202672446766</v>
      </c>
      <c r="L2317" s="27">
        <f t="shared" ca="1" si="472"/>
        <v>0</v>
      </c>
      <c r="M2317" s="27">
        <f t="shared" ca="1" si="473"/>
        <v>0</v>
      </c>
      <c r="N2317" s="28">
        <f t="shared" ca="1" si="474"/>
        <v>0</v>
      </c>
      <c r="O2317" s="29">
        <f t="shared" ca="1" si="475"/>
        <v>0</v>
      </c>
      <c r="P2317" s="30">
        <f t="shared" ca="1" si="476"/>
        <v>0</v>
      </c>
    </row>
    <row r="2318" spans="1:16" x14ac:dyDescent="0.25">
      <c r="A2318" s="3">
        <f t="shared" si="477"/>
        <v>49356</v>
      </c>
      <c r="B2318" s="21">
        <f t="shared" si="468"/>
        <v>36572</v>
      </c>
      <c r="C2318" s="21">
        <f t="shared" si="469"/>
        <v>36605</v>
      </c>
      <c r="D2318" s="1">
        <f t="shared" si="478"/>
        <v>0</v>
      </c>
      <c r="E2318" s="3">
        <f t="array" ref="E2318">INDEX($A$9:A2317, MAX(IF($D$9:D2317=1, ROW(D$9:$D2317)-ROW($D$9)+1, 0)))</f>
        <v>49298</v>
      </c>
      <c r="F2318" s="23">
        <f t="shared" si="470"/>
        <v>8.8459958932238187</v>
      </c>
      <c r="G2318" s="5">
        <f>INDEX('Default Prob'!$P$5:$P$14,MIN(1+_xlfn.IFNA(MATCH(F2318,'Default Prob'!$F$5:$F$14,1),0),COUNT('Default Prob'!$P$5:$P$14)))</f>
        <v>5.8652391073922311E-2</v>
      </c>
      <c r="H2318" s="5">
        <f t="shared" si="479"/>
        <v>0.76766839071690218</v>
      </c>
      <c r="I2318" s="24">
        <f t="shared" si="480"/>
        <v>1.2328323613663983E-4</v>
      </c>
      <c r="J2318" s="25">
        <f>INDEX('Default Prob'!$C$3:$C$13, _xlfn.IFNA(MATCH(F2318, 'Default Prob'!$B$3:$B$13, 1), 1))</f>
        <v>2.4E-2</v>
      </c>
      <c r="K2318" s="26">
        <f t="shared" si="471"/>
        <v>0.8107493811842712</v>
      </c>
      <c r="L2318" s="27">
        <f t="shared" ca="1" si="472"/>
        <v>0</v>
      </c>
      <c r="M2318" s="27">
        <f t="shared" ca="1" si="473"/>
        <v>0</v>
      </c>
      <c r="N2318" s="28">
        <f t="shared" ca="1" si="474"/>
        <v>0</v>
      </c>
      <c r="O2318" s="29">
        <f t="shared" ca="1" si="475"/>
        <v>0</v>
      </c>
      <c r="P2318" s="30">
        <f t="shared" ca="1" si="476"/>
        <v>0</v>
      </c>
    </row>
    <row r="2319" spans="1:16" x14ac:dyDescent="0.25">
      <c r="A2319" s="3">
        <f t="shared" si="477"/>
        <v>49359</v>
      </c>
      <c r="B2319" s="21">
        <f t="shared" si="468"/>
        <v>36575</v>
      </c>
      <c r="C2319" s="21">
        <f t="shared" si="469"/>
        <v>36605</v>
      </c>
      <c r="D2319" s="1">
        <f t="shared" si="478"/>
        <v>0</v>
      </c>
      <c r="E2319" s="3">
        <f t="array" ref="E2319">INDEX($A$9:A2318, MAX(IF($D$9:D2318=1, ROW(D$9:$D2318)-ROW($D$9)+1, 0)))</f>
        <v>49298</v>
      </c>
      <c r="F2319" s="23">
        <f t="shared" si="470"/>
        <v>8.8542094455852158</v>
      </c>
      <c r="G2319" s="5">
        <f>INDEX('Default Prob'!$P$5:$P$14,MIN(1+_xlfn.IFNA(MATCH(F2319,'Default Prob'!$F$5:$F$14,1),0),COUNT('Default Prob'!$P$5:$P$14)))</f>
        <v>5.8652391073922311E-2</v>
      </c>
      <c r="H2319" s="5">
        <f t="shared" si="479"/>
        <v>0.76729865976828004</v>
      </c>
      <c r="I2319" s="24">
        <f t="shared" si="480"/>
        <v>3.6973094862213784E-4</v>
      </c>
      <c r="J2319" s="25">
        <f>INDEX('Default Prob'!$C$3:$C$13, _xlfn.IFNA(MATCH(F2319, 'Default Prob'!$B$3:$B$13, 1), 1))</f>
        <v>2.4E-2</v>
      </c>
      <c r="K2319" s="26">
        <f t="shared" si="471"/>
        <v>0.81059146507250779</v>
      </c>
      <c r="L2319" s="27">
        <f t="shared" ca="1" si="472"/>
        <v>0</v>
      </c>
      <c r="M2319" s="27">
        <f t="shared" ca="1" si="473"/>
        <v>0</v>
      </c>
      <c r="N2319" s="28">
        <f t="shared" ca="1" si="474"/>
        <v>0</v>
      </c>
      <c r="O2319" s="29">
        <f t="shared" ca="1" si="475"/>
        <v>0</v>
      </c>
      <c r="P2319" s="30">
        <f t="shared" ca="1" si="476"/>
        <v>0</v>
      </c>
    </row>
    <row r="2320" spans="1:16" x14ac:dyDescent="0.25">
      <c r="A2320" s="3">
        <f t="shared" si="477"/>
        <v>49360</v>
      </c>
      <c r="B2320" s="21">
        <f t="shared" si="468"/>
        <v>36576</v>
      </c>
      <c r="C2320" s="21">
        <f t="shared" si="469"/>
        <v>36605</v>
      </c>
      <c r="D2320" s="1">
        <f t="shared" si="478"/>
        <v>0</v>
      </c>
      <c r="E2320" s="3">
        <f t="array" ref="E2320">INDEX($A$9:A2319, MAX(IF($D$9:D2319=1, ROW(D$9:$D2319)-ROW($D$9)+1, 0)))</f>
        <v>49298</v>
      </c>
      <c r="F2320" s="23">
        <f t="shared" si="470"/>
        <v>8.856947296372347</v>
      </c>
      <c r="G2320" s="5">
        <f>INDEX('Default Prob'!$P$5:$P$14,MIN(1+_xlfn.IFNA(MATCH(F2320,'Default Prob'!$F$5:$F$14,1),0),COUNT('Default Prob'!$P$5:$P$14)))</f>
        <v>5.8652391073922311E-2</v>
      </c>
      <c r="H2320" s="5">
        <f t="shared" si="479"/>
        <v>0.7671754556947421</v>
      </c>
      <c r="I2320" s="24">
        <f t="shared" si="480"/>
        <v>1.2320407353794138E-4</v>
      </c>
      <c r="J2320" s="25">
        <f>INDEX('Default Prob'!$C$3:$C$13, _xlfn.IFNA(MATCH(F2320, 'Default Prob'!$B$3:$B$13, 1), 1))</f>
        <v>2.4E-2</v>
      </c>
      <c r="K2320" s="26">
        <f t="shared" si="471"/>
        <v>0.81053883320412212</v>
      </c>
      <c r="L2320" s="27">
        <f t="shared" ca="1" si="472"/>
        <v>0</v>
      </c>
      <c r="M2320" s="27">
        <f t="shared" ca="1" si="473"/>
        <v>0</v>
      </c>
      <c r="N2320" s="28">
        <f t="shared" ca="1" si="474"/>
        <v>0</v>
      </c>
      <c r="O2320" s="29">
        <f t="shared" ca="1" si="475"/>
        <v>0</v>
      </c>
      <c r="P2320" s="30">
        <f t="shared" ca="1" si="476"/>
        <v>0</v>
      </c>
    </row>
    <row r="2321" spans="1:16" x14ac:dyDescent="0.25">
      <c r="A2321" s="3">
        <f t="shared" si="477"/>
        <v>49361</v>
      </c>
      <c r="B2321" s="21">
        <f t="shared" si="468"/>
        <v>36577</v>
      </c>
      <c r="C2321" s="21">
        <f t="shared" si="469"/>
        <v>36605</v>
      </c>
      <c r="D2321" s="1">
        <f t="shared" si="478"/>
        <v>0</v>
      </c>
      <c r="E2321" s="3">
        <f t="array" ref="E2321">INDEX($A$9:A2320, MAX(IF($D$9:D2320=1, ROW(D$9:$D2320)-ROW($D$9)+1, 0)))</f>
        <v>49298</v>
      </c>
      <c r="F2321" s="23">
        <f t="shared" si="470"/>
        <v>8.85968514715948</v>
      </c>
      <c r="G2321" s="5">
        <f>INDEX('Default Prob'!$P$5:$P$14,MIN(1+_xlfn.IFNA(MATCH(F2321,'Default Prob'!$F$5:$F$14,1),0),COUNT('Default Prob'!$P$5:$P$14)))</f>
        <v>5.8652391073922311E-2</v>
      </c>
      <c r="H2321" s="5">
        <f t="shared" si="479"/>
        <v>0.76705227140390997</v>
      </c>
      <c r="I2321" s="24">
        <f t="shared" si="480"/>
        <v>1.2318429083213456E-4</v>
      </c>
      <c r="J2321" s="25">
        <f>INDEX('Default Prob'!$C$3:$C$13, _xlfn.IFNA(MATCH(F2321, 'Default Prob'!$B$3:$B$13, 1), 1))</f>
        <v>2.4E-2</v>
      </c>
      <c r="K2321" s="26">
        <f t="shared" si="471"/>
        <v>0.81048620475313438</v>
      </c>
      <c r="L2321" s="27">
        <f t="shared" ca="1" si="472"/>
        <v>0</v>
      </c>
      <c r="M2321" s="27">
        <f t="shared" ca="1" si="473"/>
        <v>0</v>
      </c>
      <c r="N2321" s="28">
        <f t="shared" ca="1" si="474"/>
        <v>0</v>
      </c>
      <c r="O2321" s="29">
        <f t="shared" ca="1" si="475"/>
        <v>0</v>
      </c>
      <c r="P2321" s="30">
        <f t="shared" ca="1" si="476"/>
        <v>0</v>
      </c>
    </row>
    <row r="2322" spans="1:16" x14ac:dyDescent="0.25">
      <c r="A2322" s="3">
        <f t="shared" si="477"/>
        <v>49362</v>
      </c>
      <c r="B2322" s="21">
        <f t="shared" si="468"/>
        <v>36578</v>
      </c>
      <c r="C2322" s="21">
        <f t="shared" si="469"/>
        <v>36605</v>
      </c>
      <c r="D2322" s="1">
        <f t="shared" si="478"/>
        <v>0</v>
      </c>
      <c r="E2322" s="3">
        <f t="array" ref="E2322">INDEX($A$9:A2321, MAX(IF($D$9:D2321=1, ROW(D$9:$D2321)-ROW($D$9)+1, 0)))</f>
        <v>49298</v>
      </c>
      <c r="F2322" s="23">
        <f t="shared" si="470"/>
        <v>8.8624229979466111</v>
      </c>
      <c r="G2322" s="5">
        <f>INDEX('Default Prob'!$P$5:$P$14,MIN(1+_xlfn.IFNA(MATCH(F2322,'Default Prob'!$F$5:$F$14,1),0),COUNT('Default Prob'!$P$5:$P$14)))</f>
        <v>5.8652391073922311E-2</v>
      </c>
      <c r="H2322" s="5">
        <f t="shared" si="479"/>
        <v>0.76692910689260729</v>
      </c>
      <c r="I2322" s="24">
        <f t="shared" si="480"/>
        <v>1.2316451130267581E-4</v>
      </c>
      <c r="J2322" s="25">
        <f>INDEX('Default Prob'!$C$3:$C$13, _xlfn.IFNA(MATCH(F2322, 'Default Prob'!$B$3:$B$13, 1), 1))</f>
        <v>2.4E-2</v>
      </c>
      <c r="K2322" s="26">
        <f t="shared" si="471"/>
        <v>0.81043357971932262</v>
      </c>
      <c r="L2322" s="27">
        <f t="shared" ca="1" si="472"/>
        <v>0</v>
      </c>
      <c r="M2322" s="27">
        <f t="shared" ca="1" si="473"/>
        <v>0</v>
      </c>
      <c r="N2322" s="28">
        <f t="shared" ca="1" si="474"/>
        <v>0</v>
      </c>
      <c r="O2322" s="29">
        <f t="shared" ca="1" si="475"/>
        <v>0</v>
      </c>
      <c r="P2322" s="30">
        <f t="shared" ca="1" si="476"/>
        <v>0</v>
      </c>
    </row>
    <row r="2323" spans="1:16" x14ac:dyDescent="0.25">
      <c r="A2323" s="3">
        <f t="shared" si="477"/>
        <v>49363</v>
      </c>
      <c r="B2323" s="21">
        <f t="shared" si="468"/>
        <v>36579</v>
      </c>
      <c r="C2323" s="21">
        <f t="shared" si="469"/>
        <v>36605</v>
      </c>
      <c r="D2323" s="1">
        <f t="shared" si="478"/>
        <v>0</v>
      </c>
      <c r="E2323" s="3">
        <f t="array" ref="E2323">INDEX($A$9:A2322, MAX(IF($D$9:D2322=1, ROW(D$9:$D2322)-ROW($D$9)+1, 0)))</f>
        <v>49298</v>
      </c>
      <c r="F2323" s="23">
        <f t="shared" si="470"/>
        <v>8.8651608487337441</v>
      </c>
      <c r="G2323" s="5">
        <f>INDEX('Default Prob'!$P$5:$P$14,MIN(1+_xlfn.IFNA(MATCH(F2323,'Default Prob'!$F$5:$F$14,1),0),COUNT('Default Prob'!$P$5:$P$14)))</f>
        <v>5.8652391073922311E-2</v>
      </c>
      <c r="H2323" s="5">
        <f t="shared" si="479"/>
        <v>0.76680596215765806</v>
      </c>
      <c r="I2323" s="24">
        <f t="shared" si="480"/>
        <v>1.2314473494923206E-4</v>
      </c>
      <c r="J2323" s="25">
        <f>INDEX('Default Prob'!$C$3:$C$13, _xlfn.IFNA(MATCH(F2323, 'Default Prob'!$B$3:$B$13, 1), 1))</f>
        <v>2.4E-2</v>
      </c>
      <c r="K2323" s="26">
        <f t="shared" si="471"/>
        <v>0.81038095810246502</v>
      </c>
      <c r="L2323" s="27">
        <f t="shared" ca="1" si="472"/>
        <v>0</v>
      </c>
      <c r="M2323" s="27">
        <f t="shared" ca="1" si="473"/>
        <v>0</v>
      </c>
      <c r="N2323" s="28">
        <f t="shared" ca="1" si="474"/>
        <v>0</v>
      </c>
      <c r="O2323" s="29">
        <f t="shared" ca="1" si="475"/>
        <v>0</v>
      </c>
      <c r="P2323" s="30">
        <f t="shared" ca="1" si="476"/>
        <v>0</v>
      </c>
    </row>
    <row r="2324" spans="1:16" x14ac:dyDescent="0.25">
      <c r="A2324" s="3">
        <f t="shared" si="477"/>
        <v>49366</v>
      </c>
      <c r="B2324" s="21">
        <f t="shared" si="468"/>
        <v>36582</v>
      </c>
      <c r="C2324" s="21">
        <f t="shared" si="469"/>
        <v>36605</v>
      </c>
      <c r="D2324" s="1">
        <f t="shared" si="478"/>
        <v>0</v>
      </c>
      <c r="E2324" s="3">
        <f t="array" ref="E2324">INDEX($A$9:A2323, MAX(IF($D$9:D2323=1, ROW(D$9:$D2323)-ROW($D$9)+1, 0)))</f>
        <v>49298</v>
      </c>
      <c r="F2324" s="23">
        <f t="shared" si="470"/>
        <v>8.8733744010951412</v>
      </c>
      <c r="G2324" s="5">
        <f>INDEX('Default Prob'!$P$5:$P$14,MIN(1+_xlfn.IFNA(MATCH(F2324,'Default Prob'!$F$5:$F$14,1),0),COUNT('Default Prob'!$P$5:$P$14)))</f>
        <v>5.8652391073922311E-2</v>
      </c>
      <c r="H2324" s="5">
        <f t="shared" si="479"/>
        <v>0.76643664657917909</v>
      </c>
      <c r="I2324" s="24">
        <f t="shared" si="480"/>
        <v>3.6931557847896812E-4</v>
      </c>
      <c r="J2324" s="25">
        <f>INDEX('Default Prob'!$C$3:$C$13, _xlfn.IFNA(MATCH(F2324, 'Default Prob'!$B$3:$B$13, 1), 1))</f>
        <v>2.4E-2</v>
      </c>
      <c r="K2324" s="26">
        <f t="shared" si="471"/>
        <v>0.81022311375139844</v>
      </c>
      <c r="L2324" s="27">
        <f t="shared" ca="1" si="472"/>
        <v>0</v>
      </c>
      <c r="M2324" s="27">
        <f t="shared" ca="1" si="473"/>
        <v>0</v>
      </c>
      <c r="N2324" s="28">
        <f t="shared" ca="1" si="474"/>
        <v>0</v>
      </c>
      <c r="O2324" s="29">
        <f t="shared" ca="1" si="475"/>
        <v>0</v>
      </c>
      <c r="P2324" s="30">
        <f t="shared" ca="1" si="476"/>
        <v>0</v>
      </c>
    </row>
    <row r="2325" spans="1:16" x14ac:dyDescent="0.25">
      <c r="A2325" s="3">
        <f t="shared" si="477"/>
        <v>49367</v>
      </c>
      <c r="B2325" s="21">
        <f t="shared" si="468"/>
        <v>36583</v>
      </c>
      <c r="C2325" s="21">
        <f t="shared" si="469"/>
        <v>36605</v>
      </c>
      <c r="D2325" s="1">
        <f t="shared" si="478"/>
        <v>0</v>
      </c>
      <c r="E2325" s="3">
        <f t="array" ref="E2325">INDEX($A$9:A2324, MAX(IF($D$9:D2324=1, ROW(D$9:$D2324)-ROW($D$9)+1, 0)))</f>
        <v>49298</v>
      </c>
      <c r="F2325" s="23">
        <f t="shared" si="470"/>
        <v>8.8761122518822724</v>
      </c>
      <c r="G2325" s="5">
        <f>INDEX('Default Prob'!$P$5:$P$14,MIN(1+_xlfn.IFNA(MATCH(F2325,'Default Prob'!$F$5:$F$14,1),0),COUNT('Default Prob'!$P$5:$P$14)))</f>
        <v>5.8652391073922311E-2</v>
      </c>
      <c r="H2325" s="5">
        <f t="shared" si="479"/>
        <v>0.76631358091789425</v>
      </c>
      <c r="I2325" s="24">
        <f t="shared" si="480"/>
        <v>1.2306566128483798E-4</v>
      </c>
      <c r="J2325" s="25">
        <f>INDEX('Default Prob'!$C$3:$C$13, _xlfn.IFNA(MATCH(F2325, 'Default Prob'!$B$3:$B$13, 1), 1))</f>
        <v>2.4E-2</v>
      </c>
      <c r="K2325" s="26">
        <f t="shared" si="471"/>
        <v>0.81017050580013883</v>
      </c>
      <c r="L2325" s="27">
        <f t="shared" ca="1" si="472"/>
        <v>0</v>
      </c>
      <c r="M2325" s="27">
        <f t="shared" ca="1" si="473"/>
        <v>0</v>
      </c>
      <c r="N2325" s="28">
        <f t="shared" ca="1" si="474"/>
        <v>0</v>
      </c>
      <c r="O2325" s="29">
        <f t="shared" ca="1" si="475"/>
        <v>0</v>
      </c>
      <c r="P2325" s="30">
        <f t="shared" ca="1" si="476"/>
        <v>0</v>
      </c>
    </row>
    <row r="2326" spans="1:16" x14ac:dyDescent="0.25">
      <c r="A2326" s="3">
        <f t="shared" si="477"/>
        <v>49368</v>
      </c>
      <c r="B2326" s="21">
        <f t="shared" si="468"/>
        <v>36584</v>
      </c>
      <c r="C2326" s="21">
        <f t="shared" si="469"/>
        <v>36605</v>
      </c>
      <c r="D2326" s="1">
        <f t="shared" si="478"/>
        <v>0</v>
      </c>
      <c r="E2326" s="3">
        <f t="array" ref="E2326">INDEX($A$9:A2325, MAX(IF($D$9:D2325=1, ROW(D$9:$D2325)-ROW($D$9)+1, 0)))</f>
        <v>49298</v>
      </c>
      <c r="F2326" s="23">
        <f t="shared" si="470"/>
        <v>8.8788501026694053</v>
      </c>
      <c r="G2326" s="5">
        <f>INDEX('Default Prob'!$P$5:$P$14,MIN(1+_xlfn.IFNA(MATCH(F2326,'Default Prob'!$F$5:$F$14,1),0),COUNT('Default Prob'!$P$5:$P$14)))</f>
        <v>5.8652391073922311E-2</v>
      </c>
      <c r="H2326" s="5">
        <f t="shared" si="479"/>
        <v>0.76619053501709056</v>
      </c>
      <c r="I2326" s="24">
        <f t="shared" si="480"/>
        <v>1.2304590080369771E-4</v>
      </c>
      <c r="J2326" s="25">
        <f>INDEX('Default Prob'!$C$3:$C$13, _xlfn.IFNA(MATCH(F2326, 'Default Prob'!$B$3:$B$13, 1), 1))</f>
        <v>2.4E-2</v>
      </c>
      <c r="K2326" s="26">
        <f t="shared" si="471"/>
        <v>0.81011790126472416</v>
      </c>
      <c r="L2326" s="27">
        <f t="shared" ca="1" si="472"/>
        <v>0</v>
      </c>
      <c r="M2326" s="27">
        <f t="shared" ca="1" si="473"/>
        <v>0</v>
      </c>
      <c r="N2326" s="28">
        <f t="shared" ca="1" si="474"/>
        <v>0</v>
      </c>
      <c r="O2326" s="29">
        <f t="shared" ca="1" si="475"/>
        <v>0</v>
      </c>
      <c r="P2326" s="30">
        <f t="shared" ca="1" si="476"/>
        <v>0</v>
      </c>
    </row>
    <row r="2327" spans="1:16" x14ac:dyDescent="0.25">
      <c r="A2327" s="3">
        <f t="shared" si="477"/>
        <v>49369</v>
      </c>
      <c r="B2327" s="21">
        <f t="shared" si="468"/>
        <v>36586</v>
      </c>
      <c r="C2327" s="21">
        <f t="shared" si="469"/>
        <v>36605</v>
      </c>
      <c r="D2327" s="1">
        <f t="shared" si="478"/>
        <v>0</v>
      </c>
      <c r="E2327" s="3">
        <f t="array" ref="E2327">INDEX($A$9:A2326, MAX(IF($D$9:D2326=1, ROW(D$9:$D2326)-ROW($D$9)+1, 0)))</f>
        <v>49298</v>
      </c>
      <c r="F2327" s="23">
        <f t="shared" si="470"/>
        <v>8.8815879534565365</v>
      </c>
      <c r="G2327" s="5">
        <f>INDEX('Default Prob'!$P$5:$P$14,MIN(1+_xlfn.IFNA(MATCH(F2327,'Default Prob'!$F$5:$F$14,1),0),COUNT('Default Prob'!$P$5:$P$14)))</f>
        <v>5.8652391073922311E-2</v>
      </c>
      <c r="H2327" s="5">
        <f t="shared" si="479"/>
        <v>0.76606750887359532</v>
      </c>
      <c r="I2327" s="24">
        <f t="shared" si="480"/>
        <v>1.2302614349524177E-4</v>
      </c>
      <c r="J2327" s="25">
        <f>INDEX('Default Prob'!$C$3:$C$13, _xlfn.IFNA(MATCH(F2327, 'Default Prob'!$B$3:$B$13, 1), 1))</f>
        <v>2.4E-2</v>
      </c>
      <c r="K2327" s="26">
        <f t="shared" si="471"/>
        <v>0.81006530014493272</v>
      </c>
      <c r="L2327" s="27">
        <f t="shared" ca="1" si="472"/>
        <v>0</v>
      </c>
      <c r="M2327" s="27">
        <f t="shared" ca="1" si="473"/>
        <v>0</v>
      </c>
      <c r="N2327" s="28">
        <f t="shared" ca="1" si="474"/>
        <v>0</v>
      </c>
      <c r="O2327" s="29">
        <f t="shared" ca="1" si="475"/>
        <v>0</v>
      </c>
      <c r="P2327" s="30">
        <f t="shared" ca="1" si="476"/>
        <v>0</v>
      </c>
    </row>
    <row r="2328" spans="1:16" x14ac:dyDescent="0.25">
      <c r="A2328" s="3">
        <f t="shared" si="477"/>
        <v>49370</v>
      </c>
      <c r="B2328" s="21">
        <f t="shared" si="468"/>
        <v>36587</v>
      </c>
      <c r="C2328" s="21">
        <f t="shared" si="469"/>
        <v>36605</v>
      </c>
      <c r="D2328" s="1">
        <f t="shared" si="478"/>
        <v>0</v>
      </c>
      <c r="E2328" s="3">
        <f t="array" ref="E2328">INDEX($A$9:A2327, MAX(IF($D$9:D2327=1, ROW(D$9:$D2327)-ROW($D$9)+1, 0)))</f>
        <v>49298</v>
      </c>
      <c r="F2328" s="23">
        <f t="shared" si="470"/>
        <v>8.8843258042436695</v>
      </c>
      <c r="G2328" s="5">
        <f>INDEX('Default Prob'!$P$5:$P$14,MIN(1+_xlfn.IFNA(MATCH(F2328,'Default Prob'!$F$5:$F$14,1),0),COUNT('Default Prob'!$P$5:$P$14)))</f>
        <v>5.8652391073922311E-2</v>
      </c>
      <c r="H2328" s="5">
        <f t="shared" si="479"/>
        <v>0.76594450248423596</v>
      </c>
      <c r="I2328" s="24">
        <f t="shared" si="480"/>
        <v>1.2300638935935915E-4</v>
      </c>
      <c r="J2328" s="25">
        <f>INDEX('Default Prob'!$C$3:$C$13, _xlfn.IFNA(MATCH(F2328, 'Default Prob'!$B$3:$B$13, 1), 1))</f>
        <v>2.4E-2</v>
      </c>
      <c r="K2328" s="26">
        <f t="shared" si="471"/>
        <v>0.81001270244054269</v>
      </c>
      <c r="L2328" s="27">
        <f t="shared" ca="1" si="472"/>
        <v>0</v>
      </c>
      <c r="M2328" s="27">
        <f t="shared" ca="1" si="473"/>
        <v>0</v>
      </c>
      <c r="N2328" s="28">
        <f t="shared" ca="1" si="474"/>
        <v>0</v>
      </c>
      <c r="O2328" s="29">
        <f t="shared" ca="1" si="475"/>
        <v>0</v>
      </c>
      <c r="P2328" s="30">
        <f t="shared" ca="1" si="476"/>
        <v>0</v>
      </c>
    </row>
    <row r="2329" spans="1:16" x14ac:dyDescent="0.25">
      <c r="A2329" s="3">
        <f t="shared" si="477"/>
        <v>49373</v>
      </c>
      <c r="B2329" s="21">
        <f t="shared" si="468"/>
        <v>36590</v>
      </c>
      <c r="C2329" s="21">
        <f t="shared" si="469"/>
        <v>36605</v>
      </c>
      <c r="D2329" s="1">
        <f t="shared" si="478"/>
        <v>0</v>
      </c>
      <c r="E2329" s="3">
        <f t="array" ref="E2329">INDEX($A$9:A2328, MAX(IF($D$9:D2328=1, ROW(D$9:$D2328)-ROW($D$9)+1, 0)))</f>
        <v>49298</v>
      </c>
      <c r="F2329" s="23">
        <f t="shared" si="470"/>
        <v>8.8925393566050648</v>
      </c>
      <c r="G2329" s="5">
        <f>INDEX('Default Prob'!$P$5:$P$14,MIN(1+_xlfn.IFNA(MATCH(F2329,'Default Prob'!$F$5:$F$14,1),0),COUNT('Default Prob'!$P$5:$P$14)))</f>
        <v>5.8652391073922311E-2</v>
      </c>
      <c r="H2329" s="5">
        <f t="shared" si="479"/>
        <v>0.76557560180925721</v>
      </c>
      <c r="I2329" s="24">
        <f t="shared" si="480"/>
        <v>3.689006749787449E-4</v>
      </c>
      <c r="J2329" s="25">
        <f>INDEX('Default Prob'!$C$3:$C$13, _xlfn.IFNA(MATCH(F2329, 'Default Prob'!$B$3:$B$13, 1), 1))</f>
        <v>2.4E-2</v>
      </c>
      <c r="K2329" s="26">
        <f t="shared" si="471"/>
        <v>0.80985492981756335</v>
      </c>
      <c r="L2329" s="27">
        <f t="shared" ca="1" si="472"/>
        <v>0</v>
      </c>
      <c r="M2329" s="27">
        <f t="shared" ca="1" si="473"/>
        <v>0</v>
      </c>
      <c r="N2329" s="28">
        <f t="shared" ca="1" si="474"/>
        <v>0</v>
      </c>
      <c r="O2329" s="29">
        <f t="shared" ca="1" si="475"/>
        <v>0</v>
      </c>
      <c r="P2329" s="30">
        <f t="shared" ca="1" si="476"/>
        <v>0</v>
      </c>
    </row>
    <row r="2330" spans="1:16" x14ac:dyDescent="0.25">
      <c r="A2330" s="3">
        <f t="shared" si="477"/>
        <v>49374</v>
      </c>
      <c r="B2330" s="21">
        <f t="shared" si="468"/>
        <v>36591</v>
      </c>
      <c r="C2330" s="21">
        <f t="shared" si="469"/>
        <v>36605</v>
      </c>
      <c r="D2330" s="1">
        <f t="shared" si="478"/>
        <v>0</v>
      </c>
      <c r="E2330" s="3">
        <f t="array" ref="E2330">INDEX($A$9:A2329, MAX(IF($D$9:D2329=1, ROW(D$9:$D2329)-ROW($D$9)+1, 0)))</f>
        <v>49298</v>
      </c>
      <c r="F2330" s="23">
        <f t="shared" si="470"/>
        <v>8.8952772073921977</v>
      </c>
      <c r="G2330" s="5">
        <f>INDEX('Default Prob'!$P$5:$P$14,MIN(1+_xlfn.IFNA(MATCH(F2330,'Default Prob'!$F$5:$F$14,1),0),COUNT('Default Prob'!$P$5:$P$14)))</f>
        <v>5.8652391073922311E-2</v>
      </c>
      <c r="H2330" s="5">
        <f t="shared" si="479"/>
        <v>0.76545267440472775</v>
      </c>
      <c r="I2330" s="24">
        <f t="shared" si="480"/>
        <v>1.2292740452946038E-4</v>
      </c>
      <c r="J2330" s="25">
        <f>INDEX('Default Prob'!$C$3:$C$13, _xlfn.IFNA(MATCH(F2330, 'Default Prob'!$B$3:$B$13, 1), 1))</f>
        <v>2.4E-2</v>
      </c>
      <c r="K2330" s="26">
        <f t="shared" si="471"/>
        <v>0.80980234577256116</v>
      </c>
      <c r="L2330" s="27">
        <f t="shared" ca="1" si="472"/>
        <v>0</v>
      </c>
      <c r="M2330" s="27">
        <f t="shared" ca="1" si="473"/>
        <v>0</v>
      </c>
      <c r="N2330" s="28">
        <f t="shared" ca="1" si="474"/>
        <v>0</v>
      </c>
      <c r="O2330" s="29">
        <f t="shared" ca="1" si="475"/>
        <v>0</v>
      </c>
      <c r="P2330" s="30">
        <f t="shared" ca="1" si="476"/>
        <v>0</v>
      </c>
    </row>
    <row r="2331" spans="1:16" x14ac:dyDescent="0.25">
      <c r="A2331" s="3">
        <f t="shared" si="477"/>
        <v>49375</v>
      </c>
      <c r="B2331" s="21">
        <f t="shared" si="468"/>
        <v>36592</v>
      </c>
      <c r="C2331" s="21">
        <f t="shared" si="469"/>
        <v>36605</v>
      </c>
      <c r="D2331" s="1">
        <f t="shared" si="478"/>
        <v>0</v>
      </c>
      <c r="E2331" s="3">
        <f t="array" ref="E2331">INDEX($A$9:A2330, MAX(IF($D$9:D2330=1, ROW(D$9:$D2330)-ROW($D$9)+1, 0)))</f>
        <v>49298</v>
      </c>
      <c r="F2331" s="23">
        <f t="shared" si="470"/>
        <v>8.8980150581793289</v>
      </c>
      <c r="G2331" s="5">
        <f>INDEX('Default Prob'!$P$5:$P$14,MIN(1+_xlfn.IFNA(MATCH(F2331,'Default Prob'!$F$5:$F$14,1),0),COUNT('Default Prob'!$P$5:$P$14)))</f>
        <v>5.8652391073922311E-2</v>
      </c>
      <c r="H2331" s="5">
        <f t="shared" si="479"/>
        <v>0.76532976673847997</v>
      </c>
      <c r="I2331" s="24">
        <f t="shared" si="480"/>
        <v>1.229076662477846E-4</v>
      </c>
      <c r="J2331" s="25">
        <f>INDEX('Default Prob'!$C$3:$C$13, _xlfn.IFNA(MATCH(F2331, 'Default Prob'!$B$3:$B$13, 1), 1))</f>
        <v>2.4E-2</v>
      </c>
      <c r="K2331" s="26">
        <f t="shared" si="471"/>
        <v>0.80974976514185193</v>
      </c>
      <c r="L2331" s="27">
        <f t="shared" ca="1" si="472"/>
        <v>0</v>
      </c>
      <c r="M2331" s="27">
        <f t="shared" ca="1" si="473"/>
        <v>0</v>
      </c>
      <c r="N2331" s="28">
        <f t="shared" ca="1" si="474"/>
        <v>0</v>
      </c>
      <c r="O2331" s="29">
        <f t="shared" ca="1" si="475"/>
        <v>0</v>
      </c>
      <c r="P2331" s="30">
        <f t="shared" ca="1" si="476"/>
        <v>0</v>
      </c>
    </row>
    <row r="2332" spans="1:16" x14ac:dyDescent="0.25">
      <c r="A2332" s="3">
        <f t="shared" si="477"/>
        <v>49376</v>
      </c>
      <c r="B2332" s="21">
        <f t="shared" si="468"/>
        <v>36593</v>
      </c>
      <c r="C2332" s="21">
        <f t="shared" si="469"/>
        <v>36605</v>
      </c>
      <c r="D2332" s="1">
        <f t="shared" si="478"/>
        <v>0</v>
      </c>
      <c r="E2332" s="3">
        <f t="array" ref="E2332">INDEX($A$9:A2331, MAX(IF($D$9:D2331=1, ROW(D$9:$D2331)-ROW($D$9)+1, 0)))</f>
        <v>49298</v>
      </c>
      <c r="F2332" s="23">
        <f t="shared" si="470"/>
        <v>8.9007529089664619</v>
      </c>
      <c r="G2332" s="5">
        <f>INDEX('Default Prob'!$P$5:$P$14,MIN(1+_xlfn.IFNA(MATCH(F2332,'Default Prob'!$F$5:$F$14,1),0),COUNT('Default Prob'!$P$5:$P$14)))</f>
        <v>5.8652391073922311E-2</v>
      </c>
      <c r="H2332" s="5">
        <f t="shared" si="479"/>
        <v>0.76520687880734428</v>
      </c>
      <c r="I2332" s="24">
        <f t="shared" si="480"/>
        <v>1.2288793113568452E-4</v>
      </c>
      <c r="J2332" s="25">
        <f>INDEX('Default Prob'!$C$3:$C$13, _xlfn.IFNA(MATCH(F2332, 'Default Prob'!$B$3:$B$13, 1), 1))</f>
        <v>2.4E-2</v>
      </c>
      <c r="K2332" s="26">
        <f t="shared" si="471"/>
        <v>0.80969718792521372</v>
      </c>
      <c r="L2332" s="27">
        <f t="shared" ca="1" si="472"/>
        <v>0</v>
      </c>
      <c r="M2332" s="27">
        <f t="shared" ca="1" si="473"/>
        <v>0</v>
      </c>
      <c r="N2332" s="28">
        <f t="shared" ca="1" si="474"/>
        <v>0</v>
      </c>
      <c r="O2332" s="29">
        <f t="shared" ca="1" si="475"/>
        <v>0</v>
      </c>
      <c r="P2332" s="30">
        <f t="shared" ca="1" si="476"/>
        <v>0</v>
      </c>
    </row>
    <row r="2333" spans="1:16" x14ac:dyDescent="0.25">
      <c r="A2333" s="3">
        <f t="shared" si="477"/>
        <v>49377</v>
      </c>
      <c r="B2333" s="21">
        <f t="shared" si="468"/>
        <v>36594</v>
      </c>
      <c r="C2333" s="21">
        <f t="shared" si="469"/>
        <v>36605</v>
      </c>
      <c r="D2333" s="1">
        <f t="shared" si="478"/>
        <v>0</v>
      </c>
      <c r="E2333" s="3">
        <f t="array" ref="E2333">INDEX($A$9:A2332, MAX(IF($D$9:D2332=1, ROW(D$9:$D2332)-ROW($D$9)+1, 0)))</f>
        <v>49298</v>
      </c>
      <c r="F2333" s="23">
        <f t="shared" si="470"/>
        <v>8.9034907597535931</v>
      </c>
      <c r="G2333" s="5">
        <f>INDEX('Default Prob'!$P$5:$P$14,MIN(1+_xlfn.IFNA(MATCH(F2333,'Default Prob'!$F$5:$F$14,1),0),COUNT('Default Prob'!$P$5:$P$14)))</f>
        <v>5.8652391073922311E-2</v>
      </c>
      <c r="H2333" s="5">
        <f t="shared" si="479"/>
        <v>0.76508401060815201</v>
      </c>
      <c r="I2333" s="24">
        <f t="shared" si="480"/>
        <v>1.2286819919227199E-4</v>
      </c>
      <c r="J2333" s="25">
        <f>INDEX('Default Prob'!$C$3:$C$13, _xlfn.IFNA(MATCH(F2333, 'Default Prob'!$B$3:$B$13, 1), 1))</f>
        <v>2.4E-2</v>
      </c>
      <c r="K2333" s="26">
        <f t="shared" si="471"/>
        <v>0.80964461412242483</v>
      </c>
      <c r="L2333" s="27">
        <f t="shared" ca="1" si="472"/>
        <v>0</v>
      </c>
      <c r="M2333" s="27">
        <f t="shared" ca="1" si="473"/>
        <v>0</v>
      </c>
      <c r="N2333" s="28">
        <f t="shared" ca="1" si="474"/>
        <v>0</v>
      </c>
      <c r="O2333" s="29">
        <f t="shared" ca="1" si="475"/>
        <v>0</v>
      </c>
      <c r="P2333" s="30">
        <f t="shared" ca="1" si="476"/>
        <v>0</v>
      </c>
    </row>
    <row r="2334" spans="1:16" x14ac:dyDescent="0.25">
      <c r="A2334" s="3">
        <f t="shared" si="477"/>
        <v>49380</v>
      </c>
      <c r="B2334" s="21">
        <f t="shared" si="468"/>
        <v>36597</v>
      </c>
      <c r="C2334" s="21">
        <f t="shared" si="469"/>
        <v>36605</v>
      </c>
      <c r="D2334" s="1">
        <f t="shared" si="478"/>
        <v>0</v>
      </c>
      <c r="E2334" s="3">
        <f t="array" ref="E2334">INDEX($A$9:A2333, MAX(IF($D$9:D2333=1, ROW(D$9:$D2333)-ROW($D$9)+1, 0)))</f>
        <v>49298</v>
      </c>
      <c r="F2334" s="23">
        <f t="shared" si="470"/>
        <v>8.9117043121149901</v>
      </c>
      <c r="G2334" s="5">
        <f>INDEX('Default Prob'!$P$5:$P$14,MIN(1+_xlfn.IFNA(MATCH(F2334,'Default Prob'!$F$5:$F$14,1),0),COUNT('Default Prob'!$P$5:$P$14)))</f>
        <v>5.8652391073922311E-2</v>
      </c>
      <c r="H2334" s="5">
        <f t="shared" si="479"/>
        <v>0.76471552437055457</v>
      </c>
      <c r="I2334" s="24">
        <f t="shared" si="480"/>
        <v>3.6848623759744292E-4</v>
      </c>
      <c r="J2334" s="25">
        <f>INDEX('Default Prob'!$C$3:$C$13, _xlfn.IFNA(MATCH(F2334, 'Default Prob'!$B$3:$B$13, 1), 1))</f>
        <v>2.4E-2</v>
      </c>
      <c r="K2334" s="26">
        <f t="shared" si="471"/>
        <v>0.8094869131949376</v>
      </c>
      <c r="L2334" s="27">
        <f t="shared" ca="1" si="472"/>
        <v>0</v>
      </c>
      <c r="M2334" s="27">
        <f t="shared" ca="1" si="473"/>
        <v>0</v>
      </c>
      <c r="N2334" s="28">
        <f t="shared" ca="1" si="474"/>
        <v>0</v>
      </c>
      <c r="O2334" s="29">
        <f t="shared" ca="1" si="475"/>
        <v>0</v>
      </c>
      <c r="P2334" s="30">
        <f t="shared" ca="1" si="476"/>
        <v>0</v>
      </c>
    </row>
    <row r="2335" spans="1:16" x14ac:dyDescent="0.25">
      <c r="A2335" s="3">
        <f t="shared" si="477"/>
        <v>49381</v>
      </c>
      <c r="B2335" s="21">
        <f t="shared" si="468"/>
        <v>36598</v>
      </c>
      <c r="C2335" s="21">
        <f t="shared" si="469"/>
        <v>36605</v>
      </c>
      <c r="D2335" s="1">
        <f t="shared" si="478"/>
        <v>0</v>
      </c>
      <c r="E2335" s="3">
        <f t="array" ref="E2335">INDEX($A$9:A2334, MAX(IF($D$9:D2334=1, ROW(D$9:$D2334)-ROW($D$9)+1, 0)))</f>
        <v>49298</v>
      </c>
      <c r="F2335" s="23">
        <f t="shared" si="470"/>
        <v>8.9144421629021213</v>
      </c>
      <c r="G2335" s="5">
        <f>INDEX('Default Prob'!$P$5:$P$14,MIN(1+_xlfn.IFNA(MATCH(F2335,'Default Prob'!$F$5:$F$14,1),0),COUNT('Default Prob'!$P$5:$P$14)))</f>
        <v>5.8652391073922311E-2</v>
      </c>
      <c r="H2335" s="5">
        <f t="shared" si="479"/>
        <v>0.76459273506745762</v>
      </c>
      <c r="I2335" s="24">
        <f t="shared" si="480"/>
        <v>1.2278930309694847E-4</v>
      </c>
      <c r="J2335" s="25">
        <f>INDEX('Default Prob'!$C$3:$C$13, _xlfn.IFNA(MATCH(F2335, 'Default Prob'!$B$3:$B$13, 1), 1))</f>
        <v>2.4E-2</v>
      </c>
      <c r="K2335" s="26">
        <f t="shared" si="471"/>
        <v>0.80943435304532962</v>
      </c>
      <c r="L2335" s="27">
        <f t="shared" ca="1" si="472"/>
        <v>0</v>
      </c>
      <c r="M2335" s="27">
        <f t="shared" ca="1" si="473"/>
        <v>0</v>
      </c>
      <c r="N2335" s="28">
        <f t="shared" ca="1" si="474"/>
        <v>0</v>
      </c>
      <c r="O2335" s="29">
        <f t="shared" ca="1" si="475"/>
        <v>0</v>
      </c>
      <c r="P2335" s="30">
        <f t="shared" ca="1" si="476"/>
        <v>0</v>
      </c>
    </row>
    <row r="2336" spans="1:16" x14ac:dyDescent="0.25">
      <c r="A2336" s="3">
        <f t="shared" si="477"/>
        <v>49382</v>
      </c>
      <c r="B2336" s="21">
        <f t="shared" si="468"/>
        <v>36599</v>
      </c>
      <c r="C2336" s="21">
        <f t="shared" si="469"/>
        <v>36605</v>
      </c>
      <c r="D2336" s="1">
        <f t="shared" si="478"/>
        <v>0</v>
      </c>
      <c r="E2336" s="3">
        <f t="array" ref="E2336">INDEX($A$9:A2335, MAX(IF($D$9:D2335=1, ROW(D$9:$D2335)-ROW($D$9)+1, 0)))</f>
        <v>49298</v>
      </c>
      <c r="F2336" s="23">
        <f t="shared" si="470"/>
        <v>8.9171800136892543</v>
      </c>
      <c r="G2336" s="5">
        <f>INDEX('Default Prob'!$P$5:$P$14,MIN(1+_xlfn.IFNA(MATCH(F2336,'Default Prob'!$F$5:$F$14,1),0),COUNT('Default Prob'!$P$5:$P$14)))</f>
        <v>5.8652391073922311E-2</v>
      </c>
      <c r="H2336" s="5">
        <f t="shared" si="479"/>
        <v>0.76446996548046742</v>
      </c>
      <c r="I2336" s="24">
        <f t="shared" si="480"/>
        <v>1.2276958699020124E-4</v>
      </c>
      <c r="J2336" s="25">
        <f>INDEX('Default Prob'!$C$3:$C$13, _xlfn.IFNA(MATCH(F2336, 'Default Prob'!$B$3:$B$13, 1), 1))</f>
        <v>2.4E-2</v>
      </c>
      <c r="K2336" s="26">
        <f t="shared" si="471"/>
        <v>0.80938179630846274</v>
      </c>
      <c r="L2336" s="27">
        <f t="shared" ca="1" si="472"/>
        <v>0</v>
      </c>
      <c r="M2336" s="27">
        <f t="shared" ca="1" si="473"/>
        <v>0</v>
      </c>
      <c r="N2336" s="28">
        <f t="shared" ca="1" si="474"/>
        <v>0</v>
      </c>
      <c r="O2336" s="29">
        <f t="shared" ca="1" si="475"/>
        <v>0</v>
      </c>
      <c r="P2336" s="30">
        <f t="shared" ca="1" si="476"/>
        <v>0</v>
      </c>
    </row>
    <row r="2337" spans="1:16" x14ac:dyDescent="0.25">
      <c r="A2337" s="3">
        <f t="shared" si="477"/>
        <v>49383</v>
      </c>
      <c r="B2337" s="21">
        <f t="shared" si="468"/>
        <v>36600</v>
      </c>
      <c r="C2337" s="21">
        <f t="shared" si="469"/>
        <v>36605</v>
      </c>
      <c r="D2337" s="1">
        <f t="shared" si="478"/>
        <v>0</v>
      </c>
      <c r="E2337" s="3">
        <f t="array" ref="E2337">INDEX($A$9:A2336, MAX(IF($D$9:D2336=1, ROW(D$9:$D2336)-ROW($D$9)+1, 0)))</f>
        <v>49298</v>
      </c>
      <c r="F2337" s="23">
        <f t="shared" si="470"/>
        <v>8.9199178644763855</v>
      </c>
      <c r="G2337" s="5">
        <f>INDEX('Default Prob'!$P$5:$P$14,MIN(1+_xlfn.IFNA(MATCH(F2337,'Default Prob'!$F$5:$F$14,1),0),COUNT('Default Prob'!$P$5:$P$14)))</f>
        <v>5.8652391073922311E-2</v>
      </c>
      <c r="H2337" s="5">
        <f t="shared" si="479"/>
        <v>0.76434721560641827</v>
      </c>
      <c r="I2337" s="24">
        <f t="shared" si="480"/>
        <v>1.2274987404914395E-4</v>
      </c>
      <c r="J2337" s="25">
        <f>INDEX('Default Prob'!$C$3:$C$13, _xlfn.IFNA(MATCH(F2337, 'Default Prob'!$B$3:$B$13, 1), 1))</f>
        <v>2.4E-2</v>
      </c>
      <c r="K2337" s="26">
        <f t="shared" si="471"/>
        <v>0.80932924298411557</v>
      </c>
      <c r="L2337" s="27">
        <f t="shared" ca="1" si="472"/>
        <v>0</v>
      </c>
      <c r="M2337" s="27">
        <f t="shared" ca="1" si="473"/>
        <v>0</v>
      </c>
      <c r="N2337" s="28">
        <f t="shared" ca="1" si="474"/>
        <v>0</v>
      </c>
      <c r="O2337" s="29">
        <f t="shared" ca="1" si="475"/>
        <v>0</v>
      </c>
      <c r="P2337" s="30">
        <f t="shared" ca="1" si="476"/>
        <v>0</v>
      </c>
    </row>
    <row r="2338" spans="1:16" x14ac:dyDescent="0.25">
      <c r="A2338" s="3">
        <f t="shared" si="477"/>
        <v>49384</v>
      </c>
      <c r="B2338" s="21">
        <f t="shared" si="468"/>
        <v>36601</v>
      </c>
      <c r="C2338" s="21">
        <f t="shared" si="469"/>
        <v>36605</v>
      </c>
      <c r="D2338" s="1">
        <f t="shared" si="478"/>
        <v>0</v>
      </c>
      <c r="E2338" s="3">
        <f t="array" ref="E2338">INDEX($A$9:A2337, MAX(IF($D$9:D2337=1, ROW(D$9:$D2337)-ROW($D$9)+1, 0)))</f>
        <v>49298</v>
      </c>
      <c r="F2338" s="23">
        <f t="shared" si="470"/>
        <v>8.9226557152635184</v>
      </c>
      <c r="G2338" s="5">
        <f>INDEX('Default Prob'!$P$5:$P$14,MIN(1+_xlfn.IFNA(MATCH(F2338,'Default Prob'!$F$5:$F$14,1),0),COUNT('Default Prob'!$P$5:$P$14)))</f>
        <v>5.8652391073922311E-2</v>
      </c>
      <c r="H2338" s="5">
        <f t="shared" si="479"/>
        <v>0.76422448544214483</v>
      </c>
      <c r="I2338" s="24">
        <f t="shared" si="480"/>
        <v>1.2273016427344352E-4</v>
      </c>
      <c r="J2338" s="25">
        <f>INDEX('Default Prob'!$C$3:$C$13, _xlfn.IFNA(MATCH(F2338, 'Default Prob'!$B$3:$B$13, 1), 1))</f>
        <v>2.4E-2</v>
      </c>
      <c r="K2338" s="26">
        <f t="shared" si="471"/>
        <v>0.8092766930720664</v>
      </c>
      <c r="L2338" s="27">
        <f t="shared" ca="1" si="472"/>
        <v>0</v>
      </c>
      <c r="M2338" s="27">
        <f t="shared" ca="1" si="473"/>
        <v>0</v>
      </c>
      <c r="N2338" s="28">
        <f t="shared" ca="1" si="474"/>
        <v>0</v>
      </c>
      <c r="O2338" s="29">
        <f t="shared" ca="1" si="475"/>
        <v>0</v>
      </c>
      <c r="P2338" s="30">
        <f t="shared" ca="1" si="476"/>
        <v>0</v>
      </c>
    </row>
    <row r="2339" spans="1:16" x14ac:dyDescent="0.25">
      <c r="A2339" s="3">
        <f t="shared" si="477"/>
        <v>49387</v>
      </c>
      <c r="B2339" s="21">
        <f t="shared" si="468"/>
        <v>36604</v>
      </c>
      <c r="C2339" s="21">
        <f t="shared" si="469"/>
        <v>36605</v>
      </c>
      <c r="D2339" s="1">
        <f t="shared" si="478"/>
        <v>0</v>
      </c>
      <c r="E2339" s="3">
        <f t="array" ref="E2339">INDEX($A$9:A2338, MAX(IF($D$9:D2338=1, ROW(D$9:$D2338)-ROW($D$9)+1, 0)))</f>
        <v>49298</v>
      </c>
      <c r="F2339" s="23">
        <f t="shared" si="470"/>
        <v>8.9308692676249137</v>
      </c>
      <c r="G2339" s="5">
        <f>INDEX('Default Prob'!$P$5:$P$14,MIN(1+_xlfn.IFNA(MATCH(F2339,'Default Prob'!$F$5:$F$14,1),0),COUNT('Default Prob'!$P$5:$P$14)))</f>
        <v>5.8652391073922311E-2</v>
      </c>
      <c r="H2339" s="5">
        <f t="shared" si="479"/>
        <v>0.76385641317633379</v>
      </c>
      <c r="I2339" s="24">
        <f t="shared" si="480"/>
        <v>3.6807226581103691E-4</v>
      </c>
      <c r="J2339" s="25">
        <f>INDEX('Default Prob'!$C$3:$C$13, _xlfn.IFNA(MATCH(F2339, 'Default Prob'!$B$3:$B$13, 1), 1))</f>
        <v>2.4E-2</v>
      </c>
      <c r="K2339" s="26">
        <f t="shared" si="471"/>
        <v>0.80911906380749132</v>
      </c>
      <c r="L2339" s="27">
        <f t="shared" ca="1" si="472"/>
        <v>0</v>
      </c>
      <c r="M2339" s="27">
        <f t="shared" ca="1" si="473"/>
        <v>0</v>
      </c>
      <c r="N2339" s="28">
        <f t="shared" ca="1" si="474"/>
        <v>0</v>
      </c>
      <c r="O2339" s="29">
        <f t="shared" ca="1" si="475"/>
        <v>0</v>
      </c>
      <c r="P2339" s="30">
        <f t="shared" ca="1" si="476"/>
        <v>0</v>
      </c>
    </row>
    <row r="2340" spans="1:16" x14ac:dyDescent="0.25">
      <c r="A2340" s="3">
        <f t="shared" si="477"/>
        <v>49388</v>
      </c>
      <c r="B2340" s="21">
        <f t="shared" si="468"/>
        <v>36605</v>
      </c>
      <c r="C2340" s="21">
        <f t="shared" si="469"/>
        <v>36605</v>
      </c>
      <c r="D2340" s="1">
        <f t="shared" si="478"/>
        <v>1</v>
      </c>
      <c r="E2340" s="3">
        <f t="array" ref="E2340">INDEX($A$9:A2339, MAX(IF($D$9:D2339=1, ROW(D$9:$D2339)-ROW($D$9)+1, 0)))</f>
        <v>49298</v>
      </c>
      <c r="F2340" s="23">
        <f t="shared" si="470"/>
        <v>8.9336071184120467</v>
      </c>
      <c r="G2340" s="5">
        <f>INDEX('Default Prob'!$P$5:$P$14,MIN(1+_xlfn.IFNA(MATCH(F2340,'Default Prob'!$F$5:$F$14,1),0),COUNT('Default Prob'!$P$5:$P$14)))</f>
        <v>5.8652391073922311E-2</v>
      </c>
      <c r="H2340" s="5">
        <f t="shared" si="479"/>
        <v>0.76373376181952068</v>
      </c>
      <c r="I2340" s="24">
        <f t="shared" si="480"/>
        <v>1.2265135681310824E-4</v>
      </c>
      <c r="J2340" s="25">
        <f>INDEX('Default Prob'!$C$3:$C$13, _xlfn.IFNA(MATCH(F2340, 'Default Prob'!$B$3:$B$13, 1), 1))</f>
        <v>2.4E-2</v>
      </c>
      <c r="K2340" s="26">
        <f t="shared" si="471"/>
        <v>0.80906652754241881</v>
      </c>
      <c r="L2340" s="27">
        <f t="shared" ca="1" si="472"/>
        <v>0</v>
      </c>
      <c r="M2340" s="27">
        <f t="shared" ca="1" si="473"/>
        <v>0</v>
      </c>
      <c r="N2340" s="28">
        <f t="shared" ca="1" si="474"/>
        <v>0</v>
      </c>
      <c r="O2340" s="29">
        <f t="shared" ca="1" si="475"/>
        <v>0</v>
      </c>
      <c r="P2340" s="30">
        <f t="shared" ca="1" si="476"/>
        <v>0</v>
      </c>
    </row>
    <row r="2341" spans="1:16" x14ac:dyDescent="0.25">
      <c r="A2341" s="3">
        <f t="shared" si="477"/>
        <v>49389</v>
      </c>
      <c r="B2341" s="21">
        <f t="shared" si="468"/>
        <v>36606</v>
      </c>
      <c r="C2341" s="21">
        <f t="shared" si="469"/>
        <v>36697</v>
      </c>
      <c r="D2341" s="1">
        <f t="shared" si="478"/>
        <v>0</v>
      </c>
      <c r="E2341" s="3">
        <f t="array" ref="E2341">INDEX($A$9:A2340, MAX(IF($D$9:D2340=1, ROW(D$9:$D2340)-ROW($D$9)+1, 0)))</f>
        <v>49388</v>
      </c>
      <c r="F2341" s="23">
        <f t="shared" si="470"/>
        <v>8.9363449691991779</v>
      </c>
      <c r="G2341" s="5">
        <f>INDEX('Default Prob'!$P$5:$P$14,MIN(1+_xlfn.IFNA(MATCH(F2341,'Default Prob'!$F$5:$F$14,1),0),COUNT('Default Prob'!$P$5:$P$14)))</f>
        <v>5.8652391073922311E-2</v>
      </c>
      <c r="H2341" s="5">
        <f t="shared" si="479"/>
        <v>0.7636111301566646</v>
      </c>
      <c r="I2341" s="24">
        <f t="shared" si="480"/>
        <v>1.2263166285608751E-4</v>
      </c>
      <c r="J2341" s="25">
        <f>INDEX('Default Prob'!$C$3:$C$13, _xlfn.IFNA(MATCH(F2341, 'Default Prob'!$B$3:$B$13, 1), 1))</f>
        <v>2.4E-2</v>
      </c>
      <c r="K2341" s="26">
        <f t="shared" si="471"/>
        <v>0.80901399468853663</v>
      </c>
      <c r="L2341" s="27">
        <f t="shared" ca="1" si="472"/>
        <v>0</v>
      </c>
      <c r="M2341" s="27">
        <f t="shared" ca="1" si="473"/>
        <v>0</v>
      </c>
      <c r="N2341" s="28">
        <f t="shared" ca="1" si="474"/>
        <v>0</v>
      </c>
      <c r="O2341" s="29">
        <f t="shared" ca="1" si="475"/>
        <v>0</v>
      </c>
      <c r="P2341" s="30">
        <f t="shared" ca="1" si="476"/>
        <v>0</v>
      </c>
    </row>
    <row r="2342" spans="1:16" x14ac:dyDescent="0.25">
      <c r="A2342" s="3">
        <f t="shared" si="477"/>
        <v>49390</v>
      </c>
      <c r="B2342" s="21">
        <f t="shared" si="468"/>
        <v>36607</v>
      </c>
      <c r="C2342" s="21">
        <f t="shared" si="469"/>
        <v>36697</v>
      </c>
      <c r="D2342" s="1">
        <f t="shared" si="478"/>
        <v>0</v>
      </c>
      <c r="E2342" s="3">
        <f t="array" ref="E2342">INDEX($A$9:A2341, MAX(IF($D$9:D2341=1, ROW(D$9:$D2341)-ROW($D$9)+1, 0)))</f>
        <v>49388</v>
      </c>
      <c r="F2342" s="23">
        <f t="shared" si="470"/>
        <v>8.9390828199863108</v>
      </c>
      <c r="G2342" s="5">
        <f>INDEX('Default Prob'!$P$5:$P$14,MIN(1+_xlfn.IFNA(MATCH(F2342,'Default Prob'!$F$5:$F$14,1),0),COUNT('Default Prob'!$P$5:$P$14)))</f>
        <v>5.8652391073922311E-2</v>
      </c>
      <c r="H2342" s="5">
        <f t="shared" si="479"/>
        <v>0.76348851818460317</v>
      </c>
      <c r="I2342" s="24">
        <f t="shared" si="480"/>
        <v>1.2261197206142604E-4</v>
      </c>
      <c r="J2342" s="25">
        <f>INDEX('Default Prob'!$C$3:$C$13, _xlfn.IFNA(MATCH(F2342, 'Default Prob'!$B$3:$B$13, 1), 1))</f>
        <v>2.4E-2</v>
      </c>
      <c r="K2342" s="26">
        <f t="shared" si="471"/>
        <v>0.80896146524562329</v>
      </c>
      <c r="L2342" s="27">
        <f t="shared" ca="1" si="472"/>
        <v>0</v>
      </c>
      <c r="M2342" s="27">
        <f t="shared" ca="1" si="473"/>
        <v>0</v>
      </c>
      <c r="N2342" s="28">
        <f t="shared" ca="1" si="474"/>
        <v>0</v>
      </c>
      <c r="O2342" s="29">
        <f t="shared" ca="1" si="475"/>
        <v>0</v>
      </c>
      <c r="P2342" s="30">
        <f t="shared" ca="1" si="476"/>
        <v>0</v>
      </c>
    </row>
    <row r="2343" spans="1:16" x14ac:dyDescent="0.25">
      <c r="A2343" s="3">
        <f t="shared" si="477"/>
        <v>49391</v>
      </c>
      <c r="B2343" s="21">
        <f t="shared" si="468"/>
        <v>36608</v>
      </c>
      <c r="C2343" s="21">
        <f t="shared" si="469"/>
        <v>36697</v>
      </c>
      <c r="D2343" s="1">
        <f t="shared" si="478"/>
        <v>0</v>
      </c>
      <c r="E2343" s="3">
        <f t="array" ref="E2343">INDEX($A$9:A2342, MAX(IF($D$9:D2342=1, ROW(D$9:$D2342)-ROW($D$9)+1, 0)))</f>
        <v>49388</v>
      </c>
      <c r="F2343" s="23">
        <f t="shared" si="470"/>
        <v>8.941820670773442</v>
      </c>
      <c r="G2343" s="5">
        <f>INDEX('Default Prob'!$P$5:$P$14,MIN(1+_xlfn.IFNA(MATCH(F2343,'Default Prob'!$F$5:$F$14,1),0),COUNT('Default Prob'!$P$5:$P$14)))</f>
        <v>5.8652391073922311E-2</v>
      </c>
      <c r="H2343" s="5">
        <f t="shared" si="479"/>
        <v>0.76336592590017482</v>
      </c>
      <c r="I2343" s="24">
        <f t="shared" si="480"/>
        <v>1.2259228442834669E-4</v>
      </c>
      <c r="J2343" s="25">
        <f>INDEX('Default Prob'!$C$3:$C$13, _xlfn.IFNA(MATCH(F2343, 'Default Prob'!$B$3:$B$13, 1), 1))</f>
        <v>2.4E-2</v>
      </c>
      <c r="K2343" s="26">
        <f t="shared" si="471"/>
        <v>0.80890893921345719</v>
      </c>
      <c r="L2343" s="27">
        <f t="shared" ca="1" si="472"/>
        <v>0</v>
      </c>
      <c r="M2343" s="27">
        <f t="shared" ca="1" si="473"/>
        <v>0</v>
      </c>
      <c r="N2343" s="28">
        <f t="shared" ca="1" si="474"/>
        <v>0</v>
      </c>
      <c r="O2343" s="29">
        <f t="shared" ca="1" si="475"/>
        <v>0</v>
      </c>
      <c r="P2343" s="30">
        <f t="shared" ca="1" si="476"/>
        <v>0</v>
      </c>
    </row>
    <row r="2344" spans="1:16" x14ac:dyDescent="0.25">
      <c r="A2344" s="3">
        <f t="shared" si="477"/>
        <v>49394</v>
      </c>
      <c r="B2344" s="21">
        <f t="shared" si="468"/>
        <v>36611</v>
      </c>
      <c r="C2344" s="21">
        <f t="shared" si="469"/>
        <v>36697</v>
      </c>
      <c r="D2344" s="1">
        <f t="shared" si="478"/>
        <v>0</v>
      </c>
      <c r="E2344" s="3">
        <f t="array" ref="E2344">INDEX($A$9:A2343, MAX(IF($D$9:D2343=1, ROW(D$9:$D2343)-ROW($D$9)+1, 0)))</f>
        <v>49388</v>
      </c>
      <c r="F2344" s="23">
        <f t="shared" si="470"/>
        <v>8.9500342231348391</v>
      </c>
      <c r="G2344" s="5">
        <f>INDEX('Default Prob'!$P$5:$P$14,MIN(1+_xlfn.IFNA(MATCH(F2344,'Default Prob'!$F$5:$F$14,1),0),COUNT('Default Prob'!$P$5:$P$14)))</f>
        <v>5.8652391073922311E-2</v>
      </c>
      <c r="H2344" s="5">
        <f t="shared" si="479"/>
        <v>0.76299826714107799</v>
      </c>
      <c r="I2344" s="24">
        <f t="shared" si="480"/>
        <v>3.6765875909683388E-4</v>
      </c>
      <c r="J2344" s="25">
        <f>INDEX('Default Prob'!$C$3:$C$13, _xlfn.IFNA(MATCH(F2344, 'Default Prob'!$B$3:$B$13, 1), 1))</f>
        <v>2.4E-2</v>
      </c>
      <c r="K2344" s="26">
        <f t="shared" si="471"/>
        <v>0.80875138157922921</v>
      </c>
      <c r="L2344" s="27">
        <f t="shared" ca="1" si="472"/>
        <v>0</v>
      </c>
      <c r="M2344" s="27">
        <f t="shared" ca="1" si="473"/>
        <v>0</v>
      </c>
      <c r="N2344" s="28">
        <f t="shared" ca="1" si="474"/>
        <v>0</v>
      </c>
      <c r="O2344" s="29">
        <f t="shared" ca="1" si="475"/>
        <v>0</v>
      </c>
      <c r="P2344" s="30">
        <f t="shared" ca="1" si="476"/>
        <v>0</v>
      </c>
    </row>
    <row r="2345" spans="1:16" x14ac:dyDescent="0.25">
      <c r="A2345" s="3">
        <f t="shared" si="477"/>
        <v>49395</v>
      </c>
      <c r="B2345" s="21">
        <f t="shared" si="468"/>
        <v>36612</v>
      </c>
      <c r="C2345" s="21">
        <f t="shared" si="469"/>
        <v>36697</v>
      </c>
      <c r="D2345" s="1">
        <f t="shared" si="478"/>
        <v>0</v>
      </c>
      <c r="E2345" s="3">
        <f t="array" ref="E2345">INDEX($A$9:A2344, MAX(IF($D$9:D2344=1, ROW(D$9:$D2344)-ROW($D$9)+1, 0)))</f>
        <v>49388</v>
      </c>
      <c r="F2345" s="23">
        <f t="shared" si="470"/>
        <v>8.9527720739219721</v>
      </c>
      <c r="G2345" s="5">
        <f>INDEX('Default Prob'!$P$5:$P$14,MIN(1+_xlfn.IFNA(MATCH(F2345,'Default Prob'!$F$5:$F$14,1),0),COUNT('Default Prob'!$P$5:$P$14)))</f>
        <v>5.8652391073922311E-2</v>
      </c>
      <c r="H2345" s="5">
        <f t="shared" si="479"/>
        <v>0.76287575357557447</v>
      </c>
      <c r="I2345" s="24">
        <f t="shared" si="480"/>
        <v>1.2251356550352366E-4</v>
      </c>
      <c r="J2345" s="25">
        <f>INDEX('Default Prob'!$C$3:$C$13, _xlfn.IFNA(MATCH(F2345, 'Default Prob'!$B$3:$B$13, 1), 1))</f>
        <v>2.4E-2</v>
      </c>
      <c r="K2345" s="26">
        <f t="shared" si="471"/>
        <v>0.80869886918783829</v>
      </c>
      <c r="L2345" s="27">
        <f t="shared" ca="1" si="472"/>
        <v>0</v>
      </c>
      <c r="M2345" s="27">
        <f t="shared" ca="1" si="473"/>
        <v>0</v>
      </c>
      <c r="N2345" s="28">
        <f t="shared" ca="1" si="474"/>
        <v>0</v>
      </c>
      <c r="O2345" s="29">
        <f t="shared" ca="1" si="475"/>
        <v>0</v>
      </c>
      <c r="P2345" s="30">
        <f t="shared" ca="1" si="476"/>
        <v>0</v>
      </c>
    </row>
    <row r="2346" spans="1:16" x14ac:dyDescent="0.25">
      <c r="A2346" s="3">
        <f t="shared" si="477"/>
        <v>49396</v>
      </c>
      <c r="B2346" s="21">
        <f t="shared" si="468"/>
        <v>36613</v>
      </c>
      <c r="C2346" s="21">
        <f t="shared" si="469"/>
        <v>36697</v>
      </c>
      <c r="D2346" s="1">
        <f t="shared" si="478"/>
        <v>0</v>
      </c>
      <c r="E2346" s="3">
        <f t="array" ref="E2346">INDEX($A$9:A2345, MAX(IF($D$9:D2345=1, ROW(D$9:$D2345)-ROW($D$9)+1, 0)))</f>
        <v>49388</v>
      </c>
      <c r="F2346" s="23">
        <f t="shared" si="470"/>
        <v>8.9555099247091032</v>
      </c>
      <c r="G2346" s="5">
        <f>INDEX('Default Prob'!$P$5:$P$14,MIN(1+_xlfn.IFNA(MATCH(F2346,'Default Prob'!$F$5:$F$14,1),0),COUNT('Default Prob'!$P$5:$P$14)))</f>
        <v>5.8652391073922311E-2</v>
      </c>
      <c r="H2346" s="5">
        <f t="shared" si="479"/>
        <v>0.76275325968190311</v>
      </c>
      <c r="I2346" s="24">
        <f t="shared" si="480"/>
        <v>1.2249389367136043E-4</v>
      </c>
      <c r="J2346" s="25">
        <f>INDEX('Default Prob'!$C$3:$C$13, _xlfn.IFNA(MATCH(F2346, 'Default Prob'!$B$3:$B$13, 1), 1))</f>
        <v>2.4E-2</v>
      </c>
      <c r="K2346" s="26">
        <f t="shared" si="471"/>
        <v>0.8086463602060876</v>
      </c>
      <c r="L2346" s="27">
        <f t="shared" ca="1" si="472"/>
        <v>0</v>
      </c>
      <c r="M2346" s="27">
        <f t="shared" ca="1" si="473"/>
        <v>0</v>
      </c>
      <c r="N2346" s="28">
        <f t="shared" ca="1" si="474"/>
        <v>0</v>
      </c>
      <c r="O2346" s="29">
        <f t="shared" ca="1" si="475"/>
        <v>0</v>
      </c>
      <c r="P2346" s="30">
        <f t="shared" ca="1" si="476"/>
        <v>0</v>
      </c>
    </row>
    <row r="2347" spans="1:16" x14ac:dyDescent="0.25">
      <c r="A2347" s="3">
        <f t="shared" si="477"/>
        <v>49397</v>
      </c>
      <c r="B2347" s="21">
        <f t="shared" si="468"/>
        <v>36614</v>
      </c>
      <c r="C2347" s="21">
        <f t="shared" si="469"/>
        <v>36697</v>
      </c>
      <c r="D2347" s="1">
        <f t="shared" si="478"/>
        <v>0</v>
      </c>
      <c r="E2347" s="3">
        <f t="array" ref="E2347">INDEX($A$9:A2346, MAX(IF($D$9:D2346=1, ROW(D$9:$D2346)-ROW($D$9)+1, 0)))</f>
        <v>49388</v>
      </c>
      <c r="F2347" s="23">
        <f t="shared" si="470"/>
        <v>8.9582477754962362</v>
      </c>
      <c r="G2347" s="5">
        <f>INDEX('Default Prob'!$P$5:$P$14,MIN(1+_xlfn.IFNA(MATCH(F2347,'Default Prob'!$F$5:$F$14,1),0),COUNT('Default Prob'!$P$5:$P$14)))</f>
        <v>5.8652391073922311E-2</v>
      </c>
      <c r="H2347" s="5">
        <f t="shared" si="479"/>
        <v>0.76263078545690499</v>
      </c>
      <c r="I2347" s="24">
        <f t="shared" si="480"/>
        <v>1.2247422499811478E-4</v>
      </c>
      <c r="J2347" s="25">
        <f>INDEX('Default Prob'!$C$3:$C$13, _xlfn.IFNA(MATCH(F2347, 'Default Prob'!$B$3:$B$13, 1), 1))</f>
        <v>2.4E-2</v>
      </c>
      <c r="K2347" s="26">
        <f t="shared" si="471"/>
        <v>0.80859385463375588</v>
      </c>
      <c r="L2347" s="27">
        <f t="shared" ca="1" si="472"/>
        <v>0</v>
      </c>
      <c r="M2347" s="27">
        <f t="shared" ca="1" si="473"/>
        <v>0</v>
      </c>
      <c r="N2347" s="28">
        <f t="shared" ca="1" si="474"/>
        <v>0</v>
      </c>
      <c r="O2347" s="29">
        <f t="shared" ca="1" si="475"/>
        <v>0</v>
      </c>
      <c r="P2347" s="30">
        <f t="shared" ca="1" si="476"/>
        <v>0</v>
      </c>
    </row>
    <row r="2348" spans="1:16" x14ac:dyDescent="0.25">
      <c r="A2348" s="3">
        <f t="shared" si="477"/>
        <v>49398</v>
      </c>
      <c r="B2348" s="21">
        <f t="shared" si="468"/>
        <v>36615</v>
      </c>
      <c r="C2348" s="21">
        <f t="shared" si="469"/>
        <v>36697</v>
      </c>
      <c r="D2348" s="1">
        <f t="shared" si="478"/>
        <v>0</v>
      </c>
      <c r="E2348" s="3">
        <f t="array" ref="E2348">INDEX($A$9:A2347, MAX(IF($D$9:D2347=1, ROW(D$9:$D2347)-ROW($D$9)+1, 0)))</f>
        <v>49388</v>
      </c>
      <c r="F2348" s="23">
        <f t="shared" si="470"/>
        <v>8.9609856262833674</v>
      </c>
      <c r="G2348" s="5">
        <f>INDEX('Default Prob'!$P$5:$P$14,MIN(1+_xlfn.IFNA(MATCH(F2348,'Default Prob'!$F$5:$F$14,1),0),COUNT('Default Prob'!$P$5:$P$14)))</f>
        <v>5.8652391073922311E-2</v>
      </c>
      <c r="H2348" s="5">
        <f t="shared" si="479"/>
        <v>0.76250833089742209</v>
      </c>
      <c r="I2348" s="24">
        <f t="shared" si="480"/>
        <v>1.2245455948289852E-4</v>
      </c>
      <c r="J2348" s="25">
        <f>INDEX('Default Prob'!$C$3:$C$13, _xlfn.IFNA(MATCH(F2348, 'Default Prob'!$B$3:$B$13, 1), 1))</f>
        <v>2.4E-2</v>
      </c>
      <c r="K2348" s="26">
        <f t="shared" si="471"/>
        <v>0.80854135247062153</v>
      </c>
      <c r="L2348" s="27">
        <f t="shared" ca="1" si="472"/>
        <v>0</v>
      </c>
      <c r="M2348" s="27">
        <f t="shared" ca="1" si="473"/>
        <v>0</v>
      </c>
      <c r="N2348" s="28">
        <f t="shared" ca="1" si="474"/>
        <v>0</v>
      </c>
      <c r="O2348" s="29">
        <f t="shared" ca="1" si="475"/>
        <v>0</v>
      </c>
      <c r="P2348" s="30">
        <f t="shared" ca="1" si="476"/>
        <v>0</v>
      </c>
    </row>
    <row r="2349" spans="1:16" x14ac:dyDescent="0.25">
      <c r="A2349" s="3">
        <f t="shared" si="477"/>
        <v>49401</v>
      </c>
      <c r="B2349" s="21">
        <f t="shared" si="468"/>
        <v>36618</v>
      </c>
      <c r="C2349" s="21">
        <f t="shared" si="469"/>
        <v>36697</v>
      </c>
      <c r="D2349" s="1">
        <f t="shared" si="478"/>
        <v>0</v>
      </c>
      <c r="E2349" s="3">
        <f t="array" ref="E2349">INDEX($A$9:A2348, MAX(IF($D$9:D2348=1, ROW(D$9:$D2348)-ROW($D$9)+1, 0)))</f>
        <v>49388</v>
      </c>
      <c r="F2349" s="23">
        <f t="shared" si="470"/>
        <v>8.9691991786447645</v>
      </c>
      <c r="G2349" s="5">
        <f>INDEX('Default Prob'!$P$5:$P$14,MIN(1+_xlfn.IFNA(MATCH(F2349,'Default Prob'!$F$5:$F$14,1),0),COUNT('Default Prob'!$P$5:$P$14)))</f>
        <v>5.8652391073922311E-2</v>
      </c>
      <c r="H2349" s="5">
        <f t="shared" si="479"/>
        <v>0.76214108518048995</v>
      </c>
      <c r="I2349" s="24">
        <f t="shared" si="480"/>
        <v>3.6724571693214081E-4</v>
      </c>
      <c r="J2349" s="25">
        <f>INDEX('Default Prob'!$C$3:$C$13, _xlfn.IFNA(MATCH(F2349, 'Default Prob'!$B$3:$B$13, 1), 1))</f>
        <v>2.4E-2</v>
      </c>
      <c r="K2349" s="26">
        <f t="shared" si="471"/>
        <v>0.80838386643418991</v>
      </c>
      <c r="L2349" s="27">
        <f t="shared" ca="1" si="472"/>
        <v>0</v>
      </c>
      <c r="M2349" s="27">
        <f t="shared" ca="1" si="473"/>
        <v>0</v>
      </c>
      <c r="N2349" s="28">
        <f t="shared" ca="1" si="474"/>
        <v>0</v>
      </c>
      <c r="O2349" s="29">
        <f t="shared" ca="1" si="475"/>
        <v>0</v>
      </c>
      <c r="P2349" s="30">
        <f t="shared" ca="1" si="476"/>
        <v>0</v>
      </c>
    </row>
    <row r="2350" spans="1:16" x14ac:dyDescent="0.25">
      <c r="A2350" s="3">
        <f t="shared" si="477"/>
        <v>49402</v>
      </c>
      <c r="B2350" s="21">
        <f t="shared" si="468"/>
        <v>36619</v>
      </c>
      <c r="C2350" s="21">
        <f t="shared" si="469"/>
        <v>36697</v>
      </c>
      <c r="D2350" s="1">
        <f t="shared" si="478"/>
        <v>0</v>
      </c>
      <c r="E2350" s="3">
        <f t="array" ref="E2350">INDEX($A$9:A2349, MAX(IF($D$9:D2349=1, ROW(D$9:$D2349)-ROW($D$9)+1, 0)))</f>
        <v>49388</v>
      </c>
      <c r="F2350" s="23">
        <f t="shared" si="470"/>
        <v>8.9719370294318956</v>
      </c>
      <c r="G2350" s="5">
        <f>INDEX('Default Prob'!$P$5:$P$14,MIN(1+_xlfn.IFNA(MATCH(F2350,'Default Prob'!$F$5:$F$14,1),0),COUNT('Default Prob'!$P$5:$P$14)))</f>
        <v>5.8652391073922311E-2</v>
      </c>
      <c r="H2350" s="5">
        <f t="shared" si="479"/>
        <v>0.76201870925149606</v>
      </c>
      <c r="I2350" s="24">
        <f t="shared" si="480"/>
        <v>1.2237592899388972E-4</v>
      </c>
      <c r="J2350" s="25">
        <f>INDEX('Default Prob'!$C$3:$C$13, _xlfn.IFNA(MATCH(F2350, 'Default Prob'!$B$3:$B$13, 1), 1))</f>
        <v>2.4E-2</v>
      </c>
      <c r="K2350" s="26">
        <f t="shared" si="471"/>
        <v>0.80833137790563203</v>
      </c>
      <c r="L2350" s="27">
        <f t="shared" ca="1" si="472"/>
        <v>0</v>
      </c>
      <c r="M2350" s="27">
        <f t="shared" ca="1" si="473"/>
        <v>0</v>
      </c>
      <c r="N2350" s="28">
        <f t="shared" ca="1" si="474"/>
        <v>0</v>
      </c>
      <c r="O2350" s="29">
        <f t="shared" ca="1" si="475"/>
        <v>0</v>
      </c>
      <c r="P2350" s="30">
        <f t="shared" ca="1" si="476"/>
        <v>0</v>
      </c>
    </row>
    <row r="2351" spans="1:16" x14ac:dyDescent="0.25">
      <c r="A2351" s="3">
        <f t="shared" si="477"/>
        <v>49403</v>
      </c>
      <c r="B2351" s="21">
        <f t="shared" si="468"/>
        <v>36620</v>
      </c>
      <c r="C2351" s="21">
        <f t="shared" si="469"/>
        <v>36697</v>
      </c>
      <c r="D2351" s="1">
        <f t="shared" si="478"/>
        <v>0</v>
      </c>
      <c r="E2351" s="3">
        <f t="array" ref="E2351">INDEX($A$9:A2350, MAX(IF($D$9:D2350=1, ROW(D$9:$D2350)-ROW($D$9)+1, 0)))</f>
        <v>49388</v>
      </c>
      <c r="F2351" s="23">
        <f t="shared" si="470"/>
        <v>8.9746748802190286</v>
      </c>
      <c r="G2351" s="5">
        <f>INDEX('Default Prob'!$P$5:$P$14,MIN(1+_xlfn.IFNA(MATCH(F2351,'Default Prob'!$F$5:$F$14,1),0),COUNT('Default Prob'!$P$5:$P$14)))</f>
        <v>5.8652391073922311E-2</v>
      </c>
      <c r="H2351" s="5">
        <f t="shared" si="479"/>
        <v>0.76189635297223401</v>
      </c>
      <c r="I2351" s="24">
        <f t="shared" si="480"/>
        <v>1.2235627926204806E-4</v>
      </c>
      <c r="J2351" s="25">
        <f>INDEX('Default Prob'!$C$3:$C$13, _xlfn.IFNA(MATCH(F2351, 'Default Prob'!$B$3:$B$13, 1), 1))</f>
        <v>2.4E-2</v>
      </c>
      <c r="K2351" s="26">
        <f t="shared" si="471"/>
        <v>0.80827889278516496</v>
      </c>
      <c r="L2351" s="27">
        <f t="shared" ca="1" si="472"/>
        <v>0</v>
      </c>
      <c r="M2351" s="27">
        <f t="shared" ca="1" si="473"/>
        <v>0</v>
      </c>
      <c r="N2351" s="28">
        <f t="shared" ca="1" si="474"/>
        <v>0</v>
      </c>
      <c r="O2351" s="29">
        <f t="shared" ca="1" si="475"/>
        <v>0</v>
      </c>
      <c r="P2351" s="30">
        <f t="shared" ca="1" si="476"/>
        <v>0</v>
      </c>
    </row>
    <row r="2352" spans="1:16" x14ac:dyDescent="0.25">
      <c r="A2352" s="3">
        <f t="shared" si="477"/>
        <v>49404</v>
      </c>
      <c r="B2352" s="21">
        <f t="shared" si="468"/>
        <v>36621</v>
      </c>
      <c r="C2352" s="21">
        <f t="shared" si="469"/>
        <v>36697</v>
      </c>
      <c r="D2352" s="1">
        <f t="shared" si="478"/>
        <v>0</v>
      </c>
      <c r="E2352" s="3">
        <f t="array" ref="E2352">INDEX($A$9:A2351, MAX(IF($D$9:D2351=1, ROW(D$9:$D2351)-ROW($D$9)+1, 0)))</f>
        <v>49388</v>
      </c>
      <c r="F2352" s="23">
        <f t="shared" si="470"/>
        <v>8.9774127310061598</v>
      </c>
      <c r="G2352" s="5">
        <f>INDEX('Default Prob'!$P$5:$P$14,MIN(1+_xlfn.IFNA(MATCH(F2352,'Default Prob'!$F$5:$F$14,1),0),COUNT('Default Prob'!$P$5:$P$14)))</f>
        <v>5.8652391073922311E-2</v>
      </c>
      <c r="H2352" s="5">
        <f t="shared" si="479"/>
        <v>0.76177401633954878</v>
      </c>
      <c r="I2352" s="24">
        <f t="shared" si="480"/>
        <v>1.223366326852382E-4</v>
      </c>
      <c r="J2352" s="25">
        <f>INDEX('Default Prob'!$C$3:$C$13, _xlfn.IFNA(MATCH(F2352, 'Default Prob'!$B$3:$B$13, 1), 1))</f>
        <v>2.4E-2</v>
      </c>
      <c r="K2352" s="26">
        <f t="shared" si="471"/>
        <v>0.80822641107256743</v>
      </c>
      <c r="L2352" s="27">
        <f t="shared" ca="1" si="472"/>
        <v>0</v>
      </c>
      <c r="M2352" s="27">
        <f t="shared" ca="1" si="473"/>
        <v>0</v>
      </c>
      <c r="N2352" s="28">
        <f t="shared" ca="1" si="474"/>
        <v>0</v>
      </c>
      <c r="O2352" s="29">
        <f t="shared" ca="1" si="475"/>
        <v>0</v>
      </c>
      <c r="P2352" s="30">
        <f t="shared" ca="1" si="476"/>
        <v>0</v>
      </c>
    </row>
    <row r="2353" spans="1:16" x14ac:dyDescent="0.25">
      <c r="A2353" s="3">
        <f t="shared" si="477"/>
        <v>49405</v>
      </c>
      <c r="B2353" s="21">
        <f t="shared" si="468"/>
        <v>36622</v>
      </c>
      <c r="C2353" s="21">
        <f t="shared" si="469"/>
        <v>36697</v>
      </c>
      <c r="D2353" s="1">
        <f t="shared" si="478"/>
        <v>0</v>
      </c>
      <c r="E2353" s="3">
        <f t="array" ref="E2353">INDEX($A$9:A2352, MAX(IF($D$9:D2352=1, ROW(D$9:$D2352)-ROW($D$9)+1, 0)))</f>
        <v>49388</v>
      </c>
      <c r="F2353" s="23">
        <f t="shared" si="470"/>
        <v>8.9801505817932927</v>
      </c>
      <c r="G2353" s="5">
        <f>INDEX('Default Prob'!$P$5:$P$14,MIN(1+_xlfn.IFNA(MATCH(F2353,'Default Prob'!$F$5:$F$14,1),0),COUNT('Default Prob'!$P$5:$P$14)))</f>
        <v>5.8652391073922311E-2</v>
      </c>
      <c r="H2353" s="5">
        <f t="shared" si="479"/>
        <v>0.76165169935028565</v>
      </c>
      <c r="I2353" s="24">
        <f t="shared" si="480"/>
        <v>1.2231698926312706E-4</v>
      </c>
      <c r="J2353" s="25">
        <f>INDEX('Default Prob'!$C$3:$C$13, _xlfn.IFNA(MATCH(F2353, 'Default Prob'!$B$3:$B$13, 1), 1))</f>
        <v>2.4E-2</v>
      </c>
      <c r="K2353" s="26">
        <f t="shared" si="471"/>
        <v>0.80817393276761806</v>
      </c>
      <c r="L2353" s="27">
        <f t="shared" ca="1" si="472"/>
        <v>0</v>
      </c>
      <c r="M2353" s="27">
        <f t="shared" ca="1" si="473"/>
        <v>0</v>
      </c>
      <c r="N2353" s="28">
        <f t="shared" ca="1" si="474"/>
        <v>0</v>
      </c>
      <c r="O2353" s="29">
        <f t="shared" ca="1" si="475"/>
        <v>0</v>
      </c>
      <c r="P2353" s="30">
        <f t="shared" ca="1" si="476"/>
        <v>0</v>
      </c>
    </row>
    <row r="2354" spans="1:16" x14ac:dyDescent="0.25">
      <c r="A2354" s="3">
        <f t="shared" si="477"/>
        <v>49408</v>
      </c>
      <c r="B2354" s="21">
        <f t="shared" si="468"/>
        <v>36625</v>
      </c>
      <c r="C2354" s="21">
        <f t="shared" si="469"/>
        <v>36697</v>
      </c>
      <c r="D2354" s="1">
        <f t="shared" si="478"/>
        <v>0</v>
      </c>
      <c r="E2354" s="3">
        <f t="array" ref="E2354">INDEX($A$9:A2353, MAX(IF($D$9:D2353=1, ROW(D$9:$D2353)-ROW($D$9)+1, 0)))</f>
        <v>49388</v>
      </c>
      <c r="F2354" s="23">
        <f t="shared" si="470"/>
        <v>8.988364134154688</v>
      </c>
      <c r="G2354" s="5">
        <f>INDEX('Default Prob'!$P$5:$P$14,MIN(1+_xlfn.IFNA(MATCH(F2354,'Default Prob'!$F$5:$F$14,1),0),COUNT('Default Prob'!$P$5:$P$14)))</f>
        <v>5.8652391073922311E-2</v>
      </c>
      <c r="H2354" s="5">
        <f t="shared" si="479"/>
        <v>0.76128486621149072</v>
      </c>
      <c r="I2354" s="24">
        <f t="shared" si="480"/>
        <v>3.6683313879493085E-4</v>
      </c>
      <c r="J2354" s="25">
        <f>INDEX('Default Prob'!$C$3:$C$13, _xlfn.IFNA(MATCH(F2354, 'Default Prob'!$B$3:$B$13, 1), 1))</f>
        <v>2.4E-2</v>
      </c>
      <c r="K2354" s="26">
        <f t="shared" si="471"/>
        <v>0.80801651829644727</v>
      </c>
      <c r="L2354" s="27">
        <f t="shared" ca="1" si="472"/>
        <v>0</v>
      </c>
      <c r="M2354" s="27">
        <f t="shared" ca="1" si="473"/>
        <v>0</v>
      </c>
      <c r="N2354" s="28">
        <f t="shared" ca="1" si="474"/>
        <v>0</v>
      </c>
      <c r="O2354" s="29">
        <f t="shared" ca="1" si="475"/>
        <v>0</v>
      </c>
      <c r="P2354" s="30">
        <f t="shared" ca="1" si="476"/>
        <v>0</v>
      </c>
    </row>
    <row r="2355" spans="1:16" x14ac:dyDescent="0.25">
      <c r="A2355" s="3">
        <f t="shared" si="477"/>
        <v>49409</v>
      </c>
      <c r="B2355" s="21">
        <f t="shared" si="468"/>
        <v>36626</v>
      </c>
      <c r="C2355" s="21">
        <f t="shared" si="469"/>
        <v>36697</v>
      </c>
      <c r="D2355" s="1">
        <f t="shared" si="478"/>
        <v>0</v>
      </c>
      <c r="E2355" s="3">
        <f t="array" ref="E2355">INDEX($A$9:A2354, MAX(IF($D$9:D2354=1, ROW(D$9:$D2354)-ROW($D$9)+1, 0)))</f>
        <v>49388</v>
      </c>
      <c r="F2355" s="23">
        <f t="shared" si="470"/>
        <v>8.991101984941821</v>
      </c>
      <c r="G2355" s="5">
        <f>INDEX('Default Prob'!$P$5:$P$14,MIN(1+_xlfn.IFNA(MATCH(F2355,'Default Prob'!$F$5:$F$14,1),0),COUNT('Default Prob'!$P$5:$P$14)))</f>
        <v>5.8652391073922311E-2</v>
      </c>
      <c r="H2355" s="5">
        <f t="shared" si="479"/>
        <v>0.76116262776438015</v>
      </c>
      <c r="I2355" s="24">
        <f t="shared" si="480"/>
        <v>1.2223844711056753E-4</v>
      </c>
      <c r="J2355" s="25">
        <f>INDEX('Default Prob'!$C$3:$C$13, _xlfn.IFNA(MATCH(F2355, 'Default Prob'!$B$3:$B$13, 1), 1))</f>
        <v>2.4E-2</v>
      </c>
      <c r="K2355" s="26">
        <f t="shared" si="471"/>
        <v>0.80796405361987866</v>
      </c>
      <c r="L2355" s="27">
        <f t="shared" ca="1" si="472"/>
        <v>0</v>
      </c>
      <c r="M2355" s="27">
        <f t="shared" ca="1" si="473"/>
        <v>0</v>
      </c>
      <c r="N2355" s="28">
        <f t="shared" ca="1" si="474"/>
        <v>0</v>
      </c>
      <c r="O2355" s="29">
        <f t="shared" ca="1" si="475"/>
        <v>0</v>
      </c>
      <c r="P2355" s="30">
        <f t="shared" ca="1" si="476"/>
        <v>0</v>
      </c>
    </row>
    <row r="2356" spans="1:16" x14ac:dyDescent="0.25">
      <c r="A2356" s="3">
        <f t="shared" si="477"/>
        <v>49410</v>
      </c>
      <c r="B2356" s="21">
        <f t="shared" si="468"/>
        <v>36627</v>
      </c>
      <c r="C2356" s="21">
        <f t="shared" si="469"/>
        <v>36697</v>
      </c>
      <c r="D2356" s="1">
        <f t="shared" si="478"/>
        <v>0</v>
      </c>
      <c r="E2356" s="3">
        <f t="array" ref="E2356">INDEX($A$9:A2355, MAX(IF($D$9:D2355=1, ROW(D$9:$D2355)-ROW($D$9)+1, 0)))</f>
        <v>49388</v>
      </c>
      <c r="F2356" s="23">
        <f t="shared" si="470"/>
        <v>8.9938398357289522</v>
      </c>
      <c r="G2356" s="5">
        <f>INDEX('Default Prob'!$P$5:$P$14,MIN(1+_xlfn.IFNA(MATCH(F2356,'Default Prob'!$F$5:$F$14,1),0),COUNT('Default Prob'!$P$5:$P$14)))</f>
        <v>5.8652391073922311E-2</v>
      </c>
      <c r="H2356" s="5">
        <f t="shared" si="479"/>
        <v>0.76104040894492619</v>
      </c>
      <c r="I2356" s="24">
        <f t="shared" si="480"/>
        <v>1.2221881945395641E-4</v>
      </c>
      <c r="J2356" s="25">
        <f>INDEX('Default Prob'!$C$3:$C$13, _xlfn.IFNA(MATCH(F2356, 'Default Prob'!$B$3:$B$13, 1), 1))</f>
        <v>2.4E-2</v>
      </c>
      <c r="K2356" s="26">
        <f t="shared" si="471"/>
        <v>0.80791159234985199</v>
      </c>
      <c r="L2356" s="27">
        <f t="shared" ca="1" si="472"/>
        <v>0</v>
      </c>
      <c r="M2356" s="27">
        <f t="shared" ca="1" si="473"/>
        <v>0</v>
      </c>
      <c r="N2356" s="28">
        <f t="shared" ca="1" si="474"/>
        <v>0</v>
      </c>
      <c r="O2356" s="29">
        <f t="shared" ca="1" si="475"/>
        <v>0</v>
      </c>
      <c r="P2356" s="30">
        <f t="shared" ca="1" si="476"/>
        <v>0</v>
      </c>
    </row>
    <row r="2357" spans="1:16" x14ac:dyDescent="0.25">
      <c r="A2357" s="3">
        <f t="shared" si="477"/>
        <v>49411</v>
      </c>
      <c r="B2357" s="21">
        <f t="shared" si="468"/>
        <v>36628</v>
      </c>
      <c r="C2357" s="21">
        <f t="shared" si="469"/>
        <v>36697</v>
      </c>
      <c r="D2357" s="1">
        <f t="shared" si="478"/>
        <v>0</v>
      </c>
      <c r="E2357" s="3">
        <f t="array" ref="E2357">INDEX($A$9:A2356, MAX(IF($D$9:D2356=1, ROW(D$9:$D2356)-ROW($D$9)+1, 0)))</f>
        <v>49388</v>
      </c>
      <c r="F2357" s="23">
        <f t="shared" si="470"/>
        <v>8.9965776865160851</v>
      </c>
      <c r="G2357" s="5">
        <f>INDEX('Default Prob'!$P$5:$P$14,MIN(1+_xlfn.IFNA(MATCH(F2357,'Default Prob'!$F$5:$F$14,1),0),COUNT('Default Prob'!$P$5:$P$14)))</f>
        <v>5.8652391073922311E-2</v>
      </c>
      <c r="H2357" s="5">
        <f t="shared" si="479"/>
        <v>0.76091820974997726</v>
      </c>
      <c r="I2357" s="24">
        <f t="shared" si="480"/>
        <v>1.2219919494893539E-4</v>
      </c>
      <c r="J2357" s="25">
        <f>INDEX('Default Prob'!$C$3:$C$13, _xlfn.IFNA(MATCH(F2357, 'Default Prob'!$B$3:$B$13, 1), 1))</f>
        <v>2.4E-2</v>
      </c>
      <c r="K2357" s="26">
        <f t="shared" si="471"/>
        <v>0.80785913448614621</v>
      </c>
      <c r="L2357" s="27">
        <f t="shared" ca="1" si="472"/>
        <v>0</v>
      </c>
      <c r="M2357" s="27">
        <f t="shared" ca="1" si="473"/>
        <v>0</v>
      </c>
      <c r="N2357" s="28">
        <f t="shared" ca="1" si="474"/>
        <v>0</v>
      </c>
      <c r="O2357" s="29">
        <f t="shared" ca="1" si="475"/>
        <v>0</v>
      </c>
      <c r="P2357" s="30">
        <f t="shared" ca="1" si="476"/>
        <v>0</v>
      </c>
    </row>
    <row r="2358" spans="1:16" x14ac:dyDescent="0.25">
      <c r="A2358" s="3">
        <f t="shared" si="477"/>
        <v>49412</v>
      </c>
      <c r="B2358" s="21">
        <f t="shared" si="468"/>
        <v>36629</v>
      </c>
      <c r="C2358" s="21">
        <f t="shared" si="469"/>
        <v>36697</v>
      </c>
      <c r="D2358" s="1">
        <f t="shared" si="478"/>
        <v>0</v>
      </c>
      <c r="E2358" s="3">
        <f t="array" ref="E2358">INDEX($A$9:A2357, MAX(IF($D$9:D2357=1, ROW(D$9:$D2357)-ROW($D$9)+1, 0)))</f>
        <v>49388</v>
      </c>
      <c r="F2358" s="23">
        <f t="shared" si="470"/>
        <v>8.9993155373032163</v>
      </c>
      <c r="G2358" s="5">
        <f>INDEX('Default Prob'!$P$5:$P$14,MIN(1+_xlfn.IFNA(MATCH(F2358,'Default Prob'!$F$5:$F$14,1),0),COUNT('Default Prob'!$P$5:$P$14)))</f>
        <v>5.8652391073922311E-2</v>
      </c>
      <c r="H2358" s="5">
        <f t="shared" si="479"/>
        <v>0.76079603017638231</v>
      </c>
      <c r="I2358" s="24">
        <f t="shared" si="480"/>
        <v>1.2217957359494935E-4</v>
      </c>
      <c r="J2358" s="25">
        <f>INDEX('Default Prob'!$C$3:$C$13, _xlfn.IFNA(MATCH(F2358, 'Default Prob'!$B$3:$B$13, 1), 1))</f>
        <v>2.4E-2</v>
      </c>
      <c r="K2358" s="26">
        <f t="shared" si="471"/>
        <v>0.80780668002854028</v>
      </c>
      <c r="L2358" s="27">
        <f t="shared" ca="1" si="472"/>
        <v>0</v>
      </c>
      <c r="M2358" s="27">
        <f t="shared" ca="1" si="473"/>
        <v>0</v>
      </c>
      <c r="N2358" s="28">
        <f t="shared" ca="1" si="474"/>
        <v>0</v>
      </c>
      <c r="O2358" s="29">
        <f t="shared" ca="1" si="475"/>
        <v>0</v>
      </c>
      <c r="P2358" s="30">
        <f t="shared" ca="1" si="476"/>
        <v>0</v>
      </c>
    </row>
    <row r="2359" spans="1:16" x14ac:dyDescent="0.25">
      <c r="A2359" s="3">
        <f t="shared" si="477"/>
        <v>49415</v>
      </c>
      <c r="B2359" s="21">
        <f t="shared" si="468"/>
        <v>36632</v>
      </c>
      <c r="C2359" s="21">
        <f t="shared" si="469"/>
        <v>36697</v>
      </c>
      <c r="D2359" s="1">
        <f t="shared" si="478"/>
        <v>0</v>
      </c>
      <c r="E2359" s="3">
        <f t="array" ref="E2359">INDEX($A$9:A2358, MAX(IF($D$9:D2358=1, ROW(D$9:$D2358)-ROW($D$9)+1, 0)))</f>
        <v>49388</v>
      </c>
      <c r="F2359" s="23">
        <f t="shared" si="470"/>
        <v>9.0075290896646134</v>
      </c>
      <c r="G2359" s="5">
        <f>INDEX('Default Prob'!$P$5:$P$14,MIN(1+_xlfn.IFNA(MATCH(F2359,'Default Prob'!$F$5:$F$14,1),0),COUNT('Default Prob'!$P$5:$P$14)))</f>
        <v>8.0322462664562722E-2</v>
      </c>
      <c r="H2359" s="5">
        <f t="shared" si="479"/>
        <v>0.76042960915221802</v>
      </c>
      <c r="I2359" s="24">
        <f t="shared" si="480"/>
        <v>3.6642102416428735E-4</v>
      </c>
      <c r="J2359" s="25">
        <f>INDEX('Default Prob'!$C$3:$C$13, _xlfn.IFNA(MATCH(F2359, 'Default Prob'!$B$3:$B$13, 1), 1))</f>
        <v>2.5000000000000001E-2</v>
      </c>
      <c r="K2359" s="26">
        <f t="shared" si="471"/>
        <v>0.80057950987880022</v>
      </c>
      <c r="L2359" s="27">
        <f t="shared" ca="1" si="472"/>
        <v>0</v>
      </c>
      <c r="M2359" s="27">
        <f t="shared" ca="1" si="473"/>
        <v>0</v>
      </c>
      <c r="N2359" s="28">
        <f t="shared" ca="1" si="474"/>
        <v>0</v>
      </c>
      <c r="O2359" s="29">
        <f t="shared" ca="1" si="475"/>
        <v>0</v>
      </c>
      <c r="P2359" s="30">
        <f t="shared" ca="1" si="476"/>
        <v>0</v>
      </c>
    </row>
    <row r="2360" spans="1:16" x14ac:dyDescent="0.25">
      <c r="A2360" s="3">
        <f t="shared" si="477"/>
        <v>49416</v>
      </c>
      <c r="B2360" s="21">
        <f t="shared" si="468"/>
        <v>36633</v>
      </c>
      <c r="C2360" s="21">
        <f t="shared" si="469"/>
        <v>36697</v>
      </c>
      <c r="D2360" s="1">
        <f t="shared" si="478"/>
        <v>0</v>
      </c>
      <c r="E2360" s="3">
        <f t="array" ref="E2360">INDEX($A$9:A2359, MAX(IF($D$9:D2359=1, ROW(D$9:$D2359)-ROW($D$9)+1, 0)))</f>
        <v>49388</v>
      </c>
      <c r="F2360" s="23">
        <f t="shared" si="470"/>
        <v>9.0102669404517446</v>
      </c>
      <c r="G2360" s="5">
        <f>INDEX('Default Prob'!$P$5:$P$14,MIN(1+_xlfn.IFNA(MATCH(F2360,'Default Prob'!$F$5:$F$14,1),0),COUNT('Default Prob'!$P$5:$P$14)))</f>
        <v>8.0322462664562722E-2</v>
      </c>
      <c r="H2360" s="5">
        <f t="shared" si="479"/>
        <v>0.76026240076522467</v>
      </c>
      <c r="I2360" s="24">
        <f t="shared" si="480"/>
        <v>1.6720838699335605E-4</v>
      </c>
      <c r="J2360" s="25">
        <f>INDEX('Default Prob'!$C$3:$C$13, _xlfn.IFNA(MATCH(F2360, 'Default Prob'!$B$3:$B$13, 1), 1))</f>
        <v>2.5000000000000001E-2</v>
      </c>
      <c r="K2360" s="26">
        <f t="shared" si="471"/>
        <v>0.80052538877960244</v>
      </c>
      <c r="L2360" s="27">
        <f t="shared" ca="1" si="472"/>
        <v>0</v>
      </c>
      <c r="M2360" s="27">
        <f t="shared" ca="1" si="473"/>
        <v>0</v>
      </c>
      <c r="N2360" s="28">
        <f t="shared" ca="1" si="474"/>
        <v>0</v>
      </c>
      <c r="O2360" s="29">
        <f t="shared" ca="1" si="475"/>
        <v>0</v>
      </c>
      <c r="P2360" s="30">
        <f t="shared" ca="1" si="476"/>
        <v>0</v>
      </c>
    </row>
    <row r="2361" spans="1:16" x14ac:dyDescent="0.25">
      <c r="A2361" s="3">
        <f t="shared" si="477"/>
        <v>49417</v>
      </c>
      <c r="B2361" s="21">
        <f t="shared" si="468"/>
        <v>36634</v>
      </c>
      <c r="C2361" s="21">
        <f t="shared" si="469"/>
        <v>36697</v>
      </c>
      <c r="D2361" s="1">
        <f t="shared" si="478"/>
        <v>0</v>
      </c>
      <c r="E2361" s="3">
        <f t="array" ref="E2361">INDEX($A$9:A2360, MAX(IF($D$9:D2360=1, ROW(D$9:$D2360)-ROW($D$9)+1, 0)))</f>
        <v>49388</v>
      </c>
      <c r="F2361" s="23">
        <f t="shared" si="470"/>
        <v>9.0130047912388775</v>
      </c>
      <c r="G2361" s="5">
        <f>INDEX('Default Prob'!$P$5:$P$14,MIN(1+_xlfn.IFNA(MATCH(F2361,'Default Prob'!$F$5:$F$14,1),0),COUNT('Default Prob'!$P$5:$P$14)))</f>
        <v>8.0322462664562722E-2</v>
      </c>
      <c r="H2361" s="5">
        <f t="shared" si="479"/>
        <v>0.76009522914513827</v>
      </c>
      <c r="I2361" s="24">
        <f t="shared" si="480"/>
        <v>1.6717162008639264E-4</v>
      </c>
      <c r="J2361" s="25">
        <f>INDEX('Default Prob'!$C$3:$C$13, _xlfn.IFNA(MATCH(F2361, 'Default Prob'!$B$3:$B$13, 1), 1))</f>
        <v>2.5000000000000001E-2</v>
      </c>
      <c r="K2361" s="26">
        <f t="shared" si="471"/>
        <v>0.80047127133912099</v>
      </c>
      <c r="L2361" s="27">
        <f t="shared" ca="1" si="472"/>
        <v>0</v>
      </c>
      <c r="M2361" s="27">
        <f t="shared" ca="1" si="473"/>
        <v>0</v>
      </c>
      <c r="N2361" s="28">
        <f t="shared" ca="1" si="474"/>
        <v>0</v>
      </c>
      <c r="O2361" s="29">
        <f t="shared" ca="1" si="475"/>
        <v>0</v>
      </c>
      <c r="P2361" s="30">
        <f t="shared" ca="1" si="476"/>
        <v>0</v>
      </c>
    </row>
    <row r="2362" spans="1:16" x14ac:dyDescent="0.25">
      <c r="A2362" s="3">
        <f t="shared" si="477"/>
        <v>49418</v>
      </c>
      <c r="B2362" s="21">
        <f t="shared" si="468"/>
        <v>36635</v>
      </c>
      <c r="C2362" s="21">
        <f t="shared" si="469"/>
        <v>36697</v>
      </c>
      <c r="D2362" s="1">
        <f t="shared" si="478"/>
        <v>0</v>
      </c>
      <c r="E2362" s="3">
        <f t="array" ref="E2362">INDEX($A$9:A2361, MAX(IF($D$9:D2361=1, ROW(D$9:$D2361)-ROW($D$9)+1, 0)))</f>
        <v>49388</v>
      </c>
      <c r="F2362" s="23">
        <f t="shared" si="470"/>
        <v>9.0157426420260087</v>
      </c>
      <c r="G2362" s="5">
        <f>INDEX('Default Prob'!$P$5:$P$14,MIN(1+_xlfn.IFNA(MATCH(F2362,'Default Prob'!$F$5:$F$14,1),0),COUNT('Default Prob'!$P$5:$P$14)))</f>
        <v>8.0322462664562722E-2</v>
      </c>
      <c r="H2362" s="5">
        <f t="shared" si="479"/>
        <v>0.75992809428387431</v>
      </c>
      <c r="I2362" s="24">
        <f t="shared" si="480"/>
        <v>1.6713486126396226E-4</v>
      </c>
      <c r="J2362" s="25">
        <f>INDEX('Default Prob'!$C$3:$C$13, _xlfn.IFNA(MATCH(F2362, 'Default Prob'!$B$3:$B$13, 1), 1))</f>
        <v>2.5000000000000001E-2</v>
      </c>
      <c r="K2362" s="26">
        <f t="shared" si="471"/>
        <v>0.80041715755710852</v>
      </c>
      <c r="L2362" s="27">
        <f t="shared" ca="1" si="472"/>
        <v>0</v>
      </c>
      <c r="M2362" s="27">
        <f t="shared" ca="1" si="473"/>
        <v>0</v>
      </c>
      <c r="N2362" s="28">
        <f t="shared" ca="1" si="474"/>
        <v>0</v>
      </c>
      <c r="O2362" s="29">
        <f t="shared" ca="1" si="475"/>
        <v>0</v>
      </c>
      <c r="P2362" s="30">
        <f t="shared" ca="1" si="476"/>
        <v>0</v>
      </c>
    </row>
    <row r="2363" spans="1:16" x14ac:dyDescent="0.25">
      <c r="A2363" s="3">
        <f t="shared" si="477"/>
        <v>49419</v>
      </c>
      <c r="B2363" s="21">
        <f t="shared" si="468"/>
        <v>36636</v>
      </c>
      <c r="C2363" s="21">
        <f t="shared" si="469"/>
        <v>36697</v>
      </c>
      <c r="D2363" s="1">
        <f t="shared" si="478"/>
        <v>0</v>
      </c>
      <c r="E2363" s="3">
        <f t="array" ref="E2363">INDEX($A$9:A2362, MAX(IF($D$9:D2362=1, ROW(D$9:$D2362)-ROW($D$9)+1, 0)))</f>
        <v>49388</v>
      </c>
      <c r="F2363" s="23">
        <f t="shared" si="470"/>
        <v>9.0184804928131417</v>
      </c>
      <c r="G2363" s="5">
        <f>INDEX('Default Prob'!$P$5:$P$14,MIN(1+_xlfn.IFNA(MATCH(F2363,'Default Prob'!$F$5:$F$14,1),0),COUNT('Default Prob'!$P$5:$P$14)))</f>
        <v>8.0322462664562722E-2</v>
      </c>
      <c r="H2363" s="5">
        <f t="shared" si="479"/>
        <v>0.75976099617334991</v>
      </c>
      <c r="I2363" s="24">
        <f t="shared" si="480"/>
        <v>1.670981105243996E-4</v>
      </c>
      <c r="J2363" s="25">
        <f>INDEX('Default Prob'!$C$3:$C$13, _xlfn.IFNA(MATCH(F2363, 'Default Prob'!$B$3:$B$13, 1), 1))</f>
        <v>2.5000000000000001E-2</v>
      </c>
      <c r="K2363" s="26">
        <f t="shared" si="471"/>
        <v>0.80036304743331788</v>
      </c>
      <c r="L2363" s="27">
        <f t="shared" ca="1" si="472"/>
        <v>0</v>
      </c>
      <c r="M2363" s="27">
        <f t="shared" ca="1" si="473"/>
        <v>0</v>
      </c>
      <c r="N2363" s="28">
        <f t="shared" ca="1" si="474"/>
        <v>0</v>
      </c>
      <c r="O2363" s="29">
        <f t="shared" ca="1" si="475"/>
        <v>0</v>
      </c>
      <c r="P2363" s="30">
        <f t="shared" ca="1" si="476"/>
        <v>0</v>
      </c>
    </row>
    <row r="2364" spans="1:16" x14ac:dyDescent="0.25">
      <c r="A2364" s="3">
        <f t="shared" si="477"/>
        <v>49422</v>
      </c>
      <c r="B2364" s="21">
        <f t="shared" si="468"/>
        <v>36639</v>
      </c>
      <c r="C2364" s="21">
        <f t="shared" si="469"/>
        <v>36697</v>
      </c>
      <c r="D2364" s="1">
        <f t="shared" si="478"/>
        <v>0</v>
      </c>
      <c r="E2364" s="3">
        <f t="array" ref="E2364">INDEX($A$9:A2363, MAX(IF($D$9:D2363=1, ROW(D$9:$D2363)-ROW($D$9)+1, 0)))</f>
        <v>49388</v>
      </c>
      <c r="F2364" s="23">
        <f t="shared" si="470"/>
        <v>9.0266940451745388</v>
      </c>
      <c r="G2364" s="5">
        <f>INDEX('Default Prob'!$P$5:$P$14,MIN(1+_xlfn.IFNA(MATCH(F2364,'Default Prob'!$F$5:$F$14,1),0),COUNT('Default Prob'!$P$5:$P$14)))</f>
        <v>8.0322462664562722E-2</v>
      </c>
      <c r="H2364" s="5">
        <f t="shared" si="479"/>
        <v>0.75925992226541328</v>
      </c>
      <c r="I2364" s="24">
        <f t="shared" si="480"/>
        <v>5.0107390793663331E-4</v>
      </c>
      <c r="J2364" s="25">
        <f>INDEX('Default Prob'!$C$3:$C$13, _xlfn.IFNA(MATCH(F2364, 'Default Prob'!$B$3:$B$13, 1), 1))</f>
        <v>2.5000000000000001E-2</v>
      </c>
      <c r="K2364" s="26">
        <f t="shared" si="471"/>
        <v>0.80020073900880317</v>
      </c>
      <c r="L2364" s="27">
        <f t="shared" ca="1" si="472"/>
        <v>0</v>
      </c>
      <c r="M2364" s="27">
        <f t="shared" ca="1" si="473"/>
        <v>0</v>
      </c>
      <c r="N2364" s="28">
        <f t="shared" ca="1" si="474"/>
        <v>0</v>
      </c>
      <c r="O2364" s="29">
        <f t="shared" ca="1" si="475"/>
        <v>0</v>
      </c>
      <c r="P2364" s="30">
        <f t="shared" ca="1" si="476"/>
        <v>0</v>
      </c>
    </row>
    <row r="2365" spans="1:16" x14ac:dyDescent="0.25">
      <c r="A2365" s="3">
        <f t="shared" si="477"/>
        <v>49423</v>
      </c>
      <c r="B2365" s="21">
        <f t="shared" si="468"/>
        <v>36640</v>
      </c>
      <c r="C2365" s="21">
        <f t="shared" si="469"/>
        <v>36697</v>
      </c>
      <c r="D2365" s="1">
        <f t="shared" si="478"/>
        <v>0</v>
      </c>
      <c r="E2365" s="3">
        <f t="array" ref="E2365">INDEX($A$9:A2364, MAX(IF($D$9:D2364=1, ROW(D$9:$D2364)-ROW($D$9)+1, 0)))</f>
        <v>49388</v>
      </c>
      <c r="F2365" s="23">
        <f t="shared" si="470"/>
        <v>9.02943189596167</v>
      </c>
      <c r="G2365" s="5">
        <f>INDEX('Default Prob'!$P$5:$P$14,MIN(1+_xlfn.IFNA(MATCH(F2365,'Default Prob'!$F$5:$F$14,1),0),COUNT('Default Prob'!$P$5:$P$14)))</f>
        <v>8.0322462664562722E-2</v>
      </c>
      <c r="H2365" s="5">
        <f t="shared" si="479"/>
        <v>0.7590929710770552</v>
      </c>
      <c r="I2365" s="24">
        <f t="shared" si="480"/>
        <v>1.6695118835807765E-4</v>
      </c>
      <c r="J2365" s="25">
        <f>INDEX('Default Prob'!$C$3:$C$13, _xlfn.IFNA(MATCH(F2365, 'Default Prob'!$B$3:$B$13, 1), 1))</f>
        <v>2.5000000000000001E-2</v>
      </c>
      <c r="K2365" s="26">
        <f t="shared" si="471"/>
        <v>0.80014664351542653</v>
      </c>
      <c r="L2365" s="27">
        <f t="shared" ca="1" si="472"/>
        <v>0</v>
      </c>
      <c r="M2365" s="27">
        <f t="shared" ca="1" si="473"/>
        <v>0</v>
      </c>
      <c r="N2365" s="28">
        <f t="shared" ca="1" si="474"/>
        <v>0</v>
      </c>
      <c r="O2365" s="29">
        <f t="shared" ca="1" si="475"/>
        <v>0</v>
      </c>
      <c r="P2365" s="30">
        <f t="shared" ca="1" si="476"/>
        <v>0</v>
      </c>
    </row>
    <row r="2366" spans="1:16" x14ac:dyDescent="0.25">
      <c r="A2366" s="3">
        <f t="shared" si="477"/>
        <v>49424</v>
      </c>
      <c r="B2366" s="21">
        <f t="shared" si="468"/>
        <v>36641</v>
      </c>
      <c r="C2366" s="21">
        <f t="shared" si="469"/>
        <v>36697</v>
      </c>
      <c r="D2366" s="1">
        <f t="shared" si="478"/>
        <v>0</v>
      </c>
      <c r="E2366" s="3">
        <f t="array" ref="E2366">INDEX($A$9:A2365, MAX(IF($D$9:D2365=1, ROW(D$9:$D2365)-ROW($D$9)+1, 0)))</f>
        <v>49388</v>
      </c>
      <c r="F2366" s="23">
        <f t="shared" si="470"/>
        <v>9.0321697467488029</v>
      </c>
      <c r="G2366" s="5">
        <f>INDEX('Default Prob'!$P$5:$P$14,MIN(1+_xlfn.IFNA(MATCH(F2366,'Default Prob'!$F$5:$F$14,1),0),COUNT('Default Prob'!$P$5:$P$14)))</f>
        <v>8.0322462664562722E-2</v>
      </c>
      <c r="H2366" s="5">
        <f t="shared" si="479"/>
        <v>0.75892605659904933</v>
      </c>
      <c r="I2366" s="24">
        <f t="shared" si="480"/>
        <v>1.6691447800587511E-4</v>
      </c>
      <c r="J2366" s="25">
        <f>INDEX('Default Prob'!$C$3:$C$13, _xlfn.IFNA(MATCH(F2366, 'Default Prob'!$B$3:$B$13, 1), 1))</f>
        <v>2.5000000000000001E-2</v>
      </c>
      <c r="K2366" s="26">
        <f t="shared" si="471"/>
        <v>0.80009255167903515</v>
      </c>
      <c r="L2366" s="27">
        <f t="shared" ca="1" si="472"/>
        <v>0</v>
      </c>
      <c r="M2366" s="27">
        <f t="shared" ca="1" si="473"/>
        <v>0</v>
      </c>
      <c r="N2366" s="28">
        <f t="shared" ca="1" si="474"/>
        <v>0</v>
      </c>
      <c r="O2366" s="29">
        <f t="shared" ca="1" si="475"/>
        <v>0</v>
      </c>
      <c r="P2366" s="30">
        <f t="shared" ca="1" si="476"/>
        <v>0</v>
      </c>
    </row>
    <row r="2367" spans="1:16" x14ac:dyDescent="0.25">
      <c r="A2367" s="3">
        <f t="shared" si="477"/>
        <v>49425</v>
      </c>
      <c r="B2367" s="21">
        <f t="shared" si="468"/>
        <v>36642</v>
      </c>
      <c r="C2367" s="21">
        <f t="shared" si="469"/>
        <v>36697</v>
      </c>
      <c r="D2367" s="1">
        <f t="shared" si="478"/>
        <v>0</v>
      </c>
      <c r="E2367" s="3">
        <f t="array" ref="E2367">INDEX($A$9:A2366, MAX(IF($D$9:D2366=1, ROW(D$9:$D2366)-ROW($D$9)+1, 0)))</f>
        <v>49388</v>
      </c>
      <c r="F2367" s="23">
        <f t="shared" si="470"/>
        <v>9.0349075975359341</v>
      </c>
      <c r="G2367" s="5">
        <f>INDEX('Default Prob'!$P$5:$P$14,MIN(1+_xlfn.IFNA(MATCH(F2367,'Default Prob'!$F$5:$F$14,1),0),COUNT('Default Prob'!$P$5:$P$14)))</f>
        <v>8.0322462664562722E-2</v>
      </c>
      <c r="H2367" s="5">
        <f t="shared" si="479"/>
        <v>0.75875917882332389</v>
      </c>
      <c r="I2367" s="24">
        <f t="shared" si="480"/>
        <v>1.6687777572543805E-4</v>
      </c>
      <c r="J2367" s="25">
        <f>INDEX('Default Prob'!$C$3:$C$13, _xlfn.IFNA(MATCH(F2367, 'Default Prob'!$B$3:$B$13, 1), 1))</f>
        <v>2.5000000000000001E-2</v>
      </c>
      <c r="K2367" s="26">
        <f t="shared" si="471"/>
        <v>0.80003846349938212</v>
      </c>
      <c r="L2367" s="27">
        <f t="shared" ca="1" si="472"/>
        <v>0</v>
      </c>
      <c r="M2367" s="27">
        <f t="shared" ca="1" si="473"/>
        <v>0</v>
      </c>
      <c r="N2367" s="28">
        <f t="shared" ca="1" si="474"/>
        <v>0</v>
      </c>
      <c r="O2367" s="29">
        <f t="shared" ca="1" si="475"/>
        <v>0</v>
      </c>
      <c r="P2367" s="30">
        <f t="shared" ca="1" si="476"/>
        <v>0</v>
      </c>
    </row>
    <row r="2368" spans="1:16" x14ac:dyDescent="0.25">
      <c r="A2368" s="3">
        <f t="shared" si="477"/>
        <v>49426</v>
      </c>
      <c r="B2368" s="21">
        <f t="shared" si="468"/>
        <v>36643</v>
      </c>
      <c r="C2368" s="21">
        <f t="shared" si="469"/>
        <v>36697</v>
      </c>
      <c r="D2368" s="1">
        <f t="shared" si="478"/>
        <v>0</v>
      </c>
      <c r="E2368" s="3">
        <f t="array" ref="E2368">INDEX($A$9:A2367, MAX(IF($D$9:D2367=1, ROW(D$9:$D2367)-ROW($D$9)+1, 0)))</f>
        <v>49388</v>
      </c>
      <c r="F2368" s="23">
        <f t="shared" si="470"/>
        <v>9.037645448323067</v>
      </c>
      <c r="G2368" s="5">
        <f>INDEX('Default Prob'!$P$5:$P$14,MIN(1+_xlfn.IFNA(MATCH(F2368,'Default Prob'!$F$5:$F$14,1),0),COUNT('Default Prob'!$P$5:$P$14)))</f>
        <v>8.0322462664562722E-2</v>
      </c>
      <c r="H2368" s="5">
        <f t="shared" si="479"/>
        <v>0.75859233774180823</v>
      </c>
      <c r="I2368" s="24">
        <f t="shared" si="480"/>
        <v>1.6684108151565624E-4</v>
      </c>
      <c r="J2368" s="25">
        <f>INDEX('Default Prob'!$C$3:$C$13, _xlfn.IFNA(MATCH(F2368, 'Default Prob'!$B$3:$B$13, 1), 1))</f>
        <v>2.5000000000000001E-2</v>
      </c>
      <c r="K2368" s="26">
        <f t="shared" si="471"/>
        <v>0.79998437897621988</v>
      </c>
      <c r="L2368" s="27">
        <f t="shared" ca="1" si="472"/>
        <v>0</v>
      </c>
      <c r="M2368" s="27">
        <f t="shared" ca="1" si="473"/>
        <v>0</v>
      </c>
      <c r="N2368" s="28">
        <f t="shared" ca="1" si="474"/>
        <v>0</v>
      </c>
      <c r="O2368" s="29">
        <f t="shared" ca="1" si="475"/>
        <v>0</v>
      </c>
      <c r="P2368" s="30">
        <f t="shared" ca="1" si="476"/>
        <v>0</v>
      </c>
    </row>
    <row r="2369" spans="1:16" x14ac:dyDescent="0.25">
      <c r="A2369" s="3">
        <f t="shared" si="477"/>
        <v>49429</v>
      </c>
      <c r="B2369" s="21">
        <f t="shared" si="468"/>
        <v>36646</v>
      </c>
      <c r="C2369" s="21">
        <f t="shared" si="469"/>
        <v>36697</v>
      </c>
      <c r="D2369" s="1">
        <f t="shared" si="478"/>
        <v>0</v>
      </c>
      <c r="E2369" s="3">
        <f t="array" ref="E2369">INDEX($A$9:A2368, MAX(IF($D$9:D2368=1, ROW(D$9:$D2368)-ROW($D$9)+1, 0)))</f>
        <v>49388</v>
      </c>
      <c r="F2369" s="23">
        <f t="shared" si="470"/>
        <v>9.0458590006844624</v>
      </c>
      <c r="G2369" s="5">
        <f>INDEX('Default Prob'!$P$5:$P$14,MIN(1+_xlfn.IFNA(MATCH(F2369,'Default Prob'!$F$5:$F$14,1),0),COUNT('Default Prob'!$P$5:$P$14)))</f>
        <v>8.0322462664562722E-2</v>
      </c>
      <c r="H2369" s="5">
        <f t="shared" si="479"/>
        <v>0.75809203458184415</v>
      </c>
      <c r="I2369" s="24">
        <f t="shared" si="480"/>
        <v>5.0030315996407726E-4</v>
      </c>
      <c r="J2369" s="25">
        <f>INDEX('Default Prob'!$C$3:$C$13, _xlfn.IFNA(MATCH(F2369, 'Default Prob'!$B$3:$B$13, 1), 1))</f>
        <v>2.5000000000000001E-2</v>
      </c>
      <c r="K2369" s="26">
        <f t="shared" si="471"/>
        <v>0.79982214734320745</v>
      </c>
      <c r="L2369" s="27">
        <f t="shared" ca="1" si="472"/>
        <v>0</v>
      </c>
      <c r="M2369" s="27">
        <f t="shared" ca="1" si="473"/>
        <v>0</v>
      </c>
      <c r="N2369" s="28">
        <f t="shared" ca="1" si="474"/>
        <v>0</v>
      </c>
      <c r="O2369" s="29">
        <f t="shared" ca="1" si="475"/>
        <v>0</v>
      </c>
      <c r="P2369" s="30">
        <f t="shared" ca="1" si="476"/>
        <v>0</v>
      </c>
    </row>
    <row r="2370" spans="1:16" x14ac:dyDescent="0.25">
      <c r="A2370" s="3">
        <f t="shared" si="477"/>
        <v>49430</v>
      </c>
      <c r="B2370" s="21">
        <f t="shared" si="468"/>
        <v>36647</v>
      </c>
      <c r="C2370" s="21">
        <f t="shared" si="469"/>
        <v>36697</v>
      </c>
      <c r="D2370" s="1">
        <f t="shared" si="478"/>
        <v>0</v>
      </c>
      <c r="E2370" s="3">
        <f t="array" ref="E2370">INDEX($A$9:A2369, MAX(IF($D$9:D2369=1, ROW(D$9:$D2369)-ROW($D$9)+1, 0)))</f>
        <v>49388</v>
      </c>
      <c r="F2370" s="23">
        <f t="shared" si="470"/>
        <v>9.0485968514715953</v>
      </c>
      <c r="G2370" s="5">
        <f>INDEX('Default Prob'!$P$5:$P$14,MIN(1+_xlfn.IFNA(MATCH(F2370,'Default Prob'!$F$5:$F$14,1),0),COUNT('Default Prob'!$P$5:$P$14)))</f>
        <v>8.0322462664562722E-2</v>
      </c>
      <c r="H2370" s="5">
        <f t="shared" si="479"/>
        <v>0.75792534019650015</v>
      </c>
      <c r="I2370" s="24">
        <f t="shared" si="480"/>
        <v>1.6669438534400172E-4</v>
      </c>
      <c r="J2370" s="25">
        <f>INDEX('Default Prob'!$C$3:$C$13, _xlfn.IFNA(MATCH(F2370, 'Default Prob'!$B$3:$B$13, 1), 1))</f>
        <v>2.5000000000000001E-2</v>
      </c>
      <c r="K2370" s="26">
        <f t="shared" si="471"/>
        <v>0.79976807744353751</v>
      </c>
      <c r="L2370" s="27">
        <f t="shared" ca="1" si="472"/>
        <v>0</v>
      </c>
      <c r="M2370" s="27">
        <f t="shared" ca="1" si="473"/>
        <v>0</v>
      </c>
      <c r="N2370" s="28">
        <f t="shared" ca="1" si="474"/>
        <v>0</v>
      </c>
      <c r="O2370" s="29">
        <f t="shared" ca="1" si="475"/>
        <v>0</v>
      </c>
      <c r="P2370" s="30">
        <f t="shared" ca="1" si="476"/>
        <v>0</v>
      </c>
    </row>
    <row r="2371" spans="1:16" x14ac:dyDescent="0.25">
      <c r="A2371" s="3">
        <f t="shared" si="477"/>
        <v>49431</v>
      </c>
      <c r="B2371" s="21">
        <f t="shared" si="468"/>
        <v>36648</v>
      </c>
      <c r="C2371" s="21">
        <f t="shared" si="469"/>
        <v>36697</v>
      </c>
      <c r="D2371" s="1">
        <f t="shared" si="478"/>
        <v>0</v>
      </c>
      <c r="E2371" s="3">
        <f t="array" ref="E2371">INDEX($A$9:A2370, MAX(IF($D$9:D2370=1, ROW(D$9:$D2370)-ROW($D$9)+1, 0)))</f>
        <v>49388</v>
      </c>
      <c r="F2371" s="23">
        <f t="shared" si="470"/>
        <v>9.0513347022587265</v>
      </c>
      <c r="G2371" s="5">
        <f>INDEX('Default Prob'!$P$5:$P$14,MIN(1+_xlfn.IFNA(MATCH(F2371,'Default Prob'!$F$5:$F$14,1),0),COUNT('Default Prob'!$P$5:$P$14)))</f>
        <v>8.0322462664562722E-2</v>
      </c>
      <c r="H2371" s="5">
        <f t="shared" si="479"/>
        <v>0.75775868246504108</v>
      </c>
      <c r="I2371" s="24">
        <f t="shared" si="480"/>
        <v>1.6665773145907448E-4</v>
      </c>
      <c r="J2371" s="25">
        <f>INDEX('Default Prob'!$C$3:$C$13, _xlfn.IFNA(MATCH(F2371, 'Default Prob'!$B$3:$B$13, 1), 1))</f>
        <v>2.5000000000000001E-2</v>
      </c>
      <c r="K2371" s="26">
        <f t="shared" si="471"/>
        <v>0.79971401119912255</v>
      </c>
      <c r="L2371" s="27">
        <f t="shared" ca="1" si="472"/>
        <v>0</v>
      </c>
      <c r="M2371" s="27">
        <f t="shared" ca="1" si="473"/>
        <v>0</v>
      </c>
      <c r="N2371" s="28">
        <f t="shared" ca="1" si="474"/>
        <v>0</v>
      </c>
      <c r="O2371" s="29">
        <f t="shared" ca="1" si="475"/>
        <v>0</v>
      </c>
      <c r="P2371" s="30">
        <f t="shared" ca="1" si="476"/>
        <v>0</v>
      </c>
    </row>
    <row r="2372" spans="1:16" x14ac:dyDescent="0.25">
      <c r="A2372" s="3">
        <f t="shared" si="477"/>
        <v>49432</v>
      </c>
      <c r="B2372" s="21">
        <f t="shared" si="468"/>
        <v>36649</v>
      </c>
      <c r="C2372" s="21">
        <f t="shared" si="469"/>
        <v>36697</v>
      </c>
      <c r="D2372" s="1">
        <f t="shared" si="478"/>
        <v>0</v>
      </c>
      <c r="E2372" s="3">
        <f t="array" ref="E2372">INDEX($A$9:A2371, MAX(IF($D$9:D2371=1, ROW(D$9:$D2371)-ROW($D$9)+1, 0)))</f>
        <v>49388</v>
      </c>
      <c r="F2372" s="23">
        <f t="shared" si="470"/>
        <v>9.0540725530458595</v>
      </c>
      <c r="G2372" s="5">
        <f>INDEX('Default Prob'!$P$5:$P$14,MIN(1+_xlfn.IFNA(MATCH(F2372,'Default Prob'!$F$5:$F$14,1),0),COUNT('Default Prob'!$P$5:$P$14)))</f>
        <v>8.0322462664562722E-2</v>
      </c>
      <c r="H2372" s="5">
        <f t="shared" si="479"/>
        <v>0.75759206137940704</v>
      </c>
      <c r="I2372" s="24">
        <f t="shared" si="480"/>
        <v>1.6662108563403333E-4</v>
      </c>
      <c r="J2372" s="25">
        <f>INDEX('Default Prob'!$C$3:$C$13, _xlfn.IFNA(MATCH(F2372, 'Default Prob'!$B$3:$B$13, 1), 1))</f>
        <v>2.5000000000000001E-2</v>
      </c>
      <c r="K2372" s="26">
        <f t="shared" si="471"/>
        <v>0.79965994860971579</v>
      </c>
      <c r="L2372" s="27">
        <f t="shared" ca="1" si="472"/>
        <v>0</v>
      </c>
      <c r="M2372" s="27">
        <f t="shared" ca="1" si="473"/>
        <v>0</v>
      </c>
      <c r="N2372" s="28">
        <f t="shared" ca="1" si="474"/>
        <v>0</v>
      </c>
      <c r="O2372" s="29">
        <f t="shared" ca="1" si="475"/>
        <v>0</v>
      </c>
      <c r="P2372" s="30">
        <f t="shared" ca="1" si="476"/>
        <v>0</v>
      </c>
    </row>
    <row r="2373" spans="1:16" x14ac:dyDescent="0.25">
      <c r="A2373" s="3">
        <f t="shared" si="477"/>
        <v>49433</v>
      </c>
      <c r="B2373" s="21">
        <f t="shared" si="468"/>
        <v>36650</v>
      </c>
      <c r="C2373" s="21">
        <f t="shared" si="469"/>
        <v>36697</v>
      </c>
      <c r="D2373" s="1">
        <f t="shared" si="478"/>
        <v>0</v>
      </c>
      <c r="E2373" s="3">
        <f t="array" ref="E2373">INDEX($A$9:A2372, MAX(IF($D$9:D2372=1, ROW(D$9:$D2372)-ROW($D$9)+1, 0)))</f>
        <v>49388</v>
      </c>
      <c r="F2373" s="23">
        <f t="shared" si="470"/>
        <v>9.0568104038329906</v>
      </c>
      <c r="G2373" s="5">
        <f>INDEX('Default Prob'!$P$5:$P$14,MIN(1+_xlfn.IFNA(MATCH(F2373,'Default Prob'!$F$5:$F$14,1),0),COUNT('Default Prob'!$P$5:$P$14)))</f>
        <v>8.0322462664562722E-2</v>
      </c>
      <c r="H2373" s="5">
        <f t="shared" si="479"/>
        <v>0.75742547693154028</v>
      </c>
      <c r="I2373" s="24">
        <f t="shared" si="480"/>
        <v>1.6658444786676885E-4</v>
      </c>
      <c r="J2373" s="25">
        <f>INDEX('Default Prob'!$C$3:$C$13, _xlfn.IFNA(MATCH(F2373, 'Default Prob'!$B$3:$B$13, 1), 1))</f>
        <v>2.5000000000000001E-2</v>
      </c>
      <c r="K2373" s="26">
        <f t="shared" si="471"/>
        <v>0.79960588967507007</v>
      </c>
      <c r="L2373" s="27">
        <f t="shared" ca="1" si="472"/>
        <v>0</v>
      </c>
      <c r="M2373" s="27">
        <f t="shared" ca="1" si="473"/>
        <v>0</v>
      </c>
      <c r="N2373" s="28">
        <f t="shared" ca="1" si="474"/>
        <v>0</v>
      </c>
      <c r="O2373" s="29">
        <f t="shared" ca="1" si="475"/>
        <v>0</v>
      </c>
      <c r="P2373" s="30">
        <f t="shared" ca="1" si="476"/>
        <v>0</v>
      </c>
    </row>
    <row r="2374" spans="1:16" x14ac:dyDescent="0.25">
      <c r="A2374" s="3">
        <f t="shared" si="477"/>
        <v>49436</v>
      </c>
      <c r="B2374" s="21">
        <f t="shared" si="468"/>
        <v>36653</v>
      </c>
      <c r="C2374" s="21">
        <f t="shared" si="469"/>
        <v>36697</v>
      </c>
      <c r="D2374" s="1">
        <f t="shared" si="478"/>
        <v>0</v>
      </c>
      <c r="E2374" s="3">
        <f t="array" ref="E2374">INDEX($A$9:A2373, MAX(IF($D$9:D2373=1, ROW(D$9:$D2373)-ROW($D$9)+1, 0)))</f>
        <v>49388</v>
      </c>
      <c r="F2374" s="23">
        <f t="shared" si="470"/>
        <v>9.0650239561943877</v>
      </c>
      <c r="G2374" s="5">
        <f>INDEX('Default Prob'!$P$5:$P$14,MIN(1+_xlfn.IFNA(MATCH(F2374,'Default Prob'!$F$5:$F$14,1),0),COUNT('Default Prob'!$P$5:$P$14)))</f>
        <v>8.0322462664562722E-2</v>
      </c>
      <c r="H2374" s="5">
        <f t="shared" si="479"/>
        <v>0.75692594333398999</v>
      </c>
      <c r="I2374" s="24">
        <f t="shared" si="480"/>
        <v>4.9953359755028348E-4</v>
      </c>
      <c r="J2374" s="25">
        <f>INDEX('Default Prob'!$C$3:$C$13, _xlfn.IFNA(MATCH(F2374, 'Default Prob'!$B$3:$B$13, 1), 1))</f>
        <v>2.5000000000000001E-2</v>
      </c>
      <c r="K2374" s="26">
        <f t="shared" si="471"/>
        <v>0.79944373479722797</v>
      </c>
      <c r="L2374" s="27">
        <f t="shared" ca="1" si="472"/>
        <v>0</v>
      </c>
      <c r="M2374" s="27">
        <f t="shared" ca="1" si="473"/>
        <v>0</v>
      </c>
      <c r="N2374" s="28">
        <f t="shared" ca="1" si="474"/>
        <v>0</v>
      </c>
      <c r="O2374" s="29">
        <f t="shared" ca="1" si="475"/>
        <v>0</v>
      </c>
      <c r="P2374" s="30">
        <f t="shared" ca="1" si="476"/>
        <v>0</v>
      </c>
    </row>
    <row r="2375" spans="1:16" x14ac:dyDescent="0.25">
      <c r="A2375" s="3">
        <f t="shared" si="477"/>
        <v>49437</v>
      </c>
      <c r="B2375" s="21">
        <f t="shared" si="468"/>
        <v>36654</v>
      </c>
      <c r="C2375" s="21">
        <f t="shared" si="469"/>
        <v>36697</v>
      </c>
      <c r="D2375" s="1">
        <f t="shared" si="478"/>
        <v>0</v>
      </c>
      <c r="E2375" s="3">
        <f t="array" ref="E2375">INDEX($A$9:A2374, MAX(IF($D$9:D2374=1, ROW(D$9:$D2374)-ROW($D$9)+1, 0)))</f>
        <v>49388</v>
      </c>
      <c r="F2375" s="23">
        <f t="shared" si="470"/>
        <v>9.0677618069815189</v>
      </c>
      <c r="G2375" s="5">
        <f>INDEX('Default Prob'!$P$5:$P$14,MIN(1+_xlfn.IFNA(MATCH(F2375,'Default Prob'!$F$5:$F$14,1),0),COUNT('Default Prob'!$P$5:$P$14)))</f>
        <v>8.0322462664562722E-2</v>
      </c>
      <c r="H2375" s="5">
        <f t="shared" si="479"/>
        <v>0.75675950535664793</v>
      </c>
      <c r="I2375" s="24">
        <f t="shared" si="480"/>
        <v>1.664379773420599E-4</v>
      </c>
      <c r="J2375" s="25">
        <f>INDEX('Default Prob'!$C$3:$C$13, _xlfn.IFNA(MATCH(F2375, 'Default Prob'!$B$3:$B$13, 1), 1))</f>
        <v>2.5000000000000001E-2</v>
      </c>
      <c r="K2375" s="26">
        <f t="shared" si="471"/>
        <v>0.79938969047915565</v>
      </c>
      <c r="L2375" s="27">
        <f t="shared" ca="1" si="472"/>
        <v>0</v>
      </c>
      <c r="M2375" s="27">
        <f t="shared" ca="1" si="473"/>
        <v>0</v>
      </c>
      <c r="N2375" s="28">
        <f t="shared" ca="1" si="474"/>
        <v>0</v>
      </c>
      <c r="O2375" s="29">
        <f t="shared" ca="1" si="475"/>
        <v>0</v>
      </c>
      <c r="P2375" s="30">
        <f t="shared" ca="1" si="476"/>
        <v>0</v>
      </c>
    </row>
    <row r="2376" spans="1:16" x14ac:dyDescent="0.25">
      <c r="A2376" s="3">
        <f t="shared" si="477"/>
        <v>49438</v>
      </c>
      <c r="B2376" s="21">
        <f t="shared" si="468"/>
        <v>36655</v>
      </c>
      <c r="C2376" s="21">
        <f t="shared" si="469"/>
        <v>36697</v>
      </c>
      <c r="D2376" s="1">
        <f t="shared" si="478"/>
        <v>0</v>
      </c>
      <c r="E2376" s="3">
        <f t="array" ref="E2376">INDEX($A$9:A2375, MAX(IF($D$9:D2375=1, ROW(D$9:$D2375)-ROW($D$9)+1, 0)))</f>
        <v>49388</v>
      </c>
      <c r="F2376" s="23">
        <f t="shared" si="470"/>
        <v>9.0704996577686519</v>
      </c>
      <c r="G2376" s="5">
        <f>INDEX('Default Prob'!$P$5:$P$14,MIN(1+_xlfn.IFNA(MATCH(F2376,'Default Prob'!$F$5:$F$14,1),0),COUNT('Default Prob'!$P$5:$P$14)))</f>
        <v>8.0322462664562722E-2</v>
      </c>
      <c r="H2376" s="5">
        <f t="shared" si="479"/>
        <v>0.7565931039768099</v>
      </c>
      <c r="I2376" s="24">
        <f t="shared" si="480"/>
        <v>1.664013798380326E-4</v>
      </c>
      <c r="J2376" s="25">
        <f>INDEX('Default Prob'!$C$3:$C$13, _xlfn.IFNA(MATCH(F2376, 'Default Prob'!$B$3:$B$13, 1), 1))</f>
        <v>2.5000000000000001E-2</v>
      </c>
      <c r="K2376" s="26">
        <f t="shared" si="471"/>
        <v>0.79933564981460914</v>
      </c>
      <c r="L2376" s="27">
        <f t="shared" ca="1" si="472"/>
        <v>0</v>
      </c>
      <c r="M2376" s="27">
        <f t="shared" ca="1" si="473"/>
        <v>0</v>
      </c>
      <c r="N2376" s="28">
        <f t="shared" ca="1" si="474"/>
        <v>0</v>
      </c>
      <c r="O2376" s="29">
        <f t="shared" ca="1" si="475"/>
        <v>0</v>
      </c>
      <c r="P2376" s="30">
        <f t="shared" ca="1" si="476"/>
        <v>0</v>
      </c>
    </row>
    <row r="2377" spans="1:16" x14ac:dyDescent="0.25">
      <c r="A2377" s="3">
        <f t="shared" si="477"/>
        <v>49439</v>
      </c>
      <c r="B2377" s="21">
        <f t="shared" ref="B2377:B2440" si="481">DATE(2000, MONTH(A2377), DAY(A2377))</f>
        <v>36656</v>
      </c>
      <c r="C2377" s="21">
        <f t="shared" ref="C2377:C2440" si="482">VLOOKUP(B2377, $R$9:$S$13, 2)</f>
        <v>36697</v>
      </c>
      <c r="D2377" s="1">
        <f t="shared" si="478"/>
        <v>0</v>
      </c>
      <c r="E2377" s="3">
        <f t="array" ref="E2377">INDEX($A$9:A2376, MAX(IF($D$9:D2376=1, ROW(D$9:$D2376)-ROW($D$9)+1, 0)))</f>
        <v>49388</v>
      </c>
      <c r="F2377" s="23">
        <f t="shared" ref="F2377:F2440" si="483">(A2377-$A$2)/365.25</f>
        <v>9.073237508555783</v>
      </c>
      <c r="G2377" s="5">
        <f>INDEX('Default Prob'!$P$5:$P$14,MIN(1+_xlfn.IFNA(MATCH(F2377,'Default Prob'!$F$5:$F$14,1),0),COUNT('Default Prob'!$P$5:$P$14)))</f>
        <v>8.0322462664562722E-2</v>
      </c>
      <c r="H2377" s="5">
        <f t="shared" si="479"/>
        <v>0.75642673918642878</v>
      </c>
      <c r="I2377" s="24">
        <f t="shared" si="480"/>
        <v>1.6636479038112384E-4</v>
      </c>
      <c r="J2377" s="25">
        <f>INDEX('Default Prob'!$C$3:$C$13, _xlfn.IFNA(MATCH(F2377, 'Default Prob'!$B$3:$B$13, 1), 1))</f>
        <v>2.5000000000000001E-2</v>
      </c>
      <c r="K2377" s="26">
        <f t="shared" ref="K2377:K2440" si="484">1/((1+J2377)^F2377)</f>
        <v>0.79928161280334142</v>
      </c>
      <c r="L2377" s="27">
        <f t="shared" ref="L2377:L2440" ca="1" si="485">IF(AND(D2377, A2377 &lt;= $G$2), $D$5*$D$2*(A2377-E2377)/365.25, 0)</f>
        <v>0</v>
      </c>
      <c r="M2377" s="27">
        <f t="shared" ref="M2377:M2440" ca="1" si="486">IF(A2377&lt;=$G$2, $D$5*$D$2*(A2377-E2377)/365.25, 0)</f>
        <v>0</v>
      </c>
      <c r="N2377" s="28">
        <f t="shared" ref="N2377:N2440" ca="1" si="487">(L2377*H2377 + M2377*I2377) * K2377</f>
        <v>0</v>
      </c>
      <c r="O2377" s="29">
        <f t="shared" ref="O2377:O2440" ca="1" si="488">IF(A2377&lt;=$G$2, $D$2*(1-$D$3), 0)</f>
        <v>0</v>
      </c>
      <c r="P2377" s="30">
        <f t="shared" ref="P2377:P2440" ca="1" si="489">O2377*I2377*K2377</f>
        <v>0</v>
      </c>
    </row>
    <row r="2378" spans="1:16" x14ac:dyDescent="0.25">
      <c r="A2378" s="3">
        <f t="shared" ref="A2378:A2441" si="490">WORKDAY(A2377, 1)</f>
        <v>49440</v>
      </c>
      <c r="B2378" s="21">
        <f t="shared" si="481"/>
        <v>36657</v>
      </c>
      <c r="C2378" s="21">
        <f t="shared" si="482"/>
        <v>36697</v>
      </c>
      <c r="D2378" s="1">
        <f t="shared" ref="D2378:D2441" si="491">IF(OR(C2378=B2378, AND(C2378&lt;&gt;C2377, C2377&gt;B2377)), 1, 0)</f>
        <v>0</v>
      </c>
      <c r="E2378" s="3">
        <f t="array" ref="E2378">INDEX($A$9:A2377, MAX(IF($D$9:D2377=1, ROW(D$9:$D2377)-ROW($D$9)+1, 0)))</f>
        <v>49388</v>
      </c>
      <c r="F2378" s="23">
        <f t="shared" si="483"/>
        <v>9.075975359342916</v>
      </c>
      <c r="G2378" s="5">
        <f>INDEX('Default Prob'!$P$5:$P$14,MIN(1+_xlfn.IFNA(MATCH(F2378,'Default Prob'!$F$5:$F$14,1),0),COUNT('Default Prob'!$P$5:$P$14)))</f>
        <v>8.0322462664562722E-2</v>
      </c>
      <c r="H2378" s="5">
        <f t="shared" ref="H2378:H2441" si="492">H2377*EXP(-G2377*(F2378-F2377))</f>
        <v>0.75626041097745877</v>
      </c>
      <c r="I2378" s="24">
        <f t="shared" ref="I2378:I2441" si="493">H2377-H2378</f>
        <v>1.6632820897000133E-4</v>
      </c>
      <c r="J2378" s="25">
        <f>INDEX('Default Prob'!$C$3:$C$13, _xlfn.IFNA(MATCH(F2378, 'Default Prob'!$B$3:$B$13, 1), 1))</f>
        <v>2.5000000000000001E-2</v>
      </c>
      <c r="K2378" s="26">
        <f t="shared" si="484"/>
        <v>0.79922757944510558</v>
      </c>
      <c r="L2378" s="27">
        <f t="shared" ca="1" si="485"/>
        <v>0</v>
      </c>
      <c r="M2378" s="27">
        <f t="shared" ca="1" si="486"/>
        <v>0</v>
      </c>
      <c r="N2378" s="28">
        <f t="shared" ca="1" si="487"/>
        <v>0</v>
      </c>
      <c r="O2378" s="29">
        <f t="shared" ca="1" si="488"/>
        <v>0</v>
      </c>
      <c r="P2378" s="30">
        <f t="shared" ca="1" si="489"/>
        <v>0</v>
      </c>
    </row>
    <row r="2379" spans="1:16" x14ac:dyDescent="0.25">
      <c r="A2379" s="3">
        <f t="shared" si="490"/>
        <v>49443</v>
      </c>
      <c r="B2379" s="21">
        <f t="shared" si="481"/>
        <v>36660</v>
      </c>
      <c r="C2379" s="21">
        <f t="shared" si="482"/>
        <v>36697</v>
      </c>
      <c r="D2379" s="1">
        <f t="shared" si="491"/>
        <v>0</v>
      </c>
      <c r="E2379" s="3">
        <f t="array" ref="E2379">INDEX($A$9:A2378, MAX(IF($D$9:D2378=1, ROW(D$9:$D2378)-ROW($D$9)+1, 0)))</f>
        <v>49388</v>
      </c>
      <c r="F2379" s="23">
        <f t="shared" si="483"/>
        <v>9.0841889117043113</v>
      </c>
      <c r="G2379" s="5">
        <f>INDEX('Default Prob'!$P$5:$P$14,MIN(1+_xlfn.IFNA(MATCH(F2379,'Default Prob'!$F$5:$F$14,1),0),COUNT('Default Prob'!$P$5:$P$14)))</f>
        <v>8.0322462664562722E-2</v>
      </c>
      <c r="H2379" s="5">
        <f t="shared" si="492"/>
        <v>0.75576164575858762</v>
      </c>
      <c r="I2379" s="24">
        <f t="shared" si="493"/>
        <v>4.9876521887115555E-4</v>
      </c>
      <c r="J2379" s="25">
        <f>INDEX('Default Prob'!$C$3:$C$13, _xlfn.IFNA(MATCH(F2379, 'Default Prob'!$B$3:$B$13, 1), 1))</f>
        <v>2.5000000000000001E-2</v>
      </c>
      <c r="K2379" s="26">
        <f t="shared" si="484"/>
        <v>0.79906550128611953</v>
      </c>
      <c r="L2379" s="27">
        <f t="shared" ca="1" si="485"/>
        <v>0</v>
      </c>
      <c r="M2379" s="27">
        <f t="shared" ca="1" si="486"/>
        <v>0</v>
      </c>
      <c r="N2379" s="28">
        <f t="shared" ca="1" si="487"/>
        <v>0</v>
      </c>
      <c r="O2379" s="29">
        <f t="shared" ca="1" si="488"/>
        <v>0</v>
      </c>
      <c r="P2379" s="30">
        <f t="shared" ca="1" si="489"/>
        <v>0</v>
      </c>
    </row>
    <row r="2380" spans="1:16" x14ac:dyDescent="0.25">
      <c r="A2380" s="3">
        <f t="shared" si="490"/>
        <v>49444</v>
      </c>
      <c r="B2380" s="21">
        <f t="shared" si="481"/>
        <v>36661</v>
      </c>
      <c r="C2380" s="21">
        <f t="shared" si="482"/>
        <v>36697</v>
      </c>
      <c r="D2380" s="1">
        <f t="shared" si="491"/>
        <v>0</v>
      </c>
      <c r="E2380" s="3">
        <f t="array" ref="E2380">INDEX($A$9:A2379, MAX(IF($D$9:D2379=1, ROW(D$9:$D2379)-ROW($D$9)+1, 0)))</f>
        <v>49388</v>
      </c>
      <c r="F2380" s="23">
        <f t="shared" si="483"/>
        <v>9.0869267624914443</v>
      </c>
      <c r="G2380" s="5">
        <f>INDEX('Default Prob'!$P$5:$P$14,MIN(1+_xlfn.IFNA(MATCH(F2380,'Default Prob'!$F$5:$F$14,1),0),COUNT('Default Prob'!$P$5:$P$14)))</f>
        <v>8.0322462664562722E-2</v>
      </c>
      <c r="H2380" s="5">
        <f t="shared" si="492"/>
        <v>0.75559546379484266</v>
      </c>
      <c r="I2380" s="24">
        <f t="shared" si="493"/>
        <v>1.6618196374496019E-4</v>
      </c>
      <c r="J2380" s="25">
        <f>INDEX('Default Prob'!$C$3:$C$13, _xlfn.IFNA(MATCH(F2380, 'Default Prob'!$B$3:$B$13, 1), 1))</f>
        <v>2.5000000000000001E-2</v>
      </c>
      <c r="K2380" s="26">
        <f t="shared" si="484"/>
        <v>0.79901148253754184</v>
      </c>
      <c r="L2380" s="27">
        <f t="shared" ca="1" si="485"/>
        <v>0</v>
      </c>
      <c r="M2380" s="27">
        <f t="shared" ca="1" si="486"/>
        <v>0</v>
      </c>
      <c r="N2380" s="28">
        <f t="shared" ca="1" si="487"/>
        <v>0</v>
      </c>
      <c r="O2380" s="29">
        <f t="shared" ca="1" si="488"/>
        <v>0</v>
      </c>
      <c r="P2380" s="30">
        <f t="shared" ca="1" si="489"/>
        <v>0</v>
      </c>
    </row>
    <row r="2381" spans="1:16" x14ac:dyDescent="0.25">
      <c r="A2381" s="3">
        <f t="shared" si="490"/>
        <v>49445</v>
      </c>
      <c r="B2381" s="21">
        <f t="shared" si="481"/>
        <v>36662</v>
      </c>
      <c r="C2381" s="21">
        <f t="shared" si="482"/>
        <v>36697</v>
      </c>
      <c r="D2381" s="1">
        <f t="shared" si="491"/>
        <v>0</v>
      </c>
      <c r="E2381" s="3">
        <f t="array" ref="E2381">INDEX($A$9:A2380, MAX(IF($D$9:D2380=1, ROW(D$9:$D2380)-ROW($D$9)+1, 0)))</f>
        <v>49388</v>
      </c>
      <c r="F2381" s="23">
        <f t="shared" si="483"/>
        <v>9.0896646132785754</v>
      </c>
      <c r="G2381" s="5">
        <f>INDEX('Default Prob'!$P$5:$P$14,MIN(1+_xlfn.IFNA(MATCH(F2381,'Default Prob'!$F$5:$F$14,1),0),COUNT('Default Prob'!$P$5:$P$14)))</f>
        <v>8.0322462664562722E-2</v>
      </c>
      <c r="H2381" s="5">
        <f t="shared" si="492"/>
        <v>0.75542931837230787</v>
      </c>
      <c r="I2381" s="24">
        <f t="shared" si="493"/>
        <v>1.6614542253479136E-4</v>
      </c>
      <c r="J2381" s="25">
        <f>INDEX('Default Prob'!$C$3:$C$13, _xlfn.IFNA(MATCH(F2381, 'Default Prob'!$B$3:$B$13, 1), 1))</f>
        <v>2.5000000000000001E-2</v>
      </c>
      <c r="K2381" s="26">
        <f t="shared" si="484"/>
        <v>0.79895746744076113</v>
      </c>
      <c r="L2381" s="27">
        <f t="shared" ca="1" si="485"/>
        <v>0</v>
      </c>
      <c r="M2381" s="27">
        <f t="shared" ca="1" si="486"/>
        <v>0</v>
      </c>
      <c r="N2381" s="28">
        <f t="shared" ca="1" si="487"/>
        <v>0</v>
      </c>
      <c r="O2381" s="29">
        <f t="shared" ca="1" si="488"/>
        <v>0</v>
      </c>
      <c r="P2381" s="30">
        <f t="shared" ca="1" si="489"/>
        <v>0</v>
      </c>
    </row>
    <row r="2382" spans="1:16" x14ac:dyDescent="0.25">
      <c r="A2382" s="3">
        <f t="shared" si="490"/>
        <v>49446</v>
      </c>
      <c r="B2382" s="21">
        <f t="shared" si="481"/>
        <v>36663</v>
      </c>
      <c r="C2382" s="21">
        <f t="shared" si="482"/>
        <v>36697</v>
      </c>
      <c r="D2382" s="1">
        <f t="shared" si="491"/>
        <v>0</v>
      </c>
      <c r="E2382" s="3">
        <f t="array" ref="E2382">INDEX($A$9:A2381, MAX(IF($D$9:D2381=1, ROW(D$9:$D2381)-ROW($D$9)+1, 0)))</f>
        <v>49388</v>
      </c>
      <c r="F2382" s="23">
        <f t="shared" si="483"/>
        <v>9.0924024640657084</v>
      </c>
      <c r="G2382" s="5">
        <f>INDEX('Default Prob'!$P$5:$P$14,MIN(1+_xlfn.IFNA(MATCH(F2382,'Default Prob'!$F$5:$F$14,1),0),COUNT('Default Prob'!$P$5:$P$14)))</f>
        <v>8.0322462664562722E-2</v>
      </c>
      <c r="H2382" s="5">
        <f t="shared" si="492"/>
        <v>0.75526320948294812</v>
      </c>
      <c r="I2382" s="24">
        <f t="shared" si="493"/>
        <v>1.6610888935975066E-4</v>
      </c>
      <c r="J2382" s="25">
        <f>INDEX('Default Prob'!$C$3:$C$13, _xlfn.IFNA(MATCH(F2382, 'Default Prob'!$B$3:$B$13, 1), 1))</f>
        <v>2.5000000000000001E-2</v>
      </c>
      <c r="K2382" s="26">
        <f t="shared" si="484"/>
        <v>0.79890345599553092</v>
      </c>
      <c r="L2382" s="27">
        <f t="shared" ca="1" si="485"/>
        <v>0</v>
      </c>
      <c r="M2382" s="27">
        <f t="shared" ca="1" si="486"/>
        <v>0</v>
      </c>
      <c r="N2382" s="28">
        <f t="shared" ca="1" si="487"/>
        <v>0</v>
      </c>
      <c r="O2382" s="29">
        <f t="shared" ca="1" si="488"/>
        <v>0</v>
      </c>
      <c r="P2382" s="30">
        <f t="shared" ca="1" si="489"/>
        <v>0</v>
      </c>
    </row>
    <row r="2383" spans="1:16" x14ac:dyDescent="0.25">
      <c r="A2383" s="3">
        <f t="shared" si="490"/>
        <v>49447</v>
      </c>
      <c r="B2383" s="21">
        <f t="shared" si="481"/>
        <v>36664</v>
      </c>
      <c r="C2383" s="21">
        <f t="shared" si="482"/>
        <v>36697</v>
      </c>
      <c r="D2383" s="1">
        <f t="shared" si="491"/>
        <v>0</v>
      </c>
      <c r="E2383" s="3">
        <f t="array" ref="E2383">INDEX($A$9:A2382, MAX(IF($D$9:D2382=1, ROW(D$9:$D2382)-ROW($D$9)+1, 0)))</f>
        <v>49388</v>
      </c>
      <c r="F2383" s="23">
        <f t="shared" si="483"/>
        <v>9.0951403148528414</v>
      </c>
      <c r="G2383" s="5">
        <f>INDEX('Default Prob'!$P$5:$P$14,MIN(1+_xlfn.IFNA(MATCH(F2383,'Default Prob'!$F$5:$F$14,1),0),COUNT('Default Prob'!$P$5:$P$14)))</f>
        <v>8.0322462664562722E-2</v>
      </c>
      <c r="H2383" s="5">
        <f t="shared" si="492"/>
        <v>0.75509713711873039</v>
      </c>
      <c r="I2383" s="24">
        <f t="shared" si="493"/>
        <v>1.6607236421772864E-4</v>
      </c>
      <c r="J2383" s="25">
        <f>INDEX('Default Prob'!$C$3:$C$13, _xlfn.IFNA(MATCH(F2383, 'Default Prob'!$B$3:$B$13, 1), 1))</f>
        <v>2.5000000000000001E-2</v>
      </c>
      <c r="K2383" s="26">
        <f t="shared" si="484"/>
        <v>0.7988494482016042</v>
      </c>
      <c r="L2383" s="27">
        <f t="shared" ca="1" si="485"/>
        <v>0</v>
      </c>
      <c r="M2383" s="27">
        <f t="shared" ca="1" si="486"/>
        <v>0</v>
      </c>
      <c r="N2383" s="28">
        <f t="shared" ca="1" si="487"/>
        <v>0</v>
      </c>
      <c r="O2383" s="29">
        <f t="shared" ca="1" si="488"/>
        <v>0</v>
      </c>
      <c r="P2383" s="30">
        <f t="shared" ca="1" si="489"/>
        <v>0</v>
      </c>
    </row>
    <row r="2384" spans="1:16" x14ac:dyDescent="0.25">
      <c r="A2384" s="3">
        <f t="shared" si="490"/>
        <v>49450</v>
      </c>
      <c r="B2384" s="21">
        <f t="shared" si="481"/>
        <v>36667</v>
      </c>
      <c r="C2384" s="21">
        <f t="shared" si="482"/>
        <v>36697</v>
      </c>
      <c r="D2384" s="1">
        <f t="shared" si="491"/>
        <v>0</v>
      </c>
      <c r="E2384" s="3">
        <f t="array" ref="E2384">INDEX($A$9:A2383, MAX(IF($D$9:D2383=1, ROW(D$9:$D2383)-ROW($D$9)+1, 0)))</f>
        <v>49388</v>
      </c>
      <c r="F2384" s="23">
        <f t="shared" si="483"/>
        <v>9.1033538672142367</v>
      </c>
      <c r="G2384" s="5">
        <f>INDEX('Default Prob'!$P$5:$P$14,MIN(1+_xlfn.IFNA(MATCH(F2384,'Default Prob'!$F$5:$F$14,1),0),COUNT('Default Prob'!$P$5:$P$14)))</f>
        <v>8.0322462664562722E-2</v>
      </c>
      <c r="H2384" s="5">
        <f t="shared" si="492"/>
        <v>0.75459913909662413</v>
      </c>
      <c r="I2384" s="24">
        <f t="shared" si="493"/>
        <v>4.9799802210626076E-4</v>
      </c>
      <c r="J2384" s="25">
        <f>INDEX('Default Prob'!$C$3:$C$13, _xlfn.IFNA(MATCH(F2384, 'Default Prob'!$B$3:$B$13, 1), 1))</f>
        <v>2.5000000000000001E-2</v>
      </c>
      <c r="K2384" s="26">
        <f t="shared" si="484"/>
        <v>0.798687446725177</v>
      </c>
      <c r="L2384" s="27">
        <f t="shared" ca="1" si="485"/>
        <v>0</v>
      </c>
      <c r="M2384" s="27">
        <f t="shared" ca="1" si="486"/>
        <v>0</v>
      </c>
      <c r="N2384" s="28">
        <f t="shared" ca="1" si="487"/>
        <v>0</v>
      </c>
      <c r="O2384" s="29">
        <f t="shared" ca="1" si="488"/>
        <v>0</v>
      </c>
      <c r="P2384" s="30">
        <f t="shared" ca="1" si="489"/>
        <v>0</v>
      </c>
    </row>
    <row r="2385" spans="1:16" x14ac:dyDescent="0.25">
      <c r="A2385" s="3">
        <f t="shared" si="490"/>
        <v>49451</v>
      </c>
      <c r="B2385" s="21">
        <f t="shared" si="481"/>
        <v>36668</v>
      </c>
      <c r="C2385" s="21">
        <f t="shared" si="482"/>
        <v>36697</v>
      </c>
      <c r="D2385" s="1">
        <f t="shared" si="491"/>
        <v>0</v>
      </c>
      <c r="E2385" s="3">
        <f t="array" ref="E2385">INDEX($A$9:A2384, MAX(IF($D$9:D2384=1, ROW(D$9:$D2384)-ROW($D$9)+1, 0)))</f>
        <v>49388</v>
      </c>
      <c r="F2385" s="23">
        <f t="shared" si="483"/>
        <v>9.1060917180013696</v>
      </c>
      <c r="G2385" s="5">
        <f>INDEX('Default Prob'!$P$5:$P$14,MIN(1+_xlfn.IFNA(MATCH(F2385,'Default Prob'!$F$5:$F$14,1),0),COUNT('Default Prob'!$P$5:$P$14)))</f>
        <v>8.0322462664562722E-2</v>
      </c>
      <c r="H2385" s="5">
        <f t="shared" si="492"/>
        <v>0.75443321275267805</v>
      </c>
      <c r="I2385" s="24">
        <f t="shared" si="493"/>
        <v>1.6592634394607675E-4</v>
      </c>
      <c r="J2385" s="25">
        <f>INDEX('Default Prob'!$C$3:$C$13, _xlfn.IFNA(MATCH(F2385, 'Default Prob'!$B$3:$B$13, 1), 1))</f>
        <v>2.5000000000000001E-2</v>
      </c>
      <c r="K2385" s="26">
        <f t="shared" si="484"/>
        <v>0.79863345353399606</v>
      </c>
      <c r="L2385" s="27">
        <f t="shared" ca="1" si="485"/>
        <v>0</v>
      </c>
      <c r="M2385" s="27">
        <f t="shared" ca="1" si="486"/>
        <v>0</v>
      </c>
      <c r="N2385" s="28">
        <f t="shared" ca="1" si="487"/>
        <v>0</v>
      </c>
      <c r="O2385" s="29">
        <f t="shared" ca="1" si="488"/>
        <v>0</v>
      </c>
      <c r="P2385" s="30">
        <f t="shared" ca="1" si="489"/>
        <v>0</v>
      </c>
    </row>
    <row r="2386" spans="1:16" x14ac:dyDescent="0.25">
      <c r="A2386" s="3">
        <f t="shared" si="490"/>
        <v>49452</v>
      </c>
      <c r="B2386" s="21">
        <f t="shared" si="481"/>
        <v>36669</v>
      </c>
      <c r="C2386" s="21">
        <f t="shared" si="482"/>
        <v>36697</v>
      </c>
      <c r="D2386" s="1">
        <f t="shared" si="491"/>
        <v>0</v>
      </c>
      <c r="E2386" s="3">
        <f t="array" ref="E2386">INDEX($A$9:A2385, MAX(IF($D$9:D2385=1, ROW(D$9:$D2385)-ROW($D$9)+1, 0)))</f>
        <v>49388</v>
      </c>
      <c r="F2386" s="23">
        <f t="shared" si="483"/>
        <v>9.1088295687885008</v>
      </c>
      <c r="G2386" s="5">
        <f>INDEX('Default Prob'!$P$5:$P$14,MIN(1+_xlfn.IFNA(MATCH(F2386,'Default Prob'!$F$5:$F$14,1),0),COUNT('Default Prob'!$P$5:$P$14)))</f>
        <v>8.0322462664562722E-2</v>
      </c>
      <c r="H2386" s="5">
        <f t="shared" si="492"/>
        <v>0.75426732289373477</v>
      </c>
      <c r="I2386" s="24">
        <f t="shared" si="493"/>
        <v>1.6588985894328001E-4</v>
      </c>
      <c r="J2386" s="25">
        <f>INDEX('Default Prob'!$C$3:$C$13, _xlfn.IFNA(MATCH(F2386, 'Default Prob'!$B$3:$B$13, 1), 1))</f>
        <v>2.5000000000000001E-2</v>
      </c>
      <c r="K2386" s="26">
        <f t="shared" si="484"/>
        <v>0.79857946399288482</v>
      </c>
      <c r="L2386" s="27">
        <f t="shared" ca="1" si="485"/>
        <v>0</v>
      </c>
      <c r="M2386" s="27">
        <f t="shared" ca="1" si="486"/>
        <v>0</v>
      </c>
      <c r="N2386" s="28">
        <f t="shared" ca="1" si="487"/>
        <v>0</v>
      </c>
      <c r="O2386" s="29">
        <f t="shared" ca="1" si="488"/>
        <v>0</v>
      </c>
      <c r="P2386" s="30">
        <f t="shared" ca="1" si="489"/>
        <v>0</v>
      </c>
    </row>
    <row r="2387" spans="1:16" x14ac:dyDescent="0.25">
      <c r="A2387" s="3">
        <f t="shared" si="490"/>
        <v>49453</v>
      </c>
      <c r="B2387" s="21">
        <f t="shared" si="481"/>
        <v>36670</v>
      </c>
      <c r="C2387" s="21">
        <f t="shared" si="482"/>
        <v>36697</v>
      </c>
      <c r="D2387" s="1">
        <f t="shared" si="491"/>
        <v>0</v>
      </c>
      <c r="E2387" s="3">
        <f t="array" ref="E2387">INDEX($A$9:A2386, MAX(IF($D$9:D2386=1, ROW(D$9:$D2386)-ROW($D$9)+1, 0)))</f>
        <v>49388</v>
      </c>
      <c r="F2387" s="23">
        <f t="shared" si="483"/>
        <v>9.1115674195756338</v>
      </c>
      <c r="G2387" s="5">
        <f>INDEX('Default Prob'!$P$5:$P$14,MIN(1+_xlfn.IFNA(MATCH(F2387,'Default Prob'!$F$5:$F$14,1),0),COUNT('Default Prob'!$P$5:$P$14)))</f>
        <v>8.0322462664562722E-2</v>
      </c>
      <c r="H2387" s="5">
        <f t="shared" si="492"/>
        <v>0.75410146951177148</v>
      </c>
      <c r="I2387" s="24">
        <f t="shared" si="493"/>
        <v>1.6585338196328792E-4</v>
      </c>
      <c r="J2387" s="25">
        <f>INDEX('Default Prob'!$C$3:$C$13, _xlfn.IFNA(MATCH(F2387, 'Default Prob'!$B$3:$B$13, 1), 1))</f>
        <v>2.5000000000000001E-2</v>
      </c>
      <c r="K2387" s="26">
        <f t="shared" si="484"/>
        <v>0.79852547810159624</v>
      </c>
      <c r="L2387" s="27">
        <f t="shared" ca="1" si="485"/>
        <v>0</v>
      </c>
      <c r="M2387" s="27">
        <f t="shared" ca="1" si="486"/>
        <v>0</v>
      </c>
      <c r="N2387" s="28">
        <f t="shared" ca="1" si="487"/>
        <v>0</v>
      </c>
      <c r="O2387" s="29">
        <f t="shared" ca="1" si="488"/>
        <v>0</v>
      </c>
      <c r="P2387" s="30">
        <f t="shared" ca="1" si="489"/>
        <v>0</v>
      </c>
    </row>
    <row r="2388" spans="1:16" x14ac:dyDescent="0.25">
      <c r="A2388" s="3">
        <f t="shared" si="490"/>
        <v>49454</v>
      </c>
      <c r="B2388" s="21">
        <f t="shared" si="481"/>
        <v>36671</v>
      </c>
      <c r="C2388" s="21">
        <f t="shared" si="482"/>
        <v>36697</v>
      </c>
      <c r="D2388" s="1">
        <f t="shared" si="491"/>
        <v>0</v>
      </c>
      <c r="E2388" s="3">
        <f t="array" ref="E2388">INDEX($A$9:A2387, MAX(IF($D$9:D2387=1, ROW(D$9:$D2387)-ROW($D$9)+1, 0)))</f>
        <v>49388</v>
      </c>
      <c r="F2388" s="23">
        <f t="shared" si="483"/>
        <v>9.1143052703627649</v>
      </c>
      <c r="G2388" s="5">
        <f>INDEX('Default Prob'!$P$5:$P$14,MIN(1+_xlfn.IFNA(MATCH(F2388,'Default Prob'!$F$5:$F$14,1),0),COUNT('Default Prob'!$P$5:$P$14)))</f>
        <v>8.0322462664562722E-2</v>
      </c>
      <c r="H2388" s="5">
        <f t="shared" si="492"/>
        <v>0.7539356525987676</v>
      </c>
      <c r="I2388" s="24">
        <f t="shared" si="493"/>
        <v>1.6581691300388002E-4</v>
      </c>
      <c r="J2388" s="25">
        <f>INDEX('Default Prob'!$C$3:$C$13, _xlfn.IFNA(MATCH(F2388, 'Default Prob'!$B$3:$B$13, 1), 1))</f>
        <v>2.5000000000000001E-2</v>
      </c>
      <c r="K2388" s="26">
        <f t="shared" si="484"/>
        <v>0.79847149585988375</v>
      </c>
      <c r="L2388" s="27">
        <f t="shared" ca="1" si="485"/>
        <v>0</v>
      </c>
      <c r="M2388" s="27">
        <f t="shared" ca="1" si="486"/>
        <v>0</v>
      </c>
      <c r="N2388" s="28">
        <f t="shared" ca="1" si="487"/>
        <v>0</v>
      </c>
      <c r="O2388" s="29">
        <f t="shared" ca="1" si="488"/>
        <v>0</v>
      </c>
      <c r="P2388" s="30">
        <f t="shared" ca="1" si="489"/>
        <v>0</v>
      </c>
    </row>
    <row r="2389" spans="1:16" x14ac:dyDescent="0.25">
      <c r="A2389" s="3">
        <f t="shared" si="490"/>
        <v>49457</v>
      </c>
      <c r="B2389" s="21">
        <f t="shared" si="481"/>
        <v>36674</v>
      </c>
      <c r="C2389" s="21">
        <f t="shared" si="482"/>
        <v>36697</v>
      </c>
      <c r="D2389" s="1">
        <f t="shared" si="491"/>
        <v>0</v>
      </c>
      <c r="E2389" s="3">
        <f t="array" ref="E2389">INDEX($A$9:A2388, MAX(IF($D$9:D2388=1, ROW(D$9:$D2388)-ROW($D$9)+1, 0)))</f>
        <v>49388</v>
      </c>
      <c r="F2389" s="23">
        <f t="shared" si="483"/>
        <v>9.122518822724162</v>
      </c>
      <c r="G2389" s="5">
        <f>INDEX('Default Prob'!$P$5:$P$14,MIN(1+_xlfn.IFNA(MATCH(F2389,'Default Prob'!$F$5:$F$14,1),0),COUNT('Default Prob'!$P$5:$P$14)))</f>
        <v>8.0322462664562722E-2</v>
      </c>
      <c r="H2389" s="5">
        <f t="shared" si="492"/>
        <v>0.75343842059333022</v>
      </c>
      <c r="I2389" s="24">
        <f t="shared" si="493"/>
        <v>4.9723200543738688E-4</v>
      </c>
      <c r="J2389" s="25">
        <f>INDEX('Default Prob'!$C$3:$C$13, _xlfn.IFNA(MATCH(F2389, 'Default Prob'!$B$3:$B$13, 1), 1))</f>
        <v>2.5000000000000001E-2</v>
      </c>
      <c r="K2389" s="26">
        <f t="shared" si="484"/>
        <v>0.79830957102973521</v>
      </c>
      <c r="L2389" s="27">
        <f t="shared" ca="1" si="485"/>
        <v>0</v>
      </c>
      <c r="M2389" s="27">
        <f t="shared" ca="1" si="486"/>
        <v>0</v>
      </c>
      <c r="N2389" s="28">
        <f t="shared" ca="1" si="487"/>
        <v>0</v>
      </c>
      <c r="O2389" s="29">
        <f t="shared" ca="1" si="488"/>
        <v>0</v>
      </c>
      <c r="P2389" s="30">
        <f t="shared" ca="1" si="489"/>
        <v>0</v>
      </c>
    </row>
    <row r="2390" spans="1:16" x14ac:dyDescent="0.25">
      <c r="A2390" s="3">
        <f t="shared" si="490"/>
        <v>49458</v>
      </c>
      <c r="B2390" s="21">
        <f t="shared" si="481"/>
        <v>36675</v>
      </c>
      <c r="C2390" s="21">
        <f t="shared" si="482"/>
        <v>36697</v>
      </c>
      <c r="D2390" s="1">
        <f t="shared" si="491"/>
        <v>0</v>
      </c>
      <c r="E2390" s="3">
        <f t="array" ref="E2390">INDEX($A$9:A2389, MAX(IF($D$9:D2389=1, ROW(D$9:$D2389)-ROW($D$9)+1, 0)))</f>
        <v>49388</v>
      </c>
      <c r="F2390" s="23">
        <f t="shared" si="483"/>
        <v>9.1252566735112932</v>
      </c>
      <c r="G2390" s="5">
        <f>INDEX('Default Prob'!$P$5:$P$14,MIN(1+_xlfn.IFNA(MATCH(F2390,'Default Prob'!$F$5:$F$14,1),0),COUNT('Default Prob'!$P$5:$P$14)))</f>
        <v>8.0322462664562722E-2</v>
      </c>
      <c r="H2390" s="5">
        <f t="shared" si="492"/>
        <v>0.75327274947599088</v>
      </c>
      <c r="I2390" s="24">
        <f t="shared" si="493"/>
        <v>1.6567111733933881E-4</v>
      </c>
      <c r="J2390" s="25">
        <f>INDEX('Default Prob'!$C$3:$C$13, _xlfn.IFNA(MATCH(F2390, 'Default Prob'!$B$3:$B$13, 1), 1))</f>
        <v>2.5000000000000001E-2</v>
      </c>
      <c r="K2390" s="26">
        <f t="shared" si="484"/>
        <v>0.79825560338385959</v>
      </c>
      <c r="L2390" s="27">
        <f t="shared" ca="1" si="485"/>
        <v>0</v>
      </c>
      <c r="M2390" s="27">
        <f t="shared" ca="1" si="486"/>
        <v>0</v>
      </c>
      <c r="N2390" s="28">
        <f t="shared" ca="1" si="487"/>
        <v>0</v>
      </c>
      <c r="O2390" s="29">
        <f t="shared" ca="1" si="488"/>
        <v>0</v>
      </c>
      <c r="P2390" s="30">
        <f t="shared" ca="1" si="489"/>
        <v>0</v>
      </c>
    </row>
    <row r="2391" spans="1:16" x14ac:dyDescent="0.25">
      <c r="A2391" s="3">
        <f t="shared" si="490"/>
        <v>49459</v>
      </c>
      <c r="B2391" s="21">
        <f t="shared" si="481"/>
        <v>36676</v>
      </c>
      <c r="C2391" s="21">
        <f t="shared" si="482"/>
        <v>36697</v>
      </c>
      <c r="D2391" s="1">
        <f t="shared" si="491"/>
        <v>0</v>
      </c>
      <c r="E2391" s="3">
        <f t="array" ref="E2391">INDEX($A$9:A2390, MAX(IF($D$9:D2390=1, ROW(D$9:$D2390)-ROW($D$9)+1, 0)))</f>
        <v>49388</v>
      </c>
      <c r="F2391" s="23">
        <f t="shared" si="483"/>
        <v>9.1279945242984262</v>
      </c>
      <c r="G2391" s="5">
        <f>INDEX('Default Prob'!$P$5:$P$14,MIN(1+_xlfn.IFNA(MATCH(F2391,'Default Prob'!$F$5:$F$14,1),0),COUNT('Default Prob'!$P$5:$P$14)))</f>
        <v>8.0322462664562722E-2</v>
      </c>
      <c r="H2391" s="5">
        <f t="shared" si="492"/>
        <v>0.75310711478753312</v>
      </c>
      <c r="I2391" s="24">
        <f t="shared" si="493"/>
        <v>1.6563468845776086E-4</v>
      </c>
      <c r="J2391" s="25">
        <f>INDEX('Default Prob'!$C$3:$C$13, _xlfn.IFNA(MATCH(F2391, 'Default Prob'!$B$3:$B$13, 1), 1))</f>
        <v>2.5000000000000001E-2</v>
      </c>
      <c r="K2391" s="26">
        <f t="shared" si="484"/>
        <v>0.79820163938632671</v>
      </c>
      <c r="L2391" s="27">
        <f t="shared" ca="1" si="485"/>
        <v>0</v>
      </c>
      <c r="M2391" s="27">
        <f t="shared" ca="1" si="486"/>
        <v>0</v>
      </c>
      <c r="N2391" s="28">
        <f t="shared" ca="1" si="487"/>
        <v>0</v>
      </c>
      <c r="O2391" s="29">
        <f t="shared" ca="1" si="488"/>
        <v>0</v>
      </c>
      <c r="P2391" s="30">
        <f t="shared" ca="1" si="489"/>
        <v>0</v>
      </c>
    </row>
    <row r="2392" spans="1:16" x14ac:dyDescent="0.25">
      <c r="A2392" s="3">
        <f t="shared" si="490"/>
        <v>49460</v>
      </c>
      <c r="B2392" s="21">
        <f t="shared" si="481"/>
        <v>36677</v>
      </c>
      <c r="C2392" s="21">
        <f t="shared" si="482"/>
        <v>36697</v>
      </c>
      <c r="D2392" s="1">
        <f t="shared" si="491"/>
        <v>0</v>
      </c>
      <c r="E2392" s="3">
        <f t="array" ref="E2392">INDEX($A$9:A2391, MAX(IF($D$9:D2391=1, ROW(D$9:$D2391)-ROW($D$9)+1, 0)))</f>
        <v>49388</v>
      </c>
      <c r="F2392" s="23">
        <f t="shared" si="483"/>
        <v>9.1307323750855574</v>
      </c>
      <c r="G2392" s="5">
        <f>INDEX('Default Prob'!$P$5:$P$14,MIN(1+_xlfn.IFNA(MATCH(F2392,'Default Prob'!$F$5:$F$14,1),0),COUNT('Default Prob'!$P$5:$P$14)))</f>
        <v>8.0322462664562722E-2</v>
      </c>
      <c r="H2392" s="5">
        <f t="shared" si="492"/>
        <v>0.75294151651994701</v>
      </c>
      <c r="I2392" s="24">
        <f t="shared" si="493"/>
        <v>1.6559826758610896E-4</v>
      </c>
      <c r="J2392" s="25">
        <f>INDEX('Default Prob'!$C$3:$C$13, _xlfn.IFNA(MATCH(F2392, 'Default Prob'!$B$3:$B$13, 1), 1))</f>
        <v>2.5000000000000001E-2</v>
      </c>
      <c r="K2392" s="26">
        <f t="shared" si="484"/>
        <v>0.79814767903688966</v>
      </c>
      <c r="L2392" s="27">
        <f t="shared" ca="1" si="485"/>
        <v>0</v>
      </c>
      <c r="M2392" s="27">
        <f t="shared" ca="1" si="486"/>
        <v>0</v>
      </c>
      <c r="N2392" s="28">
        <f t="shared" ca="1" si="487"/>
        <v>0</v>
      </c>
      <c r="O2392" s="29">
        <f t="shared" ca="1" si="488"/>
        <v>0</v>
      </c>
      <c r="P2392" s="30">
        <f t="shared" ca="1" si="489"/>
        <v>0</v>
      </c>
    </row>
    <row r="2393" spans="1:16" x14ac:dyDescent="0.25">
      <c r="A2393" s="3">
        <f t="shared" si="490"/>
        <v>49461</v>
      </c>
      <c r="B2393" s="21">
        <f t="shared" si="481"/>
        <v>36678</v>
      </c>
      <c r="C2393" s="21">
        <f t="shared" si="482"/>
        <v>36697</v>
      </c>
      <c r="D2393" s="1">
        <f t="shared" si="491"/>
        <v>0</v>
      </c>
      <c r="E2393" s="3">
        <f t="array" ref="E2393">INDEX($A$9:A2392, MAX(IF($D$9:D2392=1, ROW(D$9:$D2392)-ROW($D$9)+1, 0)))</f>
        <v>49388</v>
      </c>
      <c r="F2393" s="23">
        <f t="shared" si="483"/>
        <v>9.1334702258726903</v>
      </c>
      <c r="G2393" s="5">
        <f>INDEX('Default Prob'!$P$5:$P$14,MIN(1+_xlfn.IFNA(MATCH(F2393,'Default Prob'!$F$5:$F$14,1),0),COUNT('Default Prob'!$P$5:$P$14)))</f>
        <v>8.0322462664562722E-2</v>
      </c>
      <c r="H2393" s="5">
        <f t="shared" si="492"/>
        <v>0.75277595466522385</v>
      </c>
      <c r="I2393" s="24">
        <f t="shared" si="493"/>
        <v>1.6556185472316187E-4</v>
      </c>
      <c r="J2393" s="25">
        <f>INDEX('Default Prob'!$C$3:$C$13, _xlfn.IFNA(MATCH(F2393, 'Default Prob'!$B$3:$B$13, 1), 1))</f>
        <v>2.5000000000000001E-2</v>
      </c>
      <c r="K2393" s="26">
        <f t="shared" si="484"/>
        <v>0.79809372233530207</v>
      </c>
      <c r="L2393" s="27">
        <f t="shared" ca="1" si="485"/>
        <v>0</v>
      </c>
      <c r="M2393" s="27">
        <f t="shared" ca="1" si="486"/>
        <v>0</v>
      </c>
      <c r="N2393" s="28">
        <f t="shared" ca="1" si="487"/>
        <v>0</v>
      </c>
      <c r="O2393" s="29">
        <f t="shared" ca="1" si="488"/>
        <v>0</v>
      </c>
      <c r="P2393" s="30">
        <f t="shared" ca="1" si="489"/>
        <v>0</v>
      </c>
    </row>
    <row r="2394" spans="1:16" x14ac:dyDescent="0.25">
      <c r="A2394" s="3">
        <f t="shared" si="490"/>
        <v>49464</v>
      </c>
      <c r="B2394" s="21">
        <f t="shared" si="481"/>
        <v>36681</v>
      </c>
      <c r="C2394" s="21">
        <f t="shared" si="482"/>
        <v>36697</v>
      </c>
      <c r="D2394" s="1">
        <f t="shared" si="491"/>
        <v>0</v>
      </c>
      <c r="E2394" s="3">
        <f t="array" ref="E2394">INDEX($A$9:A2393, MAX(IF($D$9:D2393=1, ROW(D$9:$D2393)-ROW($D$9)+1, 0)))</f>
        <v>49388</v>
      </c>
      <c r="F2394" s="23">
        <f t="shared" si="483"/>
        <v>9.1416837782340856</v>
      </c>
      <c r="G2394" s="5">
        <f>INDEX('Default Prob'!$P$5:$P$14,MIN(1+_xlfn.IFNA(MATCH(F2394,'Default Prob'!$F$5:$F$14,1),0),COUNT('Default Prob'!$P$5:$P$14)))</f>
        <v>8.0322462664562722E-2</v>
      </c>
      <c r="H2394" s="5">
        <f t="shared" si="492"/>
        <v>0.75227948749817453</v>
      </c>
      <c r="I2394" s="24">
        <f t="shared" si="493"/>
        <v>4.9646716704931926E-4</v>
      </c>
      <c r="J2394" s="25">
        <f>INDEX('Default Prob'!$C$3:$C$13, _xlfn.IFNA(MATCH(F2394, 'Default Prob'!$B$3:$B$13, 1), 1))</f>
        <v>2.5000000000000001E-2</v>
      </c>
      <c r="K2394" s="26">
        <f t="shared" si="484"/>
        <v>0.79793187411516919</v>
      </c>
      <c r="L2394" s="27">
        <f t="shared" ca="1" si="485"/>
        <v>0</v>
      </c>
      <c r="M2394" s="27">
        <f t="shared" ca="1" si="486"/>
        <v>0</v>
      </c>
      <c r="N2394" s="28">
        <f t="shared" ca="1" si="487"/>
        <v>0</v>
      </c>
      <c r="O2394" s="29">
        <f t="shared" ca="1" si="488"/>
        <v>0</v>
      </c>
      <c r="P2394" s="30">
        <f t="shared" ca="1" si="489"/>
        <v>0</v>
      </c>
    </row>
    <row r="2395" spans="1:16" x14ac:dyDescent="0.25">
      <c r="A2395" s="3">
        <f t="shared" si="490"/>
        <v>49465</v>
      </c>
      <c r="B2395" s="21">
        <f t="shared" si="481"/>
        <v>36682</v>
      </c>
      <c r="C2395" s="21">
        <f t="shared" si="482"/>
        <v>36697</v>
      </c>
      <c r="D2395" s="1">
        <f t="shared" si="491"/>
        <v>0</v>
      </c>
      <c r="E2395" s="3">
        <f t="array" ref="E2395">INDEX($A$9:A2394, MAX(IF($D$9:D2394=1, ROW(D$9:$D2394)-ROW($D$9)+1, 0)))</f>
        <v>49388</v>
      </c>
      <c r="F2395" s="23">
        <f t="shared" si="483"/>
        <v>9.1444216290212186</v>
      </c>
      <c r="G2395" s="5">
        <f>INDEX('Default Prob'!$P$5:$P$14,MIN(1+_xlfn.IFNA(MATCH(F2395,'Default Prob'!$F$5:$F$14,1),0),COUNT('Default Prob'!$P$5:$P$14)))</f>
        <v>8.0322462664562722E-2</v>
      </c>
      <c r="H2395" s="5">
        <f t="shared" si="492"/>
        <v>0.75211407121485407</v>
      </c>
      <c r="I2395" s="24">
        <f t="shared" si="493"/>
        <v>1.65416283320452E-4</v>
      </c>
      <c r="J2395" s="25">
        <f>INDEX('Default Prob'!$C$3:$C$13, _xlfn.IFNA(MATCH(F2395, 'Default Prob'!$B$3:$B$13, 1), 1))</f>
        <v>2.5000000000000001E-2</v>
      </c>
      <c r="K2395" s="26">
        <f t="shared" si="484"/>
        <v>0.79787793200251278</v>
      </c>
      <c r="L2395" s="27">
        <f t="shared" ca="1" si="485"/>
        <v>0</v>
      </c>
      <c r="M2395" s="27">
        <f t="shared" ca="1" si="486"/>
        <v>0</v>
      </c>
      <c r="N2395" s="28">
        <f t="shared" ca="1" si="487"/>
        <v>0</v>
      </c>
      <c r="O2395" s="29">
        <f t="shared" ca="1" si="488"/>
        <v>0</v>
      </c>
      <c r="P2395" s="30">
        <f t="shared" ca="1" si="489"/>
        <v>0</v>
      </c>
    </row>
    <row r="2396" spans="1:16" x14ac:dyDescent="0.25">
      <c r="A2396" s="3">
        <f t="shared" si="490"/>
        <v>49466</v>
      </c>
      <c r="B2396" s="21">
        <f t="shared" si="481"/>
        <v>36683</v>
      </c>
      <c r="C2396" s="21">
        <f t="shared" si="482"/>
        <v>36697</v>
      </c>
      <c r="D2396" s="1">
        <f t="shared" si="491"/>
        <v>0</v>
      </c>
      <c r="E2396" s="3">
        <f t="array" ref="E2396">INDEX($A$9:A2395, MAX(IF($D$9:D2395=1, ROW(D$9:$D2395)-ROW($D$9)+1, 0)))</f>
        <v>49388</v>
      </c>
      <c r="F2396" s="23">
        <f t="shared" si="483"/>
        <v>9.1471594798083498</v>
      </c>
      <c r="G2396" s="5">
        <f>INDEX('Default Prob'!$P$5:$P$14,MIN(1+_xlfn.IFNA(MATCH(F2396,'Default Prob'!$F$5:$F$14,1),0),COUNT('Default Prob'!$P$5:$P$14)))</f>
        <v>8.0322462664562722E-2</v>
      </c>
      <c r="H2396" s="5">
        <f t="shared" si="492"/>
        <v>0.7519486913043808</v>
      </c>
      <c r="I2396" s="24">
        <f t="shared" si="493"/>
        <v>1.6537991047327338E-4</v>
      </c>
      <c r="J2396" s="25">
        <f>INDEX('Default Prob'!$C$3:$C$13, _xlfn.IFNA(MATCH(F2396, 'Default Prob'!$B$3:$B$13, 1), 1))</f>
        <v>2.5000000000000001E-2</v>
      </c>
      <c r="K2396" s="26">
        <f t="shared" si="484"/>
        <v>0.79782399353647315</v>
      </c>
      <c r="L2396" s="27">
        <f t="shared" ca="1" si="485"/>
        <v>0</v>
      </c>
      <c r="M2396" s="27">
        <f t="shared" ca="1" si="486"/>
        <v>0</v>
      </c>
      <c r="N2396" s="28">
        <f t="shared" ca="1" si="487"/>
        <v>0</v>
      </c>
      <c r="O2396" s="29">
        <f t="shared" ca="1" si="488"/>
        <v>0</v>
      </c>
      <c r="P2396" s="30">
        <f t="shared" ca="1" si="489"/>
        <v>0</v>
      </c>
    </row>
    <row r="2397" spans="1:16" x14ac:dyDescent="0.25">
      <c r="A2397" s="3">
        <f t="shared" si="490"/>
        <v>49467</v>
      </c>
      <c r="B2397" s="21">
        <f t="shared" si="481"/>
        <v>36684</v>
      </c>
      <c r="C2397" s="21">
        <f t="shared" si="482"/>
        <v>36697</v>
      </c>
      <c r="D2397" s="1">
        <f t="shared" si="491"/>
        <v>0</v>
      </c>
      <c r="E2397" s="3">
        <f t="array" ref="E2397">INDEX($A$9:A2396, MAX(IF($D$9:D2396=1, ROW(D$9:$D2396)-ROW($D$9)+1, 0)))</f>
        <v>49388</v>
      </c>
      <c r="F2397" s="23">
        <f t="shared" si="483"/>
        <v>9.1498973305954827</v>
      </c>
      <c r="G2397" s="5">
        <f>INDEX('Default Prob'!$P$5:$P$14,MIN(1+_xlfn.IFNA(MATCH(F2397,'Default Prob'!$F$5:$F$14,1),0),COUNT('Default Prob'!$P$5:$P$14)))</f>
        <v>8.0322462664562722E-2</v>
      </c>
      <c r="H2397" s="5">
        <f t="shared" si="492"/>
        <v>0.75178334775875666</v>
      </c>
      <c r="I2397" s="24">
        <f t="shared" si="493"/>
        <v>1.6534354562414144E-4</v>
      </c>
      <c r="J2397" s="25">
        <f>INDEX('Default Prob'!$C$3:$C$13, _xlfn.IFNA(MATCH(F2397, 'Default Prob'!$B$3:$B$13, 1), 1))</f>
        <v>2.5000000000000001E-2</v>
      </c>
      <c r="K2397" s="26">
        <f t="shared" si="484"/>
        <v>0.79777005871680329</v>
      </c>
      <c r="L2397" s="27">
        <f t="shared" ca="1" si="485"/>
        <v>0</v>
      </c>
      <c r="M2397" s="27">
        <f t="shared" ca="1" si="486"/>
        <v>0</v>
      </c>
      <c r="N2397" s="28">
        <f t="shared" ca="1" si="487"/>
        <v>0</v>
      </c>
      <c r="O2397" s="29">
        <f t="shared" ca="1" si="488"/>
        <v>0</v>
      </c>
      <c r="P2397" s="30">
        <f t="shared" ca="1" si="489"/>
        <v>0</v>
      </c>
    </row>
    <row r="2398" spans="1:16" x14ac:dyDescent="0.25">
      <c r="A2398" s="3">
        <f t="shared" si="490"/>
        <v>49468</v>
      </c>
      <c r="B2398" s="21">
        <f t="shared" si="481"/>
        <v>36685</v>
      </c>
      <c r="C2398" s="21">
        <f t="shared" si="482"/>
        <v>36697</v>
      </c>
      <c r="D2398" s="1">
        <f t="shared" si="491"/>
        <v>0</v>
      </c>
      <c r="E2398" s="3">
        <f t="array" ref="E2398">INDEX($A$9:A2397, MAX(IF($D$9:D2397=1, ROW(D$9:$D2397)-ROW($D$9)+1, 0)))</f>
        <v>49388</v>
      </c>
      <c r="F2398" s="23">
        <f t="shared" si="483"/>
        <v>9.1526351813826139</v>
      </c>
      <c r="G2398" s="5">
        <f>INDEX('Default Prob'!$P$5:$P$14,MIN(1+_xlfn.IFNA(MATCH(F2398,'Default Prob'!$F$5:$F$14,1),0),COUNT('Default Prob'!$P$5:$P$14)))</f>
        <v>8.0322462664562722E-2</v>
      </c>
      <c r="H2398" s="5">
        <f t="shared" si="492"/>
        <v>0.75161804056998571</v>
      </c>
      <c r="I2398" s="24">
        <f t="shared" si="493"/>
        <v>1.6530718877094674E-4</v>
      </c>
      <c r="J2398" s="25">
        <f>INDEX('Default Prob'!$C$3:$C$13, _xlfn.IFNA(MATCH(F2398, 'Default Prob'!$B$3:$B$13, 1), 1))</f>
        <v>2.5000000000000001E-2</v>
      </c>
      <c r="K2398" s="26">
        <f t="shared" si="484"/>
        <v>0.79771612754325705</v>
      </c>
      <c r="L2398" s="27">
        <f t="shared" ca="1" si="485"/>
        <v>0</v>
      </c>
      <c r="M2398" s="27">
        <f t="shared" ca="1" si="486"/>
        <v>0</v>
      </c>
      <c r="N2398" s="28">
        <f t="shared" ca="1" si="487"/>
        <v>0</v>
      </c>
      <c r="O2398" s="29">
        <f t="shared" ca="1" si="488"/>
        <v>0</v>
      </c>
      <c r="P2398" s="30">
        <f t="shared" ca="1" si="489"/>
        <v>0</v>
      </c>
    </row>
    <row r="2399" spans="1:16" x14ac:dyDescent="0.25">
      <c r="A2399" s="3">
        <f t="shared" si="490"/>
        <v>49471</v>
      </c>
      <c r="B2399" s="21">
        <f t="shared" si="481"/>
        <v>36688</v>
      </c>
      <c r="C2399" s="21">
        <f t="shared" si="482"/>
        <v>36697</v>
      </c>
      <c r="D2399" s="1">
        <f t="shared" si="491"/>
        <v>0</v>
      </c>
      <c r="E2399" s="3">
        <f t="array" ref="E2399">INDEX($A$9:A2398, MAX(IF($D$9:D2398=1, ROW(D$9:$D2398)-ROW($D$9)+1, 0)))</f>
        <v>49388</v>
      </c>
      <c r="F2399" s="23">
        <f t="shared" si="483"/>
        <v>9.160848733744011</v>
      </c>
      <c r="G2399" s="5">
        <f>INDEX('Default Prob'!$P$5:$P$14,MIN(1+_xlfn.IFNA(MATCH(F2399,'Default Prob'!$F$5:$F$14,1),0),COUNT('Default Prob'!$P$5:$P$14)))</f>
        <v>8.0322462664562722E-2</v>
      </c>
      <c r="H2399" s="5">
        <f t="shared" si="492"/>
        <v>0.75112233706485587</v>
      </c>
      <c r="I2399" s="24">
        <f t="shared" si="493"/>
        <v>4.9570350512984085E-4</v>
      </c>
      <c r="J2399" s="25">
        <f>INDEX('Default Prob'!$C$3:$C$13, _xlfn.IFNA(MATCH(F2399, 'Default Prob'!$B$3:$B$13, 1), 1))</f>
        <v>2.5000000000000001E-2</v>
      </c>
      <c r="K2399" s="26">
        <f t="shared" si="484"/>
        <v>0.79755435589689394</v>
      </c>
      <c r="L2399" s="27">
        <f t="shared" ca="1" si="485"/>
        <v>0</v>
      </c>
      <c r="M2399" s="27">
        <f t="shared" ca="1" si="486"/>
        <v>0</v>
      </c>
      <c r="N2399" s="28">
        <f t="shared" ca="1" si="487"/>
        <v>0</v>
      </c>
      <c r="O2399" s="29">
        <f t="shared" ca="1" si="488"/>
        <v>0</v>
      </c>
      <c r="P2399" s="30">
        <f t="shared" ca="1" si="489"/>
        <v>0</v>
      </c>
    </row>
    <row r="2400" spans="1:16" x14ac:dyDescent="0.25">
      <c r="A2400" s="3">
        <f t="shared" si="490"/>
        <v>49472</v>
      </c>
      <c r="B2400" s="21">
        <f t="shared" si="481"/>
        <v>36689</v>
      </c>
      <c r="C2400" s="21">
        <f t="shared" si="482"/>
        <v>36697</v>
      </c>
      <c r="D2400" s="1">
        <f t="shared" si="491"/>
        <v>0</v>
      </c>
      <c r="E2400" s="3">
        <f t="array" ref="E2400">INDEX($A$9:A2399, MAX(IF($D$9:D2399=1, ROW(D$9:$D2399)-ROW($D$9)+1, 0)))</f>
        <v>49388</v>
      </c>
      <c r="F2400" s="23">
        <f t="shared" si="483"/>
        <v>9.1635865845311422</v>
      </c>
      <c r="G2400" s="5">
        <f>INDEX('Default Prob'!$P$5:$P$14,MIN(1+_xlfn.IFNA(MATCH(F2400,'Default Prob'!$F$5:$F$14,1),0),COUNT('Default Prob'!$P$5:$P$14)))</f>
        <v>8.0322462664562722E-2</v>
      </c>
      <c r="H2400" s="5">
        <f t="shared" si="492"/>
        <v>0.75095717522357086</v>
      </c>
      <c r="I2400" s="24">
        <f t="shared" si="493"/>
        <v>1.6516184128501088E-4</v>
      </c>
      <c r="J2400" s="25">
        <f>INDEX('Default Prob'!$C$3:$C$13, _xlfn.IFNA(MATCH(F2400, 'Default Prob'!$B$3:$B$13, 1), 1))</f>
        <v>2.5000000000000001E-2</v>
      </c>
      <c r="K2400" s="26">
        <f t="shared" si="484"/>
        <v>0.79750043930537673</v>
      </c>
      <c r="L2400" s="27">
        <f t="shared" ca="1" si="485"/>
        <v>0</v>
      </c>
      <c r="M2400" s="27">
        <f t="shared" ca="1" si="486"/>
        <v>0</v>
      </c>
      <c r="N2400" s="28">
        <f t="shared" ca="1" si="487"/>
        <v>0</v>
      </c>
      <c r="O2400" s="29">
        <f t="shared" ca="1" si="488"/>
        <v>0</v>
      </c>
      <c r="P2400" s="30">
        <f t="shared" ca="1" si="489"/>
        <v>0</v>
      </c>
    </row>
    <row r="2401" spans="1:16" x14ac:dyDescent="0.25">
      <c r="A2401" s="3">
        <f t="shared" si="490"/>
        <v>49473</v>
      </c>
      <c r="B2401" s="21">
        <f t="shared" si="481"/>
        <v>36690</v>
      </c>
      <c r="C2401" s="21">
        <f t="shared" si="482"/>
        <v>36697</v>
      </c>
      <c r="D2401" s="1">
        <f t="shared" si="491"/>
        <v>0</v>
      </c>
      <c r="E2401" s="3">
        <f t="array" ref="E2401">INDEX($A$9:A2400, MAX(IF($D$9:D2400=1, ROW(D$9:$D2400)-ROW($D$9)+1, 0)))</f>
        <v>49388</v>
      </c>
      <c r="F2401" s="23">
        <f t="shared" si="483"/>
        <v>9.1663244353182751</v>
      </c>
      <c r="G2401" s="5">
        <f>INDEX('Default Prob'!$P$5:$P$14,MIN(1+_xlfn.IFNA(MATCH(F2401,'Default Prob'!$F$5:$F$14,1),0),COUNT('Default Prob'!$P$5:$P$14)))</f>
        <v>8.0322462664562722E-2</v>
      </c>
      <c r="H2401" s="5">
        <f t="shared" si="492"/>
        <v>0.75079204969918445</v>
      </c>
      <c r="I2401" s="24">
        <f t="shared" si="493"/>
        <v>1.6512552438641137E-4</v>
      </c>
      <c r="J2401" s="25">
        <f>INDEX('Default Prob'!$C$3:$C$13, _xlfn.IFNA(MATCH(F2401, 'Default Prob'!$B$3:$B$13, 1), 1))</f>
        <v>2.5000000000000001E-2</v>
      </c>
      <c r="K2401" s="26">
        <f t="shared" si="484"/>
        <v>0.79744652635875068</v>
      </c>
      <c r="L2401" s="27">
        <f t="shared" ca="1" si="485"/>
        <v>0</v>
      </c>
      <c r="M2401" s="27">
        <f t="shared" ca="1" si="486"/>
        <v>0</v>
      </c>
      <c r="N2401" s="28">
        <f t="shared" ca="1" si="487"/>
        <v>0</v>
      </c>
      <c r="O2401" s="29">
        <f t="shared" ca="1" si="488"/>
        <v>0</v>
      </c>
      <c r="P2401" s="30">
        <f t="shared" ca="1" si="489"/>
        <v>0</v>
      </c>
    </row>
    <row r="2402" spans="1:16" x14ac:dyDescent="0.25">
      <c r="A2402" s="3">
        <f t="shared" si="490"/>
        <v>49474</v>
      </c>
      <c r="B2402" s="21">
        <f t="shared" si="481"/>
        <v>36691</v>
      </c>
      <c r="C2402" s="21">
        <f t="shared" si="482"/>
        <v>36697</v>
      </c>
      <c r="D2402" s="1">
        <f t="shared" si="491"/>
        <v>0</v>
      </c>
      <c r="E2402" s="3">
        <f t="array" ref="E2402">INDEX($A$9:A2401, MAX(IF($D$9:D2401=1, ROW(D$9:$D2401)-ROW($D$9)+1, 0)))</f>
        <v>49388</v>
      </c>
      <c r="F2402" s="23">
        <f t="shared" si="483"/>
        <v>9.1690622861054081</v>
      </c>
      <c r="G2402" s="5">
        <f>INDEX('Default Prob'!$P$5:$P$14,MIN(1+_xlfn.IFNA(MATCH(F2402,'Default Prob'!$F$5:$F$14,1),0),COUNT('Default Prob'!$P$5:$P$14)))</f>
        <v>8.0322462664562722E-2</v>
      </c>
      <c r="H2402" s="5">
        <f t="shared" si="492"/>
        <v>0.75062696048371103</v>
      </c>
      <c r="I2402" s="24">
        <f t="shared" si="493"/>
        <v>1.6508921547342403E-4</v>
      </c>
      <c r="J2402" s="25">
        <f>INDEX('Default Prob'!$C$3:$C$13, _xlfn.IFNA(MATCH(F2402, 'Default Prob'!$B$3:$B$13, 1), 1))</f>
        <v>2.5000000000000001E-2</v>
      </c>
      <c r="K2402" s="26">
        <f t="shared" si="484"/>
        <v>0.79739261705676934</v>
      </c>
      <c r="L2402" s="27">
        <f t="shared" ca="1" si="485"/>
        <v>0</v>
      </c>
      <c r="M2402" s="27">
        <f t="shared" ca="1" si="486"/>
        <v>0</v>
      </c>
      <c r="N2402" s="28">
        <f t="shared" ca="1" si="487"/>
        <v>0</v>
      </c>
      <c r="O2402" s="29">
        <f t="shared" ca="1" si="488"/>
        <v>0</v>
      </c>
      <c r="P2402" s="30">
        <f t="shared" ca="1" si="489"/>
        <v>0</v>
      </c>
    </row>
    <row r="2403" spans="1:16" x14ac:dyDescent="0.25">
      <c r="A2403" s="3">
        <f t="shared" si="490"/>
        <v>49475</v>
      </c>
      <c r="B2403" s="21">
        <f t="shared" si="481"/>
        <v>36692</v>
      </c>
      <c r="C2403" s="21">
        <f t="shared" si="482"/>
        <v>36697</v>
      </c>
      <c r="D2403" s="1">
        <f t="shared" si="491"/>
        <v>0</v>
      </c>
      <c r="E2403" s="3">
        <f t="array" ref="E2403">INDEX($A$9:A2402, MAX(IF($D$9:D2402=1, ROW(D$9:$D2402)-ROW($D$9)+1, 0)))</f>
        <v>49388</v>
      </c>
      <c r="F2403" s="23">
        <f t="shared" si="483"/>
        <v>9.1718001368925393</v>
      </c>
      <c r="G2403" s="5">
        <f>INDEX('Default Prob'!$P$5:$P$14,MIN(1+_xlfn.IFNA(MATCH(F2403,'Default Prob'!$F$5:$F$14,1),0),COUNT('Default Prob'!$P$5:$P$14)))</f>
        <v>8.0322462664562722E-2</v>
      </c>
      <c r="H2403" s="5">
        <f t="shared" si="492"/>
        <v>0.75046190756916697</v>
      </c>
      <c r="I2403" s="24">
        <f t="shared" si="493"/>
        <v>1.6505291454405047E-4</v>
      </c>
      <c r="J2403" s="25">
        <f>INDEX('Default Prob'!$C$3:$C$13, _xlfn.IFNA(MATCH(F2403, 'Default Prob'!$B$3:$B$13, 1), 1))</f>
        <v>2.5000000000000001E-2</v>
      </c>
      <c r="K2403" s="26">
        <f t="shared" si="484"/>
        <v>0.79733871139918644</v>
      </c>
      <c r="L2403" s="27">
        <f t="shared" ca="1" si="485"/>
        <v>0</v>
      </c>
      <c r="M2403" s="27">
        <f t="shared" ca="1" si="486"/>
        <v>0</v>
      </c>
      <c r="N2403" s="28">
        <f t="shared" ca="1" si="487"/>
        <v>0</v>
      </c>
      <c r="O2403" s="29">
        <f t="shared" ca="1" si="488"/>
        <v>0</v>
      </c>
      <c r="P2403" s="30">
        <f t="shared" ca="1" si="489"/>
        <v>0</v>
      </c>
    </row>
    <row r="2404" spans="1:16" x14ac:dyDescent="0.25">
      <c r="A2404" s="3">
        <f t="shared" si="490"/>
        <v>49478</v>
      </c>
      <c r="B2404" s="21">
        <f t="shared" si="481"/>
        <v>36695</v>
      </c>
      <c r="C2404" s="21">
        <f t="shared" si="482"/>
        <v>36697</v>
      </c>
      <c r="D2404" s="1">
        <f t="shared" si="491"/>
        <v>0</v>
      </c>
      <c r="E2404" s="3">
        <f t="array" ref="E2404">INDEX($A$9:A2403, MAX(IF($D$9:D2403=1, ROW(D$9:$D2403)-ROW($D$9)+1, 0)))</f>
        <v>49388</v>
      </c>
      <c r="F2404" s="23">
        <f t="shared" si="483"/>
        <v>9.1800136892539363</v>
      </c>
      <c r="G2404" s="5">
        <f>INDEX('Default Prob'!$P$5:$P$14,MIN(1+_xlfn.IFNA(MATCH(F2404,'Default Prob'!$F$5:$F$14,1),0),COUNT('Default Prob'!$P$5:$P$14)))</f>
        <v>8.0322462664562722E-2</v>
      </c>
      <c r="H2404" s="5">
        <f t="shared" si="492"/>
        <v>0.74996696655129791</v>
      </c>
      <c r="I2404" s="24">
        <f t="shared" si="493"/>
        <v>4.9494101786906608E-4</v>
      </c>
      <c r="J2404" s="25">
        <f>INDEX('Default Prob'!$C$3:$C$13, _xlfn.IFNA(MATCH(F2404, 'Default Prob'!$B$3:$B$13, 1), 1))</f>
        <v>2.5000000000000001E-2</v>
      </c>
      <c r="K2404" s="26">
        <f t="shared" si="484"/>
        <v>0.79717701629036464</v>
      </c>
      <c r="L2404" s="27">
        <f t="shared" ca="1" si="485"/>
        <v>0</v>
      </c>
      <c r="M2404" s="27">
        <f t="shared" ca="1" si="486"/>
        <v>0</v>
      </c>
      <c r="N2404" s="28">
        <f t="shared" ca="1" si="487"/>
        <v>0</v>
      </c>
      <c r="O2404" s="29">
        <f t="shared" ca="1" si="488"/>
        <v>0</v>
      </c>
      <c r="P2404" s="30">
        <f t="shared" ca="1" si="489"/>
        <v>0</v>
      </c>
    </row>
    <row r="2405" spans="1:16" x14ac:dyDescent="0.25">
      <c r="A2405" s="3">
        <f t="shared" si="490"/>
        <v>49479</v>
      </c>
      <c r="B2405" s="21">
        <f t="shared" si="481"/>
        <v>36696</v>
      </c>
      <c r="C2405" s="21">
        <f t="shared" si="482"/>
        <v>36697</v>
      </c>
      <c r="D2405" s="1">
        <f t="shared" si="491"/>
        <v>0</v>
      </c>
      <c r="E2405" s="3">
        <f t="array" ref="E2405">INDEX($A$9:A2404, MAX(IF($D$9:D2404=1, ROW(D$9:$D2404)-ROW($D$9)+1, 0)))</f>
        <v>49388</v>
      </c>
      <c r="F2405" s="23">
        <f t="shared" si="483"/>
        <v>9.1827515400410675</v>
      </c>
      <c r="G2405" s="5">
        <f>INDEX('Default Prob'!$P$5:$P$14,MIN(1+_xlfn.IFNA(MATCH(F2405,'Default Prob'!$F$5:$F$14,1),0),COUNT('Default Prob'!$P$5:$P$14)))</f>
        <v>8.0322462664562722E-2</v>
      </c>
      <c r="H2405" s="5">
        <f t="shared" si="492"/>
        <v>0.74980205876066741</v>
      </c>
      <c r="I2405" s="24">
        <f t="shared" si="493"/>
        <v>1.6490779063049743E-4</v>
      </c>
      <c r="J2405" s="25">
        <f>INDEX('Default Prob'!$C$3:$C$13, _xlfn.IFNA(MATCH(F2405, 'Default Prob'!$B$3:$B$13, 1), 1))</f>
        <v>2.5000000000000001E-2</v>
      </c>
      <c r="K2405" s="26">
        <f t="shared" si="484"/>
        <v>0.79712312520791162</v>
      </c>
      <c r="L2405" s="27">
        <f t="shared" ca="1" si="485"/>
        <v>0</v>
      </c>
      <c r="M2405" s="27">
        <f t="shared" ca="1" si="486"/>
        <v>0</v>
      </c>
      <c r="N2405" s="28">
        <f t="shared" ca="1" si="487"/>
        <v>0</v>
      </c>
      <c r="O2405" s="29">
        <f t="shared" ca="1" si="488"/>
        <v>0</v>
      </c>
      <c r="P2405" s="30">
        <f t="shared" ca="1" si="489"/>
        <v>0</v>
      </c>
    </row>
    <row r="2406" spans="1:16" x14ac:dyDescent="0.25">
      <c r="A2406" s="3">
        <f t="shared" si="490"/>
        <v>49480</v>
      </c>
      <c r="B2406" s="21">
        <f t="shared" si="481"/>
        <v>36697</v>
      </c>
      <c r="C2406" s="21">
        <f t="shared" si="482"/>
        <v>36697</v>
      </c>
      <c r="D2406" s="1">
        <f t="shared" si="491"/>
        <v>1</v>
      </c>
      <c r="E2406" s="3">
        <f t="array" ref="E2406">INDEX($A$9:A2405, MAX(IF($D$9:D2405=1, ROW(D$9:$D2405)-ROW($D$9)+1, 0)))</f>
        <v>49388</v>
      </c>
      <c r="F2406" s="23">
        <f t="shared" si="483"/>
        <v>9.1854893908282005</v>
      </c>
      <c r="G2406" s="5">
        <f>INDEX('Default Prob'!$P$5:$P$14,MIN(1+_xlfn.IFNA(MATCH(F2406,'Default Prob'!$F$5:$F$14,1),0),COUNT('Default Prob'!$P$5:$P$14)))</f>
        <v>8.0322462664562722E-2</v>
      </c>
      <c r="H2406" s="5">
        <f t="shared" si="492"/>
        <v>0.74963718723107309</v>
      </c>
      <c r="I2406" s="24">
        <f t="shared" si="493"/>
        <v>1.6487152959432372E-4</v>
      </c>
      <c r="J2406" s="25">
        <f>INDEX('Default Prob'!$C$3:$C$13, _xlfn.IFNA(MATCH(F2406, 'Default Prob'!$B$3:$B$13, 1), 1))</f>
        <v>2.5000000000000001E-2</v>
      </c>
      <c r="K2406" s="26">
        <f t="shared" si="484"/>
        <v>0.79706923776862548</v>
      </c>
      <c r="L2406" s="27">
        <f t="shared" ca="1" si="485"/>
        <v>0</v>
      </c>
      <c r="M2406" s="27">
        <f t="shared" ca="1" si="486"/>
        <v>0</v>
      </c>
      <c r="N2406" s="28">
        <f t="shared" ca="1" si="487"/>
        <v>0</v>
      </c>
      <c r="O2406" s="29">
        <f t="shared" ca="1" si="488"/>
        <v>0</v>
      </c>
      <c r="P2406" s="30">
        <f t="shared" ca="1" si="489"/>
        <v>0</v>
      </c>
    </row>
    <row r="2407" spans="1:16" x14ac:dyDescent="0.25">
      <c r="A2407" s="3">
        <f t="shared" si="490"/>
        <v>49481</v>
      </c>
      <c r="B2407" s="21">
        <f t="shared" si="481"/>
        <v>36698</v>
      </c>
      <c r="C2407" s="21">
        <f t="shared" si="482"/>
        <v>36789</v>
      </c>
      <c r="D2407" s="1">
        <f t="shared" si="491"/>
        <v>0</v>
      </c>
      <c r="E2407" s="3">
        <f t="array" ref="E2407">INDEX($A$9:A2406, MAX(IF($D$9:D2406=1, ROW(D$9:$D2406)-ROW($D$9)+1, 0)))</f>
        <v>49480</v>
      </c>
      <c r="F2407" s="23">
        <f t="shared" si="483"/>
        <v>9.1882272416153317</v>
      </c>
      <c r="G2407" s="5">
        <f>INDEX('Default Prob'!$P$5:$P$14,MIN(1+_xlfn.IFNA(MATCH(F2407,'Default Prob'!$F$5:$F$14,1),0),COUNT('Default Prob'!$P$5:$P$14)))</f>
        <v>8.0322462664562722E-2</v>
      </c>
      <c r="H2407" s="5">
        <f t="shared" si="492"/>
        <v>0.74947235195454187</v>
      </c>
      <c r="I2407" s="24">
        <f t="shared" si="493"/>
        <v>1.6483527653121666E-4</v>
      </c>
      <c r="J2407" s="25">
        <f>INDEX('Default Prob'!$C$3:$C$13, _xlfn.IFNA(MATCH(F2407, 'Default Prob'!$B$3:$B$13, 1), 1))</f>
        <v>2.5000000000000001E-2</v>
      </c>
      <c r="K2407" s="26">
        <f t="shared" si="484"/>
        <v>0.79701535397225987</v>
      </c>
      <c r="L2407" s="27">
        <f t="shared" ca="1" si="485"/>
        <v>0</v>
      </c>
      <c r="M2407" s="27">
        <f t="shared" ca="1" si="486"/>
        <v>0</v>
      </c>
      <c r="N2407" s="28">
        <f t="shared" ca="1" si="487"/>
        <v>0</v>
      </c>
      <c r="O2407" s="29">
        <f t="shared" ca="1" si="488"/>
        <v>0</v>
      </c>
      <c r="P2407" s="30">
        <f t="shared" ca="1" si="489"/>
        <v>0</v>
      </c>
    </row>
    <row r="2408" spans="1:16" x14ac:dyDescent="0.25">
      <c r="A2408" s="3">
        <f t="shared" si="490"/>
        <v>49482</v>
      </c>
      <c r="B2408" s="21">
        <f t="shared" si="481"/>
        <v>36699</v>
      </c>
      <c r="C2408" s="21">
        <f t="shared" si="482"/>
        <v>36789</v>
      </c>
      <c r="D2408" s="1">
        <f t="shared" si="491"/>
        <v>0</v>
      </c>
      <c r="E2408" s="3">
        <f t="array" ref="E2408">INDEX($A$9:A2407, MAX(IF($D$9:D2407=1, ROW(D$9:$D2407)-ROW($D$9)+1, 0)))</f>
        <v>49480</v>
      </c>
      <c r="F2408" s="23">
        <f t="shared" si="483"/>
        <v>9.1909650924024646</v>
      </c>
      <c r="G2408" s="5">
        <f>INDEX('Default Prob'!$P$5:$P$14,MIN(1+_xlfn.IFNA(MATCH(F2408,'Default Prob'!$F$5:$F$14,1),0),COUNT('Default Prob'!$P$5:$P$14)))</f>
        <v>8.0322462664562722E-2</v>
      </c>
      <c r="H2408" s="5">
        <f t="shared" si="492"/>
        <v>0.74930755292310203</v>
      </c>
      <c r="I2408" s="24">
        <f t="shared" si="493"/>
        <v>1.6479903143984398E-4</v>
      </c>
      <c r="J2408" s="25">
        <f>INDEX('Default Prob'!$C$3:$C$13, _xlfn.IFNA(MATCH(F2408, 'Default Prob'!$B$3:$B$13, 1), 1))</f>
        <v>2.5000000000000001E-2</v>
      </c>
      <c r="K2408" s="26">
        <f t="shared" si="484"/>
        <v>0.7969614738185683</v>
      </c>
      <c r="L2408" s="27">
        <f t="shared" ca="1" si="485"/>
        <v>0</v>
      </c>
      <c r="M2408" s="27">
        <f t="shared" ca="1" si="486"/>
        <v>0</v>
      </c>
      <c r="N2408" s="28">
        <f t="shared" ca="1" si="487"/>
        <v>0</v>
      </c>
      <c r="O2408" s="29">
        <f t="shared" ca="1" si="488"/>
        <v>0</v>
      </c>
      <c r="P2408" s="30">
        <f t="shared" ca="1" si="489"/>
        <v>0</v>
      </c>
    </row>
    <row r="2409" spans="1:16" x14ac:dyDescent="0.25">
      <c r="A2409" s="3">
        <f t="shared" si="490"/>
        <v>49485</v>
      </c>
      <c r="B2409" s="21">
        <f t="shared" si="481"/>
        <v>36702</v>
      </c>
      <c r="C2409" s="21">
        <f t="shared" si="482"/>
        <v>36789</v>
      </c>
      <c r="D2409" s="1">
        <f t="shared" si="491"/>
        <v>0</v>
      </c>
      <c r="E2409" s="3">
        <f t="array" ref="E2409">INDEX($A$9:A2408, MAX(IF($D$9:D2408=1, ROW(D$9:$D2408)-ROW($D$9)+1, 0)))</f>
        <v>49480</v>
      </c>
      <c r="F2409" s="23">
        <f t="shared" si="483"/>
        <v>9.1991786447638599</v>
      </c>
      <c r="G2409" s="5">
        <f>INDEX('Default Prob'!$P$5:$P$14,MIN(1+_xlfn.IFNA(MATCH(F2409,'Default Prob'!$F$5:$F$14,1),0),COUNT('Default Prob'!$P$5:$P$14)))</f>
        <v>8.0322462664562722E-2</v>
      </c>
      <c r="H2409" s="5">
        <f t="shared" si="492"/>
        <v>0.74881337321964181</v>
      </c>
      <c r="I2409" s="24">
        <f t="shared" si="493"/>
        <v>4.94179703460218E-4</v>
      </c>
      <c r="J2409" s="25">
        <f>INDEX('Default Prob'!$C$3:$C$13, _xlfn.IFNA(MATCH(F2409, 'Default Prob'!$B$3:$B$13, 1), 1))</f>
        <v>2.5000000000000001E-2</v>
      </c>
      <c r="K2409" s="26">
        <f t="shared" si="484"/>
        <v>0.7967998552110761</v>
      </c>
      <c r="L2409" s="27">
        <f t="shared" ca="1" si="485"/>
        <v>0</v>
      </c>
      <c r="M2409" s="27">
        <f t="shared" ca="1" si="486"/>
        <v>0</v>
      </c>
      <c r="N2409" s="28">
        <f t="shared" ca="1" si="487"/>
        <v>0</v>
      </c>
      <c r="O2409" s="29">
        <f t="shared" ca="1" si="488"/>
        <v>0</v>
      </c>
      <c r="P2409" s="30">
        <f t="shared" ca="1" si="489"/>
        <v>0</v>
      </c>
    </row>
    <row r="2410" spans="1:16" x14ac:dyDescent="0.25">
      <c r="A2410" s="3">
        <f t="shared" si="490"/>
        <v>49486</v>
      </c>
      <c r="B2410" s="21">
        <f t="shared" si="481"/>
        <v>36703</v>
      </c>
      <c r="C2410" s="21">
        <f t="shared" si="482"/>
        <v>36789</v>
      </c>
      <c r="D2410" s="1">
        <f t="shared" si="491"/>
        <v>0</v>
      </c>
      <c r="E2410" s="3">
        <f t="array" ref="E2410">INDEX($A$9:A2409, MAX(IF($D$9:D2409=1, ROW(D$9:$D2409)-ROW($D$9)+1, 0)))</f>
        <v>49480</v>
      </c>
      <c r="F2410" s="23">
        <f t="shared" si="483"/>
        <v>9.2019164955509929</v>
      </c>
      <c r="G2410" s="5">
        <f>INDEX('Default Prob'!$P$5:$P$14,MIN(1+_xlfn.IFNA(MATCH(F2410,'Default Prob'!$F$5:$F$14,1),0),COUNT('Default Prob'!$P$5:$P$14)))</f>
        <v>8.0322462664562722E-2</v>
      </c>
      <c r="H2410" s="5">
        <f t="shared" si="492"/>
        <v>0.74864871908888708</v>
      </c>
      <c r="I2410" s="24">
        <f t="shared" si="493"/>
        <v>1.6465413075472668E-4</v>
      </c>
      <c r="J2410" s="25">
        <f>INDEX('Default Prob'!$C$3:$C$13, _xlfn.IFNA(MATCH(F2410, 'Default Prob'!$B$3:$B$13, 1), 1))</f>
        <v>2.5000000000000001E-2</v>
      </c>
      <c r="K2410" s="26">
        <f t="shared" si="484"/>
        <v>0.79674598962561882</v>
      </c>
      <c r="L2410" s="27">
        <f t="shared" ca="1" si="485"/>
        <v>0</v>
      </c>
      <c r="M2410" s="27">
        <f t="shared" ca="1" si="486"/>
        <v>0</v>
      </c>
      <c r="N2410" s="28">
        <f t="shared" ca="1" si="487"/>
        <v>0</v>
      </c>
      <c r="O2410" s="29">
        <f t="shared" ca="1" si="488"/>
        <v>0</v>
      </c>
      <c r="P2410" s="30">
        <f t="shared" ca="1" si="489"/>
        <v>0</v>
      </c>
    </row>
    <row r="2411" spans="1:16" x14ac:dyDescent="0.25">
      <c r="A2411" s="3">
        <f t="shared" si="490"/>
        <v>49487</v>
      </c>
      <c r="B2411" s="21">
        <f t="shared" si="481"/>
        <v>36704</v>
      </c>
      <c r="C2411" s="21">
        <f t="shared" si="482"/>
        <v>36789</v>
      </c>
      <c r="D2411" s="1">
        <f t="shared" si="491"/>
        <v>0</v>
      </c>
      <c r="E2411" s="3">
        <f t="array" ref="E2411">INDEX($A$9:A2410, MAX(IF($D$9:D2410=1, ROW(D$9:$D2410)-ROW($D$9)+1, 0)))</f>
        <v>49480</v>
      </c>
      <c r="F2411" s="23">
        <f t="shared" si="483"/>
        <v>9.2046543463381241</v>
      </c>
      <c r="G2411" s="5">
        <f>INDEX('Default Prob'!$P$5:$P$14,MIN(1+_xlfn.IFNA(MATCH(F2411,'Default Prob'!$F$5:$F$14,1),0),COUNT('Default Prob'!$P$5:$P$14)))</f>
        <v>8.0322462664562722E-2</v>
      </c>
      <c r="H2411" s="5">
        <f t="shared" si="492"/>
        <v>0.74848410116339226</v>
      </c>
      <c r="I2411" s="24">
        <f t="shared" si="493"/>
        <v>1.6461792549482546E-4</v>
      </c>
      <c r="J2411" s="25">
        <f>INDEX('Default Prob'!$C$3:$C$13, _xlfn.IFNA(MATCH(F2411, 'Default Prob'!$B$3:$B$13, 1), 1))</f>
        <v>2.5000000000000001E-2</v>
      </c>
      <c r="K2411" s="26">
        <f t="shared" si="484"/>
        <v>0.79669212768160458</v>
      </c>
      <c r="L2411" s="27">
        <f t="shared" ca="1" si="485"/>
        <v>0</v>
      </c>
      <c r="M2411" s="27">
        <f t="shared" ca="1" si="486"/>
        <v>0</v>
      </c>
      <c r="N2411" s="28">
        <f t="shared" ca="1" si="487"/>
        <v>0</v>
      </c>
      <c r="O2411" s="29">
        <f t="shared" ca="1" si="488"/>
        <v>0</v>
      </c>
      <c r="P2411" s="30">
        <f t="shared" ca="1" si="489"/>
        <v>0</v>
      </c>
    </row>
    <row r="2412" spans="1:16" x14ac:dyDescent="0.25">
      <c r="A2412" s="3">
        <f t="shared" si="490"/>
        <v>49488</v>
      </c>
      <c r="B2412" s="21">
        <f t="shared" si="481"/>
        <v>36705</v>
      </c>
      <c r="C2412" s="21">
        <f t="shared" si="482"/>
        <v>36789</v>
      </c>
      <c r="D2412" s="1">
        <f t="shared" si="491"/>
        <v>0</v>
      </c>
      <c r="E2412" s="3">
        <f t="array" ref="E2412">INDEX($A$9:A2411, MAX(IF($D$9:D2411=1, ROW(D$9:$D2411)-ROW($D$9)+1, 0)))</f>
        <v>49480</v>
      </c>
      <c r="F2412" s="23">
        <f t="shared" si="483"/>
        <v>9.207392197125257</v>
      </c>
      <c r="G2412" s="5">
        <f>INDEX('Default Prob'!$P$5:$P$14,MIN(1+_xlfn.IFNA(MATCH(F2412,'Default Prob'!$F$5:$F$14,1),0),COUNT('Default Prob'!$P$5:$P$14)))</f>
        <v>8.0322462664562722E-2</v>
      </c>
      <c r="H2412" s="5">
        <f t="shared" si="492"/>
        <v>0.74831951943519615</v>
      </c>
      <c r="I2412" s="24">
        <f t="shared" si="493"/>
        <v>1.645817281961115E-4</v>
      </c>
      <c r="J2412" s="25">
        <f>INDEX('Default Prob'!$C$3:$C$13, _xlfn.IFNA(MATCH(F2412, 'Default Prob'!$B$3:$B$13, 1), 1))</f>
        <v>2.5000000000000001E-2</v>
      </c>
      <c r="K2412" s="26">
        <f t="shared" si="484"/>
        <v>0.79663826937878712</v>
      </c>
      <c r="L2412" s="27">
        <f t="shared" ca="1" si="485"/>
        <v>0</v>
      </c>
      <c r="M2412" s="27">
        <f t="shared" ca="1" si="486"/>
        <v>0</v>
      </c>
      <c r="N2412" s="28">
        <f t="shared" ca="1" si="487"/>
        <v>0</v>
      </c>
      <c r="O2412" s="29">
        <f t="shared" ca="1" si="488"/>
        <v>0</v>
      </c>
      <c r="P2412" s="30">
        <f t="shared" ca="1" si="489"/>
        <v>0</v>
      </c>
    </row>
    <row r="2413" spans="1:16" x14ac:dyDescent="0.25">
      <c r="A2413" s="3">
        <f t="shared" si="490"/>
        <v>49489</v>
      </c>
      <c r="B2413" s="21">
        <f t="shared" si="481"/>
        <v>36706</v>
      </c>
      <c r="C2413" s="21">
        <f t="shared" si="482"/>
        <v>36789</v>
      </c>
      <c r="D2413" s="1">
        <f t="shared" si="491"/>
        <v>0</v>
      </c>
      <c r="E2413" s="3">
        <f t="array" ref="E2413">INDEX($A$9:A2412, MAX(IF($D$9:D2412=1, ROW(D$9:$D2412)-ROW($D$9)+1, 0)))</f>
        <v>49480</v>
      </c>
      <c r="F2413" s="23">
        <f t="shared" si="483"/>
        <v>9.2101300479123882</v>
      </c>
      <c r="G2413" s="5">
        <f>INDEX('Default Prob'!$P$5:$P$14,MIN(1+_xlfn.IFNA(MATCH(F2413,'Default Prob'!$F$5:$F$14,1),0),COUNT('Default Prob'!$P$5:$P$14)))</f>
        <v>8.0322462664562722E-2</v>
      </c>
      <c r="H2413" s="5">
        <f t="shared" si="492"/>
        <v>0.74815497389633967</v>
      </c>
      <c r="I2413" s="24">
        <f t="shared" si="493"/>
        <v>1.6454553885647538E-4</v>
      </c>
      <c r="J2413" s="25">
        <f>INDEX('Default Prob'!$C$3:$C$13, _xlfn.IFNA(MATCH(F2413, 'Default Prob'!$B$3:$B$13, 1), 1))</f>
        <v>2.5000000000000001E-2</v>
      </c>
      <c r="K2413" s="26">
        <f t="shared" si="484"/>
        <v>0.79658441471692054</v>
      </c>
      <c r="L2413" s="27">
        <f t="shared" ca="1" si="485"/>
        <v>0</v>
      </c>
      <c r="M2413" s="27">
        <f t="shared" ca="1" si="486"/>
        <v>0</v>
      </c>
      <c r="N2413" s="28">
        <f t="shared" ca="1" si="487"/>
        <v>0</v>
      </c>
      <c r="O2413" s="29">
        <f t="shared" ca="1" si="488"/>
        <v>0</v>
      </c>
      <c r="P2413" s="30">
        <f t="shared" ca="1" si="489"/>
        <v>0</v>
      </c>
    </row>
    <row r="2414" spans="1:16" x14ac:dyDescent="0.25">
      <c r="A2414" s="3">
        <f t="shared" si="490"/>
        <v>49492</v>
      </c>
      <c r="B2414" s="21">
        <f t="shared" si="481"/>
        <v>36709</v>
      </c>
      <c r="C2414" s="21">
        <f t="shared" si="482"/>
        <v>36789</v>
      </c>
      <c r="D2414" s="1">
        <f t="shared" si="491"/>
        <v>0</v>
      </c>
      <c r="E2414" s="3">
        <f t="array" ref="E2414">INDEX($A$9:A2413, MAX(IF($D$9:D2413=1, ROW(D$9:$D2413)-ROW($D$9)+1, 0)))</f>
        <v>49480</v>
      </c>
      <c r="F2414" s="23">
        <f t="shared" si="483"/>
        <v>9.2183436002737853</v>
      </c>
      <c r="G2414" s="5">
        <f>INDEX('Default Prob'!$P$5:$P$14,MIN(1+_xlfn.IFNA(MATCH(F2414,'Default Prob'!$F$5:$F$14,1),0),COUNT('Default Prob'!$P$5:$P$14)))</f>
        <v>8.0322462664562722E-2</v>
      </c>
      <c r="H2414" s="5">
        <f t="shared" si="492"/>
        <v>0.74766155433624037</v>
      </c>
      <c r="I2414" s="24">
        <f t="shared" si="493"/>
        <v>4.9341956009929522E-4</v>
      </c>
      <c r="J2414" s="25">
        <f>INDEX('Default Prob'!$C$3:$C$13, _xlfn.IFNA(MATCH(F2414, 'Default Prob'!$B$3:$B$13, 1), 1))</f>
        <v>2.5000000000000001E-2</v>
      </c>
      <c r="K2414" s="26">
        <f t="shared" si="484"/>
        <v>0.79642287257456368</v>
      </c>
      <c r="L2414" s="27">
        <f t="shared" ca="1" si="485"/>
        <v>0</v>
      </c>
      <c r="M2414" s="27">
        <f t="shared" ca="1" si="486"/>
        <v>0</v>
      </c>
      <c r="N2414" s="28">
        <f t="shared" ca="1" si="487"/>
        <v>0</v>
      </c>
      <c r="O2414" s="29">
        <f t="shared" ca="1" si="488"/>
        <v>0</v>
      </c>
      <c r="P2414" s="30">
        <f t="shared" ca="1" si="489"/>
        <v>0</v>
      </c>
    </row>
    <row r="2415" spans="1:16" x14ac:dyDescent="0.25">
      <c r="A2415" s="3">
        <f t="shared" si="490"/>
        <v>49493</v>
      </c>
      <c r="B2415" s="21">
        <f t="shared" si="481"/>
        <v>36710</v>
      </c>
      <c r="C2415" s="21">
        <f t="shared" si="482"/>
        <v>36789</v>
      </c>
      <c r="D2415" s="1">
        <f t="shared" si="491"/>
        <v>0</v>
      </c>
      <c r="E2415" s="3">
        <f t="array" ref="E2415">INDEX($A$9:A2414, MAX(IF($D$9:D2414=1, ROW(D$9:$D2414)-ROW($D$9)+1, 0)))</f>
        <v>49480</v>
      </c>
      <c r="F2415" s="23">
        <f t="shared" si="483"/>
        <v>9.2210814510609165</v>
      </c>
      <c r="G2415" s="5">
        <f>INDEX('Default Prob'!$P$5:$P$14,MIN(1+_xlfn.IFNA(MATCH(F2415,'Default Prob'!$F$5:$F$14,1),0),COUNT('Default Prob'!$P$5:$P$14)))</f>
        <v>8.0322462664562722E-2</v>
      </c>
      <c r="H2415" s="5">
        <f t="shared" si="492"/>
        <v>0.74749715347518386</v>
      </c>
      <c r="I2415" s="24">
        <f t="shared" si="493"/>
        <v>1.6440086105651286E-4</v>
      </c>
      <c r="J2415" s="25">
        <f>INDEX('Default Prob'!$C$3:$C$13, _xlfn.IFNA(MATCH(F2415, 'Default Prob'!$B$3:$B$13, 1), 1))</f>
        <v>2.5000000000000001E-2</v>
      </c>
      <c r="K2415" s="26">
        <f t="shared" si="484"/>
        <v>0.79636903247403878</v>
      </c>
      <c r="L2415" s="27">
        <f t="shared" ca="1" si="485"/>
        <v>0</v>
      </c>
      <c r="M2415" s="27">
        <f t="shared" ca="1" si="486"/>
        <v>0</v>
      </c>
      <c r="N2415" s="28">
        <f t="shared" ca="1" si="487"/>
        <v>0</v>
      </c>
      <c r="O2415" s="29">
        <f t="shared" ca="1" si="488"/>
        <v>0</v>
      </c>
      <c r="P2415" s="30">
        <f t="shared" ca="1" si="489"/>
        <v>0</v>
      </c>
    </row>
    <row r="2416" spans="1:16" x14ac:dyDescent="0.25">
      <c r="A2416" s="3">
        <f t="shared" si="490"/>
        <v>49494</v>
      </c>
      <c r="B2416" s="21">
        <f t="shared" si="481"/>
        <v>36711</v>
      </c>
      <c r="C2416" s="21">
        <f t="shared" si="482"/>
        <v>36789</v>
      </c>
      <c r="D2416" s="1">
        <f t="shared" si="491"/>
        <v>0</v>
      </c>
      <c r="E2416" s="3">
        <f t="array" ref="E2416">INDEX($A$9:A2415, MAX(IF($D$9:D2415=1, ROW(D$9:$D2415)-ROW($D$9)+1, 0)))</f>
        <v>49480</v>
      </c>
      <c r="F2416" s="23">
        <f t="shared" si="483"/>
        <v>9.2238193018480494</v>
      </c>
      <c r="G2416" s="5">
        <f>INDEX('Default Prob'!$P$5:$P$14,MIN(1+_xlfn.IFNA(MATCH(F2416,'Default Prob'!$F$5:$F$14,1),0),COUNT('Default Prob'!$P$5:$P$14)))</f>
        <v>8.0322462664562722E-2</v>
      </c>
      <c r="H2416" s="5">
        <f t="shared" si="492"/>
        <v>0.74733278876369647</v>
      </c>
      <c r="I2416" s="24">
        <f t="shared" si="493"/>
        <v>1.6436471148739695E-4</v>
      </c>
      <c r="J2416" s="25">
        <f>INDEX('Default Prob'!$C$3:$C$13, _xlfn.IFNA(MATCH(F2416, 'Default Prob'!$B$3:$B$13, 1), 1))</f>
        <v>2.5000000000000001E-2</v>
      </c>
      <c r="K2416" s="26">
        <f t="shared" si="484"/>
        <v>0.79631519601323408</v>
      </c>
      <c r="L2416" s="27">
        <f t="shared" ca="1" si="485"/>
        <v>0</v>
      </c>
      <c r="M2416" s="27">
        <f t="shared" ca="1" si="486"/>
        <v>0</v>
      </c>
      <c r="N2416" s="28">
        <f t="shared" ca="1" si="487"/>
        <v>0</v>
      </c>
      <c r="O2416" s="29">
        <f t="shared" ca="1" si="488"/>
        <v>0</v>
      </c>
      <c r="P2416" s="30">
        <f t="shared" ca="1" si="489"/>
        <v>0</v>
      </c>
    </row>
    <row r="2417" spans="1:16" x14ac:dyDescent="0.25">
      <c r="A2417" s="3">
        <f t="shared" si="490"/>
        <v>49495</v>
      </c>
      <c r="B2417" s="21">
        <f t="shared" si="481"/>
        <v>36712</v>
      </c>
      <c r="C2417" s="21">
        <f t="shared" si="482"/>
        <v>36789</v>
      </c>
      <c r="D2417" s="1">
        <f t="shared" si="491"/>
        <v>0</v>
      </c>
      <c r="E2417" s="3">
        <f t="array" ref="E2417">INDEX($A$9:A2416, MAX(IF($D$9:D2416=1, ROW(D$9:$D2416)-ROW($D$9)+1, 0)))</f>
        <v>49480</v>
      </c>
      <c r="F2417" s="23">
        <f t="shared" si="483"/>
        <v>9.2265571526351806</v>
      </c>
      <c r="G2417" s="5">
        <f>INDEX('Default Prob'!$P$5:$P$14,MIN(1+_xlfn.IFNA(MATCH(F2417,'Default Prob'!$F$5:$F$14,1),0),COUNT('Default Prob'!$P$5:$P$14)))</f>
        <v>8.0322462664562722E-2</v>
      </c>
      <c r="H2417" s="5">
        <f t="shared" si="492"/>
        <v>0.74716846019382965</v>
      </c>
      <c r="I2417" s="24">
        <f t="shared" si="493"/>
        <v>1.6432856986681177E-4</v>
      </c>
      <c r="J2417" s="25">
        <f>INDEX('Default Prob'!$C$3:$C$13, _xlfn.IFNA(MATCH(F2417, 'Default Prob'!$B$3:$B$13, 1), 1))</f>
        <v>2.5000000000000001E-2</v>
      </c>
      <c r="K2417" s="26">
        <f t="shared" si="484"/>
        <v>0.79626136319190344</v>
      </c>
      <c r="L2417" s="27">
        <f t="shared" ca="1" si="485"/>
        <v>0</v>
      </c>
      <c r="M2417" s="27">
        <f t="shared" ca="1" si="486"/>
        <v>0</v>
      </c>
      <c r="N2417" s="28">
        <f t="shared" ca="1" si="487"/>
        <v>0</v>
      </c>
      <c r="O2417" s="29">
        <f t="shared" ca="1" si="488"/>
        <v>0</v>
      </c>
      <c r="P2417" s="30">
        <f t="shared" ca="1" si="489"/>
        <v>0</v>
      </c>
    </row>
    <row r="2418" spans="1:16" x14ac:dyDescent="0.25">
      <c r="A2418" s="3">
        <f t="shared" si="490"/>
        <v>49496</v>
      </c>
      <c r="B2418" s="21">
        <f t="shared" si="481"/>
        <v>36713</v>
      </c>
      <c r="C2418" s="21">
        <f t="shared" si="482"/>
        <v>36789</v>
      </c>
      <c r="D2418" s="1">
        <f t="shared" si="491"/>
        <v>0</v>
      </c>
      <c r="E2418" s="3">
        <f t="array" ref="E2418">INDEX($A$9:A2417, MAX(IF($D$9:D2417=1, ROW(D$9:$D2417)-ROW($D$9)+1, 0)))</f>
        <v>49480</v>
      </c>
      <c r="F2418" s="23">
        <f t="shared" si="483"/>
        <v>9.2292950034223136</v>
      </c>
      <c r="G2418" s="5">
        <f>INDEX('Default Prob'!$P$5:$P$14,MIN(1+_xlfn.IFNA(MATCH(F2418,'Default Prob'!$F$5:$F$14,1),0),COUNT('Default Prob'!$P$5:$P$14)))</f>
        <v>8.0322462664562722E-2</v>
      </c>
      <c r="H2418" s="5">
        <f t="shared" si="492"/>
        <v>0.74700416775763612</v>
      </c>
      <c r="I2418" s="24">
        <f t="shared" si="493"/>
        <v>1.6429243619353606E-4</v>
      </c>
      <c r="J2418" s="25">
        <f>INDEX('Default Prob'!$C$3:$C$13, _xlfn.IFNA(MATCH(F2418, 'Default Prob'!$B$3:$B$13, 1), 1))</f>
        <v>2.5000000000000001E-2</v>
      </c>
      <c r="K2418" s="26">
        <f t="shared" si="484"/>
        <v>0.79620753400980104</v>
      </c>
      <c r="L2418" s="27">
        <f t="shared" ca="1" si="485"/>
        <v>0</v>
      </c>
      <c r="M2418" s="27">
        <f t="shared" ca="1" si="486"/>
        <v>0</v>
      </c>
      <c r="N2418" s="28">
        <f t="shared" ca="1" si="487"/>
        <v>0</v>
      </c>
      <c r="O2418" s="29">
        <f t="shared" ca="1" si="488"/>
        <v>0</v>
      </c>
      <c r="P2418" s="30">
        <f t="shared" ca="1" si="489"/>
        <v>0</v>
      </c>
    </row>
    <row r="2419" spans="1:16" x14ac:dyDescent="0.25">
      <c r="A2419" s="3">
        <f t="shared" si="490"/>
        <v>49499</v>
      </c>
      <c r="B2419" s="21">
        <f t="shared" si="481"/>
        <v>36716</v>
      </c>
      <c r="C2419" s="21">
        <f t="shared" si="482"/>
        <v>36789</v>
      </c>
      <c r="D2419" s="1">
        <f t="shared" si="491"/>
        <v>0</v>
      </c>
      <c r="E2419" s="3">
        <f t="array" ref="E2419">INDEX($A$9:A2418, MAX(IF($D$9:D2418=1, ROW(D$9:$D2418)-ROW($D$9)+1, 0)))</f>
        <v>49480</v>
      </c>
      <c r="F2419" s="23">
        <f t="shared" si="483"/>
        <v>9.2375085557837107</v>
      </c>
      <c r="G2419" s="5">
        <f>INDEX('Default Prob'!$P$5:$P$14,MIN(1+_xlfn.IFNA(MATCH(F2419,'Default Prob'!$F$5:$F$14,1),0),COUNT('Default Prob'!$P$5:$P$14)))</f>
        <v>8.0322462664562722E-2</v>
      </c>
      <c r="H2419" s="5">
        <f t="shared" si="492"/>
        <v>0.74651150717165116</v>
      </c>
      <c r="I2419" s="24">
        <f t="shared" si="493"/>
        <v>4.9266058598496087E-4</v>
      </c>
      <c r="J2419" s="25">
        <f>INDEX('Default Prob'!$C$3:$C$13, _xlfn.IFNA(MATCH(F2419, 'Default Prob'!$B$3:$B$13, 1), 1))</f>
        <v>2.5000000000000001E-2</v>
      </c>
      <c r="K2419" s="26">
        <f t="shared" si="484"/>
        <v>0.79604606829640223</v>
      </c>
      <c r="L2419" s="27">
        <f t="shared" ca="1" si="485"/>
        <v>0</v>
      </c>
      <c r="M2419" s="27">
        <f t="shared" ca="1" si="486"/>
        <v>0</v>
      </c>
      <c r="N2419" s="28">
        <f t="shared" ca="1" si="487"/>
        <v>0</v>
      </c>
      <c r="O2419" s="29">
        <f t="shared" ca="1" si="488"/>
        <v>0</v>
      </c>
      <c r="P2419" s="30">
        <f t="shared" ca="1" si="489"/>
        <v>0</v>
      </c>
    </row>
    <row r="2420" spans="1:16" x14ac:dyDescent="0.25">
      <c r="A2420" s="3">
        <f t="shared" si="490"/>
        <v>49500</v>
      </c>
      <c r="B2420" s="21">
        <f t="shared" si="481"/>
        <v>36717</v>
      </c>
      <c r="C2420" s="21">
        <f t="shared" si="482"/>
        <v>36789</v>
      </c>
      <c r="D2420" s="1">
        <f t="shared" si="491"/>
        <v>0</v>
      </c>
      <c r="E2420" s="3">
        <f t="array" ref="E2420">INDEX($A$9:A2419, MAX(IF($D$9:D2419=1, ROW(D$9:$D2419)-ROW($D$9)+1, 0)))</f>
        <v>49480</v>
      </c>
      <c r="F2420" s="23">
        <f t="shared" si="483"/>
        <v>9.2402464065708418</v>
      </c>
      <c r="G2420" s="5">
        <f>INDEX('Default Prob'!$P$5:$P$14,MIN(1+_xlfn.IFNA(MATCH(F2420,'Default Prob'!$F$5:$F$14,1),0),COUNT('Default Prob'!$P$5:$P$14)))</f>
        <v>8.0322462664562722E-2</v>
      </c>
      <c r="H2420" s="5">
        <f t="shared" si="492"/>
        <v>0.74634735919071538</v>
      </c>
      <c r="I2420" s="24">
        <f t="shared" si="493"/>
        <v>1.6414798093578042E-4</v>
      </c>
      <c r="J2420" s="25">
        <f>INDEX('Default Prob'!$C$3:$C$13, _xlfn.IFNA(MATCH(F2420, 'Default Prob'!$B$3:$B$13, 1), 1))</f>
        <v>2.5000000000000001E-2</v>
      </c>
      <c r="K2420" s="26">
        <f t="shared" si="484"/>
        <v>0.79599225366875226</v>
      </c>
      <c r="L2420" s="27">
        <f t="shared" ca="1" si="485"/>
        <v>0</v>
      </c>
      <c r="M2420" s="27">
        <f t="shared" ca="1" si="486"/>
        <v>0</v>
      </c>
      <c r="N2420" s="28">
        <f t="shared" ca="1" si="487"/>
        <v>0</v>
      </c>
      <c r="O2420" s="29">
        <f t="shared" ca="1" si="488"/>
        <v>0</v>
      </c>
      <c r="P2420" s="30">
        <f t="shared" ca="1" si="489"/>
        <v>0</v>
      </c>
    </row>
    <row r="2421" spans="1:16" x14ac:dyDescent="0.25">
      <c r="A2421" s="3">
        <f t="shared" si="490"/>
        <v>49501</v>
      </c>
      <c r="B2421" s="21">
        <f t="shared" si="481"/>
        <v>36718</v>
      </c>
      <c r="C2421" s="21">
        <f t="shared" si="482"/>
        <v>36789</v>
      </c>
      <c r="D2421" s="1">
        <f t="shared" si="491"/>
        <v>0</v>
      </c>
      <c r="E2421" s="3">
        <f t="array" ref="E2421">INDEX($A$9:A2420, MAX(IF($D$9:D2420=1, ROW(D$9:$D2420)-ROW($D$9)+1, 0)))</f>
        <v>49480</v>
      </c>
      <c r="F2421" s="23">
        <f t="shared" si="483"/>
        <v>9.2429842573579748</v>
      </c>
      <c r="G2421" s="5">
        <f>INDEX('Default Prob'!$P$5:$P$14,MIN(1+_xlfn.IFNA(MATCH(F2421,'Default Prob'!$F$5:$F$14,1),0),COUNT('Default Prob'!$P$5:$P$14)))</f>
        <v>8.0322462664562722E-2</v>
      </c>
      <c r="H2421" s="5">
        <f t="shared" si="492"/>
        <v>0.74618324730374375</v>
      </c>
      <c r="I2421" s="24">
        <f t="shared" si="493"/>
        <v>1.6411188697162959E-4</v>
      </c>
      <c r="J2421" s="25">
        <f>INDEX('Default Prob'!$C$3:$C$13, _xlfn.IFNA(MATCH(F2421, 'Default Prob'!$B$3:$B$13, 1), 1))</f>
        <v>2.5000000000000001E-2</v>
      </c>
      <c r="K2421" s="26">
        <f t="shared" si="484"/>
        <v>0.79593844267910041</v>
      </c>
      <c r="L2421" s="27">
        <f t="shared" ca="1" si="485"/>
        <v>0</v>
      </c>
      <c r="M2421" s="27">
        <f t="shared" ca="1" si="486"/>
        <v>0</v>
      </c>
      <c r="N2421" s="28">
        <f t="shared" ca="1" si="487"/>
        <v>0</v>
      </c>
      <c r="O2421" s="29">
        <f t="shared" ca="1" si="488"/>
        <v>0</v>
      </c>
      <c r="P2421" s="30">
        <f t="shared" ca="1" si="489"/>
        <v>0</v>
      </c>
    </row>
    <row r="2422" spans="1:16" x14ac:dyDescent="0.25">
      <c r="A2422" s="3">
        <f t="shared" si="490"/>
        <v>49502</v>
      </c>
      <c r="B2422" s="21">
        <f t="shared" si="481"/>
        <v>36719</v>
      </c>
      <c r="C2422" s="21">
        <f t="shared" si="482"/>
        <v>36789</v>
      </c>
      <c r="D2422" s="1">
        <f t="shared" si="491"/>
        <v>0</v>
      </c>
      <c r="E2422" s="3">
        <f t="array" ref="E2422">INDEX($A$9:A2421, MAX(IF($D$9:D2421=1, ROW(D$9:$D2421)-ROW($D$9)+1, 0)))</f>
        <v>49480</v>
      </c>
      <c r="F2422" s="23">
        <f t="shared" si="483"/>
        <v>9.245722108145106</v>
      </c>
      <c r="G2422" s="5">
        <f>INDEX('Default Prob'!$P$5:$P$14,MIN(1+_xlfn.IFNA(MATCH(F2422,'Default Prob'!$F$5:$F$14,1),0),COUNT('Default Prob'!$P$5:$P$14)))</f>
        <v>8.0322462664562722E-2</v>
      </c>
      <c r="H2422" s="5">
        <f t="shared" si="492"/>
        <v>0.74601917150279984</v>
      </c>
      <c r="I2422" s="24">
        <f t="shared" si="493"/>
        <v>1.6407580094390806E-4</v>
      </c>
      <c r="J2422" s="25">
        <f>INDEX('Default Prob'!$C$3:$C$13, _xlfn.IFNA(MATCH(F2422, 'Default Prob'!$B$3:$B$13, 1), 1))</f>
        <v>2.5000000000000001E-2</v>
      </c>
      <c r="K2422" s="26">
        <f t="shared" si="484"/>
        <v>0.79588463532720088</v>
      </c>
      <c r="L2422" s="27">
        <f t="shared" ca="1" si="485"/>
        <v>0</v>
      </c>
      <c r="M2422" s="27">
        <f t="shared" ca="1" si="486"/>
        <v>0</v>
      </c>
      <c r="N2422" s="28">
        <f t="shared" ca="1" si="487"/>
        <v>0</v>
      </c>
      <c r="O2422" s="29">
        <f t="shared" ca="1" si="488"/>
        <v>0</v>
      </c>
      <c r="P2422" s="30">
        <f t="shared" ca="1" si="489"/>
        <v>0</v>
      </c>
    </row>
    <row r="2423" spans="1:16" x14ac:dyDescent="0.25">
      <c r="A2423" s="3">
        <f t="shared" si="490"/>
        <v>49503</v>
      </c>
      <c r="B2423" s="21">
        <f t="shared" si="481"/>
        <v>36720</v>
      </c>
      <c r="C2423" s="21">
        <f t="shared" si="482"/>
        <v>36789</v>
      </c>
      <c r="D2423" s="1">
        <f t="shared" si="491"/>
        <v>0</v>
      </c>
      <c r="E2423" s="3">
        <f t="array" ref="E2423">INDEX($A$9:A2422, MAX(IF($D$9:D2422=1, ROW(D$9:$D2422)-ROW($D$9)+1, 0)))</f>
        <v>49480</v>
      </c>
      <c r="F2423" s="23">
        <f t="shared" si="483"/>
        <v>9.2484599589322389</v>
      </c>
      <c r="G2423" s="5">
        <f>INDEX('Default Prob'!$P$5:$P$14,MIN(1+_xlfn.IFNA(MATCH(F2423,'Default Prob'!$F$5:$F$14,1),0),COUNT('Default Prob'!$P$5:$P$14)))</f>
        <v>8.0322462664562722E-2</v>
      </c>
      <c r="H2423" s="5">
        <f t="shared" si="492"/>
        <v>0.74585513177994867</v>
      </c>
      <c r="I2423" s="24">
        <f t="shared" si="493"/>
        <v>1.6403972285117252E-4</v>
      </c>
      <c r="J2423" s="25">
        <f>INDEX('Default Prob'!$C$3:$C$13, _xlfn.IFNA(MATCH(F2423, 'Default Prob'!$B$3:$B$13, 1), 1))</f>
        <v>2.5000000000000001E-2</v>
      </c>
      <c r="K2423" s="26">
        <f t="shared" si="484"/>
        <v>0.79583083161280754</v>
      </c>
      <c r="L2423" s="27">
        <f t="shared" ca="1" si="485"/>
        <v>0</v>
      </c>
      <c r="M2423" s="27">
        <f t="shared" ca="1" si="486"/>
        <v>0</v>
      </c>
      <c r="N2423" s="28">
        <f t="shared" ca="1" si="487"/>
        <v>0</v>
      </c>
      <c r="O2423" s="29">
        <f t="shared" ca="1" si="488"/>
        <v>0</v>
      </c>
      <c r="P2423" s="30">
        <f t="shared" ca="1" si="489"/>
        <v>0</v>
      </c>
    </row>
    <row r="2424" spans="1:16" x14ac:dyDescent="0.25">
      <c r="A2424" s="3">
        <f t="shared" si="490"/>
        <v>49506</v>
      </c>
      <c r="B2424" s="21">
        <f t="shared" si="481"/>
        <v>36723</v>
      </c>
      <c r="C2424" s="21">
        <f t="shared" si="482"/>
        <v>36789</v>
      </c>
      <c r="D2424" s="1">
        <f t="shared" si="491"/>
        <v>0</v>
      </c>
      <c r="E2424" s="3">
        <f t="array" ref="E2424">INDEX($A$9:A2423, MAX(IF($D$9:D2423=1, ROW(D$9:$D2423)-ROW($D$9)+1, 0)))</f>
        <v>49480</v>
      </c>
      <c r="F2424" s="23">
        <f t="shared" si="483"/>
        <v>9.2566735112936342</v>
      </c>
      <c r="G2424" s="5">
        <f>INDEX('Default Prob'!$P$5:$P$14,MIN(1+_xlfn.IFNA(MATCH(F2424,'Default Prob'!$F$5:$F$14,1),0),COUNT('Default Prob'!$P$5:$P$14)))</f>
        <v>8.0322462664562722E-2</v>
      </c>
      <c r="H2424" s="5">
        <f t="shared" si="492"/>
        <v>0.74536322900063012</v>
      </c>
      <c r="I2424" s="24">
        <f t="shared" si="493"/>
        <v>4.9190277931854265E-4</v>
      </c>
      <c r="J2424" s="25">
        <f>INDEX('Default Prob'!$C$3:$C$13, _xlfn.IFNA(MATCH(F2424, 'Default Prob'!$B$3:$B$13, 1), 1))</f>
        <v>2.5000000000000001E-2</v>
      </c>
      <c r="K2424" s="26">
        <f t="shared" si="484"/>
        <v>0.79566944229220682</v>
      </c>
      <c r="L2424" s="27">
        <f t="shared" ca="1" si="485"/>
        <v>0</v>
      </c>
      <c r="M2424" s="27">
        <f t="shared" ca="1" si="486"/>
        <v>0</v>
      </c>
      <c r="N2424" s="28">
        <f t="shared" ca="1" si="487"/>
        <v>0</v>
      </c>
      <c r="O2424" s="29">
        <f t="shared" ca="1" si="488"/>
        <v>0</v>
      </c>
      <c r="P2424" s="30">
        <f t="shared" ca="1" si="489"/>
        <v>0</v>
      </c>
    </row>
    <row r="2425" spans="1:16" x14ac:dyDescent="0.25">
      <c r="A2425" s="3">
        <f t="shared" si="490"/>
        <v>49507</v>
      </c>
      <c r="B2425" s="21">
        <f t="shared" si="481"/>
        <v>36724</v>
      </c>
      <c r="C2425" s="21">
        <f t="shared" si="482"/>
        <v>36789</v>
      </c>
      <c r="D2425" s="1">
        <f t="shared" si="491"/>
        <v>0</v>
      </c>
      <c r="E2425" s="3">
        <f t="array" ref="E2425">INDEX($A$9:A2424, MAX(IF($D$9:D2424=1, ROW(D$9:$D2424)-ROW($D$9)+1, 0)))</f>
        <v>49480</v>
      </c>
      <c r="F2425" s="23">
        <f t="shared" si="483"/>
        <v>9.2594113620807672</v>
      </c>
      <c r="G2425" s="5">
        <f>INDEX('Default Prob'!$P$5:$P$14,MIN(1+_xlfn.IFNA(MATCH(F2425,'Default Prob'!$F$5:$F$14,1),0),COUNT('Default Prob'!$P$5:$P$14)))</f>
        <v>8.0322462664562722E-2</v>
      </c>
      <c r="H2425" s="5">
        <f t="shared" si="492"/>
        <v>0.74519933351083678</v>
      </c>
      <c r="I2425" s="24">
        <f t="shared" si="493"/>
        <v>1.6389548979334201E-4</v>
      </c>
      <c r="J2425" s="25">
        <f>INDEX('Default Prob'!$C$3:$C$13, _xlfn.IFNA(MATCH(F2425, 'Default Prob'!$B$3:$B$13, 1), 1))</f>
        <v>2.5000000000000001E-2</v>
      </c>
      <c r="K2425" s="26">
        <f t="shared" si="484"/>
        <v>0.79561565312537985</v>
      </c>
      <c r="L2425" s="27">
        <f t="shared" ca="1" si="485"/>
        <v>0</v>
      </c>
      <c r="M2425" s="27">
        <f t="shared" ca="1" si="486"/>
        <v>0</v>
      </c>
      <c r="N2425" s="28">
        <f t="shared" ca="1" si="487"/>
        <v>0</v>
      </c>
      <c r="O2425" s="29">
        <f t="shared" ca="1" si="488"/>
        <v>0</v>
      </c>
      <c r="P2425" s="30">
        <f t="shared" ca="1" si="489"/>
        <v>0</v>
      </c>
    </row>
    <row r="2426" spans="1:16" x14ac:dyDescent="0.25">
      <c r="A2426" s="3">
        <f t="shared" si="490"/>
        <v>49508</v>
      </c>
      <c r="B2426" s="21">
        <f t="shared" si="481"/>
        <v>36725</v>
      </c>
      <c r="C2426" s="21">
        <f t="shared" si="482"/>
        <v>36789</v>
      </c>
      <c r="D2426" s="1">
        <f t="shared" si="491"/>
        <v>0</v>
      </c>
      <c r="E2426" s="3">
        <f t="array" ref="E2426">INDEX($A$9:A2425, MAX(IF($D$9:D2425=1, ROW(D$9:$D2425)-ROW($D$9)+1, 0)))</f>
        <v>49480</v>
      </c>
      <c r="F2426" s="23">
        <f t="shared" si="483"/>
        <v>9.2621492128678984</v>
      </c>
      <c r="G2426" s="5">
        <f>INDEX('Default Prob'!$P$5:$P$14,MIN(1+_xlfn.IFNA(MATCH(F2426,'Default Prob'!$F$5:$F$14,1),0),COUNT('Default Prob'!$P$5:$P$14)))</f>
        <v>8.0322462664562722E-2</v>
      </c>
      <c r="H2426" s="5">
        <f t="shared" si="492"/>
        <v>0.74503547405948833</v>
      </c>
      <c r="I2426" s="24">
        <f t="shared" si="493"/>
        <v>1.6385945134844704E-4</v>
      </c>
      <c r="J2426" s="25">
        <f>INDEX('Default Prob'!$C$3:$C$13, _xlfn.IFNA(MATCH(F2426, 'Default Prob'!$B$3:$B$13, 1), 1))</f>
        <v>2.5000000000000001E-2</v>
      </c>
      <c r="K2426" s="26">
        <f t="shared" si="484"/>
        <v>0.79556186759482994</v>
      </c>
      <c r="L2426" s="27">
        <f t="shared" ca="1" si="485"/>
        <v>0</v>
      </c>
      <c r="M2426" s="27">
        <f t="shared" ca="1" si="486"/>
        <v>0</v>
      </c>
      <c r="N2426" s="28">
        <f t="shared" ca="1" si="487"/>
        <v>0</v>
      </c>
      <c r="O2426" s="29">
        <f t="shared" ca="1" si="488"/>
        <v>0</v>
      </c>
      <c r="P2426" s="30">
        <f t="shared" ca="1" si="489"/>
        <v>0</v>
      </c>
    </row>
    <row r="2427" spans="1:16" x14ac:dyDescent="0.25">
      <c r="A2427" s="3">
        <f t="shared" si="490"/>
        <v>49509</v>
      </c>
      <c r="B2427" s="21">
        <f t="shared" si="481"/>
        <v>36726</v>
      </c>
      <c r="C2427" s="21">
        <f t="shared" si="482"/>
        <v>36789</v>
      </c>
      <c r="D2427" s="1">
        <f t="shared" si="491"/>
        <v>0</v>
      </c>
      <c r="E2427" s="3">
        <f t="array" ref="E2427">INDEX($A$9:A2426, MAX(IF($D$9:D2426=1, ROW(D$9:$D2426)-ROW($D$9)+1, 0)))</f>
        <v>49480</v>
      </c>
      <c r="F2427" s="23">
        <f t="shared" si="483"/>
        <v>9.2648870636550313</v>
      </c>
      <c r="G2427" s="5">
        <f>INDEX('Default Prob'!$P$5:$P$14,MIN(1+_xlfn.IFNA(MATCH(F2427,'Default Prob'!$F$5:$F$14,1),0),COUNT('Default Prob'!$P$5:$P$14)))</f>
        <v>8.0322462664562722E-2</v>
      </c>
      <c r="H2427" s="5">
        <f t="shared" si="492"/>
        <v>0.74487165063866012</v>
      </c>
      <c r="I2427" s="24">
        <f t="shared" si="493"/>
        <v>1.63823420828213E-4</v>
      </c>
      <c r="J2427" s="25">
        <f>INDEX('Default Prob'!$C$3:$C$13, _xlfn.IFNA(MATCH(F2427, 'Default Prob'!$B$3:$B$13, 1), 1))</f>
        <v>2.5000000000000001E-2</v>
      </c>
      <c r="K2427" s="26">
        <f t="shared" si="484"/>
        <v>0.79550808570031117</v>
      </c>
      <c r="L2427" s="27">
        <f t="shared" ca="1" si="485"/>
        <v>0</v>
      </c>
      <c r="M2427" s="27">
        <f t="shared" ca="1" si="486"/>
        <v>0</v>
      </c>
      <c r="N2427" s="28">
        <f t="shared" ca="1" si="487"/>
        <v>0</v>
      </c>
      <c r="O2427" s="29">
        <f t="shared" ca="1" si="488"/>
        <v>0</v>
      </c>
      <c r="P2427" s="30">
        <f t="shared" ca="1" si="489"/>
        <v>0</v>
      </c>
    </row>
    <row r="2428" spans="1:16" x14ac:dyDescent="0.25">
      <c r="A2428" s="3">
        <f t="shared" si="490"/>
        <v>49510</v>
      </c>
      <c r="B2428" s="21">
        <f t="shared" si="481"/>
        <v>36727</v>
      </c>
      <c r="C2428" s="21">
        <f t="shared" si="482"/>
        <v>36789</v>
      </c>
      <c r="D2428" s="1">
        <f t="shared" si="491"/>
        <v>0</v>
      </c>
      <c r="E2428" s="3">
        <f t="array" ref="E2428">INDEX($A$9:A2427, MAX(IF($D$9:D2427=1, ROW(D$9:$D2427)-ROW($D$9)+1, 0)))</f>
        <v>49480</v>
      </c>
      <c r="F2428" s="23">
        <f t="shared" si="483"/>
        <v>9.2676249144421625</v>
      </c>
      <c r="G2428" s="5">
        <f>INDEX('Default Prob'!$P$5:$P$14,MIN(1+_xlfn.IFNA(MATCH(F2428,'Default Prob'!$F$5:$F$14,1),0),COUNT('Default Prob'!$P$5:$P$14)))</f>
        <v>8.0322462664562722E-2</v>
      </c>
      <c r="H2428" s="5">
        <f t="shared" si="492"/>
        <v>0.74470786324042981</v>
      </c>
      <c r="I2428" s="24">
        <f t="shared" si="493"/>
        <v>1.6378739823030841E-4</v>
      </c>
      <c r="J2428" s="25">
        <f>INDEX('Default Prob'!$C$3:$C$13, _xlfn.IFNA(MATCH(F2428, 'Default Prob'!$B$3:$B$13, 1), 1))</f>
        <v>2.5000000000000001E-2</v>
      </c>
      <c r="K2428" s="26">
        <f t="shared" si="484"/>
        <v>0.79545430744157797</v>
      </c>
      <c r="L2428" s="27">
        <f t="shared" ca="1" si="485"/>
        <v>0</v>
      </c>
      <c r="M2428" s="27">
        <f t="shared" ca="1" si="486"/>
        <v>0</v>
      </c>
      <c r="N2428" s="28">
        <f t="shared" ca="1" si="487"/>
        <v>0</v>
      </c>
      <c r="O2428" s="29">
        <f t="shared" ca="1" si="488"/>
        <v>0</v>
      </c>
      <c r="P2428" s="30">
        <f t="shared" ca="1" si="489"/>
        <v>0</v>
      </c>
    </row>
    <row r="2429" spans="1:16" x14ac:dyDescent="0.25">
      <c r="A2429" s="3">
        <f t="shared" si="490"/>
        <v>49513</v>
      </c>
      <c r="B2429" s="21">
        <f t="shared" si="481"/>
        <v>36730</v>
      </c>
      <c r="C2429" s="21">
        <f t="shared" si="482"/>
        <v>36789</v>
      </c>
      <c r="D2429" s="1">
        <f t="shared" si="491"/>
        <v>0</v>
      </c>
      <c r="E2429" s="3">
        <f t="array" ref="E2429">INDEX($A$9:A2428, MAX(IF($D$9:D2428=1, ROW(D$9:$D2428)-ROW($D$9)+1, 0)))</f>
        <v>49480</v>
      </c>
      <c r="F2429" s="23">
        <f t="shared" si="483"/>
        <v>9.2758384668035596</v>
      </c>
      <c r="G2429" s="5">
        <f>INDEX('Default Prob'!$P$5:$P$14,MIN(1+_xlfn.IFNA(MATCH(F2429,'Default Prob'!$F$5:$F$14,1),0),COUNT('Default Prob'!$P$5:$P$14)))</f>
        <v>8.0322462664562722E-2</v>
      </c>
      <c r="H2429" s="5">
        <f t="shared" si="492"/>
        <v>0.74421671710212522</v>
      </c>
      <c r="I2429" s="24">
        <f t="shared" si="493"/>
        <v>4.9114613830458786E-4</v>
      </c>
      <c r="J2429" s="25">
        <f>INDEX('Default Prob'!$C$3:$C$13, _xlfn.IFNA(MATCH(F2429, 'Default Prob'!$B$3:$B$13, 1), 1))</f>
        <v>2.5000000000000001E-2</v>
      </c>
      <c r="K2429" s="26">
        <f t="shared" si="484"/>
        <v>0.79529299447763191</v>
      </c>
      <c r="L2429" s="27">
        <f t="shared" ca="1" si="485"/>
        <v>0</v>
      </c>
      <c r="M2429" s="27">
        <f t="shared" ca="1" si="486"/>
        <v>0</v>
      </c>
      <c r="N2429" s="28">
        <f t="shared" ca="1" si="487"/>
        <v>0</v>
      </c>
      <c r="O2429" s="29">
        <f t="shared" ca="1" si="488"/>
        <v>0</v>
      </c>
      <c r="P2429" s="30">
        <f t="shared" ca="1" si="489"/>
        <v>0</v>
      </c>
    </row>
    <row r="2430" spans="1:16" x14ac:dyDescent="0.25">
      <c r="A2430" s="3">
        <f t="shared" si="490"/>
        <v>49514</v>
      </c>
      <c r="B2430" s="21">
        <f t="shared" si="481"/>
        <v>36731</v>
      </c>
      <c r="C2430" s="21">
        <f t="shared" si="482"/>
        <v>36789</v>
      </c>
      <c r="D2430" s="1">
        <f t="shared" si="491"/>
        <v>0</v>
      </c>
      <c r="E2430" s="3">
        <f t="array" ref="E2430">INDEX($A$9:A2429, MAX(IF($D$9:D2429=1, ROW(D$9:$D2429)-ROW($D$9)+1, 0)))</f>
        <v>49480</v>
      </c>
      <c r="F2430" s="23">
        <f t="shared" si="483"/>
        <v>9.2785763175906908</v>
      </c>
      <c r="G2430" s="5">
        <f>INDEX('Default Prob'!$P$5:$P$14,MIN(1+_xlfn.IFNA(MATCH(F2430,'Default Prob'!$F$5:$F$14,1),0),COUNT('Default Prob'!$P$5:$P$14)))</f>
        <v>8.0322462664562722E-2</v>
      </c>
      <c r="H2430" s="5">
        <f t="shared" si="492"/>
        <v>0.74405307371509455</v>
      </c>
      <c r="I2430" s="24">
        <f t="shared" si="493"/>
        <v>1.6364338703067638E-4</v>
      </c>
      <c r="J2430" s="25">
        <f>INDEX('Default Prob'!$C$3:$C$13, _xlfn.IFNA(MATCH(F2430, 'Default Prob'!$B$3:$B$13, 1), 1))</f>
        <v>2.5000000000000001E-2</v>
      </c>
      <c r="K2430" s="26">
        <f t="shared" si="484"/>
        <v>0.79523923075958225</v>
      </c>
      <c r="L2430" s="27">
        <f t="shared" ca="1" si="485"/>
        <v>0</v>
      </c>
      <c r="M2430" s="27">
        <f t="shared" ca="1" si="486"/>
        <v>0</v>
      </c>
      <c r="N2430" s="28">
        <f t="shared" ca="1" si="487"/>
        <v>0</v>
      </c>
      <c r="O2430" s="29">
        <f t="shared" ca="1" si="488"/>
        <v>0</v>
      </c>
      <c r="P2430" s="30">
        <f t="shared" ca="1" si="489"/>
        <v>0</v>
      </c>
    </row>
    <row r="2431" spans="1:16" x14ac:dyDescent="0.25">
      <c r="A2431" s="3">
        <f t="shared" si="490"/>
        <v>49515</v>
      </c>
      <c r="B2431" s="21">
        <f t="shared" si="481"/>
        <v>36732</v>
      </c>
      <c r="C2431" s="21">
        <f t="shared" si="482"/>
        <v>36789</v>
      </c>
      <c r="D2431" s="1">
        <f t="shared" si="491"/>
        <v>0</v>
      </c>
      <c r="E2431" s="3">
        <f t="array" ref="E2431">INDEX($A$9:A2430, MAX(IF($D$9:D2430=1, ROW(D$9:$D2430)-ROW($D$9)+1, 0)))</f>
        <v>49480</v>
      </c>
      <c r="F2431" s="23">
        <f t="shared" si="483"/>
        <v>9.2813141683778237</v>
      </c>
      <c r="G2431" s="5">
        <f>INDEX('Default Prob'!$P$5:$P$14,MIN(1+_xlfn.IFNA(MATCH(F2431,'Default Prob'!$F$5:$F$14,1),0),COUNT('Default Prob'!$P$5:$P$14)))</f>
        <v>8.0322462664562722E-2</v>
      </c>
      <c r="H2431" s="5">
        <f t="shared" si="492"/>
        <v>0.74388946631107444</v>
      </c>
      <c r="I2431" s="24">
        <f t="shared" si="493"/>
        <v>1.6360740402010521E-4</v>
      </c>
      <c r="J2431" s="25">
        <f>INDEX('Default Prob'!$C$3:$C$13, _xlfn.IFNA(MATCH(F2431, 'Default Prob'!$B$3:$B$13, 1), 1))</f>
        <v>2.5000000000000001E-2</v>
      </c>
      <c r="K2431" s="26">
        <f t="shared" si="484"/>
        <v>0.79518547067608913</v>
      </c>
      <c r="L2431" s="27">
        <f t="shared" ca="1" si="485"/>
        <v>0</v>
      </c>
      <c r="M2431" s="27">
        <f t="shared" ca="1" si="486"/>
        <v>0</v>
      </c>
      <c r="N2431" s="28">
        <f t="shared" ca="1" si="487"/>
        <v>0</v>
      </c>
      <c r="O2431" s="29">
        <f t="shared" ca="1" si="488"/>
        <v>0</v>
      </c>
      <c r="P2431" s="30">
        <f t="shared" ca="1" si="489"/>
        <v>0</v>
      </c>
    </row>
    <row r="2432" spans="1:16" x14ac:dyDescent="0.25">
      <c r="A2432" s="3">
        <f t="shared" si="490"/>
        <v>49516</v>
      </c>
      <c r="B2432" s="21">
        <f t="shared" si="481"/>
        <v>36733</v>
      </c>
      <c r="C2432" s="21">
        <f t="shared" si="482"/>
        <v>36789</v>
      </c>
      <c r="D2432" s="1">
        <f t="shared" si="491"/>
        <v>0</v>
      </c>
      <c r="E2432" s="3">
        <f t="array" ref="E2432">INDEX($A$9:A2431, MAX(IF($D$9:D2431=1, ROW(D$9:$D2431)-ROW($D$9)+1, 0)))</f>
        <v>49480</v>
      </c>
      <c r="F2432" s="23">
        <f t="shared" si="483"/>
        <v>9.2840520191649549</v>
      </c>
      <c r="G2432" s="5">
        <f>INDEX('Default Prob'!$P$5:$P$14,MIN(1+_xlfn.IFNA(MATCH(F2432,'Default Prob'!$F$5:$F$14,1),0),COUNT('Default Prob'!$P$5:$P$14)))</f>
        <v>8.0322462664562722E-2</v>
      </c>
      <c r="H2432" s="5">
        <f t="shared" si="492"/>
        <v>0.74372589488215302</v>
      </c>
      <c r="I2432" s="24">
        <f t="shared" si="493"/>
        <v>1.635714289214274E-4</v>
      </c>
      <c r="J2432" s="25">
        <f>INDEX('Default Prob'!$C$3:$C$13, _xlfn.IFNA(MATCH(F2432, 'Default Prob'!$B$3:$B$13, 1), 1))</f>
        <v>2.5000000000000001E-2</v>
      </c>
      <c r="K2432" s="26">
        <f t="shared" si="484"/>
        <v>0.79513171422690687</v>
      </c>
      <c r="L2432" s="27">
        <f t="shared" ca="1" si="485"/>
        <v>0</v>
      </c>
      <c r="M2432" s="27">
        <f t="shared" ca="1" si="486"/>
        <v>0</v>
      </c>
      <c r="N2432" s="28">
        <f t="shared" ca="1" si="487"/>
        <v>0</v>
      </c>
      <c r="O2432" s="29">
        <f t="shared" ca="1" si="488"/>
        <v>0</v>
      </c>
      <c r="P2432" s="30">
        <f t="shared" ca="1" si="489"/>
        <v>0</v>
      </c>
    </row>
    <row r="2433" spans="1:16" x14ac:dyDescent="0.25">
      <c r="A2433" s="3">
        <f t="shared" si="490"/>
        <v>49517</v>
      </c>
      <c r="B2433" s="21">
        <f t="shared" si="481"/>
        <v>36734</v>
      </c>
      <c r="C2433" s="21">
        <f t="shared" si="482"/>
        <v>36789</v>
      </c>
      <c r="D2433" s="1">
        <f t="shared" si="491"/>
        <v>0</v>
      </c>
      <c r="E2433" s="3">
        <f t="array" ref="E2433">INDEX($A$9:A2432, MAX(IF($D$9:D2432=1, ROW(D$9:$D2432)-ROW($D$9)+1, 0)))</f>
        <v>49480</v>
      </c>
      <c r="F2433" s="23">
        <f t="shared" si="483"/>
        <v>9.2867898699520879</v>
      </c>
      <c r="G2433" s="5">
        <f>INDEX('Default Prob'!$P$5:$P$14,MIN(1+_xlfn.IFNA(MATCH(F2433,'Default Prob'!$F$5:$F$14,1),0),COUNT('Default Prob'!$P$5:$P$14)))</f>
        <v>8.0322462664562722E-2</v>
      </c>
      <c r="H2433" s="5">
        <f t="shared" si="492"/>
        <v>0.74356235942041959</v>
      </c>
      <c r="I2433" s="24">
        <f t="shared" si="493"/>
        <v>1.6353546173342171E-4</v>
      </c>
      <c r="J2433" s="25">
        <f>INDEX('Default Prob'!$C$3:$C$13, _xlfn.IFNA(MATCH(F2433, 'Default Prob'!$B$3:$B$13, 1), 1))</f>
        <v>2.5000000000000001E-2</v>
      </c>
      <c r="K2433" s="26">
        <f t="shared" si="484"/>
        <v>0.79507796141178966</v>
      </c>
      <c r="L2433" s="27">
        <f t="shared" ca="1" si="485"/>
        <v>0</v>
      </c>
      <c r="M2433" s="27">
        <f t="shared" ca="1" si="486"/>
        <v>0</v>
      </c>
      <c r="N2433" s="28">
        <f t="shared" ca="1" si="487"/>
        <v>0</v>
      </c>
      <c r="O2433" s="29">
        <f t="shared" ca="1" si="488"/>
        <v>0</v>
      </c>
      <c r="P2433" s="30">
        <f t="shared" ca="1" si="489"/>
        <v>0</v>
      </c>
    </row>
    <row r="2434" spans="1:16" x14ac:dyDescent="0.25">
      <c r="A2434" s="3">
        <f t="shared" si="490"/>
        <v>49520</v>
      </c>
      <c r="B2434" s="21">
        <f t="shared" si="481"/>
        <v>36737</v>
      </c>
      <c r="C2434" s="21">
        <f t="shared" si="482"/>
        <v>36789</v>
      </c>
      <c r="D2434" s="1">
        <f t="shared" si="491"/>
        <v>0</v>
      </c>
      <c r="E2434" s="3">
        <f t="array" ref="E2434">INDEX($A$9:A2433, MAX(IF($D$9:D2433=1, ROW(D$9:$D2433)-ROW($D$9)+1, 0)))</f>
        <v>49480</v>
      </c>
      <c r="F2434" s="23">
        <f t="shared" si="483"/>
        <v>9.2950034223134832</v>
      </c>
      <c r="G2434" s="5">
        <f>INDEX('Default Prob'!$P$5:$P$14,MIN(1+_xlfn.IFNA(MATCH(F2434,'Default Prob'!$F$5:$F$14,1),0),COUNT('Default Prob'!$P$5:$P$14)))</f>
        <v>8.0322462664562722E-2</v>
      </c>
      <c r="H2434" s="5">
        <f t="shared" si="492"/>
        <v>0.74307196875926973</v>
      </c>
      <c r="I2434" s="24">
        <f t="shared" si="493"/>
        <v>4.9039066114986429E-4</v>
      </c>
      <c r="J2434" s="25">
        <f>INDEX('Default Prob'!$C$3:$C$13, _xlfn.IFNA(MATCH(F2434, 'Default Prob'!$B$3:$B$13, 1), 1))</f>
        <v>2.5000000000000001E-2</v>
      </c>
      <c r="K2434" s="26">
        <f t="shared" si="484"/>
        <v>0.79491672476837283</v>
      </c>
      <c r="L2434" s="27">
        <f t="shared" ca="1" si="485"/>
        <v>0</v>
      </c>
      <c r="M2434" s="27">
        <f t="shared" ca="1" si="486"/>
        <v>0</v>
      </c>
      <c r="N2434" s="28">
        <f t="shared" ca="1" si="487"/>
        <v>0</v>
      </c>
      <c r="O2434" s="29">
        <f t="shared" ca="1" si="488"/>
        <v>0</v>
      </c>
      <c r="P2434" s="30">
        <f t="shared" ca="1" si="489"/>
        <v>0</v>
      </c>
    </row>
    <row r="2435" spans="1:16" x14ac:dyDescent="0.25">
      <c r="A2435" s="3">
        <f t="shared" si="490"/>
        <v>49521</v>
      </c>
      <c r="B2435" s="21">
        <f t="shared" si="481"/>
        <v>36738</v>
      </c>
      <c r="C2435" s="21">
        <f t="shared" si="482"/>
        <v>36789</v>
      </c>
      <c r="D2435" s="1">
        <f t="shared" si="491"/>
        <v>0</v>
      </c>
      <c r="E2435" s="3">
        <f t="array" ref="E2435">INDEX($A$9:A2434, MAX(IF($D$9:D2434=1, ROW(D$9:$D2434)-ROW($D$9)+1, 0)))</f>
        <v>49480</v>
      </c>
      <c r="F2435" s="23">
        <f t="shared" si="483"/>
        <v>9.2977412731006162</v>
      </c>
      <c r="G2435" s="5">
        <f>INDEX('Default Prob'!$P$5:$P$14,MIN(1+_xlfn.IFNA(MATCH(F2435,'Default Prob'!$F$5:$F$14,1),0),COUNT('Default Prob'!$P$5:$P$14)))</f>
        <v>8.0322462664562722E-2</v>
      </c>
      <c r="H2435" s="5">
        <f t="shared" si="492"/>
        <v>0.74290857708721902</v>
      </c>
      <c r="I2435" s="24">
        <f t="shared" si="493"/>
        <v>1.6339167205070559E-4</v>
      </c>
      <c r="J2435" s="25">
        <f>INDEX('Default Prob'!$C$3:$C$13, _xlfn.IFNA(MATCH(F2435, 'Default Prob'!$B$3:$B$13, 1), 1))</f>
        <v>2.5000000000000001E-2</v>
      </c>
      <c r="K2435" s="26">
        <f t="shared" si="484"/>
        <v>0.79486298648705989</v>
      </c>
      <c r="L2435" s="27">
        <f t="shared" ca="1" si="485"/>
        <v>0</v>
      </c>
      <c r="M2435" s="27">
        <f t="shared" ca="1" si="486"/>
        <v>0</v>
      </c>
      <c r="N2435" s="28">
        <f t="shared" ca="1" si="487"/>
        <v>0</v>
      </c>
      <c r="O2435" s="29">
        <f t="shared" ca="1" si="488"/>
        <v>0</v>
      </c>
      <c r="P2435" s="30">
        <f t="shared" ca="1" si="489"/>
        <v>0</v>
      </c>
    </row>
    <row r="2436" spans="1:16" x14ac:dyDescent="0.25">
      <c r="A2436" s="3">
        <f t="shared" si="490"/>
        <v>49522</v>
      </c>
      <c r="B2436" s="21">
        <f t="shared" si="481"/>
        <v>36739</v>
      </c>
      <c r="C2436" s="21">
        <f t="shared" si="482"/>
        <v>36789</v>
      </c>
      <c r="D2436" s="1">
        <f t="shared" si="491"/>
        <v>0</v>
      </c>
      <c r="E2436" s="3">
        <f t="array" ref="E2436">INDEX($A$9:A2435, MAX(IF($D$9:D2435=1, ROW(D$9:$D2435)-ROW($D$9)+1, 0)))</f>
        <v>49480</v>
      </c>
      <c r="F2436" s="23">
        <f t="shared" si="483"/>
        <v>9.3004791238877473</v>
      </c>
      <c r="G2436" s="5">
        <f>INDEX('Default Prob'!$P$5:$P$14,MIN(1+_xlfn.IFNA(MATCH(F2436,'Default Prob'!$F$5:$F$14,1),0),COUNT('Default Prob'!$P$5:$P$14)))</f>
        <v>8.0322462664562722E-2</v>
      </c>
      <c r="H2436" s="5">
        <f t="shared" si="492"/>
        <v>0.74274522134283039</v>
      </c>
      <c r="I2436" s="24">
        <f t="shared" si="493"/>
        <v>1.6335574438863798E-4</v>
      </c>
      <c r="J2436" s="25">
        <f>INDEX('Default Prob'!$C$3:$C$13, _xlfn.IFNA(MATCH(F2436, 'Default Prob'!$B$3:$B$13, 1), 1))</f>
        <v>2.5000000000000001E-2</v>
      </c>
      <c r="K2436" s="26">
        <f t="shared" si="484"/>
        <v>0.79480925183858397</v>
      </c>
      <c r="L2436" s="27">
        <f t="shared" ca="1" si="485"/>
        <v>0</v>
      </c>
      <c r="M2436" s="27">
        <f t="shared" ca="1" si="486"/>
        <v>0</v>
      </c>
      <c r="N2436" s="28">
        <f t="shared" ca="1" si="487"/>
        <v>0</v>
      </c>
      <c r="O2436" s="29">
        <f t="shared" ca="1" si="488"/>
        <v>0</v>
      </c>
      <c r="P2436" s="30">
        <f t="shared" ca="1" si="489"/>
        <v>0</v>
      </c>
    </row>
    <row r="2437" spans="1:16" x14ac:dyDescent="0.25">
      <c r="A2437" s="3">
        <f t="shared" si="490"/>
        <v>49523</v>
      </c>
      <c r="B2437" s="21">
        <f t="shared" si="481"/>
        <v>36740</v>
      </c>
      <c r="C2437" s="21">
        <f t="shared" si="482"/>
        <v>36789</v>
      </c>
      <c r="D2437" s="1">
        <f t="shared" si="491"/>
        <v>0</v>
      </c>
      <c r="E2437" s="3">
        <f t="array" ref="E2437">INDEX($A$9:A2436, MAX(IF($D$9:D2436=1, ROW(D$9:$D2436)-ROW($D$9)+1, 0)))</f>
        <v>49480</v>
      </c>
      <c r="F2437" s="23">
        <f t="shared" si="483"/>
        <v>9.3032169746748803</v>
      </c>
      <c r="G2437" s="5">
        <f>INDEX('Default Prob'!$P$5:$P$14,MIN(1+_xlfn.IFNA(MATCH(F2437,'Default Prob'!$F$5:$F$14,1),0),COUNT('Default Prob'!$P$5:$P$14)))</f>
        <v>8.0322462664562722E-2</v>
      </c>
      <c r="H2437" s="5">
        <f t="shared" si="492"/>
        <v>0.74258190151820358</v>
      </c>
      <c r="I2437" s="24">
        <f t="shared" si="493"/>
        <v>1.6331982462680639E-4</v>
      </c>
      <c r="J2437" s="25">
        <f>INDEX('Default Prob'!$C$3:$C$13, _xlfn.IFNA(MATCH(F2437, 'Default Prob'!$B$3:$B$13, 1), 1))</f>
        <v>2.5000000000000001E-2</v>
      </c>
      <c r="K2437" s="26">
        <f t="shared" si="484"/>
        <v>0.79475552082269929</v>
      </c>
      <c r="L2437" s="27">
        <f t="shared" ca="1" si="485"/>
        <v>0</v>
      </c>
      <c r="M2437" s="27">
        <f t="shared" ca="1" si="486"/>
        <v>0</v>
      </c>
      <c r="N2437" s="28">
        <f t="shared" ca="1" si="487"/>
        <v>0</v>
      </c>
      <c r="O2437" s="29">
        <f t="shared" ca="1" si="488"/>
        <v>0</v>
      </c>
      <c r="P2437" s="30">
        <f t="shared" ca="1" si="489"/>
        <v>0</v>
      </c>
    </row>
    <row r="2438" spans="1:16" x14ac:dyDescent="0.25">
      <c r="A2438" s="3">
        <f t="shared" si="490"/>
        <v>49524</v>
      </c>
      <c r="B2438" s="21">
        <f t="shared" si="481"/>
        <v>36741</v>
      </c>
      <c r="C2438" s="21">
        <f t="shared" si="482"/>
        <v>36789</v>
      </c>
      <c r="D2438" s="1">
        <f t="shared" si="491"/>
        <v>0</v>
      </c>
      <c r="E2438" s="3">
        <f t="array" ref="E2438">INDEX($A$9:A2437, MAX(IF($D$9:D2437=1, ROW(D$9:$D2437)-ROW($D$9)+1, 0)))</f>
        <v>49480</v>
      </c>
      <c r="F2438" s="23">
        <f t="shared" si="483"/>
        <v>9.3059548254620115</v>
      </c>
      <c r="G2438" s="5">
        <f>INDEX('Default Prob'!$P$5:$P$14,MIN(1+_xlfn.IFNA(MATCH(F2438,'Default Prob'!$F$5:$F$14,1),0),COUNT('Default Prob'!$P$5:$P$14)))</f>
        <v>8.0322462664562722E-2</v>
      </c>
      <c r="H2438" s="5">
        <f t="shared" si="492"/>
        <v>0.74241861760544048</v>
      </c>
      <c r="I2438" s="24">
        <f t="shared" si="493"/>
        <v>1.6328391276310139E-4</v>
      </c>
      <c r="J2438" s="25">
        <f>INDEX('Default Prob'!$C$3:$C$13, _xlfn.IFNA(MATCH(F2438, 'Default Prob'!$B$3:$B$13, 1), 1))</f>
        <v>2.5000000000000001E-2</v>
      </c>
      <c r="K2438" s="26">
        <f t="shared" si="484"/>
        <v>0.79470179343916059</v>
      </c>
      <c r="L2438" s="27">
        <f t="shared" ca="1" si="485"/>
        <v>0</v>
      </c>
      <c r="M2438" s="27">
        <f t="shared" ca="1" si="486"/>
        <v>0</v>
      </c>
      <c r="N2438" s="28">
        <f t="shared" ca="1" si="487"/>
        <v>0</v>
      </c>
      <c r="O2438" s="29">
        <f t="shared" ca="1" si="488"/>
        <v>0</v>
      </c>
      <c r="P2438" s="30">
        <f t="shared" ca="1" si="489"/>
        <v>0</v>
      </c>
    </row>
    <row r="2439" spans="1:16" x14ac:dyDescent="0.25">
      <c r="A2439" s="3">
        <f t="shared" si="490"/>
        <v>49527</v>
      </c>
      <c r="B2439" s="21">
        <f t="shared" si="481"/>
        <v>36744</v>
      </c>
      <c r="C2439" s="21">
        <f t="shared" si="482"/>
        <v>36789</v>
      </c>
      <c r="D2439" s="1">
        <f t="shared" si="491"/>
        <v>0</v>
      </c>
      <c r="E2439" s="3">
        <f t="array" ref="E2439">INDEX($A$9:A2438, MAX(IF($D$9:D2438=1, ROW(D$9:$D2438)-ROW($D$9)+1, 0)))</f>
        <v>49480</v>
      </c>
      <c r="F2439" s="23">
        <f t="shared" si="483"/>
        <v>9.3141683778234086</v>
      </c>
      <c r="G2439" s="5">
        <f>INDEX('Default Prob'!$P$5:$P$14,MIN(1+_xlfn.IFNA(MATCH(F2439,'Default Prob'!$F$5:$F$14,1),0),COUNT('Default Prob'!$P$5:$P$14)))</f>
        <v>8.0322462664562722E-2</v>
      </c>
      <c r="H2439" s="5">
        <f t="shared" si="492"/>
        <v>0.74192898125937623</v>
      </c>
      <c r="I2439" s="24">
        <f t="shared" si="493"/>
        <v>4.8963634606424833E-4</v>
      </c>
      <c r="J2439" s="25">
        <f>INDEX('Default Prob'!$C$3:$C$13, _xlfn.IFNA(MATCH(F2439, 'Default Prob'!$B$3:$B$13, 1), 1))</f>
        <v>2.5000000000000001E-2</v>
      </c>
      <c r="K2439" s="26">
        <f t="shared" si="484"/>
        <v>0.79454063308016376</v>
      </c>
      <c r="L2439" s="27">
        <f t="shared" ca="1" si="485"/>
        <v>0</v>
      </c>
      <c r="M2439" s="27">
        <f t="shared" ca="1" si="486"/>
        <v>0</v>
      </c>
      <c r="N2439" s="28">
        <f t="shared" ca="1" si="487"/>
        <v>0</v>
      </c>
      <c r="O2439" s="29">
        <f t="shared" ca="1" si="488"/>
        <v>0</v>
      </c>
      <c r="P2439" s="30">
        <f t="shared" ca="1" si="489"/>
        <v>0</v>
      </c>
    </row>
    <row r="2440" spans="1:16" x14ac:dyDescent="0.25">
      <c r="A2440" s="3">
        <f t="shared" si="490"/>
        <v>49528</v>
      </c>
      <c r="B2440" s="21">
        <f t="shared" si="481"/>
        <v>36745</v>
      </c>
      <c r="C2440" s="21">
        <f t="shared" si="482"/>
        <v>36789</v>
      </c>
      <c r="D2440" s="1">
        <f t="shared" si="491"/>
        <v>0</v>
      </c>
      <c r="E2440" s="3">
        <f t="array" ref="E2440">INDEX($A$9:A2439, MAX(IF($D$9:D2439=1, ROW(D$9:$D2439)-ROW($D$9)+1, 0)))</f>
        <v>49480</v>
      </c>
      <c r="F2440" s="23">
        <f t="shared" si="483"/>
        <v>9.3169062286105415</v>
      </c>
      <c r="G2440" s="5">
        <f>INDEX('Default Prob'!$P$5:$P$14,MIN(1+_xlfn.IFNA(MATCH(F2440,'Default Prob'!$F$5:$F$14,1),0),COUNT('Default Prob'!$P$5:$P$14)))</f>
        <v>8.0322462664562722E-2</v>
      </c>
      <c r="H2440" s="5">
        <f t="shared" si="492"/>
        <v>0.74176584091511955</v>
      </c>
      <c r="I2440" s="24">
        <f t="shared" si="493"/>
        <v>1.6314034425668478E-4</v>
      </c>
      <c r="J2440" s="25">
        <f>INDEX('Default Prob'!$C$3:$C$13, _xlfn.IFNA(MATCH(F2440, 'Default Prob'!$B$3:$B$13, 1), 1))</f>
        <v>2.5000000000000001E-2</v>
      </c>
      <c r="K2440" s="26">
        <f t="shared" si="484"/>
        <v>0.79448692022355305</v>
      </c>
      <c r="L2440" s="27">
        <f t="shared" ca="1" si="485"/>
        <v>0</v>
      </c>
      <c r="M2440" s="27">
        <f t="shared" ca="1" si="486"/>
        <v>0</v>
      </c>
      <c r="N2440" s="28">
        <f t="shared" ca="1" si="487"/>
        <v>0</v>
      </c>
      <c r="O2440" s="29">
        <f t="shared" ca="1" si="488"/>
        <v>0</v>
      </c>
      <c r="P2440" s="30">
        <f t="shared" ca="1" si="489"/>
        <v>0</v>
      </c>
    </row>
    <row r="2441" spans="1:16" x14ac:dyDescent="0.25">
      <c r="A2441" s="3">
        <f t="shared" si="490"/>
        <v>49529</v>
      </c>
      <c r="B2441" s="21">
        <f t="shared" ref="B2441:B2504" si="494">DATE(2000, MONTH(A2441), DAY(A2441))</f>
        <v>36746</v>
      </c>
      <c r="C2441" s="21">
        <f t="shared" ref="C2441:C2504" si="495">VLOOKUP(B2441, $R$9:$S$13, 2)</f>
        <v>36789</v>
      </c>
      <c r="D2441" s="1">
        <f t="shared" si="491"/>
        <v>0</v>
      </c>
      <c r="E2441" s="3">
        <f t="array" ref="E2441">INDEX($A$9:A2440, MAX(IF($D$9:D2440=1, ROW(D$9:$D2440)-ROW($D$9)+1, 0)))</f>
        <v>49480</v>
      </c>
      <c r="F2441" s="23">
        <f t="shared" ref="F2441:F2504" si="496">(A2441-$A$2)/365.25</f>
        <v>9.3196440793976727</v>
      </c>
      <c r="G2441" s="5">
        <f>INDEX('Default Prob'!$P$5:$P$14,MIN(1+_xlfn.IFNA(MATCH(F2441,'Default Prob'!$F$5:$F$14,1),0),COUNT('Default Prob'!$P$5:$P$14)))</f>
        <v>8.0322462664562722E-2</v>
      </c>
      <c r="H2441" s="5">
        <f t="shared" si="492"/>
        <v>0.74160273644326125</v>
      </c>
      <c r="I2441" s="24">
        <f t="shared" si="493"/>
        <v>1.6310447185829968E-4</v>
      </c>
      <c r="J2441" s="25">
        <f>INDEX('Default Prob'!$C$3:$C$13, _xlfn.IFNA(MATCH(F2441, 'Default Prob'!$B$3:$B$13, 1), 1))</f>
        <v>2.5000000000000001E-2</v>
      </c>
      <c r="K2441" s="26">
        <f t="shared" ref="K2441:K2504" si="497">1/((1+J2441)^F2441)</f>
        <v>0.79443321099806041</v>
      </c>
      <c r="L2441" s="27">
        <f t="shared" ref="L2441:L2504" ca="1" si="498">IF(AND(D2441, A2441 &lt;= $G$2), $D$5*$D$2*(A2441-E2441)/365.25, 0)</f>
        <v>0</v>
      </c>
      <c r="M2441" s="27">
        <f t="shared" ref="M2441:M2504" ca="1" si="499">IF(A2441&lt;=$G$2, $D$5*$D$2*(A2441-E2441)/365.25, 0)</f>
        <v>0</v>
      </c>
      <c r="N2441" s="28">
        <f t="shared" ref="N2441:N2504" ca="1" si="500">(L2441*H2441 + M2441*I2441) * K2441</f>
        <v>0</v>
      </c>
      <c r="O2441" s="29">
        <f t="shared" ref="O2441:O2504" ca="1" si="501">IF(A2441&lt;=$G$2, $D$2*(1-$D$3), 0)</f>
        <v>0</v>
      </c>
      <c r="P2441" s="30">
        <f t="shared" ref="P2441:P2504" ca="1" si="502">O2441*I2441*K2441</f>
        <v>0</v>
      </c>
    </row>
    <row r="2442" spans="1:16" x14ac:dyDescent="0.25">
      <c r="A2442" s="3">
        <f t="shared" ref="A2442:A2505" si="503">WORKDAY(A2441, 1)</f>
        <v>49530</v>
      </c>
      <c r="B2442" s="21">
        <f t="shared" si="494"/>
        <v>36747</v>
      </c>
      <c r="C2442" s="21">
        <f t="shared" si="495"/>
        <v>36789</v>
      </c>
      <c r="D2442" s="1">
        <f t="shared" ref="D2442:D2505" si="504">IF(OR(C2442=B2442, AND(C2442&lt;&gt;C2441, C2441&gt;B2441)), 1, 0)</f>
        <v>0</v>
      </c>
      <c r="E2442" s="3">
        <f t="array" ref="E2442">INDEX($A$9:A2441, MAX(IF($D$9:D2441=1, ROW(D$9:$D2441)-ROW($D$9)+1, 0)))</f>
        <v>49480</v>
      </c>
      <c r="F2442" s="23">
        <f t="shared" si="496"/>
        <v>9.3223819301848057</v>
      </c>
      <c r="G2442" s="5">
        <f>INDEX('Default Prob'!$P$5:$P$14,MIN(1+_xlfn.IFNA(MATCH(F2442,'Default Prob'!$F$5:$F$14,1),0),COUNT('Default Prob'!$P$5:$P$14)))</f>
        <v>8.0322462664562722E-2</v>
      </c>
      <c r="H2442" s="5">
        <f t="shared" ref="H2442:H2505" si="505">H2441*EXP(-G2441*(F2442-F2441))</f>
        <v>0.74143966783591331</v>
      </c>
      <c r="I2442" s="24">
        <f t="shared" ref="I2442:I2505" si="506">H2441-H2442</f>
        <v>1.6306860734793815E-4</v>
      </c>
      <c r="J2442" s="25">
        <f>INDEX('Default Prob'!$C$3:$C$13, _xlfn.IFNA(MATCH(F2442, 'Default Prob'!$B$3:$B$13, 1), 1))</f>
        <v>2.5000000000000001E-2</v>
      </c>
      <c r="K2442" s="26">
        <f t="shared" si="497"/>
        <v>0.79437950540344038</v>
      </c>
      <c r="L2442" s="27">
        <f t="shared" ca="1" si="498"/>
        <v>0</v>
      </c>
      <c r="M2442" s="27">
        <f t="shared" ca="1" si="499"/>
        <v>0</v>
      </c>
      <c r="N2442" s="28">
        <f t="shared" ca="1" si="500"/>
        <v>0</v>
      </c>
      <c r="O2442" s="29">
        <f t="shared" ca="1" si="501"/>
        <v>0</v>
      </c>
      <c r="P2442" s="30">
        <f t="shared" ca="1" si="502"/>
        <v>0</v>
      </c>
    </row>
    <row r="2443" spans="1:16" x14ac:dyDescent="0.25">
      <c r="A2443" s="3">
        <f t="shared" si="503"/>
        <v>49531</v>
      </c>
      <c r="B2443" s="21">
        <f t="shared" si="494"/>
        <v>36748</v>
      </c>
      <c r="C2443" s="21">
        <f t="shared" si="495"/>
        <v>36789</v>
      </c>
      <c r="D2443" s="1">
        <f t="shared" si="504"/>
        <v>0</v>
      </c>
      <c r="E2443" s="3">
        <f t="array" ref="E2443">INDEX($A$9:A2442, MAX(IF($D$9:D2442=1, ROW(D$9:$D2442)-ROW($D$9)+1, 0)))</f>
        <v>49480</v>
      </c>
      <c r="F2443" s="23">
        <f t="shared" si="496"/>
        <v>9.3251197809719368</v>
      </c>
      <c r="G2443" s="5">
        <f>INDEX('Default Prob'!$P$5:$P$14,MIN(1+_xlfn.IFNA(MATCH(F2443,'Default Prob'!$F$5:$F$14,1),0),COUNT('Default Prob'!$P$5:$P$14)))</f>
        <v>8.0322462664562722E-2</v>
      </c>
      <c r="H2443" s="5">
        <f t="shared" si="505"/>
        <v>0.74127663508518982</v>
      </c>
      <c r="I2443" s="24">
        <f t="shared" si="506"/>
        <v>1.6303275072349077E-4</v>
      </c>
      <c r="J2443" s="25">
        <f>INDEX('Default Prob'!$C$3:$C$13, _xlfn.IFNA(MATCH(F2443, 'Default Prob'!$B$3:$B$13, 1), 1))</f>
        <v>2.5000000000000001E-2</v>
      </c>
      <c r="K2443" s="26">
        <f t="shared" si="497"/>
        <v>0.79432580343944792</v>
      </c>
      <c r="L2443" s="27">
        <f t="shared" ca="1" si="498"/>
        <v>0</v>
      </c>
      <c r="M2443" s="27">
        <f t="shared" ca="1" si="499"/>
        <v>0</v>
      </c>
      <c r="N2443" s="28">
        <f t="shared" ca="1" si="500"/>
        <v>0</v>
      </c>
      <c r="O2443" s="29">
        <f t="shared" ca="1" si="501"/>
        <v>0</v>
      </c>
      <c r="P2443" s="30">
        <f t="shared" ca="1" si="502"/>
        <v>0</v>
      </c>
    </row>
    <row r="2444" spans="1:16" x14ac:dyDescent="0.25">
      <c r="A2444" s="3">
        <f t="shared" si="503"/>
        <v>49534</v>
      </c>
      <c r="B2444" s="21">
        <f t="shared" si="494"/>
        <v>36751</v>
      </c>
      <c r="C2444" s="21">
        <f t="shared" si="495"/>
        <v>36789</v>
      </c>
      <c r="D2444" s="1">
        <f t="shared" si="504"/>
        <v>0</v>
      </c>
      <c r="E2444" s="3">
        <f t="array" ref="E2444">INDEX($A$9:A2443, MAX(IF($D$9:D2443=1, ROW(D$9:$D2443)-ROW($D$9)+1, 0)))</f>
        <v>49480</v>
      </c>
      <c r="F2444" s="23">
        <f t="shared" si="496"/>
        <v>9.3333333333333339</v>
      </c>
      <c r="G2444" s="5">
        <f>INDEX('Default Prob'!$P$5:$P$14,MIN(1+_xlfn.IFNA(MATCH(F2444,'Default Prob'!$F$5:$F$14,1),0),COUNT('Default Prob'!$P$5:$P$14)))</f>
        <v>8.0322462664562722E-2</v>
      </c>
      <c r="H2444" s="5">
        <f t="shared" si="505"/>
        <v>0.74078775189392965</v>
      </c>
      <c r="I2444" s="24">
        <f t="shared" si="506"/>
        <v>4.8888319126016988E-4</v>
      </c>
      <c r="J2444" s="25">
        <f>INDEX('Default Prob'!$C$3:$C$13, _xlfn.IFNA(MATCH(F2444, 'Default Prob'!$B$3:$B$13, 1), 1))</f>
        <v>2.5000000000000001E-2</v>
      </c>
      <c r="K2444" s="26">
        <f t="shared" si="497"/>
        <v>0.79416471932877963</v>
      </c>
      <c r="L2444" s="27">
        <f t="shared" ca="1" si="498"/>
        <v>0</v>
      </c>
      <c r="M2444" s="27">
        <f t="shared" ca="1" si="499"/>
        <v>0</v>
      </c>
      <c r="N2444" s="28">
        <f t="shared" ca="1" si="500"/>
        <v>0</v>
      </c>
      <c r="O2444" s="29">
        <f t="shared" ca="1" si="501"/>
        <v>0</v>
      </c>
      <c r="P2444" s="30">
        <f t="shared" ca="1" si="502"/>
        <v>0</v>
      </c>
    </row>
    <row r="2445" spans="1:16" x14ac:dyDescent="0.25">
      <c r="A2445" s="3">
        <f t="shared" si="503"/>
        <v>49535</v>
      </c>
      <c r="B2445" s="21">
        <f t="shared" si="494"/>
        <v>36752</v>
      </c>
      <c r="C2445" s="21">
        <f t="shared" si="495"/>
        <v>36789</v>
      </c>
      <c r="D2445" s="1">
        <f t="shared" si="504"/>
        <v>0</v>
      </c>
      <c r="E2445" s="3">
        <f t="array" ref="E2445">INDEX($A$9:A2444, MAX(IF($D$9:D2444=1, ROW(D$9:$D2444)-ROW($D$9)+1, 0)))</f>
        <v>49480</v>
      </c>
      <c r="F2445" s="23">
        <f t="shared" si="496"/>
        <v>9.3360711841204651</v>
      </c>
      <c r="G2445" s="5">
        <f>INDEX('Default Prob'!$P$5:$P$14,MIN(1+_xlfn.IFNA(MATCH(F2445,'Default Prob'!$F$5:$F$14,1),0),COUNT('Default Prob'!$P$5:$P$14)))</f>
        <v>8.0322462664562722E-2</v>
      </c>
      <c r="H2445" s="5">
        <f t="shared" si="505"/>
        <v>0.74062486249087667</v>
      </c>
      <c r="I2445" s="24">
        <f t="shared" si="506"/>
        <v>1.6288940305297928E-4</v>
      </c>
      <c r="J2445" s="25">
        <f>INDEX('Default Prob'!$C$3:$C$13, _xlfn.IFNA(MATCH(F2445, 'Default Prob'!$B$3:$B$13, 1), 1))</f>
        <v>2.5000000000000001E-2</v>
      </c>
      <c r="K2445" s="26">
        <f t="shared" si="497"/>
        <v>0.79411103188484189</v>
      </c>
      <c r="L2445" s="27">
        <f t="shared" ca="1" si="498"/>
        <v>0</v>
      </c>
      <c r="M2445" s="27">
        <f t="shared" ca="1" si="499"/>
        <v>0</v>
      </c>
      <c r="N2445" s="28">
        <f t="shared" ca="1" si="500"/>
        <v>0</v>
      </c>
      <c r="O2445" s="29">
        <f t="shared" ca="1" si="501"/>
        <v>0</v>
      </c>
      <c r="P2445" s="30">
        <f t="shared" ca="1" si="502"/>
        <v>0</v>
      </c>
    </row>
    <row r="2446" spans="1:16" x14ac:dyDescent="0.25">
      <c r="A2446" s="3">
        <f t="shared" si="503"/>
        <v>49536</v>
      </c>
      <c r="B2446" s="21">
        <f t="shared" si="494"/>
        <v>36753</v>
      </c>
      <c r="C2446" s="21">
        <f t="shared" si="495"/>
        <v>36789</v>
      </c>
      <c r="D2446" s="1">
        <f t="shared" si="504"/>
        <v>0</v>
      </c>
      <c r="E2446" s="3">
        <f t="array" ref="E2446">INDEX($A$9:A2445, MAX(IF($D$9:D2445=1, ROW(D$9:$D2445)-ROW($D$9)+1, 0)))</f>
        <v>49480</v>
      </c>
      <c r="F2446" s="23">
        <f t="shared" si="496"/>
        <v>9.3388090349075981</v>
      </c>
      <c r="G2446" s="5">
        <f>INDEX('Default Prob'!$P$5:$P$14,MIN(1+_xlfn.IFNA(MATCH(F2446,'Default Prob'!$F$5:$F$14,1),0),COUNT('Default Prob'!$P$5:$P$14)))</f>
        <v>8.0322462664562722E-2</v>
      </c>
      <c r="H2446" s="5">
        <f t="shared" si="505"/>
        <v>0.74046200890504332</v>
      </c>
      <c r="I2446" s="24">
        <f t="shared" si="506"/>
        <v>1.6285358583334464E-4</v>
      </c>
      <c r="J2446" s="25">
        <f>INDEX('Default Prob'!$C$3:$C$13, _xlfn.IFNA(MATCH(F2446, 'Default Prob'!$B$3:$B$13, 1), 1))</f>
        <v>2.5000000000000001E-2</v>
      </c>
      <c r="K2446" s="26">
        <f t="shared" si="497"/>
        <v>0.79405734807030448</v>
      </c>
      <c r="L2446" s="27">
        <f t="shared" ca="1" si="498"/>
        <v>0</v>
      </c>
      <c r="M2446" s="27">
        <f t="shared" ca="1" si="499"/>
        <v>0</v>
      </c>
      <c r="N2446" s="28">
        <f t="shared" ca="1" si="500"/>
        <v>0</v>
      </c>
      <c r="O2446" s="29">
        <f t="shared" ca="1" si="501"/>
        <v>0</v>
      </c>
      <c r="P2446" s="30">
        <f t="shared" ca="1" si="502"/>
        <v>0</v>
      </c>
    </row>
    <row r="2447" spans="1:16" x14ac:dyDescent="0.25">
      <c r="A2447" s="3">
        <f t="shared" si="503"/>
        <v>49537</v>
      </c>
      <c r="B2447" s="21">
        <f t="shared" si="494"/>
        <v>36754</v>
      </c>
      <c r="C2447" s="21">
        <f t="shared" si="495"/>
        <v>36789</v>
      </c>
      <c r="D2447" s="1">
        <f t="shared" si="504"/>
        <v>0</v>
      </c>
      <c r="E2447" s="3">
        <f t="array" ref="E2447">INDEX($A$9:A2446, MAX(IF($D$9:D2446=1, ROW(D$9:$D2446)-ROW($D$9)+1, 0)))</f>
        <v>49480</v>
      </c>
      <c r="F2447" s="23">
        <f t="shared" si="496"/>
        <v>9.3415468856947292</v>
      </c>
      <c r="G2447" s="5">
        <f>INDEX('Default Prob'!$P$5:$P$14,MIN(1+_xlfn.IFNA(MATCH(F2447,'Default Prob'!$F$5:$F$14,1),0),COUNT('Default Prob'!$P$5:$P$14)))</f>
        <v>8.0322462664562722E-2</v>
      </c>
      <c r="H2447" s="5">
        <f t="shared" si="505"/>
        <v>0.74029919112855391</v>
      </c>
      <c r="I2447" s="24">
        <f t="shared" si="506"/>
        <v>1.6281777648941009E-4</v>
      </c>
      <c r="J2447" s="25">
        <f>INDEX('Default Prob'!$C$3:$C$13, _xlfn.IFNA(MATCH(F2447, 'Default Prob'!$B$3:$B$13, 1), 1))</f>
        <v>2.5000000000000001E-2</v>
      </c>
      <c r="K2447" s="26">
        <f t="shared" si="497"/>
        <v>0.79400366788492194</v>
      </c>
      <c r="L2447" s="27">
        <f t="shared" ca="1" si="498"/>
        <v>0</v>
      </c>
      <c r="M2447" s="27">
        <f t="shared" ca="1" si="499"/>
        <v>0</v>
      </c>
      <c r="N2447" s="28">
        <f t="shared" ca="1" si="500"/>
        <v>0</v>
      </c>
      <c r="O2447" s="29">
        <f t="shared" ca="1" si="501"/>
        <v>0</v>
      </c>
      <c r="P2447" s="30">
        <f t="shared" ca="1" si="502"/>
        <v>0</v>
      </c>
    </row>
    <row r="2448" spans="1:16" x14ac:dyDescent="0.25">
      <c r="A2448" s="3">
        <f t="shared" si="503"/>
        <v>49538</v>
      </c>
      <c r="B2448" s="21">
        <f t="shared" si="494"/>
        <v>36755</v>
      </c>
      <c r="C2448" s="21">
        <f t="shared" si="495"/>
        <v>36789</v>
      </c>
      <c r="D2448" s="1">
        <f t="shared" si="504"/>
        <v>0</v>
      </c>
      <c r="E2448" s="3">
        <f t="array" ref="E2448">INDEX($A$9:A2447, MAX(IF($D$9:D2447=1, ROW(D$9:$D2447)-ROW($D$9)+1, 0)))</f>
        <v>49480</v>
      </c>
      <c r="F2448" s="23">
        <f t="shared" si="496"/>
        <v>9.3442847364818622</v>
      </c>
      <c r="G2448" s="5">
        <f>INDEX('Default Prob'!$P$5:$P$14,MIN(1+_xlfn.IFNA(MATCH(F2448,'Default Prob'!$F$5:$F$14,1),0),COUNT('Default Prob'!$P$5:$P$14)))</f>
        <v>8.0322462664562722E-2</v>
      </c>
      <c r="H2448" s="5">
        <f t="shared" si="505"/>
        <v>0.7401364091535344</v>
      </c>
      <c r="I2448" s="24">
        <f t="shared" si="506"/>
        <v>1.6278197501951031E-4</v>
      </c>
      <c r="J2448" s="25">
        <f>INDEX('Default Prob'!$C$3:$C$13, _xlfn.IFNA(MATCH(F2448, 'Default Prob'!$B$3:$B$13, 1), 1))</f>
        <v>2.5000000000000001E-2</v>
      </c>
      <c r="K2448" s="26">
        <f t="shared" si="497"/>
        <v>0.79394999132844901</v>
      </c>
      <c r="L2448" s="27">
        <f t="shared" ca="1" si="498"/>
        <v>0</v>
      </c>
      <c r="M2448" s="27">
        <f t="shared" ca="1" si="499"/>
        <v>0</v>
      </c>
      <c r="N2448" s="28">
        <f t="shared" ca="1" si="500"/>
        <v>0</v>
      </c>
      <c r="O2448" s="29">
        <f t="shared" ca="1" si="501"/>
        <v>0</v>
      </c>
      <c r="P2448" s="30">
        <f t="shared" ca="1" si="502"/>
        <v>0</v>
      </c>
    </row>
    <row r="2449" spans="1:16" x14ac:dyDescent="0.25">
      <c r="A2449" s="3">
        <f t="shared" si="503"/>
        <v>49541</v>
      </c>
      <c r="B2449" s="21">
        <f t="shared" si="494"/>
        <v>36758</v>
      </c>
      <c r="C2449" s="21">
        <f t="shared" si="495"/>
        <v>36789</v>
      </c>
      <c r="D2449" s="1">
        <f t="shared" si="504"/>
        <v>0</v>
      </c>
      <c r="E2449" s="3">
        <f t="array" ref="E2449">INDEX($A$9:A2448, MAX(IF($D$9:D2448=1, ROW(D$9:$D2448)-ROW($D$9)+1, 0)))</f>
        <v>49480</v>
      </c>
      <c r="F2449" s="23">
        <f t="shared" si="496"/>
        <v>9.3524982888432575</v>
      </c>
      <c r="G2449" s="5">
        <f>INDEX('Default Prob'!$P$5:$P$14,MIN(1+_xlfn.IFNA(MATCH(F2449,'Default Prob'!$F$5:$F$14,1),0),COUNT('Default Prob'!$P$5:$P$14)))</f>
        <v>8.0322462664562722E-2</v>
      </c>
      <c r="H2449" s="5">
        <f t="shared" si="505"/>
        <v>0.73964827795858157</v>
      </c>
      <c r="I2449" s="24">
        <f t="shared" si="506"/>
        <v>4.8813119495283441E-4</v>
      </c>
      <c r="J2449" s="25">
        <f>INDEX('Default Prob'!$C$3:$C$13, _xlfn.IFNA(MATCH(F2449, 'Default Prob'!$B$3:$B$13, 1), 1))</f>
        <v>2.5000000000000001E-2</v>
      </c>
      <c r="K2449" s="26">
        <f t="shared" si="497"/>
        <v>0.79378898343003446</v>
      </c>
      <c r="L2449" s="27">
        <f t="shared" ca="1" si="498"/>
        <v>0</v>
      </c>
      <c r="M2449" s="27">
        <f t="shared" ca="1" si="499"/>
        <v>0</v>
      </c>
      <c r="N2449" s="28">
        <f t="shared" ca="1" si="500"/>
        <v>0</v>
      </c>
      <c r="O2449" s="29">
        <f t="shared" ca="1" si="501"/>
        <v>0</v>
      </c>
      <c r="P2449" s="30">
        <f t="shared" ca="1" si="502"/>
        <v>0</v>
      </c>
    </row>
    <row r="2450" spans="1:16" x14ac:dyDescent="0.25">
      <c r="A2450" s="3">
        <f t="shared" si="503"/>
        <v>49542</v>
      </c>
      <c r="B2450" s="21">
        <f t="shared" si="494"/>
        <v>36759</v>
      </c>
      <c r="C2450" s="21">
        <f t="shared" si="495"/>
        <v>36789</v>
      </c>
      <c r="D2450" s="1">
        <f t="shared" si="504"/>
        <v>0</v>
      </c>
      <c r="E2450" s="3">
        <f t="array" ref="E2450">INDEX($A$9:A2449, MAX(IF($D$9:D2449=1, ROW(D$9:$D2449)-ROW($D$9)+1, 0)))</f>
        <v>49480</v>
      </c>
      <c r="F2450" s="23">
        <f t="shared" si="496"/>
        <v>9.3552361396303905</v>
      </c>
      <c r="G2450" s="5">
        <f>INDEX('Default Prob'!$P$5:$P$14,MIN(1+_xlfn.IFNA(MATCH(F2450,'Default Prob'!$F$5:$F$14,1),0),COUNT('Default Prob'!$P$5:$P$14)))</f>
        <v>8.0322462664562722E-2</v>
      </c>
      <c r="H2450" s="5">
        <f t="shared" si="505"/>
        <v>0.73948563911073639</v>
      </c>
      <c r="I2450" s="24">
        <f t="shared" si="506"/>
        <v>1.6263884784517568E-4</v>
      </c>
      <c r="J2450" s="25">
        <f>INDEX('Default Prob'!$C$3:$C$13, _xlfn.IFNA(MATCH(F2450, 'Default Prob'!$B$3:$B$13, 1), 1))</f>
        <v>2.5000000000000001E-2</v>
      </c>
      <c r="K2450" s="26">
        <f t="shared" si="497"/>
        <v>0.79373532138674674</v>
      </c>
      <c r="L2450" s="27">
        <f t="shared" ca="1" si="498"/>
        <v>0</v>
      </c>
      <c r="M2450" s="27">
        <f t="shared" ca="1" si="499"/>
        <v>0</v>
      </c>
      <c r="N2450" s="28">
        <f t="shared" ca="1" si="500"/>
        <v>0</v>
      </c>
      <c r="O2450" s="29">
        <f t="shared" ca="1" si="501"/>
        <v>0</v>
      </c>
      <c r="P2450" s="30">
        <f t="shared" ca="1" si="502"/>
        <v>0</v>
      </c>
    </row>
    <row r="2451" spans="1:16" x14ac:dyDescent="0.25">
      <c r="A2451" s="3">
        <f t="shared" si="503"/>
        <v>49543</v>
      </c>
      <c r="B2451" s="21">
        <f t="shared" si="494"/>
        <v>36760</v>
      </c>
      <c r="C2451" s="21">
        <f t="shared" si="495"/>
        <v>36789</v>
      </c>
      <c r="D2451" s="1">
        <f t="shared" si="504"/>
        <v>0</v>
      </c>
      <c r="E2451" s="3">
        <f t="array" ref="E2451">INDEX($A$9:A2450, MAX(IF($D$9:D2450=1, ROW(D$9:$D2450)-ROW($D$9)+1, 0)))</f>
        <v>49480</v>
      </c>
      <c r="F2451" s="23">
        <f t="shared" si="496"/>
        <v>9.3579739904175216</v>
      </c>
      <c r="G2451" s="5">
        <f>INDEX('Default Prob'!$P$5:$P$14,MIN(1+_xlfn.IFNA(MATCH(F2451,'Default Prob'!$F$5:$F$14,1),0),COUNT('Default Prob'!$P$5:$P$14)))</f>
        <v>8.0322462664562722E-2</v>
      </c>
      <c r="H2451" s="5">
        <f t="shared" si="505"/>
        <v>0.73932303602501714</v>
      </c>
      <c r="I2451" s="24">
        <f t="shared" si="506"/>
        <v>1.6260308571924842E-4</v>
      </c>
      <c r="J2451" s="25">
        <f>INDEX('Default Prob'!$C$3:$C$13, _xlfn.IFNA(MATCH(F2451, 'Default Prob'!$B$3:$B$13, 1), 1))</f>
        <v>2.5000000000000001E-2</v>
      </c>
      <c r="K2451" s="26">
        <f t="shared" si="497"/>
        <v>0.79368166297114195</v>
      </c>
      <c r="L2451" s="27">
        <f t="shared" ca="1" si="498"/>
        <v>0</v>
      </c>
      <c r="M2451" s="27">
        <f t="shared" ca="1" si="499"/>
        <v>0</v>
      </c>
      <c r="N2451" s="28">
        <f t="shared" ca="1" si="500"/>
        <v>0</v>
      </c>
      <c r="O2451" s="29">
        <f t="shared" ca="1" si="501"/>
        <v>0</v>
      </c>
      <c r="P2451" s="30">
        <f t="shared" ca="1" si="502"/>
        <v>0</v>
      </c>
    </row>
    <row r="2452" spans="1:16" x14ac:dyDescent="0.25">
      <c r="A2452" s="3">
        <f t="shared" si="503"/>
        <v>49544</v>
      </c>
      <c r="B2452" s="21">
        <f t="shared" si="494"/>
        <v>36761</v>
      </c>
      <c r="C2452" s="21">
        <f t="shared" si="495"/>
        <v>36789</v>
      </c>
      <c r="D2452" s="1">
        <f t="shared" si="504"/>
        <v>0</v>
      </c>
      <c r="E2452" s="3">
        <f t="array" ref="E2452">INDEX($A$9:A2451, MAX(IF($D$9:D2451=1, ROW(D$9:$D2451)-ROW($D$9)+1, 0)))</f>
        <v>49480</v>
      </c>
      <c r="F2452" s="23">
        <f t="shared" si="496"/>
        <v>9.3607118412046546</v>
      </c>
      <c r="G2452" s="5">
        <f>INDEX('Default Prob'!$P$5:$P$14,MIN(1+_xlfn.IFNA(MATCH(F2452,'Default Prob'!$F$5:$F$14,1),0),COUNT('Default Prob'!$P$5:$P$14)))</f>
        <v>8.0322462664562722E-2</v>
      </c>
      <c r="H2452" s="5">
        <f t="shared" si="505"/>
        <v>0.73916046869356011</v>
      </c>
      <c r="I2452" s="24">
        <f t="shared" si="506"/>
        <v>1.6256733145703084E-4</v>
      </c>
      <c r="J2452" s="25">
        <f>INDEX('Default Prob'!$C$3:$C$13, _xlfn.IFNA(MATCH(F2452, 'Default Prob'!$B$3:$B$13, 1), 1))</f>
        <v>2.5000000000000001E-2</v>
      </c>
      <c r="K2452" s="26">
        <f t="shared" si="497"/>
        <v>0.7936280081829753</v>
      </c>
      <c r="L2452" s="27">
        <f t="shared" ca="1" si="498"/>
        <v>0</v>
      </c>
      <c r="M2452" s="27">
        <f t="shared" ca="1" si="499"/>
        <v>0</v>
      </c>
      <c r="N2452" s="28">
        <f t="shared" ca="1" si="500"/>
        <v>0</v>
      </c>
      <c r="O2452" s="29">
        <f t="shared" ca="1" si="501"/>
        <v>0</v>
      </c>
      <c r="P2452" s="30">
        <f t="shared" ca="1" si="502"/>
        <v>0</v>
      </c>
    </row>
    <row r="2453" spans="1:16" x14ac:dyDescent="0.25">
      <c r="A2453" s="3">
        <f t="shared" si="503"/>
        <v>49545</v>
      </c>
      <c r="B2453" s="21">
        <f t="shared" si="494"/>
        <v>36762</v>
      </c>
      <c r="C2453" s="21">
        <f t="shared" si="495"/>
        <v>36789</v>
      </c>
      <c r="D2453" s="1">
        <f t="shared" si="504"/>
        <v>0</v>
      </c>
      <c r="E2453" s="3">
        <f t="array" ref="E2453">INDEX($A$9:A2452, MAX(IF($D$9:D2452=1, ROW(D$9:$D2452)-ROW($D$9)+1, 0)))</f>
        <v>49480</v>
      </c>
      <c r="F2453" s="23">
        <f t="shared" si="496"/>
        <v>9.3634496919917858</v>
      </c>
      <c r="G2453" s="5">
        <f>INDEX('Default Prob'!$P$5:$P$14,MIN(1+_xlfn.IFNA(MATCH(F2453,'Default Prob'!$F$5:$F$14,1),0),COUNT('Default Prob'!$P$5:$P$14)))</f>
        <v>8.0322462664562722E-2</v>
      </c>
      <c r="H2453" s="5">
        <f t="shared" si="505"/>
        <v>0.73899793710850348</v>
      </c>
      <c r="I2453" s="24">
        <f t="shared" si="506"/>
        <v>1.6253158505663556E-4</v>
      </c>
      <c r="J2453" s="25">
        <f>INDEX('Default Prob'!$C$3:$C$13, _xlfn.IFNA(MATCH(F2453, 'Default Prob'!$B$3:$B$13, 1), 1))</f>
        <v>2.5000000000000001E-2</v>
      </c>
      <c r="K2453" s="26">
        <f t="shared" si="497"/>
        <v>0.79357435702200108</v>
      </c>
      <c r="L2453" s="27">
        <f t="shared" ca="1" si="498"/>
        <v>0</v>
      </c>
      <c r="M2453" s="27">
        <f t="shared" ca="1" si="499"/>
        <v>0</v>
      </c>
      <c r="N2453" s="28">
        <f t="shared" ca="1" si="500"/>
        <v>0</v>
      </c>
      <c r="O2453" s="29">
        <f t="shared" ca="1" si="501"/>
        <v>0</v>
      </c>
      <c r="P2453" s="30">
        <f t="shared" ca="1" si="502"/>
        <v>0</v>
      </c>
    </row>
    <row r="2454" spans="1:16" x14ac:dyDescent="0.25">
      <c r="A2454" s="3">
        <f t="shared" si="503"/>
        <v>49548</v>
      </c>
      <c r="B2454" s="21">
        <f t="shared" si="494"/>
        <v>36765</v>
      </c>
      <c r="C2454" s="21">
        <f t="shared" si="495"/>
        <v>36789</v>
      </c>
      <c r="D2454" s="1">
        <f t="shared" si="504"/>
        <v>0</v>
      </c>
      <c r="E2454" s="3">
        <f t="array" ref="E2454">INDEX($A$9:A2453, MAX(IF($D$9:D2453=1, ROW(D$9:$D2453)-ROW($D$9)+1, 0)))</f>
        <v>49480</v>
      </c>
      <c r="F2454" s="23">
        <f t="shared" si="496"/>
        <v>9.3716632443531829</v>
      </c>
      <c r="G2454" s="5">
        <f>INDEX('Default Prob'!$P$5:$P$14,MIN(1+_xlfn.IFNA(MATCH(F2454,'Default Prob'!$F$5:$F$14,1),0),COUNT('Default Prob'!$P$5:$P$14)))</f>
        <v>8.0322462664562722E-2</v>
      </c>
      <c r="H2454" s="5">
        <f t="shared" si="505"/>
        <v>0.73851055675314292</v>
      </c>
      <c r="I2454" s="24">
        <f t="shared" si="506"/>
        <v>4.8738035536055602E-4</v>
      </c>
      <c r="J2454" s="25">
        <f>INDEX('Default Prob'!$C$3:$C$13, _xlfn.IFNA(MATCH(F2454, 'Default Prob'!$B$3:$B$13, 1), 1))</f>
        <v>2.5000000000000001E-2</v>
      </c>
      <c r="K2454" s="26">
        <f t="shared" si="497"/>
        <v>0.79341342529978265</v>
      </c>
      <c r="L2454" s="27">
        <f t="shared" ca="1" si="498"/>
        <v>0</v>
      </c>
      <c r="M2454" s="27">
        <f t="shared" ca="1" si="499"/>
        <v>0</v>
      </c>
      <c r="N2454" s="28">
        <f t="shared" ca="1" si="500"/>
        <v>0</v>
      </c>
      <c r="O2454" s="29">
        <f t="shared" ca="1" si="501"/>
        <v>0</v>
      </c>
      <c r="P2454" s="30">
        <f t="shared" ca="1" si="502"/>
        <v>0</v>
      </c>
    </row>
    <row r="2455" spans="1:16" x14ac:dyDescent="0.25">
      <c r="A2455" s="3">
        <f t="shared" si="503"/>
        <v>49549</v>
      </c>
      <c r="B2455" s="21">
        <f t="shared" si="494"/>
        <v>36766</v>
      </c>
      <c r="C2455" s="21">
        <f t="shared" si="495"/>
        <v>36789</v>
      </c>
      <c r="D2455" s="1">
        <f t="shared" si="504"/>
        <v>0</v>
      </c>
      <c r="E2455" s="3">
        <f t="array" ref="E2455">INDEX($A$9:A2454, MAX(IF($D$9:D2454=1, ROW(D$9:$D2454)-ROW($D$9)+1, 0)))</f>
        <v>49480</v>
      </c>
      <c r="F2455" s="23">
        <f t="shared" si="496"/>
        <v>9.3744010951403141</v>
      </c>
      <c r="G2455" s="5">
        <f>INDEX('Default Prob'!$P$5:$P$14,MIN(1+_xlfn.IFNA(MATCH(F2455,'Default Prob'!$F$5:$F$14,1),0),COUNT('Default Prob'!$P$5:$P$14)))</f>
        <v>8.0322462664562722E-2</v>
      </c>
      <c r="H2455" s="5">
        <f t="shared" si="505"/>
        <v>0.73834816807510351</v>
      </c>
      <c r="I2455" s="24">
        <f t="shared" si="506"/>
        <v>1.623886780394157E-4</v>
      </c>
      <c r="J2455" s="25">
        <f>INDEX('Default Prob'!$C$3:$C$13, _xlfn.IFNA(MATCH(F2455, 'Default Prob'!$B$3:$B$13, 1), 1))</f>
        <v>2.5000000000000001E-2</v>
      </c>
      <c r="K2455" s="26">
        <f t="shared" si="497"/>
        <v>0.79335978864512713</v>
      </c>
      <c r="L2455" s="27">
        <f t="shared" ca="1" si="498"/>
        <v>0</v>
      </c>
      <c r="M2455" s="27">
        <f t="shared" ca="1" si="499"/>
        <v>0</v>
      </c>
      <c r="N2455" s="28">
        <f t="shared" ca="1" si="500"/>
        <v>0</v>
      </c>
      <c r="O2455" s="29">
        <f t="shared" ca="1" si="501"/>
        <v>0</v>
      </c>
      <c r="P2455" s="30">
        <f t="shared" ca="1" si="502"/>
        <v>0</v>
      </c>
    </row>
    <row r="2456" spans="1:16" x14ac:dyDescent="0.25">
      <c r="A2456" s="3">
        <f t="shared" si="503"/>
        <v>49550</v>
      </c>
      <c r="B2456" s="21">
        <f t="shared" si="494"/>
        <v>36767</v>
      </c>
      <c r="C2456" s="21">
        <f t="shared" si="495"/>
        <v>36789</v>
      </c>
      <c r="D2456" s="1">
        <f t="shared" si="504"/>
        <v>0</v>
      </c>
      <c r="E2456" s="3">
        <f t="array" ref="E2456">INDEX($A$9:A2455, MAX(IF($D$9:D2455=1, ROW(D$9:$D2455)-ROW($D$9)+1, 0)))</f>
        <v>49480</v>
      </c>
      <c r="F2456" s="23">
        <f t="shared" si="496"/>
        <v>9.377138945927447</v>
      </c>
      <c r="G2456" s="5">
        <f>INDEX('Default Prob'!$P$5:$P$14,MIN(1+_xlfn.IFNA(MATCH(F2456,'Default Prob'!$F$5:$F$14,1),0),COUNT('Default Prob'!$P$5:$P$14)))</f>
        <v>8.0322462664562722E-2</v>
      </c>
      <c r="H2456" s="5">
        <f t="shared" si="505"/>
        <v>0.73818581510418091</v>
      </c>
      <c r="I2456" s="24">
        <f t="shared" si="506"/>
        <v>1.6235297092259682E-4</v>
      </c>
      <c r="J2456" s="25">
        <f>INDEX('Default Prob'!$C$3:$C$13, _xlfn.IFNA(MATCH(F2456, 'Default Prob'!$B$3:$B$13, 1), 1))</f>
        <v>2.5000000000000001E-2</v>
      </c>
      <c r="K2456" s="26">
        <f t="shared" si="497"/>
        <v>0.79330615561643847</v>
      </c>
      <c r="L2456" s="27">
        <f t="shared" ca="1" si="498"/>
        <v>0</v>
      </c>
      <c r="M2456" s="27">
        <f t="shared" ca="1" si="499"/>
        <v>0</v>
      </c>
      <c r="N2456" s="28">
        <f t="shared" ca="1" si="500"/>
        <v>0</v>
      </c>
      <c r="O2456" s="29">
        <f t="shared" ca="1" si="501"/>
        <v>0</v>
      </c>
      <c r="P2456" s="30">
        <f t="shared" ca="1" si="502"/>
        <v>0</v>
      </c>
    </row>
    <row r="2457" spans="1:16" x14ac:dyDescent="0.25">
      <c r="A2457" s="3">
        <f t="shared" si="503"/>
        <v>49551</v>
      </c>
      <c r="B2457" s="21">
        <f t="shared" si="494"/>
        <v>36768</v>
      </c>
      <c r="C2457" s="21">
        <f t="shared" si="495"/>
        <v>36789</v>
      </c>
      <c r="D2457" s="1">
        <f t="shared" si="504"/>
        <v>0</v>
      </c>
      <c r="E2457" s="3">
        <f t="array" ref="E2457">INDEX($A$9:A2456, MAX(IF($D$9:D2456=1, ROW(D$9:$D2456)-ROW($D$9)+1, 0)))</f>
        <v>49480</v>
      </c>
      <c r="F2457" s="23">
        <f t="shared" si="496"/>
        <v>9.3798767967145782</v>
      </c>
      <c r="G2457" s="5">
        <f>INDEX('Default Prob'!$P$5:$P$14,MIN(1+_xlfn.IFNA(MATCH(F2457,'Default Prob'!$F$5:$F$14,1),0),COUNT('Default Prob'!$P$5:$P$14)))</f>
        <v>8.0322462664562722E-2</v>
      </c>
      <c r="H2457" s="5">
        <f t="shared" si="505"/>
        <v>0.73802349783252374</v>
      </c>
      <c r="I2457" s="24">
        <f t="shared" si="506"/>
        <v>1.6231727165716414E-4</v>
      </c>
      <c r="J2457" s="25">
        <f>INDEX('Default Prob'!$C$3:$C$13, _xlfn.IFNA(MATCH(F2457, 'Default Prob'!$B$3:$B$13, 1), 1))</f>
        <v>2.5000000000000001E-2</v>
      </c>
      <c r="K2457" s="26">
        <f t="shared" si="497"/>
        <v>0.79325252621347164</v>
      </c>
      <c r="L2457" s="27">
        <f t="shared" ca="1" si="498"/>
        <v>0</v>
      </c>
      <c r="M2457" s="27">
        <f t="shared" ca="1" si="499"/>
        <v>0</v>
      </c>
      <c r="N2457" s="28">
        <f t="shared" ca="1" si="500"/>
        <v>0</v>
      </c>
      <c r="O2457" s="29">
        <f t="shared" ca="1" si="501"/>
        <v>0</v>
      </c>
      <c r="P2457" s="30">
        <f t="shared" ca="1" si="502"/>
        <v>0</v>
      </c>
    </row>
    <row r="2458" spans="1:16" x14ac:dyDescent="0.25">
      <c r="A2458" s="3">
        <f t="shared" si="503"/>
        <v>49552</v>
      </c>
      <c r="B2458" s="21">
        <f t="shared" si="494"/>
        <v>36769</v>
      </c>
      <c r="C2458" s="21">
        <f t="shared" si="495"/>
        <v>36789</v>
      </c>
      <c r="D2458" s="1">
        <f t="shared" si="504"/>
        <v>0</v>
      </c>
      <c r="E2458" s="3">
        <f t="array" ref="E2458">INDEX($A$9:A2457, MAX(IF($D$9:D2457=1, ROW(D$9:$D2457)-ROW($D$9)+1, 0)))</f>
        <v>49480</v>
      </c>
      <c r="F2458" s="23">
        <f t="shared" si="496"/>
        <v>9.3826146475017111</v>
      </c>
      <c r="G2458" s="5">
        <f>INDEX('Default Prob'!$P$5:$P$14,MIN(1+_xlfn.IFNA(MATCH(F2458,'Default Prob'!$F$5:$F$14,1),0),COUNT('Default Prob'!$P$5:$P$14)))</f>
        <v>8.0322462664562722E-2</v>
      </c>
      <c r="H2458" s="5">
        <f t="shared" si="505"/>
        <v>0.73786121625228207</v>
      </c>
      <c r="I2458" s="24">
        <f t="shared" si="506"/>
        <v>1.6228158024167438E-4</v>
      </c>
      <c r="J2458" s="25">
        <f>INDEX('Default Prob'!$C$3:$C$13, _xlfn.IFNA(MATCH(F2458, 'Default Prob'!$B$3:$B$13, 1), 1))</f>
        <v>2.5000000000000001E-2</v>
      </c>
      <c r="K2458" s="26">
        <f t="shared" si="497"/>
        <v>0.79319890043598107</v>
      </c>
      <c r="L2458" s="27">
        <f t="shared" ca="1" si="498"/>
        <v>0</v>
      </c>
      <c r="M2458" s="27">
        <f t="shared" ca="1" si="499"/>
        <v>0</v>
      </c>
      <c r="N2458" s="28">
        <f t="shared" ca="1" si="500"/>
        <v>0</v>
      </c>
      <c r="O2458" s="29">
        <f t="shared" ca="1" si="501"/>
        <v>0</v>
      </c>
      <c r="P2458" s="30">
        <f t="shared" ca="1" si="502"/>
        <v>0</v>
      </c>
    </row>
    <row r="2459" spans="1:16" x14ac:dyDescent="0.25">
      <c r="A2459" s="3">
        <f t="shared" si="503"/>
        <v>49555</v>
      </c>
      <c r="B2459" s="21">
        <f t="shared" si="494"/>
        <v>36772</v>
      </c>
      <c r="C2459" s="21">
        <f t="shared" si="495"/>
        <v>36789</v>
      </c>
      <c r="D2459" s="1">
        <f t="shared" si="504"/>
        <v>0</v>
      </c>
      <c r="E2459" s="3">
        <f t="array" ref="E2459">INDEX($A$9:A2458, MAX(IF($D$9:D2458=1, ROW(D$9:$D2458)-ROW($D$9)+1, 0)))</f>
        <v>49480</v>
      </c>
      <c r="F2459" s="23">
        <f t="shared" si="496"/>
        <v>9.3908281998631082</v>
      </c>
      <c r="G2459" s="5">
        <f>INDEX('Default Prob'!$P$5:$P$14,MIN(1+_xlfn.IFNA(MATCH(F2459,'Default Prob'!$F$5:$F$14,1),0),COUNT('Default Prob'!$P$5:$P$14)))</f>
        <v>8.0322462664562722E-2</v>
      </c>
      <c r="H2459" s="5">
        <f t="shared" si="505"/>
        <v>0.73737458558157831</v>
      </c>
      <c r="I2459" s="24">
        <f t="shared" si="506"/>
        <v>4.8663067070375821E-4</v>
      </c>
      <c r="J2459" s="25">
        <f>INDEX('Default Prob'!$C$3:$C$13, _xlfn.IFNA(MATCH(F2459, 'Default Prob'!$B$3:$B$13, 1), 1))</f>
        <v>2.5000000000000001E-2</v>
      </c>
      <c r="K2459" s="26">
        <f t="shared" si="497"/>
        <v>0.79303804485391816</v>
      </c>
      <c r="L2459" s="27">
        <f t="shared" ca="1" si="498"/>
        <v>0</v>
      </c>
      <c r="M2459" s="27">
        <f t="shared" ca="1" si="499"/>
        <v>0</v>
      </c>
      <c r="N2459" s="28">
        <f t="shared" ca="1" si="500"/>
        <v>0</v>
      </c>
      <c r="O2459" s="29">
        <f t="shared" ca="1" si="501"/>
        <v>0</v>
      </c>
      <c r="P2459" s="30">
        <f t="shared" ca="1" si="502"/>
        <v>0</v>
      </c>
    </row>
    <row r="2460" spans="1:16" x14ac:dyDescent="0.25">
      <c r="A2460" s="3">
        <f t="shared" si="503"/>
        <v>49556</v>
      </c>
      <c r="B2460" s="21">
        <f t="shared" si="494"/>
        <v>36773</v>
      </c>
      <c r="C2460" s="21">
        <f t="shared" si="495"/>
        <v>36789</v>
      </c>
      <c r="D2460" s="1">
        <f t="shared" si="504"/>
        <v>0</v>
      </c>
      <c r="E2460" s="3">
        <f t="array" ref="E2460">INDEX($A$9:A2459, MAX(IF($D$9:D2459=1, ROW(D$9:$D2459)-ROW($D$9)+1, 0)))</f>
        <v>49480</v>
      </c>
      <c r="F2460" s="23">
        <f t="shared" si="496"/>
        <v>9.3935660506502394</v>
      </c>
      <c r="G2460" s="5">
        <f>INDEX('Default Prob'!$P$5:$P$14,MIN(1+_xlfn.IFNA(MATCH(F2460,'Default Prob'!$F$5:$F$14,1),0),COUNT('Default Prob'!$P$5:$P$14)))</f>
        <v>8.0322462664562722E-2</v>
      </c>
      <c r="H2460" s="5">
        <f t="shared" si="505"/>
        <v>0.73721244668853547</v>
      </c>
      <c r="I2460" s="24">
        <f t="shared" si="506"/>
        <v>1.6213889304284024E-4</v>
      </c>
      <c r="J2460" s="25">
        <f>INDEX('Default Prob'!$C$3:$C$13, _xlfn.IFNA(MATCH(F2460, 'Default Prob'!$B$3:$B$13, 1), 1))</f>
        <v>2.5000000000000001E-2</v>
      </c>
      <c r="K2460" s="26">
        <f t="shared" si="497"/>
        <v>0.79298443357588322</v>
      </c>
      <c r="L2460" s="27">
        <f t="shared" ca="1" si="498"/>
        <v>0</v>
      </c>
      <c r="M2460" s="27">
        <f t="shared" ca="1" si="499"/>
        <v>0</v>
      </c>
      <c r="N2460" s="28">
        <f t="shared" ca="1" si="500"/>
        <v>0</v>
      </c>
      <c r="O2460" s="29">
        <f t="shared" ca="1" si="501"/>
        <v>0</v>
      </c>
      <c r="P2460" s="30">
        <f t="shared" ca="1" si="502"/>
        <v>0</v>
      </c>
    </row>
    <row r="2461" spans="1:16" x14ac:dyDescent="0.25">
      <c r="A2461" s="3">
        <f t="shared" si="503"/>
        <v>49557</v>
      </c>
      <c r="B2461" s="21">
        <f t="shared" si="494"/>
        <v>36774</v>
      </c>
      <c r="C2461" s="21">
        <f t="shared" si="495"/>
        <v>36789</v>
      </c>
      <c r="D2461" s="1">
        <f t="shared" si="504"/>
        <v>0</v>
      </c>
      <c r="E2461" s="3">
        <f t="array" ref="E2461">INDEX($A$9:A2460, MAX(IF($D$9:D2460=1, ROW(D$9:$D2460)-ROW($D$9)+1, 0)))</f>
        <v>49480</v>
      </c>
      <c r="F2461" s="23">
        <f t="shared" si="496"/>
        <v>9.3963039014373724</v>
      </c>
      <c r="G2461" s="5">
        <f>INDEX('Default Prob'!$P$5:$P$14,MIN(1+_xlfn.IFNA(MATCH(F2461,'Default Prob'!$F$5:$F$14,1),0),COUNT('Default Prob'!$P$5:$P$14)))</f>
        <v>8.0322462664562722E-2</v>
      </c>
      <c r="H2461" s="5">
        <f t="shared" si="505"/>
        <v>0.73705034344768494</v>
      </c>
      <c r="I2461" s="24">
        <f t="shared" si="506"/>
        <v>1.6210324085053074E-4</v>
      </c>
      <c r="J2461" s="25">
        <f>INDEX('Default Prob'!$C$3:$C$13, _xlfn.IFNA(MATCH(F2461, 'Default Prob'!$B$3:$B$13, 1), 1))</f>
        <v>2.5000000000000001E-2</v>
      </c>
      <c r="K2461" s="26">
        <f t="shared" si="497"/>
        <v>0.7929308259220994</v>
      </c>
      <c r="L2461" s="27">
        <f t="shared" ca="1" si="498"/>
        <v>0</v>
      </c>
      <c r="M2461" s="27">
        <f t="shared" ca="1" si="499"/>
        <v>0</v>
      </c>
      <c r="N2461" s="28">
        <f t="shared" ca="1" si="500"/>
        <v>0</v>
      </c>
      <c r="O2461" s="29">
        <f t="shared" ca="1" si="501"/>
        <v>0</v>
      </c>
      <c r="P2461" s="30">
        <f t="shared" ca="1" si="502"/>
        <v>0</v>
      </c>
    </row>
    <row r="2462" spans="1:16" x14ac:dyDescent="0.25">
      <c r="A2462" s="3">
        <f t="shared" si="503"/>
        <v>49558</v>
      </c>
      <c r="B2462" s="21">
        <f t="shared" si="494"/>
        <v>36775</v>
      </c>
      <c r="C2462" s="21">
        <f t="shared" si="495"/>
        <v>36789</v>
      </c>
      <c r="D2462" s="1">
        <f t="shared" si="504"/>
        <v>0</v>
      </c>
      <c r="E2462" s="3">
        <f t="array" ref="E2462">INDEX($A$9:A2461, MAX(IF($D$9:D2461=1, ROW(D$9:$D2461)-ROW($D$9)+1, 0)))</f>
        <v>49480</v>
      </c>
      <c r="F2462" s="23">
        <f t="shared" si="496"/>
        <v>9.3990417522245036</v>
      </c>
      <c r="G2462" s="5">
        <f>INDEX('Default Prob'!$P$5:$P$14,MIN(1+_xlfn.IFNA(MATCH(F2462,'Default Prob'!$F$5:$F$14,1),0),COUNT('Default Prob'!$P$5:$P$14)))</f>
        <v>8.0322462664562722E-2</v>
      </c>
      <c r="H2462" s="5">
        <f t="shared" si="505"/>
        <v>0.73688827585118755</v>
      </c>
      <c r="I2462" s="24">
        <f t="shared" si="506"/>
        <v>1.6206759649739499E-4</v>
      </c>
      <c r="J2462" s="25">
        <f>INDEX('Default Prob'!$C$3:$C$13, _xlfn.IFNA(MATCH(F2462, 'Default Prob'!$B$3:$B$13, 1), 1))</f>
        <v>2.5000000000000001E-2</v>
      </c>
      <c r="K2462" s="26">
        <f t="shared" si="497"/>
        <v>0.7928772218923219</v>
      </c>
      <c r="L2462" s="27">
        <f t="shared" ca="1" si="498"/>
        <v>0</v>
      </c>
      <c r="M2462" s="27">
        <f t="shared" ca="1" si="499"/>
        <v>0</v>
      </c>
      <c r="N2462" s="28">
        <f t="shared" ca="1" si="500"/>
        <v>0</v>
      </c>
      <c r="O2462" s="29">
        <f t="shared" ca="1" si="501"/>
        <v>0</v>
      </c>
      <c r="P2462" s="30">
        <f t="shared" ca="1" si="502"/>
        <v>0</v>
      </c>
    </row>
    <row r="2463" spans="1:16" x14ac:dyDescent="0.25">
      <c r="A2463" s="3">
        <f t="shared" si="503"/>
        <v>49559</v>
      </c>
      <c r="B2463" s="21">
        <f t="shared" si="494"/>
        <v>36776</v>
      </c>
      <c r="C2463" s="21">
        <f t="shared" si="495"/>
        <v>36789</v>
      </c>
      <c r="D2463" s="1">
        <f t="shared" si="504"/>
        <v>0</v>
      </c>
      <c r="E2463" s="3">
        <f t="array" ref="E2463">INDEX($A$9:A2462, MAX(IF($D$9:D2462=1, ROW(D$9:$D2462)-ROW($D$9)+1, 0)))</f>
        <v>49480</v>
      </c>
      <c r="F2463" s="23">
        <f t="shared" si="496"/>
        <v>9.4017796030116365</v>
      </c>
      <c r="G2463" s="5">
        <f>INDEX('Default Prob'!$P$5:$P$14,MIN(1+_xlfn.IFNA(MATCH(F2463,'Default Prob'!$F$5:$F$14,1),0),COUNT('Default Prob'!$P$5:$P$14)))</f>
        <v>8.0322462664562722E-2</v>
      </c>
      <c r="H2463" s="5">
        <f t="shared" si="505"/>
        <v>0.73672624389120533</v>
      </c>
      <c r="I2463" s="24">
        <f t="shared" si="506"/>
        <v>1.6203195998221176E-4</v>
      </c>
      <c r="J2463" s="25">
        <f>INDEX('Default Prob'!$C$3:$C$13, _xlfn.IFNA(MATCH(F2463, 'Default Prob'!$B$3:$B$13, 1), 1))</f>
        <v>2.5000000000000001E-2</v>
      </c>
      <c r="K2463" s="26">
        <f t="shared" si="497"/>
        <v>0.7928236214863057</v>
      </c>
      <c r="L2463" s="27">
        <f t="shared" ca="1" si="498"/>
        <v>0</v>
      </c>
      <c r="M2463" s="27">
        <f t="shared" ca="1" si="499"/>
        <v>0</v>
      </c>
      <c r="N2463" s="28">
        <f t="shared" ca="1" si="500"/>
        <v>0</v>
      </c>
      <c r="O2463" s="29">
        <f t="shared" ca="1" si="501"/>
        <v>0</v>
      </c>
      <c r="P2463" s="30">
        <f t="shared" ca="1" si="502"/>
        <v>0</v>
      </c>
    </row>
    <row r="2464" spans="1:16" x14ac:dyDescent="0.25">
      <c r="A2464" s="3">
        <f t="shared" si="503"/>
        <v>49562</v>
      </c>
      <c r="B2464" s="21">
        <f t="shared" si="494"/>
        <v>36779</v>
      </c>
      <c r="C2464" s="21">
        <f t="shared" si="495"/>
        <v>36789</v>
      </c>
      <c r="D2464" s="1">
        <f t="shared" si="504"/>
        <v>0</v>
      </c>
      <c r="E2464" s="3">
        <f t="array" ref="E2464">INDEX($A$9:A2463, MAX(IF($D$9:D2463=1, ROW(D$9:$D2463)-ROW($D$9)+1, 0)))</f>
        <v>49480</v>
      </c>
      <c r="F2464" s="23">
        <f t="shared" si="496"/>
        <v>9.4099931553730318</v>
      </c>
      <c r="G2464" s="5">
        <f>INDEX('Default Prob'!$P$5:$P$14,MIN(1+_xlfn.IFNA(MATCH(F2464,'Default Prob'!$F$5:$F$14,1),0),COUNT('Default Prob'!$P$5:$P$14)))</f>
        <v>8.0322462664562722E-2</v>
      </c>
      <c r="H2464" s="5">
        <f t="shared" si="505"/>
        <v>0.73624036175199936</v>
      </c>
      <c r="I2464" s="24">
        <f t="shared" si="506"/>
        <v>4.8588213920597312E-4</v>
      </c>
      <c r="J2464" s="25">
        <f>INDEX('Default Prob'!$C$3:$C$13, _xlfn.IFNA(MATCH(F2464, 'Default Prob'!$B$3:$B$13, 1), 1))</f>
        <v>2.5000000000000001E-2</v>
      </c>
      <c r="K2464" s="26">
        <f t="shared" si="497"/>
        <v>0.79266284200837489</v>
      </c>
      <c r="L2464" s="27">
        <f t="shared" ca="1" si="498"/>
        <v>0</v>
      </c>
      <c r="M2464" s="27">
        <f t="shared" ca="1" si="499"/>
        <v>0</v>
      </c>
      <c r="N2464" s="28">
        <f t="shared" ca="1" si="500"/>
        <v>0</v>
      </c>
      <c r="O2464" s="29">
        <f t="shared" ca="1" si="501"/>
        <v>0</v>
      </c>
      <c r="P2464" s="30">
        <f t="shared" ca="1" si="502"/>
        <v>0</v>
      </c>
    </row>
    <row r="2465" spans="1:16" x14ac:dyDescent="0.25">
      <c r="A2465" s="3">
        <f t="shared" si="503"/>
        <v>49563</v>
      </c>
      <c r="B2465" s="21">
        <f t="shared" si="494"/>
        <v>36780</v>
      </c>
      <c r="C2465" s="21">
        <f t="shared" si="495"/>
        <v>36789</v>
      </c>
      <c r="D2465" s="1">
        <f t="shared" si="504"/>
        <v>0</v>
      </c>
      <c r="E2465" s="3">
        <f t="array" ref="E2465">INDEX($A$9:A2464, MAX(IF($D$9:D2464=1, ROW(D$9:$D2464)-ROW($D$9)+1, 0)))</f>
        <v>49480</v>
      </c>
      <c r="F2465" s="23">
        <f t="shared" si="496"/>
        <v>9.4127310061601648</v>
      </c>
      <c r="G2465" s="5">
        <f>INDEX('Default Prob'!$P$5:$P$14,MIN(1+_xlfn.IFNA(MATCH(F2465,'Default Prob'!$F$5:$F$14,1),0),COUNT('Default Prob'!$P$5:$P$14)))</f>
        <v>8.0322462664562722E-2</v>
      </c>
      <c r="H2465" s="5">
        <f t="shared" si="505"/>
        <v>0.73607847225973555</v>
      </c>
      <c r="I2465" s="24">
        <f t="shared" si="506"/>
        <v>1.6188949226381144E-4</v>
      </c>
      <c r="J2465" s="25">
        <f>INDEX('Default Prob'!$C$3:$C$13, _xlfn.IFNA(MATCH(F2465, 'Default Prob'!$B$3:$B$13, 1), 1))</f>
        <v>2.5000000000000001E-2</v>
      </c>
      <c r="K2465" s="26">
        <f t="shared" si="497"/>
        <v>0.79260925609495414</v>
      </c>
      <c r="L2465" s="27">
        <f t="shared" ca="1" si="498"/>
        <v>0</v>
      </c>
      <c r="M2465" s="27">
        <f t="shared" ca="1" si="499"/>
        <v>0</v>
      </c>
      <c r="N2465" s="28">
        <f t="shared" ca="1" si="500"/>
        <v>0</v>
      </c>
      <c r="O2465" s="29">
        <f t="shared" ca="1" si="501"/>
        <v>0</v>
      </c>
      <c r="P2465" s="30">
        <f t="shared" ca="1" si="502"/>
        <v>0</v>
      </c>
    </row>
    <row r="2466" spans="1:16" x14ac:dyDescent="0.25">
      <c r="A2466" s="3">
        <f t="shared" si="503"/>
        <v>49564</v>
      </c>
      <c r="B2466" s="21">
        <f t="shared" si="494"/>
        <v>36781</v>
      </c>
      <c r="C2466" s="21">
        <f t="shared" si="495"/>
        <v>36789</v>
      </c>
      <c r="D2466" s="1">
        <f t="shared" si="504"/>
        <v>0</v>
      </c>
      <c r="E2466" s="3">
        <f t="array" ref="E2466">INDEX($A$9:A2465, MAX(IF($D$9:D2465=1, ROW(D$9:$D2465)-ROW($D$9)+1, 0)))</f>
        <v>49480</v>
      </c>
      <c r="F2466" s="23">
        <f t="shared" si="496"/>
        <v>9.415468856947296</v>
      </c>
      <c r="G2466" s="5">
        <f>INDEX('Default Prob'!$P$5:$P$14,MIN(1+_xlfn.IFNA(MATCH(F2466,'Default Prob'!$F$5:$F$14,1),0),COUNT('Default Prob'!$P$5:$P$14)))</f>
        <v>8.0322462664562722E-2</v>
      </c>
      <c r="H2466" s="5">
        <f t="shared" si="505"/>
        <v>0.73591661836482436</v>
      </c>
      <c r="I2466" s="24">
        <f t="shared" si="506"/>
        <v>1.6185389491119029E-4</v>
      </c>
      <c r="J2466" s="25">
        <f>INDEX('Default Prob'!$C$3:$C$13, _xlfn.IFNA(MATCH(F2466, 'Default Prob'!$B$3:$B$13, 1), 1))</f>
        <v>2.5000000000000001E-2</v>
      </c>
      <c r="K2466" s="26">
        <f t="shared" si="497"/>
        <v>0.79255567380406977</v>
      </c>
      <c r="L2466" s="27">
        <f t="shared" ca="1" si="498"/>
        <v>0</v>
      </c>
      <c r="M2466" s="27">
        <f t="shared" ca="1" si="499"/>
        <v>0</v>
      </c>
      <c r="N2466" s="28">
        <f t="shared" ca="1" si="500"/>
        <v>0</v>
      </c>
      <c r="O2466" s="29">
        <f t="shared" ca="1" si="501"/>
        <v>0</v>
      </c>
      <c r="P2466" s="30">
        <f t="shared" ca="1" si="502"/>
        <v>0</v>
      </c>
    </row>
    <row r="2467" spans="1:16" x14ac:dyDescent="0.25">
      <c r="A2467" s="3">
        <f t="shared" si="503"/>
        <v>49565</v>
      </c>
      <c r="B2467" s="21">
        <f t="shared" si="494"/>
        <v>36782</v>
      </c>
      <c r="C2467" s="21">
        <f t="shared" si="495"/>
        <v>36789</v>
      </c>
      <c r="D2467" s="1">
        <f t="shared" si="504"/>
        <v>0</v>
      </c>
      <c r="E2467" s="3">
        <f t="array" ref="E2467">INDEX($A$9:A2466, MAX(IF($D$9:D2466=1, ROW(D$9:$D2466)-ROW($D$9)+1, 0)))</f>
        <v>49480</v>
      </c>
      <c r="F2467" s="23">
        <f t="shared" si="496"/>
        <v>9.4182067077344289</v>
      </c>
      <c r="G2467" s="5">
        <f>INDEX('Default Prob'!$P$5:$P$14,MIN(1+_xlfn.IFNA(MATCH(F2467,'Default Prob'!$F$5:$F$14,1),0),COUNT('Default Prob'!$P$5:$P$14)))</f>
        <v>8.0322462664562722E-2</v>
      </c>
      <c r="H2467" s="5">
        <f t="shared" si="505"/>
        <v>0.73575480005943827</v>
      </c>
      <c r="I2467" s="24">
        <f t="shared" si="506"/>
        <v>1.6181830538608555E-4</v>
      </c>
      <c r="J2467" s="25">
        <f>INDEX('Default Prob'!$C$3:$C$13, _xlfn.IFNA(MATCH(F2467, 'Default Prob'!$B$3:$B$13, 1), 1))</f>
        <v>2.5000000000000001E-2</v>
      </c>
      <c r="K2467" s="26">
        <f t="shared" si="497"/>
        <v>0.79250209513547731</v>
      </c>
      <c r="L2467" s="27">
        <f t="shared" ca="1" si="498"/>
        <v>0</v>
      </c>
      <c r="M2467" s="27">
        <f t="shared" ca="1" si="499"/>
        <v>0</v>
      </c>
      <c r="N2467" s="28">
        <f t="shared" ca="1" si="500"/>
        <v>0</v>
      </c>
      <c r="O2467" s="29">
        <f t="shared" ca="1" si="501"/>
        <v>0</v>
      </c>
      <c r="P2467" s="30">
        <f t="shared" ca="1" si="502"/>
        <v>0</v>
      </c>
    </row>
    <row r="2468" spans="1:16" x14ac:dyDescent="0.25">
      <c r="A2468" s="3">
        <f t="shared" si="503"/>
        <v>49566</v>
      </c>
      <c r="B2468" s="21">
        <f t="shared" si="494"/>
        <v>36783</v>
      </c>
      <c r="C2468" s="21">
        <f t="shared" si="495"/>
        <v>36789</v>
      </c>
      <c r="D2468" s="1">
        <f t="shared" si="504"/>
        <v>0</v>
      </c>
      <c r="E2468" s="3">
        <f t="array" ref="E2468">INDEX($A$9:A2467, MAX(IF($D$9:D2467=1, ROW(D$9:$D2467)-ROW($D$9)+1, 0)))</f>
        <v>49480</v>
      </c>
      <c r="F2468" s="23">
        <f t="shared" si="496"/>
        <v>9.4209445585215601</v>
      </c>
      <c r="G2468" s="5">
        <f>INDEX('Default Prob'!$P$5:$P$14,MIN(1+_xlfn.IFNA(MATCH(F2468,'Default Prob'!$F$5:$F$14,1),0),COUNT('Default Prob'!$P$5:$P$14)))</f>
        <v>8.0322462664562722E-2</v>
      </c>
      <c r="H2468" s="5">
        <f t="shared" si="505"/>
        <v>0.73559301733575178</v>
      </c>
      <c r="I2468" s="24">
        <f t="shared" si="506"/>
        <v>1.6178272368649882E-4</v>
      </c>
      <c r="J2468" s="25">
        <f>INDEX('Default Prob'!$C$3:$C$13, _xlfn.IFNA(MATCH(F2468, 'Default Prob'!$B$3:$B$13, 1), 1))</f>
        <v>2.5000000000000001E-2</v>
      </c>
      <c r="K2468" s="26">
        <f t="shared" si="497"/>
        <v>0.79244852008893152</v>
      </c>
      <c r="L2468" s="27">
        <f t="shared" ca="1" si="498"/>
        <v>0</v>
      </c>
      <c r="M2468" s="27">
        <f t="shared" ca="1" si="499"/>
        <v>0</v>
      </c>
      <c r="N2468" s="28">
        <f t="shared" ca="1" si="500"/>
        <v>0</v>
      </c>
      <c r="O2468" s="29">
        <f t="shared" ca="1" si="501"/>
        <v>0</v>
      </c>
      <c r="P2468" s="30">
        <f t="shared" ca="1" si="502"/>
        <v>0</v>
      </c>
    </row>
    <row r="2469" spans="1:16" x14ac:dyDescent="0.25">
      <c r="A2469" s="3">
        <f t="shared" si="503"/>
        <v>49569</v>
      </c>
      <c r="B2469" s="21">
        <f t="shared" si="494"/>
        <v>36786</v>
      </c>
      <c r="C2469" s="21">
        <f t="shared" si="495"/>
        <v>36789</v>
      </c>
      <c r="D2469" s="1">
        <f t="shared" si="504"/>
        <v>0</v>
      </c>
      <c r="E2469" s="3">
        <f t="array" ref="E2469">INDEX($A$9:A2468, MAX(IF($D$9:D2468=1, ROW(D$9:$D2468)-ROW($D$9)+1, 0)))</f>
        <v>49480</v>
      </c>
      <c r="F2469" s="23">
        <f t="shared" si="496"/>
        <v>9.4291581108829572</v>
      </c>
      <c r="G2469" s="5">
        <f>INDEX('Default Prob'!$P$5:$P$14,MIN(1+_xlfn.IFNA(MATCH(F2469,'Default Prob'!$F$5:$F$14,1),0),COUNT('Default Prob'!$P$5:$P$14)))</f>
        <v>8.0322462664562722E-2</v>
      </c>
      <c r="H2469" s="5">
        <f t="shared" si="505"/>
        <v>0.73510788257665816</v>
      </c>
      <c r="I2469" s="24">
        <f t="shared" si="506"/>
        <v>4.8513475909361947E-4</v>
      </c>
      <c r="J2469" s="25">
        <f>INDEX('Default Prob'!$C$3:$C$13, _xlfn.IFNA(MATCH(F2469, 'Default Prob'!$B$3:$B$13, 1), 1))</f>
        <v>2.5000000000000001E-2</v>
      </c>
      <c r="K2469" s="26">
        <f t="shared" si="497"/>
        <v>0.79228781667912629</v>
      </c>
      <c r="L2469" s="27">
        <f t="shared" ca="1" si="498"/>
        <v>0</v>
      </c>
      <c r="M2469" s="27">
        <f t="shared" ca="1" si="499"/>
        <v>0</v>
      </c>
      <c r="N2469" s="28">
        <f t="shared" ca="1" si="500"/>
        <v>0</v>
      </c>
      <c r="O2469" s="29">
        <f t="shared" ca="1" si="501"/>
        <v>0</v>
      </c>
      <c r="P2469" s="30">
        <f t="shared" ca="1" si="502"/>
        <v>0</v>
      </c>
    </row>
    <row r="2470" spans="1:16" x14ac:dyDescent="0.25">
      <c r="A2470" s="3">
        <f t="shared" si="503"/>
        <v>49570</v>
      </c>
      <c r="B2470" s="21">
        <f t="shared" si="494"/>
        <v>36787</v>
      </c>
      <c r="C2470" s="21">
        <f t="shared" si="495"/>
        <v>36789</v>
      </c>
      <c r="D2470" s="1">
        <f t="shared" si="504"/>
        <v>0</v>
      </c>
      <c r="E2470" s="3">
        <f t="array" ref="E2470">INDEX($A$9:A2469, MAX(IF($D$9:D2469=1, ROW(D$9:$D2469)-ROW($D$9)+1, 0)))</f>
        <v>49480</v>
      </c>
      <c r="F2470" s="23">
        <f t="shared" si="496"/>
        <v>9.4318959616700884</v>
      </c>
      <c r="G2470" s="5">
        <f>INDEX('Default Prob'!$P$5:$P$14,MIN(1+_xlfn.IFNA(MATCH(F2470,'Default Prob'!$F$5:$F$14,1),0),COUNT('Default Prob'!$P$5:$P$14)))</f>
        <v>8.0322462664562722E-2</v>
      </c>
      <c r="H2470" s="5">
        <f t="shared" si="505"/>
        <v>0.73494624210154735</v>
      </c>
      <c r="I2470" s="24">
        <f t="shared" si="506"/>
        <v>1.6164047511080248E-4</v>
      </c>
      <c r="J2470" s="25">
        <f>INDEX('Default Prob'!$C$3:$C$13, _xlfn.IFNA(MATCH(F2470, 'Default Prob'!$B$3:$B$13, 1), 1))</f>
        <v>2.5000000000000001E-2</v>
      </c>
      <c r="K2470" s="26">
        <f t="shared" si="497"/>
        <v>0.79223425611831921</v>
      </c>
      <c r="L2470" s="27">
        <f t="shared" ca="1" si="498"/>
        <v>0</v>
      </c>
      <c r="M2470" s="27">
        <f t="shared" ca="1" si="499"/>
        <v>0</v>
      </c>
      <c r="N2470" s="28">
        <f t="shared" ca="1" si="500"/>
        <v>0</v>
      </c>
      <c r="O2470" s="29">
        <f t="shared" ca="1" si="501"/>
        <v>0</v>
      </c>
      <c r="P2470" s="30">
        <f t="shared" ca="1" si="502"/>
        <v>0</v>
      </c>
    </row>
    <row r="2471" spans="1:16" x14ac:dyDescent="0.25">
      <c r="A2471" s="3">
        <f t="shared" si="503"/>
        <v>49571</v>
      </c>
      <c r="B2471" s="21">
        <f t="shared" si="494"/>
        <v>36788</v>
      </c>
      <c r="C2471" s="21">
        <f t="shared" si="495"/>
        <v>36789</v>
      </c>
      <c r="D2471" s="1">
        <f t="shared" si="504"/>
        <v>0</v>
      </c>
      <c r="E2471" s="3">
        <f t="array" ref="E2471">INDEX($A$9:A2470, MAX(IF($D$9:D2470=1, ROW(D$9:$D2470)-ROW($D$9)+1, 0)))</f>
        <v>49480</v>
      </c>
      <c r="F2471" s="23">
        <f t="shared" si="496"/>
        <v>9.4346338124572213</v>
      </c>
      <c r="G2471" s="5">
        <f>INDEX('Default Prob'!$P$5:$P$14,MIN(1+_xlfn.IFNA(MATCH(F2471,'Default Prob'!$F$5:$F$14,1),0),COUNT('Default Prob'!$P$5:$P$14)))</f>
        <v>8.0322462664562722E-2</v>
      </c>
      <c r="H2471" s="5">
        <f t="shared" si="505"/>
        <v>0.73478463716903342</v>
      </c>
      <c r="I2471" s="24">
        <f t="shared" si="506"/>
        <v>1.6160493251393682E-4</v>
      </c>
      <c r="J2471" s="25">
        <f>INDEX('Default Prob'!$C$3:$C$13, _xlfn.IFNA(MATCH(F2471, 'Default Prob'!$B$3:$B$13, 1), 1))</f>
        <v>2.5000000000000001E-2</v>
      </c>
      <c r="K2471" s="26">
        <f t="shared" si="497"/>
        <v>0.79218069917833478</v>
      </c>
      <c r="L2471" s="27">
        <f t="shared" ca="1" si="498"/>
        <v>0</v>
      </c>
      <c r="M2471" s="27">
        <f t="shared" ca="1" si="499"/>
        <v>0</v>
      </c>
      <c r="N2471" s="28">
        <f t="shared" ca="1" si="500"/>
        <v>0</v>
      </c>
      <c r="O2471" s="29">
        <f t="shared" ca="1" si="501"/>
        <v>0</v>
      </c>
      <c r="P2471" s="30">
        <f t="shared" ca="1" si="502"/>
        <v>0</v>
      </c>
    </row>
    <row r="2472" spans="1:16" x14ac:dyDescent="0.25">
      <c r="A2472" s="3">
        <f t="shared" si="503"/>
        <v>49572</v>
      </c>
      <c r="B2472" s="21">
        <f t="shared" si="494"/>
        <v>36789</v>
      </c>
      <c r="C2472" s="21">
        <f t="shared" si="495"/>
        <v>36789</v>
      </c>
      <c r="D2472" s="1">
        <f t="shared" si="504"/>
        <v>1</v>
      </c>
      <c r="E2472" s="3">
        <f t="array" ref="E2472">INDEX($A$9:A2471, MAX(IF($D$9:D2471=1, ROW(D$9:$D2471)-ROW($D$9)+1, 0)))</f>
        <v>49480</v>
      </c>
      <c r="F2472" s="23">
        <f t="shared" si="496"/>
        <v>9.4373716632443525</v>
      </c>
      <c r="G2472" s="5">
        <f>INDEX('Default Prob'!$P$5:$P$14,MIN(1+_xlfn.IFNA(MATCH(F2472,'Default Prob'!$F$5:$F$14,1),0),COUNT('Default Prob'!$P$5:$P$14)))</f>
        <v>8.0322462664562722E-2</v>
      </c>
      <c r="H2472" s="5">
        <f t="shared" si="505"/>
        <v>0.73462306777130115</v>
      </c>
      <c r="I2472" s="24">
        <f t="shared" si="506"/>
        <v>1.6156939773226409E-4</v>
      </c>
      <c r="J2472" s="25">
        <f>INDEX('Default Prob'!$C$3:$C$13, _xlfn.IFNA(MATCH(F2472, 'Default Prob'!$B$3:$B$13, 1), 1))</f>
        <v>2.5000000000000001E-2</v>
      </c>
      <c r="K2472" s="26">
        <f t="shared" si="497"/>
        <v>0.79212714585892829</v>
      </c>
      <c r="L2472" s="27">
        <f t="shared" ca="1" si="498"/>
        <v>0</v>
      </c>
      <c r="M2472" s="27">
        <f t="shared" ca="1" si="499"/>
        <v>0</v>
      </c>
      <c r="N2472" s="28">
        <f t="shared" ca="1" si="500"/>
        <v>0</v>
      </c>
      <c r="O2472" s="29">
        <f t="shared" ca="1" si="501"/>
        <v>0</v>
      </c>
      <c r="P2472" s="30">
        <f t="shared" ca="1" si="502"/>
        <v>0</v>
      </c>
    </row>
    <row r="2473" spans="1:16" x14ac:dyDescent="0.25">
      <c r="A2473" s="3">
        <f t="shared" si="503"/>
        <v>49573</v>
      </c>
      <c r="B2473" s="21">
        <f t="shared" si="494"/>
        <v>36790</v>
      </c>
      <c r="C2473" s="21">
        <f t="shared" si="495"/>
        <v>36880</v>
      </c>
      <c r="D2473" s="1">
        <f t="shared" si="504"/>
        <v>0</v>
      </c>
      <c r="E2473" s="3">
        <f t="array" ref="E2473">INDEX($A$9:A2472, MAX(IF($D$9:D2472=1, ROW(D$9:$D2472)-ROW($D$9)+1, 0)))</f>
        <v>49572</v>
      </c>
      <c r="F2473" s="23">
        <f t="shared" si="496"/>
        <v>9.4401095140314855</v>
      </c>
      <c r="G2473" s="5">
        <f>INDEX('Default Prob'!$P$5:$P$14,MIN(1+_xlfn.IFNA(MATCH(F2473,'Default Prob'!$F$5:$F$14,1),0),COUNT('Default Prob'!$P$5:$P$14)))</f>
        <v>8.0322462664562722E-2</v>
      </c>
      <c r="H2473" s="5">
        <f t="shared" si="505"/>
        <v>0.73446153390053681</v>
      </c>
      <c r="I2473" s="24">
        <f t="shared" si="506"/>
        <v>1.61533870764341E-4</v>
      </c>
      <c r="J2473" s="25">
        <f>INDEX('Default Prob'!$C$3:$C$13, _xlfn.IFNA(MATCH(F2473, 'Default Prob'!$B$3:$B$13, 1), 1))</f>
        <v>2.5000000000000001E-2</v>
      </c>
      <c r="K2473" s="26">
        <f t="shared" si="497"/>
        <v>0.79207359615985473</v>
      </c>
      <c r="L2473" s="27">
        <f t="shared" ca="1" si="498"/>
        <v>0</v>
      </c>
      <c r="M2473" s="27">
        <f t="shared" ca="1" si="499"/>
        <v>0</v>
      </c>
      <c r="N2473" s="28">
        <f t="shared" ca="1" si="500"/>
        <v>0</v>
      </c>
      <c r="O2473" s="29">
        <f t="shared" ca="1" si="501"/>
        <v>0</v>
      </c>
      <c r="P2473" s="30">
        <f t="shared" ca="1" si="502"/>
        <v>0</v>
      </c>
    </row>
    <row r="2474" spans="1:16" x14ac:dyDescent="0.25">
      <c r="A2474" s="3">
        <f t="shared" si="503"/>
        <v>49576</v>
      </c>
      <c r="B2474" s="21">
        <f t="shared" si="494"/>
        <v>36793</v>
      </c>
      <c r="C2474" s="21">
        <f t="shared" si="495"/>
        <v>36880</v>
      </c>
      <c r="D2474" s="1">
        <f t="shared" si="504"/>
        <v>0</v>
      </c>
      <c r="E2474" s="3">
        <f t="array" ref="E2474">INDEX($A$9:A2473, MAX(IF($D$9:D2473=1, ROW(D$9:$D2473)-ROW($D$9)+1, 0)))</f>
        <v>49572</v>
      </c>
      <c r="F2474" s="23">
        <f t="shared" si="496"/>
        <v>9.4483230663928808</v>
      </c>
      <c r="G2474" s="5">
        <f>INDEX('Default Prob'!$P$5:$P$14,MIN(1+_xlfn.IFNA(MATCH(F2474,'Default Prob'!$F$5:$F$14,1),0),COUNT('Default Prob'!$P$5:$P$14)))</f>
        <v>8.0322462664562722E-2</v>
      </c>
      <c r="H2474" s="5">
        <f t="shared" si="505"/>
        <v>0.73397714537194136</v>
      </c>
      <c r="I2474" s="24">
        <f t="shared" si="506"/>
        <v>4.8438852859544745E-4</v>
      </c>
      <c r="J2474" s="25">
        <f>INDEX('Default Prob'!$C$3:$C$13, _xlfn.IFNA(MATCH(F2474, 'Default Prob'!$B$3:$B$13, 1), 1))</f>
        <v>2.5000000000000001E-2</v>
      </c>
      <c r="K2474" s="26">
        <f t="shared" si="497"/>
        <v>0.79191296878218576</v>
      </c>
      <c r="L2474" s="27">
        <f t="shared" ca="1" si="498"/>
        <v>0</v>
      </c>
      <c r="M2474" s="27">
        <f t="shared" ca="1" si="499"/>
        <v>0</v>
      </c>
      <c r="N2474" s="28">
        <f t="shared" ca="1" si="500"/>
        <v>0</v>
      </c>
      <c r="O2474" s="29">
        <f t="shared" ca="1" si="501"/>
        <v>0</v>
      </c>
      <c r="P2474" s="30">
        <f t="shared" ca="1" si="502"/>
        <v>0</v>
      </c>
    </row>
    <row r="2475" spans="1:16" x14ac:dyDescent="0.25">
      <c r="A2475" s="3">
        <f t="shared" si="503"/>
        <v>49577</v>
      </c>
      <c r="B2475" s="21">
        <f t="shared" si="494"/>
        <v>36794</v>
      </c>
      <c r="C2475" s="21">
        <f t="shared" si="495"/>
        <v>36880</v>
      </c>
      <c r="D2475" s="1">
        <f t="shared" si="504"/>
        <v>0</v>
      </c>
      <c r="E2475" s="3">
        <f t="array" ref="E2475">INDEX($A$9:A2474, MAX(IF($D$9:D2474=1, ROW(D$9:$D2474)-ROW($D$9)+1, 0)))</f>
        <v>49572</v>
      </c>
      <c r="F2475" s="23">
        <f t="shared" si="496"/>
        <v>9.4510609171800137</v>
      </c>
      <c r="G2475" s="5">
        <f>INDEX('Default Prob'!$P$5:$P$14,MIN(1+_xlfn.IFNA(MATCH(F2475,'Default Prob'!$F$5:$F$14,1),0),COUNT('Default Prob'!$P$5:$P$14)))</f>
        <v>8.0322462664562722E-2</v>
      </c>
      <c r="H2475" s="5">
        <f t="shared" si="505"/>
        <v>0.73381575353094708</v>
      </c>
      <c r="I2475" s="24">
        <f t="shared" si="506"/>
        <v>1.6139184099428494E-4</v>
      </c>
      <c r="J2475" s="25">
        <f>INDEX('Default Prob'!$C$3:$C$13, _xlfn.IFNA(MATCH(F2475, 'Default Prob'!$B$3:$B$13, 1), 1))</f>
        <v>2.5000000000000001E-2</v>
      </c>
      <c r="K2475" s="26">
        <f t="shared" si="497"/>
        <v>0.79185943356199751</v>
      </c>
      <c r="L2475" s="27">
        <f t="shared" ca="1" si="498"/>
        <v>0</v>
      </c>
      <c r="M2475" s="27">
        <f t="shared" ca="1" si="499"/>
        <v>0</v>
      </c>
      <c r="N2475" s="28">
        <f t="shared" ca="1" si="500"/>
        <v>0</v>
      </c>
      <c r="O2475" s="29">
        <f t="shared" ca="1" si="501"/>
        <v>0</v>
      </c>
      <c r="P2475" s="30">
        <f t="shared" ca="1" si="502"/>
        <v>0</v>
      </c>
    </row>
    <row r="2476" spans="1:16" x14ac:dyDescent="0.25">
      <c r="A2476" s="3">
        <f t="shared" si="503"/>
        <v>49578</v>
      </c>
      <c r="B2476" s="21">
        <f t="shared" si="494"/>
        <v>36795</v>
      </c>
      <c r="C2476" s="21">
        <f t="shared" si="495"/>
        <v>36880</v>
      </c>
      <c r="D2476" s="1">
        <f t="shared" si="504"/>
        <v>0</v>
      </c>
      <c r="E2476" s="3">
        <f t="array" ref="E2476">INDEX($A$9:A2475, MAX(IF($D$9:D2475=1, ROW(D$9:$D2475)-ROW($D$9)+1, 0)))</f>
        <v>49572</v>
      </c>
      <c r="F2476" s="23">
        <f t="shared" si="496"/>
        <v>9.4537987679671449</v>
      </c>
      <c r="G2476" s="5">
        <f>INDEX('Default Prob'!$P$5:$P$14,MIN(1+_xlfn.IFNA(MATCH(F2476,'Default Prob'!$F$5:$F$14,1),0),COUNT('Default Prob'!$P$5:$P$14)))</f>
        <v>8.0322462664562722E-2</v>
      </c>
      <c r="H2476" s="5">
        <f t="shared" si="505"/>
        <v>0.7336543971778785</v>
      </c>
      <c r="I2476" s="24">
        <f t="shared" si="506"/>
        <v>1.6135635306857576E-4</v>
      </c>
      <c r="J2476" s="25">
        <f>INDEX('Default Prob'!$C$3:$C$13, _xlfn.IFNA(MATCH(F2476, 'Default Prob'!$B$3:$B$13, 1), 1))</f>
        <v>2.5000000000000001E-2</v>
      </c>
      <c r="K2476" s="26">
        <f t="shared" si="497"/>
        <v>0.79180590196091893</v>
      </c>
      <c r="L2476" s="27">
        <f t="shared" ca="1" si="498"/>
        <v>0</v>
      </c>
      <c r="M2476" s="27">
        <f t="shared" ca="1" si="499"/>
        <v>0</v>
      </c>
      <c r="N2476" s="28">
        <f t="shared" ca="1" si="500"/>
        <v>0</v>
      </c>
      <c r="O2476" s="29">
        <f t="shared" ca="1" si="501"/>
        <v>0</v>
      </c>
      <c r="P2476" s="30">
        <f t="shared" ca="1" si="502"/>
        <v>0</v>
      </c>
    </row>
    <row r="2477" spans="1:16" x14ac:dyDescent="0.25">
      <c r="A2477" s="3">
        <f t="shared" si="503"/>
        <v>49579</v>
      </c>
      <c r="B2477" s="21">
        <f t="shared" si="494"/>
        <v>36796</v>
      </c>
      <c r="C2477" s="21">
        <f t="shared" si="495"/>
        <v>36880</v>
      </c>
      <c r="D2477" s="1">
        <f t="shared" si="504"/>
        <v>0</v>
      </c>
      <c r="E2477" s="3">
        <f t="array" ref="E2477">INDEX($A$9:A2476, MAX(IF($D$9:D2476=1, ROW(D$9:$D2476)-ROW($D$9)+1, 0)))</f>
        <v>49572</v>
      </c>
      <c r="F2477" s="23">
        <f t="shared" si="496"/>
        <v>9.4565366187542779</v>
      </c>
      <c r="G2477" s="5">
        <f>INDEX('Default Prob'!$P$5:$P$14,MIN(1+_xlfn.IFNA(MATCH(F2477,'Default Prob'!$F$5:$F$14,1),0),COUNT('Default Prob'!$P$5:$P$14)))</f>
        <v>8.0322462664562722E-2</v>
      </c>
      <c r="H2477" s="5">
        <f t="shared" si="505"/>
        <v>0.7334930763049321</v>
      </c>
      <c r="I2477" s="24">
        <f t="shared" si="506"/>
        <v>1.6132087294640218E-4</v>
      </c>
      <c r="J2477" s="25">
        <f>INDEX('Default Prob'!$C$3:$C$13, _xlfn.IFNA(MATCH(F2477, 'Default Prob'!$B$3:$B$13, 1), 1))</f>
        <v>2.5000000000000001E-2</v>
      </c>
      <c r="K2477" s="26">
        <f t="shared" si="497"/>
        <v>0.79175237397870513</v>
      </c>
      <c r="L2477" s="27">
        <f t="shared" ca="1" si="498"/>
        <v>0</v>
      </c>
      <c r="M2477" s="27">
        <f t="shared" ca="1" si="499"/>
        <v>0</v>
      </c>
      <c r="N2477" s="28">
        <f t="shared" ca="1" si="500"/>
        <v>0</v>
      </c>
      <c r="O2477" s="29">
        <f t="shared" ca="1" si="501"/>
        <v>0</v>
      </c>
      <c r="P2477" s="30">
        <f t="shared" ca="1" si="502"/>
        <v>0</v>
      </c>
    </row>
    <row r="2478" spans="1:16" x14ac:dyDescent="0.25">
      <c r="A2478" s="3">
        <f t="shared" si="503"/>
        <v>49580</v>
      </c>
      <c r="B2478" s="21">
        <f t="shared" si="494"/>
        <v>36797</v>
      </c>
      <c r="C2478" s="21">
        <f t="shared" si="495"/>
        <v>36880</v>
      </c>
      <c r="D2478" s="1">
        <f t="shared" si="504"/>
        <v>0</v>
      </c>
      <c r="E2478" s="3">
        <f t="array" ref="E2478">INDEX($A$9:A2477, MAX(IF($D$9:D2477=1, ROW(D$9:$D2477)-ROW($D$9)+1, 0)))</f>
        <v>49572</v>
      </c>
      <c r="F2478" s="23">
        <f t="shared" si="496"/>
        <v>9.4592744695414108</v>
      </c>
      <c r="G2478" s="5">
        <f>INDEX('Default Prob'!$P$5:$P$14,MIN(1+_xlfn.IFNA(MATCH(F2478,'Default Prob'!$F$5:$F$14,1),0),COUNT('Default Prob'!$P$5:$P$14)))</f>
        <v>8.0322462664562722E-2</v>
      </c>
      <c r="H2478" s="5">
        <f t="shared" si="505"/>
        <v>0.73333179090430634</v>
      </c>
      <c r="I2478" s="24">
        <f t="shared" si="506"/>
        <v>1.612854006257658E-4</v>
      </c>
      <c r="J2478" s="25">
        <f>INDEX('Default Prob'!$C$3:$C$13, _xlfn.IFNA(MATCH(F2478, 'Default Prob'!$B$3:$B$13, 1), 1))</f>
        <v>2.5000000000000001E-2</v>
      </c>
      <c r="K2478" s="26">
        <f t="shared" si="497"/>
        <v>0.79169884961511161</v>
      </c>
      <c r="L2478" s="27">
        <f t="shared" ca="1" si="498"/>
        <v>0</v>
      </c>
      <c r="M2478" s="27">
        <f t="shared" ca="1" si="499"/>
        <v>0</v>
      </c>
      <c r="N2478" s="28">
        <f t="shared" ca="1" si="500"/>
        <v>0</v>
      </c>
      <c r="O2478" s="29">
        <f t="shared" ca="1" si="501"/>
        <v>0</v>
      </c>
      <c r="P2478" s="30">
        <f t="shared" ca="1" si="502"/>
        <v>0</v>
      </c>
    </row>
    <row r="2479" spans="1:16" x14ac:dyDescent="0.25">
      <c r="A2479" s="3">
        <f t="shared" si="503"/>
        <v>49583</v>
      </c>
      <c r="B2479" s="21">
        <f t="shared" si="494"/>
        <v>36800</v>
      </c>
      <c r="C2479" s="21">
        <f t="shared" si="495"/>
        <v>36880</v>
      </c>
      <c r="D2479" s="1">
        <f t="shared" si="504"/>
        <v>0</v>
      </c>
      <c r="E2479" s="3">
        <f t="array" ref="E2479">INDEX($A$9:A2478, MAX(IF($D$9:D2478=1, ROW(D$9:$D2478)-ROW($D$9)+1, 0)))</f>
        <v>49572</v>
      </c>
      <c r="F2479" s="23">
        <f t="shared" si="496"/>
        <v>9.4674880219028061</v>
      </c>
      <c r="G2479" s="5">
        <f>INDEX('Default Prob'!$P$5:$P$14,MIN(1+_xlfn.IFNA(MATCH(F2479,'Default Prob'!$F$5:$F$14,1),0),COUNT('Default Prob'!$P$5:$P$14)))</f>
        <v>8.0322462664562722E-2</v>
      </c>
      <c r="H2479" s="5">
        <f t="shared" si="505"/>
        <v>0.73284814745836313</v>
      </c>
      <c r="I2479" s="24">
        <f t="shared" si="506"/>
        <v>4.8364344594320485E-4</v>
      </c>
      <c r="J2479" s="25">
        <f>INDEX('Default Prob'!$C$3:$C$13, _xlfn.IFNA(MATCH(F2479, 'Default Prob'!$B$3:$B$13, 1), 1))</f>
        <v>2.5000000000000001E-2</v>
      </c>
      <c r="K2479" s="26">
        <f t="shared" si="497"/>
        <v>0.79153829823360644</v>
      </c>
      <c r="L2479" s="27">
        <f t="shared" ca="1" si="498"/>
        <v>0</v>
      </c>
      <c r="M2479" s="27">
        <f t="shared" ca="1" si="499"/>
        <v>0</v>
      </c>
      <c r="N2479" s="28">
        <f t="shared" ca="1" si="500"/>
        <v>0</v>
      </c>
      <c r="O2479" s="29">
        <f t="shared" ca="1" si="501"/>
        <v>0</v>
      </c>
      <c r="P2479" s="30">
        <f t="shared" ca="1" si="502"/>
        <v>0</v>
      </c>
    </row>
    <row r="2480" spans="1:16" x14ac:dyDescent="0.25">
      <c r="A2480" s="3">
        <f t="shared" si="503"/>
        <v>49584</v>
      </c>
      <c r="B2480" s="21">
        <f t="shared" si="494"/>
        <v>36801</v>
      </c>
      <c r="C2480" s="21">
        <f t="shared" si="495"/>
        <v>36880</v>
      </c>
      <c r="D2480" s="1">
        <f t="shared" si="504"/>
        <v>0</v>
      </c>
      <c r="E2480" s="3">
        <f t="array" ref="E2480">INDEX($A$9:A2479, MAX(IF($D$9:D2479=1, ROW(D$9:$D2479)-ROW($D$9)+1, 0)))</f>
        <v>49572</v>
      </c>
      <c r="F2480" s="23">
        <f t="shared" si="496"/>
        <v>9.4702258726899391</v>
      </c>
      <c r="G2480" s="5">
        <f>INDEX('Default Prob'!$P$5:$P$14,MIN(1+_xlfn.IFNA(MATCH(F2480,'Default Prob'!$F$5:$F$14,1),0),COUNT('Default Prob'!$P$5:$P$14)))</f>
        <v>8.0322462664562722E-2</v>
      </c>
      <c r="H2480" s="5">
        <f t="shared" si="505"/>
        <v>0.7326870038690384</v>
      </c>
      <c r="I2480" s="24">
        <f t="shared" si="506"/>
        <v>1.6114358932473039E-4</v>
      </c>
      <c r="J2480" s="25">
        <f>INDEX('Default Prob'!$C$3:$C$13, _xlfn.IFNA(MATCH(F2480, 'Default Prob'!$B$3:$B$13, 1), 1))</f>
        <v>2.5000000000000001E-2</v>
      </c>
      <c r="K2480" s="26">
        <f t="shared" si="497"/>
        <v>0.79148478834204783</v>
      </c>
      <c r="L2480" s="27">
        <f t="shared" ca="1" si="498"/>
        <v>0</v>
      </c>
      <c r="M2480" s="27">
        <f t="shared" ca="1" si="499"/>
        <v>0</v>
      </c>
      <c r="N2480" s="28">
        <f t="shared" ca="1" si="500"/>
        <v>0</v>
      </c>
      <c r="O2480" s="29">
        <f t="shared" ca="1" si="501"/>
        <v>0</v>
      </c>
      <c r="P2480" s="30">
        <f t="shared" ca="1" si="502"/>
        <v>0</v>
      </c>
    </row>
    <row r="2481" spans="1:16" x14ac:dyDescent="0.25">
      <c r="A2481" s="3">
        <f t="shared" si="503"/>
        <v>49585</v>
      </c>
      <c r="B2481" s="21">
        <f t="shared" si="494"/>
        <v>36802</v>
      </c>
      <c r="C2481" s="21">
        <f t="shared" si="495"/>
        <v>36880</v>
      </c>
      <c r="D2481" s="1">
        <f t="shared" si="504"/>
        <v>0</v>
      </c>
      <c r="E2481" s="3">
        <f t="array" ref="E2481">INDEX($A$9:A2480, MAX(IF($D$9:D2480=1, ROW(D$9:$D2480)-ROW($D$9)+1, 0)))</f>
        <v>49572</v>
      </c>
      <c r="F2481" s="23">
        <f t="shared" si="496"/>
        <v>9.4729637234770703</v>
      </c>
      <c r="G2481" s="5">
        <f>INDEX('Default Prob'!$P$5:$P$14,MIN(1+_xlfn.IFNA(MATCH(F2481,'Default Prob'!$F$5:$F$14,1),0),COUNT('Default Prob'!$P$5:$P$14)))</f>
        <v>8.0322462664562722E-2</v>
      </c>
      <c r="H2481" s="5">
        <f t="shared" si="505"/>
        <v>0.73252589571305204</v>
      </c>
      <c r="I2481" s="24">
        <f t="shared" si="506"/>
        <v>1.6110815598635586E-4</v>
      </c>
      <c r="J2481" s="25">
        <f>INDEX('Default Prob'!$C$3:$C$13, _xlfn.IFNA(MATCH(F2481, 'Default Prob'!$B$3:$B$13, 1), 1))</f>
        <v>2.5000000000000001E-2</v>
      </c>
      <c r="K2481" s="26">
        <f t="shared" si="497"/>
        <v>0.79143128206788649</v>
      </c>
      <c r="L2481" s="27">
        <f t="shared" ca="1" si="498"/>
        <v>0</v>
      </c>
      <c r="M2481" s="27">
        <f t="shared" ca="1" si="499"/>
        <v>0</v>
      </c>
      <c r="N2481" s="28">
        <f t="shared" ca="1" si="500"/>
        <v>0</v>
      </c>
      <c r="O2481" s="29">
        <f t="shared" ca="1" si="501"/>
        <v>0</v>
      </c>
      <c r="P2481" s="30">
        <f t="shared" ca="1" si="502"/>
        <v>0</v>
      </c>
    </row>
    <row r="2482" spans="1:16" x14ac:dyDescent="0.25">
      <c r="A2482" s="3">
        <f t="shared" si="503"/>
        <v>49586</v>
      </c>
      <c r="B2482" s="21">
        <f t="shared" si="494"/>
        <v>36803</v>
      </c>
      <c r="C2482" s="21">
        <f t="shared" si="495"/>
        <v>36880</v>
      </c>
      <c r="D2482" s="1">
        <f t="shared" si="504"/>
        <v>0</v>
      </c>
      <c r="E2482" s="3">
        <f t="array" ref="E2482">INDEX($A$9:A2481, MAX(IF($D$9:D2481=1, ROW(D$9:$D2481)-ROW($D$9)+1, 0)))</f>
        <v>49572</v>
      </c>
      <c r="F2482" s="23">
        <f t="shared" si="496"/>
        <v>9.4757015742642032</v>
      </c>
      <c r="G2482" s="5">
        <f>INDEX('Default Prob'!$P$5:$P$14,MIN(1+_xlfn.IFNA(MATCH(F2482,'Default Prob'!$F$5:$F$14,1),0),COUNT('Default Prob'!$P$5:$P$14)))</f>
        <v>8.0322462664562722E-2</v>
      </c>
      <c r="H2482" s="5">
        <f t="shared" si="505"/>
        <v>0.73236482298261274</v>
      </c>
      <c r="I2482" s="24">
        <f t="shared" si="506"/>
        <v>1.6107273043930448E-4</v>
      </c>
      <c r="J2482" s="25">
        <f>INDEX('Default Prob'!$C$3:$C$13, _xlfn.IFNA(MATCH(F2482, 'Default Prob'!$B$3:$B$13, 1), 1))</f>
        <v>2.5000000000000001E-2</v>
      </c>
      <c r="K2482" s="26">
        <f t="shared" si="497"/>
        <v>0.79137777941087806</v>
      </c>
      <c r="L2482" s="27">
        <f t="shared" ca="1" si="498"/>
        <v>0</v>
      </c>
      <c r="M2482" s="27">
        <f t="shared" ca="1" si="499"/>
        <v>0</v>
      </c>
      <c r="N2482" s="28">
        <f t="shared" ca="1" si="500"/>
        <v>0</v>
      </c>
      <c r="O2482" s="29">
        <f t="shared" ca="1" si="501"/>
        <v>0</v>
      </c>
      <c r="P2482" s="30">
        <f t="shared" ca="1" si="502"/>
        <v>0</v>
      </c>
    </row>
    <row r="2483" spans="1:16" x14ac:dyDescent="0.25">
      <c r="A2483" s="3">
        <f t="shared" si="503"/>
        <v>49587</v>
      </c>
      <c r="B2483" s="21">
        <f t="shared" si="494"/>
        <v>36804</v>
      </c>
      <c r="C2483" s="21">
        <f t="shared" si="495"/>
        <v>36880</v>
      </c>
      <c r="D2483" s="1">
        <f t="shared" si="504"/>
        <v>0</v>
      </c>
      <c r="E2483" s="3">
        <f t="array" ref="E2483">INDEX($A$9:A2482, MAX(IF($D$9:D2482=1, ROW(D$9:$D2482)-ROW($D$9)+1, 0)))</f>
        <v>49572</v>
      </c>
      <c r="F2483" s="23">
        <f t="shared" si="496"/>
        <v>9.4784394250513344</v>
      </c>
      <c r="G2483" s="5">
        <f>INDEX('Default Prob'!$P$5:$P$14,MIN(1+_xlfn.IFNA(MATCH(F2483,'Default Prob'!$F$5:$F$14,1),0),COUNT('Default Prob'!$P$5:$P$14)))</f>
        <v>8.0322462664562722E-2</v>
      </c>
      <c r="H2483" s="5">
        <f t="shared" si="505"/>
        <v>0.73220378566993094</v>
      </c>
      <c r="I2483" s="24">
        <f t="shared" si="506"/>
        <v>1.6103731268179988E-4</v>
      </c>
      <c r="J2483" s="25">
        <f>INDEX('Default Prob'!$C$3:$C$13, _xlfn.IFNA(MATCH(F2483, 'Default Prob'!$B$3:$B$13, 1), 1))</f>
        <v>2.5000000000000001E-2</v>
      </c>
      <c r="K2483" s="26">
        <f t="shared" si="497"/>
        <v>0.79132428037077773</v>
      </c>
      <c r="L2483" s="27">
        <f t="shared" ca="1" si="498"/>
        <v>0</v>
      </c>
      <c r="M2483" s="27">
        <f t="shared" ca="1" si="499"/>
        <v>0</v>
      </c>
      <c r="N2483" s="28">
        <f t="shared" ca="1" si="500"/>
        <v>0</v>
      </c>
      <c r="O2483" s="29">
        <f t="shared" ca="1" si="501"/>
        <v>0</v>
      </c>
      <c r="P2483" s="30">
        <f t="shared" ca="1" si="502"/>
        <v>0</v>
      </c>
    </row>
    <row r="2484" spans="1:16" x14ac:dyDescent="0.25">
      <c r="A2484" s="3">
        <f t="shared" si="503"/>
        <v>49590</v>
      </c>
      <c r="B2484" s="21">
        <f t="shared" si="494"/>
        <v>36807</v>
      </c>
      <c r="C2484" s="21">
        <f t="shared" si="495"/>
        <v>36880</v>
      </c>
      <c r="D2484" s="1">
        <f t="shared" si="504"/>
        <v>0</v>
      </c>
      <c r="E2484" s="3">
        <f t="array" ref="E2484">INDEX($A$9:A2483, MAX(IF($D$9:D2483=1, ROW(D$9:$D2483)-ROW($D$9)+1, 0)))</f>
        <v>49572</v>
      </c>
      <c r="F2484" s="23">
        <f t="shared" si="496"/>
        <v>9.4866529774127315</v>
      </c>
      <c r="G2484" s="5">
        <f>INDEX('Default Prob'!$P$5:$P$14,MIN(1+_xlfn.IFNA(MATCH(F2484,'Default Prob'!$F$5:$F$14,1),0),COUNT('Default Prob'!$P$5:$P$14)))</f>
        <v>8.0322462664562722E-2</v>
      </c>
      <c r="H2484" s="5">
        <f t="shared" si="505"/>
        <v>0.73172088616055952</v>
      </c>
      <c r="I2484" s="24">
        <f t="shared" si="506"/>
        <v>4.8289950937141501E-4</v>
      </c>
      <c r="J2484" s="25">
        <f>INDEX('Default Prob'!$C$3:$C$13, _xlfn.IFNA(MATCH(F2484, 'Default Prob'!$B$3:$B$13, 1), 1))</f>
        <v>2.5000000000000001E-2</v>
      </c>
      <c r="K2484" s="26">
        <f t="shared" si="497"/>
        <v>0.79116380494948102</v>
      </c>
      <c r="L2484" s="27">
        <f t="shared" ca="1" si="498"/>
        <v>0</v>
      </c>
      <c r="M2484" s="27">
        <f t="shared" ca="1" si="499"/>
        <v>0</v>
      </c>
      <c r="N2484" s="28">
        <f t="shared" ca="1" si="500"/>
        <v>0</v>
      </c>
      <c r="O2484" s="29">
        <f t="shared" ca="1" si="501"/>
        <v>0</v>
      </c>
      <c r="P2484" s="30">
        <f t="shared" ca="1" si="502"/>
        <v>0</v>
      </c>
    </row>
    <row r="2485" spans="1:16" x14ac:dyDescent="0.25">
      <c r="A2485" s="3">
        <f t="shared" si="503"/>
        <v>49591</v>
      </c>
      <c r="B2485" s="21">
        <f t="shared" si="494"/>
        <v>36808</v>
      </c>
      <c r="C2485" s="21">
        <f t="shared" si="495"/>
        <v>36880</v>
      </c>
      <c r="D2485" s="1">
        <f t="shared" si="504"/>
        <v>0</v>
      </c>
      <c r="E2485" s="3">
        <f t="array" ref="E2485">INDEX($A$9:A2484, MAX(IF($D$9:D2484=1, ROW(D$9:$D2484)-ROW($D$9)+1, 0)))</f>
        <v>49572</v>
      </c>
      <c r="F2485" s="23">
        <f t="shared" si="496"/>
        <v>9.4893908281998627</v>
      </c>
      <c r="G2485" s="5">
        <f>INDEX('Default Prob'!$P$5:$P$14,MIN(1+_xlfn.IFNA(MATCH(F2485,'Default Prob'!$F$5:$F$14,1),0),COUNT('Default Prob'!$P$5:$P$14)))</f>
        <v>8.0322462664562722E-2</v>
      </c>
      <c r="H2485" s="5">
        <f t="shared" si="505"/>
        <v>0.73155999044104558</v>
      </c>
      <c r="I2485" s="24">
        <f t="shared" si="506"/>
        <v>1.6089571951394266E-4</v>
      </c>
      <c r="J2485" s="25">
        <f>INDEX('Default Prob'!$C$3:$C$13, _xlfn.IFNA(MATCH(F2485, 'Default Prob'!$B$3:$B$13, 1), 1))</f>
        <v>2.5000000000000001E-2</v>
      </c>
      <c r="K2485" s="26">
        <f t="shared" si="497"/>
        <v>0.79111032037456852</v>
      </c>
      <c r="L2485" s="27">
        <f t="shared" ca="1" si="498"/>
        <v>0</v>
      </c>
      <c r="M2485" s="27">
        <f t="shared" ca="1" si="499"/>
        <v>0</v>
      </c>
      <c r="N2485" s="28">
        <f t="shared" ca="1" si="500"/>
        <v>0</v>
      </c>
      <c r="O2485" s="29">
        <f t="shared" ca="1" si="501"/>
        <v>0</v>
      </c>
      <c r="P2485" s="30">
        <f t="shared" ca="1" si="502"/>
        <v>0</v>
      </c>
    </row>
    <row r="2486" spans="1:16" x14ac:dyDescent="0.25">
      <c r="A2486" s="3">
        <f t="shared" si="503"/>
        <v>49592</v>
      </c>
      <c r="B2486" s="21">
        <f t="shared" si="494"/>
        <v>36809</v>
      </c>
      <c r="C2486" s="21">
        <f t="shared" si="495"/>
        <v>36880</v>
      </c>
      <c r="D2486" s="1">
        <f t="shared" si="504"/>
        <v>0</v>
      </c>
      <c r="E2486" s="3">
        <f t="array" ref="E2486">INDEX($A$9:A2485, MAX(IF($D$9:D2485=1, ROW(D$9:$D2485)-ROW($D$9)+1, 0)))</f>
        <v>49572</v>
      </c>
      <c r="F2486" s="23">
        <f t="shared" si="496"/>
        <v>9.4921286789869956</v>
      </c>
      <c r="G2486" s="5">
        <f>INDEX('Default Prob'!$P$5:$P$14,MIN(1+_xlfn.IFNA(MATCH(F2486,'Default Prob'!$F$5:$F$14,1),0),COUNT('Default Prob'!$P$5:$P$14)))</f>
        <v>8.0322462664562722E-2</v>
      </c>
      <c r="H2486" s="5">
        <f t="shared" si="505"/>
        <v>0.73139913010036672</v>
      </c>
      <c r="I2486" s="24">
        <f t="shared" si="506"/>
        <v>1.608603406788589E-4</v>
      </c>
      <c r="J2486" s="25">
        <f>INDEX('Default Prob'!$C$3:$C$13, _xlfn.IFNA(MATCH(F2486, 'Default Prob'!$B$3:$B$13, 1), 1))</f>
        <v>2.5000000000000001E-2</v>
      </c>
      <c r="K2486" s="26">
        <f t="shared" si="497"/>
        <v>0.79105683941534199</v>
      </c>
      <c r="L2486" s="27">
        <f t="shared" ca="1" si="498"/>
        <v>0</v>
      </c>
      <c r="M2486" s="27">
        <f t="shared" ca="1" si="499"/>
        <v>0</v>
      </c>
      <c r="N2486" s="28">
        <f t="shared" ca="1" si="500"/>
        <v>0</v>
      </c>
      <c r="O2486" s="29">
        <f t="shared" ca="1" si="501"/>
        <v>0</v>
      </c>
      <c r="P2486" s="30">
        <f t="shared" ca="1" si="502"/>
        <v>0</v>
      </c>
    </row>
    <row r="2487" spans="1:16" x14ac:dyDescent="0.25">
      <c r="A2487" s="3">
        <f t="shared" si="503"/>
        <v>49593</v>
      </c>
      <c r="B2487" s="21">
        <f t="shared" si="494"/>
        <v>36810</v>
      </c>
      <c r="C2487" s="21">
        <f t="shared" si="495"/>
        <v>36880</v>
      </c>
      <c r="D2487" s="1">
        <f t="shared" si="504"/>
        <v>0</v>
      </c>
      <c r="E2487" s="3">
        <f t="array" ref="E2487">INDEX($A$9:A2486, MAX(IF($D$9:D2486=1, ROW(D$9:$D2486)-ROW($D$9)+1, 0)))</f>
        <v>49572</v>
      </c>
      <c r="F2487" s="23">
        <f t="shared" si="496"/>
        <v>9.4948665297741268</v>
      </c>
      <c r="G2487" s="5">
        <f>INDEX('Default Prob'!$P$5:$P$14,MIN(1+_xlfn.IFNA(MATCH(F2487,'Default Prob'!$F$5:$F$14,1),0),COUNT('Default Prob'!$P$5:$P$14)))</f>
        <v>8.0322462664562722E-2</v>
      </c>
      <c r="H2487" s="5">
        <f t="shared" si="505"/>
        <v>0.73123830513074362</v>
      </c>
      <c r="I2487" s="24">
        <f t="shared" si="506"/>
        <v>1.6082496962310788E-4</v>
      </c>
      <c r="J2487" s="25">
        <f>INDEX('Default Prob'!$C$3:$C$13, _xlfn.IFNA(MATCH(F2487, 'Default Prob'!$B$3:$B$13, 1), 1))</f>
        <v>2.5000000000000001E-2</v>
      </c>
      <c r="K2487" s="26">
        <f t="shared" si="497"/>
        <v>0.79100336207155686</v>
      </c>
      <c r="L2487" s="27">
        <f t="shared" ca="1" si="498"/>
        <v>0</v>
      </c>
      <c r="M2487" s="27">
        <f t="shared" ca="1" si="499"/>
        <v>0</v>
      </c>
      <c r="N2487" s="28">
        <f t="shared" ca="1" si="500"/>
        <v>0</v>
      </c>
      <c r="O2487" s="29">
        <f t="shared" ca="1" si="501"/>
        <v>0</v>
      </c>
      <c r="P2487" s="30">
        <f t="shared" ca="1" si="502"/>
        <v>0</v>
      </c>
    </row>
    <row r="2488" spans="1:16" x14ac:dyDescent="0.25">
      <c r="A2488" s="3">
        <f t="shared" si="503"/>
        <v>49594</v>
      </c>
      <c r="B2488" s="21">
        <f t="shared" si="494"/>
        <v>36811</v>
      </c>
      <c r="C2488" s="21">
        <f t="shared" si="495"/>
        <v>36880</v>
      </c>
      <c r="D2488" s="1">
        <f t="shared" si="504"/>
        <v>0</v>
      </c>
      <c r="E2488" s="3">
        <f t="array" ref="E2488">INDEX($A$9:A2487, MAX(IF($D$9:D2487=1, ROW(D$9:$D2487)-ROW($D$9)+1, 0)))</f>
        <v>49572</v>
      </c>
      <c r="F2488" s="23">
        <f t="shared" si="496"/>
        <v>9.4976043805612598</v>
      </c>
      <c r="G2488" s="5">
        <f>INDEX('Default Prob'!$P$5:$P$14,MIN(1+_xlfn.IFNA(MATCH(F2488,'Default Prob'!$F$5:$F$14,1),0),COUNT('Default Prob'!$P$5:$P$14)))</f>
        <v>8.0322462664562722E-2</v>
      </c>
      <c r="H2488" s="5">
        <f t="shared" si="505"/>
        <v>0.73107751552439859</v>
      </c>
      <c r="I2488" s="24">
        <f t="shared" si="506"/>
        <v>1.6078960634502426E-4</v>
      </c>
      <c r="J2488" s="25">
        <f>INDEX('Default Prob'!$C$3:$C$13, _xlfn.IFNA(MATCH(F2488, 'Default Prob'!$B$3:$B$13, 1), 1))</f>
        <v>2.5000000000000001E-2</v>
      </c>
      <c r="K2488" s="26">
        <f t="shared" si="497"/>
        <v>0.79094988834296864</v>
      </c>
      <c r="L2488" s="27">
        <f t="shared" ca="1" si="498"/>
        <v>0</v>
      </c>
      <c r="M2488" s="27">
        <f t="shared" ca="1" si="499"/>
        <v>0</v>
      </c>
      <c r="N2488" s="28">
        <f t="shared" ca="1" si="500"/>
        <v>0</v>
      </c>
      <c r="O2488" s="29">
        <f t="shared" ca="1" si="501"/>
        <v>0</v>
      </c>
      <c r="P2488" s="30">
        <f t="shared" ca="1" si="502"/>
        <v>0</v>
      </c>
    </row>
    <row r="2489" spans="1:16" x14ac:dyDescent="0.25">
      <c r="A2489" s="3">
        <f t="shared" si="503"/>
        <v>49597</v>
      </c>
      <c r="B2489" s="21">
        <f t="shared" si="494"/>
        <v>36814</v>
      </c>
      <c r="C2489" s="21">
        <f t="shared" si="495"/>
        <v>36880</v>
      </c>
      <c r="D2489" s="1">
        <f t="shared" si="504"/>
        <v>0</v>
      </c>
      <c r="E2489" s="3">
        <f t="array" ref="E2489">INDEX($A$9:A2488, MAX(IF($D$9:D2488=1, ROW(D$9:$D2488)-ROW($D$9)+1, 0)))</f>
        <v>49572</v>
      </c>
      <c r="F2489" s="23">
        <f t="shared" si="496"/>
        <v>9.5058179329226551</v>
      </c>
      <c r="G2489" s="5">
        <f>INDEX('Default Prob'!$P$5:$P$14,MIN(1+_xlfn.IFNA(MATCH(F2489,'Default Prob'!$F$5:$F$14,1),0),COUNT('Default Prob'!$P$5:$P$14)))</f>
        <v>8.0322462664562722E-2</v>
      </c>
      <c r="H2489" s="5">
        <f t="shared" si="505"/>
        <v>0.73059535880728177</v>
      </c>
      <c r="I2489" s="24">
        <f t="shared" si="506"/>
        <v>4.8215671711682173E-4</v>
      </c>
      <c r="J2489" s="25">
        <f>INDEX('Default Prob'!$C$3:$C$13, _xlfn.IFNA(MATCH(F2489, 'Default Prob'!$B$3:$B$13, 1), 1))</f>
        <v>2.5000000000000001E-2</v>
      </c>
      <c r="K2489" s="26">
        <f t="shared" si="497"/>
        <v>0.79078948884594202</v>
      </c>
      <c r="L2489" s="27">
        <f t="shared" ca="1" si="498"/>
        <v>0</v>
      </c>
      <c r="M2489" s="27">
        <f t="shared" ca="1" si="499"/>
        <v>0</v>
      </c>
      <c r="N2489" s="28">
        <f t="shared" ca="1" si="500"/>
        <v>0</v>
      </c>
      <c r="O2489" s="29">
        <f t="shared" ca="1" si="501"/>
        <v>0</v>
      </c>
      <c r="P2489" s="30">
        <f t="shared" ca="1" si="502"/>
        <v>0</v>
      </c>
    </row>
    <row r="2490" spans="1:16" x14ac:dyDescent="0.25">
      <c r="A2490" s="3">
        <f t="shared" si="503"/>
        <v>49598</v>
      </c>
      <c r="B2490" s="21">
        <f t="shared" si="494"/>
        <v>36815</v>
      </c>
      <c r="C2490" s="21">
        <f t="shared" si="495"/>
        <v>36880</v>
      </c>
      <c r="D2490" s="1">
        <f t="shared" si="504"/>
        <v>0</v>
      </c>
      <c r="E2490" s="3">
        <f t="array" ref="E2490">INDEX($A$9:A2489, MAX(IF($D$9:D2489=1, ROW(D$9:$D2489)-ROW($D$9)+1, 0)))</f>
        <v>49572</v>
      </c>
      <c r="F2490" s="23">
        <f t="shared" si="496"/>
        <v>9.508555783709788</v>
      </c>
      <c r="G2490" s="5">
        <f>INDEX('Default Prob'!$P$5:$P$14,MIN(1+_xlfn.IFNA(MATCH(F2490,'Default Prob'!$F$5:$F$14,1),0),COUNT('Default Prob'!$P$5:$P$14)))</f>
        <v>8.0322462664562722E-2</v>
      </c>
      <c r="H2490" s="5">
        <f t="shared" si="505"/>
        <v>0.73043471057630716</v>
      </c>
      <c r="I2490" s="24">
        <f t="shared" si="506"/>
        <v>1.6064823097461378E-4</v>
      </c>
      <c r="J2490" s="25">
        <f>INDEX('Default Prob'!$C$3:$C$13, _xlfn.IFNA(MATCH(F2490, 'Default Prob'!$B$3:$B$13, 1), 1))</f>
        <v>2.5000000000000001E-2</v>
      </c>
      <c r="K2490" s="26">
        <f t="shared" si="497"/>
        <v>0.79073602957569789</v>
      </c>
      <c r="L2490" s="27">
        <f t="shared" ca="1" si="498"/>
        <v>0</v>
      </c>
      <c r="M2490" s="27">
        <f t="shared" ca="1" si="499"/>
        <v>0</v>
      </c>
      <c r="N2490" s="28">
        <f t="shared" ca="1" si="500"/>
        <v>0</v>
      </c>
      <c r="O2490" s="29">
        <f t="shared" ca="1" si="501"/>
        <v>0</v>
      </c>
      <c r="P2490" s="30">
        <f t="shared" ca="1" si="502"/>
        <v>0</v>
      </c>
    </row>
    <row r="2491" spans="1:16" x14ac:dyDescent="0.25">
      <c r="A2491" s="3">
        <f t="shared" si="503"/>
        <v>49599</v>
      </c>
      <c r="B2491" s="21">
        <f t="shared" si="494"/>
        <v>36816</v>
      </c>
      <c r="C2491" s="21">
        <f t="shared" si="495"/>
        <v>36880</v>
      </c>
      <c r="D2491" s="1">
        <f t="shared" si="504"/>
        <v>0</v>
      </c>
      <c r="E2491" s="3">
        <f t="array" ref="E2491">INDEX($A$9:A2490, MAX(IF($D$9:D2490=1, ROW(D$9:$D2490)-ROW($D$9)+1, 0)))</f>
        <v>49572</v>
      </c>
      <c r="F2491" s="23">
        <f t="shared" si="496"/>
        <v>9.5112936344969192</v>
      </c>
      <c r="G2491" s="5">
        <f>INDEX('Default Prob'!$P$5:$P$14,MIN(1+_xlfn.IFNA(MATCH(F2491,'Default Prob'!$F$5:$F$14,1),0),COUNT('Default Prob'!$P$5:$P$14)))</f>
        <v>8.0322462664562722E-2</v>
      </c>
      <c r="H2491" s="5">
        <f t="shared" si="505"/>
        <v>0.73027409766974827</v>
      </c>
      <c r="I2491" s="24">
        <f t="shared" si="506"/>
        <v>1.6061290655888794E-4</v>
      </c>
      <c r="J2491" s="25">
        <f>INDEX('Default Prob'!$C$3:$C$13, _xlfn.IFNA(MATCH(F2491, 'Default Prob'!$B$3:$B$13, 1), 1))</f>
        <v>2.5000000000000001E-2</v>
      </c>
      <c r="K2491" s="26">
        <f t="shared" si="497"/>
        <v>0.79068257391942909</v>
      </c>
      <c r="L2491" s="27">
        <f t="shared" ca="1" si="498"/>
        <v>0</v>
      </c>
      <c r="M2491" s="27">
        <f t="shared" ca="1" si="499"/>
        <v>0</v>
      </c>
      <c r="N2491" s="28">
        <f t="shared" ca="1" si="500"/>
        <v>0</v>
      </c>
      <c r="O2491" s="29">
        <f t="shared" ca="1" si="501"/>
        <v>0</v>
      </c>
      <c r="P2491" s="30">
        <f t="shared" ca="1" si="502"/>
        <v>0</v>
      </c>
    </row>
    <row r="2492" spans="1:16" x14ac:dyDescent="0.25">
      <c r="A2492" s="3">
        <f t="shared" si="503"/>
        <v>49600</v>
      </c>
      <c r="B2492" s="21">
        <f t="shared" si="494"/>
        <v>36817</v>
      </c>
      <c r="C2492" s="21">
        <f t="shared" si="495"/>
        <v>36880</v>
      </c>
      <c r="D2492" s="1">
        <f t="shared" si="504"/>
        <v>0</v>
      </c>
      <c r="E2492" s="3">
        <f t="array" ref="E2492">INDEX($A$9:A2491, MAX(IF($D$9:D2491=1, ROW(D$9:$D2491)-ROW($D$9)+1, 0)))</f>
        <v>49572</v>
      </c>
      <c r="F2492" s="23">
        <f t="shared" si="496"/>
        <v>9.5140314852840522</v>
      </c>
      <c r="G2492" s="5">
        <f>INDEX('Default Prob'!$P$5:$P$14,MIN(1+_xlfn.IFNA(MATCH(F2492,'Default Prob'!$F$5:$F$14,1),0),COUNT('Default Prob'!$P$5:$P$14)))</f>
        <v>8.0322462664562722E-2</v>
      </c>
      <c r="H2492" s="5">
        <f t="shared" si="505"/>
        <v>0.73011352007983754</v>
      </c>
      <c r="I2492" s="24">
        <f t="shared" si="506"/>
        <v>1.6057758991072646E-4</v>
      </c>
      <c r="J2492" s="25">
        <f>INDEX('Default Prob'!$C$3:$C$13, _xlfn.IFNA(MATCH(F2492, 'Default Prob'!$B$3:$B$13, 1), 1))</f>
        <v>2.5000000000000001E-2</v>
      </c>
      <c r="K2492" s="26">
        <f t="shared" si="497"/>
        <v>0.79062912187689094</v>
      </c>
      <c r="L2492" s="27">
        <f t="shared" ca="1" si="498"/>
        <v>0</v>
      </c>
      <c r="M2492" s="27">
        <f t="shared" ca="1" si="499"/>
        <v>0</v>
      </c>
      <c r="N2492" s="28">
        <f t="shared" ca="1" si="500"/>
        <v>0</v>
      </c>
      <c r="O2492" s="29">
        <f t="shared" ca="1" si="501"/>
        <v>0</v>
      </c>
      <c r="P2492" s="30">
        <f t="shared" ca="1" si="502"/>
        <v>0</v>
      </c>
    </row>
    <row r="2493" spans="1:16" x14ac:dyDescent="0.25">
      <c r="A2493" s="3">
        <f t="shared" si="503"/>
        <v>49601</v>
      </c>
      <c r="B2493" s="21">
        <f t="shared" si="494"/>
        <v>36818</v>
      </c>
      <c r="C2493" s="21">
        <f t="shared" si="495"/>
        <v>36880</v>
      </c>
      <c r="D2493" s="1">
        <f t="shared" si="504"/>
        <v>0</v>
      </c>
      <c r="E2493" s="3">
        <f t="array" ref="E2493">INDEX($A$9:A2492, MAX(IF($D$9:D2492=1, ROW(D$9:$D2492)-ROW($D$9)+1, 0)))</f>
        <v>49572</v>
      </c>
      <c r="F2493" s="23">
        <f t="shared" si="496"/>
        <v>9.5167693360711834</v>
      </c>
      <c r="G2493" s="5">
        <f>INDEX('Default Prob'!$P$5:$P$14,MIN(1+_xlfn.IFNA(MATCH(F2493,'Default Prob'!$F$5:$F$14,1),0),COUNT('Default Prob'!$P$5:$P$14)))</f>
        <v>8.0322462664562722E-2</v>
      </c>
      <c r="H2493" s="5">
        <f t="shared" si="505"/>
        <v>0.72995297779880952</v>
      </c>
      <c r="I2493" s="24">
        <f t="shared" si="506"/>
        <v>1.6054228102801993E-4</v>
      </c>
      <c r="J2493" s="25">
        <f>INDEX('Default Prob'!$C$3:$C$13, _xlfn.IFNA(MATCH(F2493, 'Default Prob'!$B$3:$B$13, 1), 1))</f>
        <v>2.5000000000000001E-2</v>
      </c>
      <c r="K2493" s="26">
        <f t="shared" si="497"/>
        <v>0.79057567344783952</v>
      </c>
      <c r="L2493" s="27">
        <f t="shared" ca="1" si="498"/>
        <v>0</v>
      </c>
      <c r="M2493" s="27">
        <f t="shared" ca="1" si="499"/>
        <v>0</v>
      </c>
      <c r="N2493" s="28">
        <f t="shared" ca="1" si="500"/>
        <v>0</v>
      </c>
      <c r="O2493" s="29">
        <f t="shared" ca="1" si="501"/>
        <v>0</v>
      </c>
      <c r="P2493" s="30">
        <f t="shared" ca="1" si="502"/>
        <v>0</v>
      </c>
    </row>
    <row r="2494" spans="1:16" x14ac:dyDescent="0.25">
      <c r="A2494" s="3">
        <f t="shared" si="503"/>
        <v>49604</v>
      </c>
      <c r="B2494" s="21">
        <f t="shared" si="494"/>
        <v>36821</v>
      </c>
      <c r="C2494" s="21">
        <f t="shared" si="495"/>
        <v>36880</v>
      </c>
      <c r="D2494" s="1">
        <f t="shared" si="504"/>
        <v>0</v>
      </c>
      <c r="E2494" s="3">
        <f t="array" ref="E2494">INDEX($A$9:A2493, MAX(IF($D$9:D2493=1, ROW(D$9:$D2493)-ROW($D$9)+1, 0)))</f>
        <v>49572</v>
      </c>
      <c r="F2494" s="23">
        <f t="shared" si="496"/>
        <v>9.5249828884325805</v>
      </c>
      <c r="G2494" s="5">
        <f>INDEX('Default Prob'!$P$5:$P$14,MIN(1+_xlfn.IFNA(MATCH(F2494,'Default Prob'!$F$5:$F$14,1),0),COUNT('Default Prob'!$P$5:$P$14)))</f>
        <v>8.0322462664562722E-2</v>
      </c>
      <c r="H2494" s="5">
        <f t="shared" si="505"/>
        <v>0.7294715627313898</v>
      </c>
      <c r="I2494" s="24">
        <f t="shared" si="506"/>
        <v>4.8141506741972151E-4</v>
      </c>
      <c r="J2494" s="25">
        <f>INDEX('Default Prob'!$C$3:$C$13, _xlfn.IFNA(MATCH(F2494, 'Default Prob'!$B$3:$B$13, 1), 1))</f>
        <v>2.5000000000000001E-2</v>
      </c>
      <c r="K2494" s="26">
        <f t="shared" si="497"/>
        <v>0.79041534983916151</v>
      </c>
      <c r="L2494" s="27">
        <f t="shared" ca="1" si="498"/>
        <v>0</v>
      </c>
      <c r="M2494" s="27">
        <f t="shared" ca="1" si="499"/>
        <v>0</v>
      </c>
      <c r="N2494" s="28">
        <f t="shared" ca="1" si="500"/>
        <v>0</v>
      </c>
      <c r="O2494" s="29">
        <f t="shared" ca="1" si="501"/>
        <v>0</v>
      </c>
      <c r="P2494" s="30">
        <f t="shared" ca="1" si="502"/>
        <v>0</v>
      </c>
    </row>
    <row r="2495" spans="1:16" x14ac:dyDescent="0.25">
      <c r="A2495" s="3">
        <f t="shared" si="503"/>
        <v>49605</v>
      </c>
      <c r="B2495" s="21">
        <f t="shared" si="494"/>
        <v>36822</v>
      </c>
      <c r="C2495" s="21">
        <f t="shared" si="495"/>
        <v>36880</v>
      </c>
      <c r="D2495" s="1">
        <f t="shared" si="504"/>
        <v>0</v>
      </c>
      <c r="E2495" s="3">
        <f t="array" ref="E2495">INDEX($A$9:A2494, MAX(IF($D$9:D2494=1, ROW(D$9:$D2494)-ROW($D$9)+1, 0)))</f>
        <v>49572</v>
      </c>
      <c r="F2495" s="23">
        <f t="shared" si="496"/>
        <v>9.5277207392197134</v>
      </c>
      <c r="G2495" s="5">
        <f>INDEX('Default Prob'!$P$5:$P$14,MIN(1+_xlfn.IFNA(MATCH(F2495,'Default Prob'!$F$5:$F$14,1),0),COUNT('Default Prob'!$P$5:$P$14)))</f>
        <v>8.0322462664562722E-2</v>
      </c>
      <c r="H2495" s="5">
        <f t="shared" si="505"/>
        <v>0.72931116160826959</v>
      </c>
      <c r="I2495" s="24">
        <f t="shared" si="506"/>
        <v>1.6040112312021293E-4</v>
      </c>
      <c r="J2495" s="25">
        <f>INDEX('Default Prob'!$C$3:$C$13, _xlfn.IFNA(MATCH(F2495, 'Default Prob'!$B$3:$B$13, 1), 1))</f>
        <v>2.5000000000000001E-2</v>
      </c>
      <c r="K2495" s="26">
        <f t="shared" si="497"/>
        <v>0.79036191586161364</v>
      </c>
      <c r="L2495" s="27">
        <f t="shared" ca="1" si="498"/>
        <v>0</v>
      </c>
      <c r="M2495" s="27">
        <f t="shared" ca="1" si="499"/>
        <v>0</v>
      </c>
      <c r="N2495" s="28">
        <f t="shared" ca="1" si="500"/>
        <v>0</v>
      </c>
      <c r="O2495" s="29">
        <f t="shared" ca="1" si="501"/>
        <v>0</v>
      </c>
      <c r="P2495" s="30">
        <f t="shared" ca="1" si="502"/>
        <v>0</v>
      </c>
    </row>
    <row r="2496" spans="1:16" x14ac:dyDescent="0.25">
      <c r="A2496" s="3">
        <f t="shared" si="503"/>
        <v>49606</v>
      </c>
      <c r="B2496" s="21">
        <f t="shared" si="494"/>
        <v>36823</v>
      </c>
      <c r="C2496" s="21">
        <f t="shared" si="495"/>
        <v>36880</v>
      </c>
      <c r="D2496" s="1">
        <f t="shared" si="504"/>
        <v>0</v>
      </c>
      <c r="E2496" s="3">
        <f t="array" ref="E2496">INDEX($A$9:A2495, MAX(IF($D$9:D2495=1, ROW(D$9:$D2495)-ROW($D$9)+1, 0)))</f>
        <v>49572</v>
      </c>
      <c r="F2496" s="23">
        <f t="shared" si="496"/>
        <v>9.5304585900068446</v>
      </c>
      <c r="G2496" s="5">
        <f>INDEX('Default Prob'!$P$5:$P$14,MIN(1+_xlfn.IFNA(MATCH(F2496,'Default Prob'!$F$5:$F$14,1),0),COUNT('Default Prob'!$P$5:$P$14)))</f>
        <v>8.0322462664562722E-2</v>
      </c>
      <c r="H2496" s="5">
        <f t="shared" si="505"/>
        <v>0.72915079575522934</v>
      </c>
      <c r="I2496" s="24">
        <f t="shared" si="506"/>
        <v>1.603658530402452E-4</v>
      </c>
      <c r="J2496" s="25">
        <f>INDEX('Default Prob'!$C$3:$C$13, _xlfn.IFNA(MATCH(F2496, 'Default Prob'!$B$3:$B$13, 1), 1))</f>
        <v>2.5000000000000001E-2</v>
      </c>
      <c r="K2496" s="26">
        <f t="shared" si="497"/>
        <v>0.79030848549633104</v>
      </c>
      <c r="L2496" s="27">
        <f t="shared" ca="1" si="498"/>
        <v>0</v>
      </c>
      <c r="M2496" s="27">
        <f t="shared" ca="1" si="499"/>
        <v>0</v>
      </c>
      <c r="N2496" s="28">
        <f t="shared" ca="1" si="500"/>
        <v>0</v>
      </c>
      <c r="O2496" s="29">
        <f t="shared" ca="1" si="501"/>
        <v>0</v>
      </c>
      <c r="P2496" s="30">
        <f t="shared" ca="1" si="502"/>
        <v>0</v>
      </c>
    </row>
    <row r="2497" spans="1:16" x14ac:dyDescent="0.25">
      <c r="A2497" s="3">
        <f t="shared" si="503"/>
        <v>49607</v>
      </c>
      <c r="B2497" s="21">
        <f t="shared" si="494"/>
        <v>36824</v>
      </c>
      <c r="C2497" s="21">
        <f t="shared" si="495"/>
        <v>36880</v>
      </c>
      <c r="D2497" s="1">
        <f t="shared" si="504"/>
        <v>0</v>
      </c>
      <c r="E2497" s="3">
        <f t="array" ref="E2497">INDEX($A$9:A2496, MAX(IF($D$9:D2496=1, ROW(D$9:$D2496)-ROW($D$9)+1, 0)))</f>
        <v>49572</v>
      </c>
      <c r="F2497" s="23">
        <f t="shared" si="496"/>
        <v>9.5331964407939775</v>
      </c>
      <c r="G2497" s="5">
        <f>INDEX('Default Prob'!$P$5:$P$14,MIN(1+_xlfn.IFNA(MATCH(F2497,'Default Prob'!$F$5:$F$14,1),0),COUNT('Default Prob'!$P$5:$P$14)))</f>
        <v>8.0322462664562722E-2</v>
      </c>
      <c r="H2497" s="5">
        <f t="shared" si="505"/>
        <v>0.72899046516451349</v>
      </c>
      <c r="I2497" s="24">
        <f t="shared" si="506"/>
        <v>1.6033059071585143E-4</v>
      </c>
      <c r="J2497" s="25">
        <f>INDEX('Default Prob'!$C$3:$C$13, _xlfn.IFNA(MATCH(F2497, 'Default Prob'!$B$3:$B$13, 1), 1))</f>
        <v>2.5000000000000001E-2</v>
      </c>
      <c r="K2497" s="26">
        <f t="shared" si="497"/>
        <v>0.79025505874306956</v>
      </c>
      <c r="L2497" s="27">
        <f t="shared" ca="1" si="498"/>
        <v>0</v>
      </c>
      <c r="M2497" s="27">
        <f t="shared" ca="1" si="499"/>
        <v>0</v>
      </c>
      <c r="N2497" s="28">
        <f t="shared" ca="1" si="500"/>
        <v>0</v>
      </c>
      <c r="O2497" s="29">
        <f t="shared" ca="1" si="501"/>
        <v>0</v>
      </c>
      <c r="P2497" s="30">
        <f t="shared" ca="1" si="502"/>
        <v>0</v>
      </c>
    </row>
    <row r="2498" spans="1:16" x14ac:dyDescent="0.25">
      <c r="A2498" s="3">
        <f t="shared" si="503"/>
        <v>49608</v>
      </c>
      <c r="B2498" s="21">
        <f t="shared" si="494"/>
        <v>36825</v>
      </c>
      <c r="C2498" s="21">
        <f t="shared" si="495"/>
        <v>36880</v>
      </c>
      <c r="D2498" s="1">
        <f t="shared" si="504"/>
        <v>0</v>
      </c>
      <c r="E2498" s="3">
        <f t="array" ref="E2498">INDEX($A$9:A2497, MAX(IF($D$9:D2497=1, ROW(D$9:$D2497)-ROW($D$9)+1, 0)))</f>
        <v>49572</v>
      </c>
      <c r="F2498" s="23">
        <f t="shared" si="496"/>
        <v>9.5359342915811087</v>
      </c>
      <c r="G2498" s="5">
        <f>INDEX('Default Prob'!$P$5:$P$14,MIN(1+_xlfn.IFNA(MATCH(F2498,'Default Prob'!$F$5:$F$14,1),0),COUNT('Default Prob'!$P$5:$P$14)))</f>
        <v>8.0322462664562722E-2</v>
      </c>
      <c r="H2498" s="5">
        <f t="shared" si="505"/>
        <v>0.72883016982836846</v>
      </c>
      <c r="I2498" s="24">
        <f t="shared" si="506"/>
        <v>1.6029533614503322E-4</v>
      </c>
      <c r="J2498" s="25">
        <f>INDEX('Default Prob'!$C$3:$C$13, _xlfn.IFNA(MATCH(F2498, 'Default Prob'!$B$3:$B$13, 1), 1))</f>
        <v>2.5000000000000001E-2</v>
      </c>
      <c r="K2498" s="26">
        <f t="shared" si="497"/>
        <v>0.79020163560158507</v>
      </c>
      <c r="L2498" s="27">
        <f t="shared" ca="1" si="498"/>
        <v>0</v>
      </c>
      <c r="M2498" s="27">
        <f t="shared" ca="1" si="499"/>
        <v>0</v>
      </c>
      <c r="N2498" s="28">
        <f t="shared" ca="1" si="500"/>
        <v>0</v>
      </c>
      <c r="O2498" s="29">
        <f t="shared" ca="1" si="501"/>
        <v>0</v>
      </c>
      <c r="P2498" s="30">
        <f t="shared" ca="1" si="502"/>
        <v>0</v>
      </c>
    </row>
    <row r="2499" spans="1:16" x14ac:dyDescent="0.25">
      <c r="A2499" s="3">
        <f t="shared" si="503"/>
        <v>49611</v>
      </c>
      <c r="B2499" s="21">
        <f t="shared" si="494"/>
        <v>36828</v>
      </c>
      <c r="C2499" s="21">
        <f t="shared" si="495"/>
        <v>36880</v>
      </c>
      <c r="D2499" s="1">
        <f t="shared" si="504"/>
        <v>0</v>
      </c>
      <c r="E2499" s="3">
        <f t="array" ref="E2499">INDEX($A$9:A2498, MAX(IF($D$9:D2498=1, ROW(D$9:$D2498)-ROW($D$9)+1, 0)))</f>
        <v>49572</v>
      </c>
      <c r="F2499" s="23">
        <f t="shared" si="496"/>
        <v>9.5441478439425058</v>
      </c>
      <c r="G2499" s="5">
        <f>INDEX('Default Prob'!$P$5:$P$14,MIN(1+_xlfn.IFNA(MATCH(F2499,'Default Prob'!$F$5:$F$14,1),0),COUNT('Default Prob'!$P$5:$P$14)))</f>
        <v>8.0322462664562722E-2</v>
      </c>
      <c r="H2499" s="5">
        <f t="shared" si="505"/>
        <v>0.72834949526984627</v>
      </c>
      <c r="I2499" s="24">
        <f t="shared" si="506"/>
        <v>4.8067455852218721E-4</v>
      </c>
      <c r="J2499" s="25">
        <f>INDEX('Default Prob'!$C$3:$C$13, _xlfn.IFNA(MATCH(F2499, 'Default Prob'!$B$3:$B$13, 1), 1))</f>
        <v>2.5000000000000001E-2</v>
      </c>
      <c r="K2499" s="26">
        <f t="shared" si="497"/>
        <v>0.79004138784535161</v>
      </c>
      <c r="L2499" s="27">
        <f t="shared" ca="1" si="498"/>
        <v>0</v>
      </c>
      <c r="M2499" s="27">
        <f t="shared" ca="1" si="499"/>
        <v>0</v>
      </c>
      <c r="N2499" s="28">
        <f t="shared" ca="1" si="500"/>
        <v>0</v>
      </c>
      <c r="O2499" s="29">
        <f t="shared" ca="1" si="501"/>
        <v>0</v>
      </c>
      <c r="P2499" s="30">
        <f t="shared" ca="1" si="502"/>
        <v>0</v>
      </c>
    </row>
    <row r="2500" spans="1:16" x14ac:dyDescent="0.25">
      <c r="A2500" s="3">
        <f t="shared" si="503"/>
        <v>49612</v>
      </c>
      <c r="B2500" s="21">
        <f t="shared" si="494"/>
        <v>36829</v>
      </c>
      <c r="C2500" s="21">
        <f t="shared" si="495"/>
        <v>36880</v>
      </c>
      <c r="D2500" s="1">
        <f t="shared" si="504"/>
        <v>0</v>
      </c>
      <c r="E2500" s="3">
        <f t="array" ref="E2500">INDEX($A$9:A2499, MAX(IF($D$9:D2499=1, ROW(D$9:$D2499)-ROW($D$9)+1, 0)))</f>
        <v>49572</v>
      </c>
      <c r="F2500" s="23">
        <f t="shared" si="496"/>
        <v>9.546885694729637</v>
      </c>
      <c r="G2500" s="5">
        <f>INDEX('Default Prob'!$P$5:$P$14,MIN(1+_xlfn.IFNA(MATCH(F2500,'Default Prob'!$F$5:$F$14,1),0),COUNT('Default Prob'!$P$5:$P$14)))</f>
        <v>8.0322462664562722E-2</v>
      </c>
      <c r="H2500" s="5">
        <f t="shared" si="505"/>
        <v>0.72818934087448117</v>
      </c>
      <c r="I2500" s="24">
        <f t="shared" si="506"/>
        <v>1.6015439536509746E-4</v>
      </c>
      <c r="J2500" s="25">
        <f>INDEX('Default Prob'!$C$3:$C$13, _xlfn.IFNA(MATCH(F2500, 'Default Prob'!$B$3:$B$13, 1), 1))</f>
        <v>2.5000000000000001E-2</v>
      </c>
      <c r="K2500" s="26">
        <f t="shared" si="497"/>
        <v>0.78998797914853325</v>
      </c>
      <c r="L2500" s="27">
        <f t="shared" ca="1" si="498"/>
        <v>0</v>
      </c>
      <c r="M2500" s="27">
        <f t="shared" ca="1" si="499"/>
        <v>0</v>
      </c>
      <c r="N2500" s="28">
        <f t="shared" ca="1" si="500"/>
        <v>0</v>
      </c>
      <c r="O2500" s="29">
        <f t="shared" ca="1" si="501"/>
        <v>0</v>
      </c>
      <c r="P2500" s="30">
        <f t="shared" ca="1" si="502"/>
        <v>0</v>
      </c>
    </row>
    <row r="2501" spans="1:16" x14ac:dyDescent="0.25">
      <c r="A2501" s="3">
        <f t="shared" si="503"/>
        <v>49613</v>
      </c>
      <c r="B2501" s="21">
        <f t="shared" si="494"/>
        <v>36830</v>
      </c>
      <c r="C2501" s="21">
        <f t="shared" si="495"/>
        <v>36880</v>
      </c>
      <c r="D2501" s="1">
        <f t="shared" si="504"/>
        <v>0</v>
      </c>
      <c r="E2501" s="3">
        <f t="array" ref="E2501">INDEX($A$9:A2500, MAX(IF($D$9:D2500=1, ROW(D$9:$D2500)-ROW($D$9)+1, 0)))</f>
        <v>49572</v>
      </c>
      <c r="F2501" s="23">
        <f t="shared" si="496"/>
        <v>9.54962354551677</v>
      </c>
      <c r="G2501" s="5">
        <f>INDEX('Default Prob'!$P$5:$P$14,MIN(1+_xlfn.IFNA(MATCH(F2501,'Default Prob'!$F$5:$F$14,1),0),COUNT('Default Prob'!$P$5:$P$14)))</f>
        <v>8.0322462664562722E-2</v>
      </c>
      <c r="H2501" s="5">
        <f t="shared" si="505"/>
        <v>0.72802922169494377</v>
      </c>
      <c r="I2501" s="24">
        <f t="shared" si="506"/>
        <v>1.6011917953739907E-4</v>
      </c>
      <c r="J2501" s="25">
        <f>INDEX('Default Prob'!$C$3:$C$13, _xlfn.IFNA(MATCH(F2501, 'Default Prob'!$B$3:$B$13, 1), 1))</f>
        <v>2.5000000000000001E-2</v>
      </c>
      <c r="K2501" s="26">
        <f t="shared" si="497"/>
        <v>0.7899345740622713</v>
      </c>
      <c r="L2501" s="27">
        <f t="shared" ca="1" si="498"/>
        <v>0</v>
      </c>
      <c r="M2501" s="27">
        <f t="shared" ca="1" si="499"/>
        <v>0</v>
      </c>
      <c r="N2501" s="28">
        <f t="shared" ca="1" si="500"/>
        <v>0</v>
      </c>
      <c r="O2501" s="29">
        <f t="shared" ca="1" si="501"/>
        <v>0</v>
      </c>
      <c r="P2501" s="30">
        <f t="shared" ca="1" si="502"/>
        <v>0</v>
      </c>
    </row>
    <row r="2502" spans="1:16" x14ac:dyDescent="0.25">
      <c r="A2502" s="3">
        <f t="shared" si="503"/>
        <v>49614</v>
      </c>
      <c r="B2502" s="21">
        <f t="shared" si="494"/>
        <v>36831</v>
      </c>
      <c r="C2502" s="21">
        <f t="shared" si="495"/>
        <v>36880</v>
      </c>
      <c r="D2502" s="1">
        <f t="shared" si="504"/>
        <v>0</v>
      </c>
      <c r="E2502" s="3">
        <f t="array" ref="E2502">INDEX($A$9:A2501, MAX(IF($D$9:D2501=1, ROW(D$9:$D2501)-ROW($D$9)+1, 0)))</f>
        <v>49572</v>
      </c>
      <c r="F2502" s="23">
        <f t="shared" si="496"/>
        <v>9.5523613963039011</v>
      </c>
      <c r="G2502" s="5">
        <f>INDEX('Default Prob'!$P$5:$P$14,MIN(1+_xlfn.IFNA(MATCH(F2502,'Default Prob'!$F$5:$F$14,1),0),COUNT('Default Prob'!$P$5:$P$14)))</f>
        <v>8.0322462664562722E-2</v>
      </c>
      <c r="H2502" s="5">
        <f t="shared" si="505"/>
        <v>0.72786913772349071</v>
      </c>
      <c r="I2502" s="24">
        <f t="shared" si="506"/>
        <v>1.6008397145306219E-4</v>
      </c>
      <c r="J2502" s="25">
        <f>INDEX('Default Prob'!$C$3:$C$13, _xlfn.IFNA(MATCH(F2502, 'Default Prob'!$B$3:$B$13, 1), 1))</f>
        <v>2.5000000000000001E-2</v>
      </c>
      <c r="K2502" s="26">
        <f t="shared" si="497"/>
        <v>0.78988117258632151</v>
      </c>
      <c r="L2502" s="27">
        <f t="shared" ca="1" si="498"/>
        <v>0</v>
      </c>
      <c r="M2502" s="27">
        <f t="shared" ca="1" si="499"/>
        <v>0</v>
      </c>
      <c r="N2502" s="28">
        <f t="shared" ca="1" si="500"/>
        <v>0</v>
      </c>
      <c r="O2502" s="29">
        <f t="shared" ca="1" si="501"/>
        <v>0</v>
      </c>
      <c r="P2502" s="30">
        <f t="shared" ca="1" si="502"/>
        <v>0</v>
      </c>
    </row>
    <row r="2503" spans="1:16" x14ac:dyDescent="0.25">
      <c r="A2503" s="3">
        <f t="shared" si="503"/>
        <v>49615</v>
      </c>
      <c r="B2503" s="21">
        <f t="shared" si="494"/>
        <v>36832</v>
      </c>
      <c r="C2503" s="21">
        <f t="shared" si="495"/>
        <v>36880</v>
      </c>
      <c r="D2503" s="1">
        <f t="shared" si="504"/>
        <v>0</v>
      </c>
      <c r="E2503" s="3">
        <f t="array" ref="E2503">INDEX($A$9:A2502, MAX(IF($D$9:D2502=1, ROW(D$9:$D2502)-ROW($D$9)+1, 0)))</f>
        <v>49572</v>
      </c>
      <c r="F2503" s="23">
        <f t="shared" si="496"/>
        <v>9.5550992470910341</v>
      </c>
      <c r="G2503" s="5">
        <f>INDEX('Default Prob'!$P$5:$P$14,MIN(1+_xlfn.IFNA(MATCH(F2503,'Default Prob'!$F$5:$F$14,1),0),COUNT('Default Prob'!$P$5:$P$14)))</f>
        <v>8.0322462664562722E-2</v>
      </c>
      <c r="H2503" s="5">
        <f t="shared" si="505"/>
        <v>0.72770908895237996</v>
      </c>
      <c r="I2503" s="24">
        <f t="shared" si="506"/>
        <v>1.6004877111075455E-4</v>
      </c>
      <c r="J2503" s="25">
        <f>INDEX('Default Prob'!$C$3:$C$13, _xlfn.IFNA(MATCH(F2503, 'Default Prob'!$B$3:$B$13, 1), 1))</f>
        <v>2.5000000000000001E-2</v>
      </c>
      <c r="K2503" s="26">
        <f t="shared" si="497"/>
        <v>0.78982777472043997</v>
      </c>
      <c r="L2503" s="27">
        <f t="shared" ca="1" si="498"/>
        <v>0</v>
      </c>
      <c r="M2503" s="27">
        <f t="shared" ca="1" si="499"/>
        <v>0</v>
      </c>
      <c r="N2503" s="28">
        <f t="shared" ca="1" si="500"/>
        <v>0</v>
      </c>
      <c r="O2503" s="29">
        <f t="shared" ca="1" si="501"/>
        <v>0</v>
      </c>
      <c r="P2503" s="30">
        <f t="shared" ca="1" si="502"/>
        <v>0</v>
      </c>
    </row>
    <row r="2504" spans="1:16" x14ac:dyDescent="0.25">
      <c r="A2504" s="3">
        <f t="shared" si="503"/>
        <v>49618</v>
      </c>
      <c r="B2504" s="21">
        <f t="shared" si="494"/>
        <v>36835</v>
      </c>
      <c r="C2504" s="21">
        <f t="shared" si="495"/>
        <v>36880</v>
      </c>
      <c r="D2504" s="1">
        <f t="shared" si="504"/>
        <v>0</v>
      </c>
      <c r="E2504" s="3">
        <f t="array" ref="E2504">INDEX($A$9:A2503, MAX(IF($D$9:D2503=1, ROW(D$9:$D2503)-ROW($D$9)+1, 0)))</f>
        <v>49572</v>
      </c>
      <c r="F2504" s="23">
        <f t="shared" si="496"/>
        <v>9.5633127994524294</v>
      </c>
      <c r="G2504" s="5">
        <f>INDEX('Default Prob'!$P$5:$P$14,MIN(1+_xlfn.IFNA(MATCH(F2504,'Default Prob'!$F$5:$F$14,1),0),COUNT('Default Prob'!$P$5:$P$14)))</f>
        <v>8.0322462664562722E-2</v>
      </c>
      <c r="H2504" s="5">
        <f t="shared" si="505"/>
        <v>0.72722915376371033</v>
      </c>
      <c r="I2504" s="24">
        <f t="shared" si="506"/>
        <v>4.7993518866962237E-4</v>
      </c>
      <c r="J2504" s="25">
        <f>INDEX('Default Prob'!$C$3:$C$13, _xlfn.IFNA(MATCH(F2504, 'Default Prob'!$B$3:$B$13, 1), 1))</f>
        <v>2.5000000000000001E-2</v>
      </c>
      <c r="K2504" s="26">
        <f t="shared" si="497"/>
        <v>0.78966760278076342</v>
      </c>
      <c r="L2504" s="27">
        <f t="shared" ca="1" si="498"/>
        <v>0</v>
      </c>
      <c r="M2504" s="27">
        <f t="shared" ca="1" si="499"/>
        <v>0</v>
      </c>
      <c r="N2504" s="28">
        <f t="shared" ca="1" si="500"/>
        <v>0</v>
      </c>
      <c r="O2504" s="29">
        <f t="shared" ca="1" si="501"/>
        <v>0</v>
      </c>
      <c r="P2504" s="30">
        <f t="shared" ca="1" si="502"/>
        <v>0</v>
      </c>
    </row>
    <row r="2505" spans="1:16" x14ac:dyDescent="0.25">
      <c r="A2505" s="3">
        <f t="shared" si="503"/>
        <v>49619</v>
      </c>
      <c r="B2505" s="21">
        <f t="shared" ref="B2505:B2568" si="507">DATE(2000, MONTH(A2505), DAY(A2505))</f>
        <v>36836</v>
      </c>
      <c r="C2505" s="21">
        <f t="shared" ref="C2505:C2568" si="508">VLOOKUP(B2505, $R$9:$S$13, 2)</f>
        <v>36880</v>
      </c>
      <c r="D2505" s="1">
        <f t="shared" si="504"/>
        <v>0</v>
      </c>
      <c r="E2505" s="3">
        <f t="array" ref="E2505">INDEX($A$9:A2504, MAX(IF($D$9:D2504=1, ROW(D$9:$D2504)-ROW($D$9)+1, 0)))</f>
        <v>49572</v>
      </c>
      <c r="F2505" s="23">
        <f t="shared" ref="F2505:F2568" si="509">(A2505-$A$2)/365.25</f>
        <v>9.5660506502395624</v>
      </c>
      <c r="G2505" s="5">
        <f>INDEX('Default Prob'!$P$5:$P$14,MIN(1+_xlfn.IFNA(MATCH(F2505,'Default Prob'!$F$5:$F$14,1),0),COUNT('Default Prob'!$P$5:$P$14)))</f>
        <v>8.0322462664562722E-2</v>
      </c>
      <c r="H2505" s="5">
        <f t="shared" si="505"/>
        <v>0.72706924571658549</v>
      </c>
      <c r="I2505" s="24">
        <f t="shared" si="506"/>
        <v>1.5990804712484596E-4</v>
      </c>
      <c r="J2505" s="25">
        <f>INDEX('Default Prob'!$C$3:$C$13, _xlfn.IFNA(MATCH(F2505, 'Default Prob'!$B$3:$B$13, 1), 1))</f>
        <v>2.5000000000000001E-2</v>
      </c>
      <c r="K2505" s="26">
        <f t="shared" ref="K2505:K2568" si="510">1/((1+J2505)^F2505)</f>
        <v>0.78961421935271392</v>
      </c>
      <c r="L2505" s="27">
        <f t="shared" ref="L2505:L2568" ca="1" si="511">IF(AND(D2505, A2505 &lt;= $G$2), $D$5*$D$2*(A2505-E2505)/365.25, 0)</f>
        <v>0</v>
      </c>
      <c r="M2505" s="27">
        <f t="shared" ref="M2505:M2568" ca="1" si="512">IF(A2505&lt;=$G$2, $D$5*$D$2*(A2505-E2505)/365.25, 0)</f>
        <v>0</v>
      </c>
      <c r="N2505" s="28">
        <f t="shared" ref="N2505:N2568" ca="1" si="513">(L2505*H2505 + M2505*I2505) * K2505</f>
        <v>0</v>
      </c>
      <c r="O2505" s="29">
        <f t="shared" ref="O2505:O2568" ca="1" si="514">IF(A2505&lt;=$G$2, $D$2*(1-$D$3), 0)</f>
        <v>0</v>
      </c>
      <c r="P2505" s="30">
        <f t="shared" ref="P2505:P2568" ca="1" si="515">O2505*I2505*K2505</f>
        <v>0</v>
      </c>
    </row>
    <row r="2506" spans="1:16" x14ac:dyDescent="0.25">
      <c r="A2506" s="3">
        <f t="shared" ref="A2506:A2569" si="516">WORKDAY(A2505, 1)</f>
        <v>49620</v>
      </c>
      <c r="B2506" s="21">
        <f t="shared" si="507"/>
        <v>36837</v>
      </c>
      <c r="C2506" s="21">
        <f t="shared" si="508"/>
        <v>36880</v>
      </c>
      <c r="D2506" s="1">
        <f t="shared" ref="D2506:D2569" si="517">IF(OR(C2506=B2506, AND(C2506&lt;&gt;C2505, C2505&gt;B2505)), 1, 0)</f>
        <v>0</v>
      </c>
      <c r="E2506" s="3">
        <f t="array" ref="E2506">INDEX($A$9:A2505, MAX(IF($D$9:D2505=1, ROW(D$9:$D2505)-ROW($D$9)+1, 0)))</f>
        <v>49572</v>
      </c>
      <c r="F2506" s="23">
        <f t="shared" si="509"/>
        <v>9.5687885010266935</v>
      </c>
      <c r="G2506" s="5">
        <f>INDEX('Default Prob'!$P$5:$P$14,MIN(1+_xlfn.IFNA(MATCH(F2506,'Default Prob'!$F$5:$F$14,1),0),COUNT('Default Prob'!$P$5:$P$14)))</f>
        <v>8.0322462664562722E-2</v>
      </c>
      <c r="H2506" s="5">
        <f t="shared" ref="H2506:H2569" si="518">H2505*EXP(-G2505*(F2506-F2505))</f>
        <v>0.72690937283111978</v>
      </c>
      <c r="I2506" s="24">
        <f t="shared" ref="I2506:I2569" si="519">H2505-H2506</f>
        <v>1.598728854657061E-4</v>
      </c>
      <c r="J2506" s="25">
        <f>INDEX('Default Prob'!$C$3:$C$13, _xlfn.IFNA(MATCH(F2506, 'Default Prob'!$B$3:$B$13, 1), 1))</f>
        <v>2.5000000000000001E-2</v>
      </c>
      <c r="K2506" s="26">
        <f t="shared" si="510"/>
        <v>0.78956083953351264</v>
      </c>
      <c r="L2506" s="27">
        <f t="shared" ca="1" si="511"/>
        <v>0</v>
      </c>
      <c r="M2506" s="27">
        <f t="shared" ca="1" si="512"/>
        <v>0</v>
      </c>
      <c r="N2506" s="28">
        <f t="shared" ca="1" si="513"/>
        <v>0</v>
      </c>
      <c r="O2506" s="29">
        <f t="shared" ca="1" si="514"/>
        <v>0</v>
      </c>
      <c r="P2506" s="30">
        <f t="shared" ca="1" si="515"/>
        <v>0</v>
      </c>
    </row>
    <row r="2507" spans="1:16" x14ac:dyDescent="0.25">
      <c r="A2507" s="3">
        <f t="shared" si="516"/>
        <v>49621</v>
      </c>
      <c r="B2507" s="21">
        <f t="shared" si="507"/>
        <v>36838</v>
      </c>
      <c r="C2507" s="21">
        <f t="shared" si="508"/>
        <v>36880</v>
      </c>
      <c r="D2507" s="1">
        <f t="shared" si="517"/>
        <v>0</v>
      </c>
      <c r="E2507" s="3">
        <f t="array" ref="E2507">INDEX($A$9:A2506, MAX(IF($D$9:D2506=1, ROW(D$9:$D2506)-ROW($D$9)+1, 0)))</f>
        <v>49572</v>
      </c>
      <c r="F2507" s="23">
        <f t="shared" si="509"/>
        <v>9.5715263518138265</v>
      </c>
      <c r="G2507" s="5">
        <f>INDEX('Default Prob'!$P$5:$P$14,MIN(1+_xlfn.IFNA(MATCH(F2507,'Default Prob'!$F$5:$F$14,1),0),COUNT('Default Prob'!$P$5:$P$14)))</f>
        <v>8.0322462664562722E-2</v>
      </c>
      <c r="H2507" s="5">
        <f t="shared" si="518"/>
        <v>0.7267495350995814</v>
      </c>
      <c r="I2507" s="24">
        <f t="shared" si="519"/>
        <v>1.5983773153838143E-4</v>
      </c>
      <c r="J2507" s="25">
        <f>INDEX('Default Prob'!$C$3:$C$13, _xlfn.IFNA(MATCH(F2507, 'Default Prob'!$B$3:$B$13, 1), 1))</f>
        <v>2.5000000000000001E-2</v>
      </c>
      <c r="K2507" s="26">
        <f t="shared" si="510"/>
        <v>0.78950746332291544</v>
      </c>
      <c r="L2507" s="27">
        <f t="shared" ca="1" si="511"/>
        <v>0</v>
      </c>
      <c r="M2507" s="27">
        <f t="shared" ca="1" si="512"/>
        <v>0</v>
      </c>
      <c r="N2507" s="28">
        <f t="shared" ca="1" si="513"/>
        <v>0</v>
      </c>
      <c r="O2507" s="29">
        <f t="shared" ca="1" si="514"/>
        <v>0</v>
      </c>
      <c r="P2507" s="30">
        <f t="shared" ca="1" si="515"/>
        <v>0</v>
      </c>
    </row>
    <row r="2508" spans="1:16" x14ac:dyDescent="0.25">
      <c r="A2508" s="3">
        <f t="shared" si="516"/>
        <v>49622</v>
      </c>
      <c r="B2508" s="21">
        <f t="shared" si="507"/>
        <v>36839</v>
      </c>
      <c r="C2508" s="21">
        <f t="shared" si="508"/>
        <v>36880</v>
      </c>
      <c r="D2508" s="1">
        <f t="shared" si="517"/>
        <v>0</v>
      </c>
      <c r="E2508" s="3">
        <f t="array" ref="E2508">INDEX($A$9:A2507, MAX(IF($D$9:D2507=1, ROW(D$9:$D2507)-ROW($D$9)+1, 0)))</f>
        <v>49572</v>
      </c>
      <c r="F2508" s="23">
        <f t="shared" si="509"/>
        <v>9.5742642026009577</v>
      </c>
      <c r="G2508" s="5">
        <f>INDEX('Default Prob'!$P$5:$P$14,MIN(1+_xlfn.IFNA(MATCH(F2508,'Default Prob'!$F$5:$F$14,1),0),COUNT('Default Prob'!$P$5:$P$14)))</f>
        <v>8.0322462664562722E-2</v>
      </c>
      <c r="H2508" s="5">
        <f t="shared" si="518"/>
        <v>0.72658973251424075</v>
      </c>
      <c r="I2508" s="24">
        <f t="shared" si="519"/>
        <v>1.598025853406515E-4</v>
      </c>
      <c r="J2508" s="25">
        <f>INDEX('Default Prob'!$C$3:$C$13, _xlfn.IFNA(MATCH(F2508, 'Default Prob'!$B$3:$B$13, 1), 1))</f>
        <v>2.5000000000000001E-2</v>
      </c>
      <c r="K2508" s="26">
        <f t="shared" si="510"/>
        <v>0.78945409072067818</v>
      </c>
      <c r="L2508" s="27">
        <f t="shared" ca="1" si="511"/>
        <v>0</v>
      </c>
      <c r="M2508" s="27">
        <f t="shared" ca="1" si="512"/>
        <v>0</v>
      </c>
      <c r="N2508" s="28">
        <f t="shared" ca="1" si="513"/>
        <v>0</v>
      </c>
      <c r="O2508" s="29">
        <f t="shared" ca="1" si="514"/>
        <v>0</v>
      </c>
      <c r="P2508" s="30">
        <f t="shared" ca="1" si="515"/>
        <v>0</v>
      </c>
    </row>
    <row r="2509" spans="1:16" x14ac:dyDescent="0.25">
      <c r="A2509" s="3">
        <f t="shared" si="516"/>
        <v>49625</v>
      </c>
      <c r="B2509" s="21">
        <f t="shared" si="507"/>
        <v>36842</v>
      </c>
      <c r="C2509" s="21">
        <f t="shared" si="508"/>
        <v>36880</v>
      </c>
      <c r="D2509" s="1">
        <f t="shared" si="517"/>
        <v>0</v>
      </c>
      <c r="E2509" s="3">
        <f t="array" ref="E2509">INDEX($A$9:A2508, MAX(IF($D$9:D2508=1, ROW(D$9:$D2508)-ROW($D$9)+1, 0)))</f>
        <v>49572</v>
      </c>
      <c r="F2509" s="23">
        <f t="shared" si="509"/>
        <v>9.5824777549623548</v>
      </c>
      <c r="G2509" s="5">
        <f>INDEX('Default Prob'!$P$5:$P$14,MIN(1+_xlfn.IFNA(MATCH(F2509,'Default Prob'!$F$5:$F$14,1),0),COUNT('Default Prob'!$P$5:$P$14)))</f>
        <v>8.0322462664562722E-2</v>
      </c>
      <c r="H2509" s="5">
        <f t="shared" si="518"/>
        <v>0.72611053555813054</v>
      </c>
      <c r="I2509" s="24">
        <f t="shared" si="519"/>
        <v>4.7919695611020607E-4</v>
      </c>
      <c r="J2509" s="25">
        <f>INDEX('Default Prob'!$C$3:$C$13, _xlfn.IFNA(MATCH(F2509, 'Default Prob'!$B$3:$B$13, 1), 1))</f>
        <v>2.5000000000000001E-2</v>
      </c>
      <c r="K2509" s="26">
        <f t="shared" si="510"/>
        <v>0.78929399456168825</v>
      </c>
      <c r="L2509" s="27">
        <f t="shared" ca="1" si="511"/>
        <v>0</v>
      </c>
      <c r="M2509" s="27">
        <f t="shared" ca="1" si="512"/>
        <v>0</v>
      </c>
      <c r="N2509" s="28">
        <f t="shared" ca="1" si="513"/>
        <v>0</v>
      </c>
      <c r="O2509" s="29">
        <f t="shared" ca="1" si="514"/>
        <v>0</v>
      </c>
      <c r="P2509" s="30">
        <f t="shared" ca="1" si="515"/>
        <v>0</v>
      </c>
    </row>
    <row r="2510" spans="1:16" x14ac:dyDescent="0.25">
      <c r="A2510" s="3">
        <f t="shared" si="516"/>
        <v>49626</v>
      </c>
      <c r="B2510" s="21">
        <f t="shared" si="507"/>
        <v>36843</v>
      </c>
      <c r="C2510" s="21">
        <f t="shared" si="508"/>
        <v>36880</v>
      </c>
      <c r="D2510" s="1">
        <f t="shared" si="517"/>
        <v>0</v>
      </c>
      <c r="E2510" s="3">
        <f t="array" ref="E2510">INDEX($A$9:A2509, MAX(IF($D$9:D2509=1, ROW(D$9:$D2509)-ROW($D$9)+1, 0)))</f>
        <v>49572</v>
      </c>
      <c r="F2510" s="23">
        <f t="shared" si="509"/>
        <v>9.5852156057494859</v>
      </c>
      <c r="G2510" s="5">
        <f>INDEX('Default Prob'!$P$5:$P$14,MIN(1+_xlfn.IFNA(MATCH(F2510,'Default Prob'!$F$5:$F$14,1),0),COUNT('Default Prob'!$P$5:$P$14)))</f>
        <v>8.0322462664562722E-2</v>
      </c>
      <c r="H2510" s="5">
        <f t="shared" si="518"/>
        <v>0.72595087348031528</v>
      </c>
      <c r="I2510" s="24">
        <f t="shared" si="519"/>
        <v>1.596620778152591E-4</v>
      </c>
      <c r="J2510" s="25">
        <f>INDEX('Default Prob'!$C$3:$C$13, _xlfn.IFNA(MATCH(F2510, 'Default Prob'!$B$3:$B$13, 1), 1))</f>
        <v>2.5000000000000001E-2</v>
      </c>
      <c r="K2510" s="26">
        <f t="shared" si="510"/>
        <v>0.7892406363904525</v>
      </c>
      <c r="L2510" s="27">
        <f t="shared" ca="1" si="511"/>
        <v>0</v>
      </c>
      <c r="M2510" s="27">
        <f t="shared" ca="1" si="512"/>
        <v>0</v>
      </c>
      <c r="N2510" s="28">
        <f t="shared" ca="1" si="513"/>
        <v>0</v>
      </c>
      <c r="O2510" s="29">
        <f t="shared" ca="1" si="514"/>
        <v>0</v>
      </c>
      <c r="P2510" s="30">
        <f t="shared" ca="1" si="515"/>
        <v>0</v>
      </c>
    </row>
    <row r="2511" spans="1:16" x14ac:dyDescent="0.25">
      <c r="A2511" s="3">
        <f t="shared" si="516"/>
        <v>49627</v>
      </c>
      <c r="B2511" s="21">
        <f t="shared" si="507"/>
        <v>36844</v>
      </c>
      <c r="C2511" s="21">
        <f t="shared" si="508"/>
        <v>36880</v>
      </c>
      <c r="D2511" s="1">
        <f t="shared" si="517"/>
        <v>0</v>
      </c>
      <c r="E2511" s="3">
        <f t="array" ref="E2511">INDEX($A$9:A2510, MAX(IF($D$9:D2510=1, ROW(D$9:$D2510)-ROW($D$9)+1, 0)))</f>
        <v>49572</v>
      </c>
      <c r="F2511" s="23">
        <f t="shared" si="509"/>
        <v>9.5879534565366189</v>
      </c>
      <c r="G2511" s="5">
        <f>INDEX('Default Prob'!$P$5:$P$14,MIN(1+_xlfn.IFNA(MATCH(F2511,'Default Prob'!$F$5:$F$14,1),0),COUNT('Default Prob'!$P$5:$P$14)))</f>
        <v>8.0322462664562722E-2</v>
      </c>
      <c r="H2511" s="5">
        <f t="shared" si="518"/>
        <v>0.72579124651007354</v>
      </c>
      <c r="I2511" s="24">
        <f t="shared" si="519"/>
        <v>1.596269702417441E-4</v>
      </c>
      <c r="J2511" s="25">
        <f>INDEX('Default Prob'!$C$3:$C$13, _xlfn.IFNA(MATCH(F2511, 'Default Prob'!$B$3:$B$13, 1), 1))</f>
        <v>2.5000000000000001E-2</v>
      </c>
      <c r="K2511" s="26">
        <f t="shared" si="510"/>
        <v>0.78918728182635745</v>
      </c>
      <c r="L2511" s="27">
        <f t="shared" ca="1" si="511"/>
        <v>0</v>
      </c>
      <c r="M2511" s="27">
        <f t="shared" ca="1" si="512"/>
        <v>0</v>
      </c>
      <c r="N2511" s="28">
        <f t="shared" ca="1" si="513"/>
        <v>0</v>
      </c>
      <c r="O2511" s="29">
        <f t="shared" ca="1" si="514"/>
        <v>0</v>
      </c>
      <c r="P2511" s="30">
        <f t="shared" ca="1" si="515"/>
        <v>0</v>
      </c>
    </row>
    <row r="2512" spans="1:16" x14ac:dyDescent="0.25">
      <c r="A2512" s="3">
        <f t="shared" si="516"/>
        <v>49628</v>
      </c>
      <c r="B2512" s="21">
        <f t="shared" si="507"/>
        <v>36845</v>
      </c>
      <c r="C2512" s="21">
        <f t="shared" si="508"/>
        <v>36880</v>
      </c>
      <c r="D2512" s="1">
        <f t="shared" si="517"/>
        <v>0</v>
      </c>
      <c r="E2512" s="3">
        <f t="array" ref="E2512">INDEX($A$9:A2511, MAX(IF($D$9:D2511=1, ROW(D$9:$D2511)-ROW($D$9)+1, 0)))</f>
        <v>49572</v>
      </c>
      <c r="F2512" s="23">
        <f t="shared" si="509"/>
        <v>9.5906913073237501</v>
      </c>
      <c r="G2512" s="5">
        <f>INDEX('Default Prob'!$P$5:$P$14,MIN(1+_xlfn.IFNA(MATCH(F2512,'Default Prob'!$F$5:$F$14,1),0),COUNT('Default Prob'!$P$5:$P$14)))</f>
        <v>8.0322462664562722E-2</v>
      </c>
      <c r="H2512" s="5">
        <f t="shared" si="518"/>
        <v>0.72563165463968582</v>
      </c>
      <c r="I2512" s="24">
        <f t="shared" si="519"/>
        <v>1.5959187038772082E-4</v>
      </c>
      <c r="J2512" s="25">
        <f>INDEX('Default Prob'!$C$3:$C$13, _xlfn.IFNA(MATCH(F2512, 'Default Prob'!$B$3:$B$13, 1), 1))</f>
        <v>2.5000000000000001E-2</v>
      </c>
      <c r="K2512" s="26">
        <f t="shared" si="510"/>
        <v>0.78913393086915895</v>
      </c>
      <c r="L2512" s="27">
        <f t="shared" ca="1" si="511"/>
        <v>0</v>
      </c>
      <c r="M2512" s="27">
        <f t="shared" ca="1" si="512"/>
        <v>0</v>
      </c>
      <c r="N2512" s="28">
        <f t="shared" ca="1" si="513"/>
        <v>0</v>
      </c>
      <c r="O2512" s="29">
        <f t="shared" ca="1" si="514"/>
        <v>0</v>
      </c>
      <c r="P2512" s="30">
        <f t="shared" ca="1" si="515"/>
        <v>0</v>
      </c>
    </row>
    <row r="2513" spans="1:16" x14ac:dyDescent="0.25">
      <c r="A2513" s="3">
        <f t="shared" si="516"/>
        <v>49629</v>
      </c>
      <c r="B2513" s="21">
        <f t="shared" si="507"/>
        <v>36846</v>
      </c>
      <c r="C2513" s="21">
        <f t="shared" si="508"/>
        <v>36880</v>
      </c>
      <c r="D2513" s="1">
        <f t="shared" si="517"/>
        <v>0</v>
      </c>
      <c r="E2513" s="3">
        <f t="array" ref="E2513">INDEX($A$9:A2512, MAX(IF($D$9:D2512=1, ROW(D$9:$D2512)-ROW($D$9)+1, 0)))</f>
        <v>49572</v>
      </c>
      <c r="F2513" s="23">
        <f t="shared" si="509"/>
        <v>9.593429158110883</v>
      </c>
      <c r="G2513" s="5">
        <f>INDEX('Default Prob'!$P$5:$P$14,MIN(1+_xlfn.IFNA(MATCH(F2513,'Default Prob'!$F$5:$F$14,1),0),COUNT('Default Prob'!$P$5:$P$14)))</f>
        <v>8.0322462664562722E-2</v>
      </c>
      <c r="H2513" s="5">
        <f t="shared" si="518"/>
        <v>0.72547209786143396</v>
      </c>
      <c r="I2513" s="24">
        <f t="shared" si="519"/>
        <v>1.5955677825185699E-4</v>
      </c>
      <c r="J2513" s="25">
        <f>INDEX('Default Prob'!$C$3:$C$13, _xlfn.IFNA(MATCH(F2513, 'Default Prob'!$B$3:$B$13, 1), 1))</f>
        <v>2.5000000000000001E-2</v>
      </c>
      <c r="K2513" s="26">
        <f t="shared" si="510"/>
        <v>0.78908058351861354</v>
      </c>
      <c r="L2513" s="27">
        <f t="shared" ca="1" si="511"/>
        <v>0</v>
      </c>
      <c r="M2513" s="27">
        <f t="shared" ca="1" si="512"/>
        <v>0</v>
      </c>
      <c r="N2513" s="28">
        <f t="shared" ca="1" si="513"/>
        <v>0</v>
      </c>
      <c r="O2513" s="29">
        <f t="shared" ca="1" si="514"/>
        <v>0</v>
      </c>
      <c r="P2513" s="30">
        <f t="shared" ca="1" si="515"/>
        <v>0</v>
      </c>
    </row>
    <row r="2514" spans="1:16" x14ac:dyDescent="0.25">
      <c r="A2514" s="3">
        <f t="shared" si="516"/>
        <v>49632</v>
      </c>
      <c r="B2514" s="21">
        <f t="shared" si="507"/>
        <v>36849</v>
      </c>
      <c r="C2514" s="21">
        <f t="shared" si="508"/>
        <v>36880</v>
      </c>
      <c r="D2514" s="1">
        <f t="shared" si="517"/>
        <v>0</v>
      </c>
      <c r="E2514" s="3">
        <f t="array" ref="E2514">INDEX($A$9:A2513, MAX(IF($D$9:D2513=1, ROW(D$9:$D2513)-ROW($D$9)+1, 0)))</f>
        <v>49572</v>
      </c>
      <c r="F2514" s="23">
        <f t="shared" si="509"/>
        <v>9.6016427104722801</v>
      </c>
      <c r="G2514" s="5">
        <f>INDEX('Default Prob'!$P$5:$P$14,MIN(1+_xlfn.IFNA(MATCH(F2514,'Default Prob'!$F$5:$F$14,1),0),COUNT('Default Prob'!$P$5:$P$14)))</f>
        <v>8.0322462664562722E-2</v>
      </c>
      <c r="H2514" s="5">
        <f t="shared" si="518"/>
        <v>0.72499363800233974</v>
      </c>
      <c r="I2514" s="24">
        <f t="shared" si="519"/>
        <v>4.7845985909422684E-4</v>
      </c>
      <c r="J2514" s="25">
        <f>INDEX('Default Prob'!$C$3:$C$13, _xlfn.IFNA(MATCH(F2514, 'Default Prob'!$B$3:$B$13, 1), 1))</f>
        <v>2.5000000000000001E-2</v>
      </c>
      <c r="K2514" s="26">
        <f t="shared" si="510"/>
        <v>0.7889205631044568</v>
      </c>
      <c r="L2514" s="27">
        <f t="shared" ca="1" si="511"/>
        <v>0</v>
      </c>
      <c r="M2514" s="27">
        <f t="shared" ca="1" si="512"/>
        <v>0</v>
      </c>
      <c r="N2514" s="28">
        <f t="shared" ca="1" si="513"/>
        <v>0</v>
      </c>
      <c r="O2514" s="29">
        <f t="shared" ca="1" si="514"/>
        <v>0</v>
      </c>
      <c r="P2514" s="30">
        <f t="shared" ca="1" si="515"/>
        <v>0</v>
      </c>
    </row>
    <row r="2515" spans="1:16" x14ac:dyDescent="0.25">
      <c r="A2515" s="3">
        <f t="shared" si="516"/>
        <v>49633</v>
      </c>
      <c r="B2515" s="21">
        <f t="shared" si="507"/>
        <v>36850</v>
      </c>
      <c r="C2515" s="21">
        <f t="shared" si="508"/>
        <v>36880</v>
      </c>
      <c r="D2515" s="1">
        <f t="shared" si="517"/>
        <v>0</v>
      </c>
      <c r="E2515" s="3">
        <f t="array" ref="E2515">INDEX($A$9:A2514, MAX(IF($D$9:D2514=1, ROW(D$9:$D2514)-ROW($D$9)+1, 0)))</f>
        <v>49572</v>
      </c>
      <c r="F2515" s="23">
        <f t="shared" si="509"/>
        <v>9.6043805612594113</v>
      </c>
      <c r="G2515" s="5">
        <f>INDEX('Default Prob'!$P$5:$P$14,MIN(1+_xlfn.IFNA(MATCH(F2515,'Default Prob'!$F$5:$F$14,1),0),COUNT('Default Prob'!$P$5:$P$14)))</f>
        <v>8.0322462664562722E-2</v>
      </c>
      <c r="H2515" s="5">
        <f t="shared" si="518"/>
        <v>0.72483422151548571</v>
      </c>
      <c r="I2515" s="24">
        <f t="shared" si="519"/>
        <v>1.5941648685402487E-4</v>
      </c>
      <c r="J2515" s="25">
        <f>INDEX('Default Prob'!$C$3:$C$13, _xlfn.IFNA(MATCH(F2515, 'Default Prob'!$B$3:$B$13, 1), 1))</f>
        <v>2.5000000000000001E-2</v>
      </c>
      <c r="K2515" s="26">
        <f t="shared" si="510"/>
        <v>0.78886723017808513</v>
      </c>
      <c r="L2515" s="27">
        <f t="shared" ca="1" si="511"/>
        <v>0</v>
      </c>
      <c r="M2515" s="27">
        <f t="shared" ca="1" si="512"/>
        <v>0</v>
      </c>
      <c r="N2515" s="28">
        <f t="shared" ca="1" si="513"/>
        <v>0</v>
      </c>
      <c r="O2515" s="29">
        <f t="shared" ca="1" si="514"/>
        <v>0</v>
      </c>
      <c r="P2515" s="30">
        <f t="shared" ca="1" si="515"/>
        <v>0</v>
      </c>
    </row>
    <row r="2516" spans="1:16" x14ac:dyDescent="0.25">
      <c r="A2516" s="3">
        <f t="shared" si="516"/>
        <v>49634</v>
      </c>
      <c r="B2516" s="21">
        <f t="shared" si="507"/>
        <v>36851</v>
      </c>
      <c r="C2516" s="21">
        <f t="shared" si="508"/>
        <v>36880</v>
      </c>
      <c r="D2516" s="1">
        <f t="shared" si="517"/>
        <v>0</v>
      </c>
      <c r="E2516" s="3">
        <f t="array" ref="E2516">INDEX($A$9:A2515, MAX(IF($D$9:D2515=1, ROW(D$9:$D2515)-ROW($D$9)+1, 0)))</f>
        <v>49572</v>
      </c>
      <c r="F2516" s="23">
        <f t="shared" si="509"/>
        <v>9.6071184120465443</v>
      </c>
      <c r="G2516" s="5">
        <f>INDEX('Default Prob'!$P$5:$P$14,MIN(1+_xlfn.IFNA(MATCH(F2516,'Default Prob'!$F$5:$F$14,1),0),COUNT('Default Prob'!$P$5:$P$14)))</f>
        <v>8.0322462664562722E-2</v>
      </c>
      <c r="H2516" s="5">
        <f t="shared" si="518"/>
        <v>0.72467484008220306</v>
      </c>
      <c r="I2516" s="24">
        <f t="shared" si="519"/>
        <v>1.5938143328264598E-4</v>
      </c>
      <c r="J2516" s="25">
        <f>INDEX('Default Prob'!$C$3:$C$13, _xlfn.IFNA(MATCH(F2516, 'Default Prob'!$B$3:$B$13, 1), 1))</f>
        <v>2.5000000000000001E-2</v>
      </c>
      <c r="K2516" s="26">
        <f t="shared" si="510"/>
        <v>0.78881390085714753</v>
      </c>
      <c r="L2516" s="27">
        <f t="shared" ca="1" si="511"/>
        <v>0</v>
      </c>
      <c r="M2516" s="27">
        <f t="shared" ca="1" si="512"/>
        <v>0</v>
      </c>
      <c r="N2516" s="28">
        <f t="shared" ca="1" si="513"/>
        <v>0</v>
      </c>
      <c r="O2516" s="29">
        <f t="shared" ca="1" si="514"/>
        <v>0</v>
      </c>
      <c r="P2516" s="30">
        <f t="shared" ca="1" si="515"/>
        <v>0</v>
      </c>
    </row>
    <row r="2517" spans="1:16" x14ac:dyDescent="0.25">
      <c r="A2517" s="3">
        <f t="shared" si="516"/>
        <v>49635</v>
      </c>
      <c r="B2517" s="21">
        <f t="shared" si="507"/>
        <v>36852</v>
      </c>
      <c r="C2517" s="21">
        <f t="shared" si="508"/>
        <v>36880</v>
      </c>
      <c r="D2517" s="1">
        <f t="shared" si="517"/>
        <v>0</v>
      </c>
      <c r="E2517" s="3">
        <f t="array" ref="E2517">INDEX($A$9:A2516, MAX(IF($D$9:D2516=1, ROW(D$9:$D2516)-ROW($D$9)+1, 0)))</f>
        <v>49572</v>
      </c>
      <c r="F2517" s="23">
        <f t="shared" si="509"/>
        <v>9.6098562628336754</v>
      </c>
      <c r="G2517" s="5">
        <f>INDEX('Default Prob'!$P$5:$P$14,MIN(1+_xlfn.IFNA(MATCH(F2517,'Default Prob'!$F$5:$F$14,1),0),COUNT('Default Prob'!$P$5:$P$14)))</f>
        <v>8.0322462664562722E-2</v>
      </c>
      <c r="H2517" s="5">
        <f t="shared" si="518"/>
        <v>0.72451549369478419</v>
      </c>
      <c r="I2517" s="24">
        <f t="shared" si="519"/>
        <v>1.5934638741887941E-4</v>
      </c>
      <c r="J2517" s="25">
        <f>INDEX('Default Prob'!$C$3:$C$13, _xlfn.IFNA(MATCH(F2517, 'Default Prob'!$B$3:$B$13, 1), 1))</f>
        <v>2.5000000000000001E-2</v>
      </c>
      <c r="K2517" s="26">
        <f t="shared" si="510"/>
        <v>0.78876057514140019</v>
      </c>
      <c r="L2517" s="27">
        <f t="shared" ca="1" si="511"/>
        <v>0</v>
      </c>
      <c r="M2517" s="27">
        <f t="shared" ca="1" si="512"/>
        <v>0</v>
      </c>
      <c r="N2517" s="28">
        <f t="shared" ca="1" si="513"/>
        <v>0</v>
      </c>
      <c r="O2517" s="29">
        <f t="shared" ca="1" si="514"/>
        <v>0</v>
      </c>
      <c r="P2517" s="30">
        <f t="shared" ca="1" si="515"/>
        <v>0</v>
      </c>
    </row>
    <row r="2518" spans="1:16" x14ac:dyDescent="0.25">
      <c r="A2518" s="3">
        <f t="shared" si="516"/>
        <v>49636</v>
      </c>
      <c r="B2518" s="21">
        <f t="shared" si="507"/>
        <v>36853</v>
      </c>
      <c r="C2518" s="21">
        <f t="shared" si="508"/>
        <v>36880</v>
      </c>
      <c r="D2518" s="1">
        <f t="shared" si="517"/>
        <v>0</v>
      </c>
      <c r="E2518" s="3">
        <f t="array" ref="E2518">INDEX($A$9:A2517, MAX(IF($D$9:D2517=1, ROW(D$9:$D2517)-ROW($D$9)+1, 0)))</f>
        <v>49572</v>
      </c>
      <c r="F2518" s="23">
        <f t="shared" si="509"/>
        <v>9.6125941136208084</v>
      </c>
      <c r="G2518" s="5">
        <f>INDEX('Default Prob'!$P$5:$P$14,MIN(1+_xlfn.IFNA(MATCH(F2518,'Default Prob'!$F$5:$F$14,1),0),COUNT('Default Prob'!$P$5:$P$14)))</f>
        <v>8.0322462664562722E-2</v>
      </c>
      <c r="H2518" s="5">
        <f t="shared" si="518"/>
        <v>0.72435618234552268</v>
      </c>
      <c r="I2518" s="24">
        <f t="shared" si="519"/>
        <v>1.5931134926150392E-4</v>
      </c>
      <c r="J2518" s="25">
        <f>INDEX('Default Prob'!$C$3:$C$13, _xlfn.IFNA(MATCH(F2518, 'Default Prob'!$B$3:$B$13, 1), 1))</f>
        <v>2.5000000000000001E-2</v>
      </c>
      <c r="K2518" s="26">
        <f t="shared" si="510"/>
        <v>0.7887072530305993</v>
      </c>
      <c r="L2518" s="27">
        <f t="shared" ca="1" si="511"/>
        <v>0</v>
      </c>
      <c r="M2518" s="27">
        <f t="shared" ca="1" si="512"/>
        <v>0</v>
      </c>
      <c r="N2518" s="28">
        <f t="shared" ca="1" si="513"/>
        <v>0</v>
      </c>
      <c r="O2518" s="29">
        <f t="shared" ca="1" si="514"/>
        <v>0</v>
      </c>
      <c r="P2518" s="30">
        <f t="shared" ca="1" si="515"/>
        <v>0</v>
      </c>
    </row>
    <row r="2519" spans="1:16" x14ac:dyDescent="0.25">
      <c r="A2519" s="3">
        <f t="shared" si="516"/>
        <v>49639</v>
      </c>
      <c r="B2519" s="21">
        <f t="shared" si="507"/>
        <v>36856</v>
      </c>
      <c r="C2519" s="21">
        <f t="shared" si="508"/>
        <v>36880</v>
      </c>
      <c r="D2519" s="1">
        <f t="shared" si="517"/>
        <v>0</v>
      </c>
      <c r="E2519" s="3">
        <f t="array" ref="E2519">INDEX($A$9:A2518, MAX(IF($D$9:D2518=1, ROW(D$9:$D2518)-ROW($D$9)+1, 0)))</f>
        <v>49572</v>
      </c>
      <c r="F2519" s="23">
        <f t="shared" si="509"/>
        <v>9.6208076659822037</v>
      </c>
      <c r="G2519" s="5">
        <f>INDEX('Default Prob'!$P$5:$P$14,MIN(1+_xlfn.IFNA(MATCH(F2519,'Default Prob'!$F$5:$F$14,1),0),COUNT('Default Prob'!$P$5:$P$14)))</f>
        <v>8.0322462664562722E-2</v>
      </c>
      <c r="H2519" s="5">
        <f t="shared" si="518"/>
        <v>0.7238784584496476</v>
      </c>
      <c r="I2519" s="24">
        <f t="shared" si="519"/>
        <v>4.7772389587508179E-4</v>
      </c>
      <c r="J2519" s="25">
        <f>INDEX('Default Prob'!$C$3:$C$13, _xlfn.IFNA(MATCH(F2519, 'Default Prob'!$B$3:$B$13, 1), 1))</f>
        <v>2.5000000000000001E-2</v>
      </c>
      <c r="K2519" s="26">
        <f t="shared" si="510"/>
        <v>0.7885473083254394</v>
      </c>
      <c r="L2519" s="27">
        <f t="shared" ca="1" si="511"/>
        <v>0</v>
      </c>
      <c r="M2519" s="27">
        <f t="shared" ca="1" si="512"/>
        <v>0</v>
      </c>
      <c r="N2519" s="28">
        <f t="shared" ca="1" si="513"/>
        <v>0</v>
      </c>
      <c r="O2519" s="29">
        <f t="shared" ca="1" si="514"/>
        <v>0</v>
      </c>
      <c r="P2519" s="30">
        <f t="shared" ca="1" si="515"/>
        <v>0</v>
      </c>
    </row>
    <row r="2520" spans="1:16" x14ac:dyDescent="0.25">
      <c r="A2520" s="3">
        <f t="shared" si="516"/>
        <v>49640</v>
      </c>
      <c r="B2520" s="21">
        <f t="shared" si="507"/>
        <v>36857</v>
      </c>
      <c r="C2520" s="21">
        <f t="shared" si="508"/>
        <v>36880</v>
      </c>
      <c r="D2520" s="1">
        <f t="shared" si="517"/>
        <v>0</v>
      </c>
      <c r="E2520" s="3">
        <f t="array" ref="E2520">INDEX($A$9:A2519, MAX(IF($D$9:D2519=1, ROW(D$9:$D2519)-ROW($D$9)+1, 0)))</f>
        <v>49572</v>
      </c>
      <c r="F2520" s="23">
        <f t="shared" si="509"/>
        <v>9.6235455167693367</v>
      </c>
      <c r="G2520" s="5">
        <f>INDEX('Default Prob'!$P$5:$P$14,MIN(1+_xlfn.IFNA(MATCH(F2520,'Default Prob'!$F$5:$F$14,1),0),COUNT('Default Prob'!$P$5:$P$14)))</f>
        <v>8.0322462664562722E-2</v>
      </c>
      <c r="H2520" s="5">
        <f t="shared" si="518"/>
        <v>0.72371928717598877</v>
      </c>
      <c r="I2520" s="24">
        <f t="shared" si="519"/>
        <v>1.5917127365883132E-4</v>
      </c>
      <c r="J2520" s="25">
        <f>INDEX('Default Prob'!$C$3:$C$13, _xlfn.IFNA(MATCH(F2520, 'Default Prob'!$B$3:$B$13, 1), 1))</f>
        <v>2.5000000000000001E-2</v>
      </c>
      <c r="K2520" s="26">
        <f t="shared" si="510"/>
        <v>0.78849400063198793</v>
      </c>
      <c r="L2520" s="27">
        <f t="shared" ca="1" si="511"/>
        <v>0</v>
      </c>
      <c r="M2520" s="27">
        <f t="shared" ca="1" si="512"/>
        <v>0</v>
      </c>
      <c r="N2520" s="28">
        <f t="shared" ca="1" si="513"/>
        <v>0</v>
      </c>
      <c r="O2520" s="29">
        <f t="shared" ca="1" si="514"/>
        <v>0</v>
      </c>
      <c r="P2520" s="30">
        <f t="shared" ca="1" si="515"/>
        <v>0</v>
      </c>
    </row>
    <row r="2521" spans="1:16" x14ac:dyDescent="0.25">
      <c r="A2521" s="3">
        <f t="shared" si="516"/>
        <v>49641</v>
      </c>
      <c r="B2521" s="21">
        <f t="shared" si="507"/>
        <v>36858</v>
      </c>
      <c r="C2521" s="21">
        <f t="shared" si="508"/>
        <v>36880</v>
      </c>
      <c r="D2521" s="1">
        <f t="shared" si="517"/>
        <v>0</v>
      </c>
      <c r="E2521" s="3">
        <f t="array" ref="E2521">INDEX($A$9:A2520, MAX(IF($D$9:D2520=1, ROW(D$9:$D2520)-ROW($D$9)+1, 0)))</f>
        <v>49572</v>
      </c>
      <c r="F2521" s="23">
        <f t="shared" si="509"/>
        <v>9.6262833675564679</v>
      </c>
      <c r="G2521" s="5">
        <f>INDEX('Default Prob'!$P$5:$P$14,MIN(1+_xlfn.IFNA(MATCH(F2521,'Default Prob'!$F$5:$F$14,1),0),COUNT('Default Prob'!$P$5:$P$14)))</f>
        <v>8.0322462664562722E-2</v>
      </c>
      <c r="H2521" s="5">
        <f t="shared" si="518"/>
        <v>0.72356015090198234</v>
      </c>
      <c r="I2521" s="24">
        <f t="shared" si="519"/>
        <v>1.5913627400643282E-4</v>
      </c>
      <c r="J2521" s="25">
        <f>INDEX('Default Prob'!$C$3:$C$13, _xlfn.IFNA(MATCH(F2521, 'Default Prob'!$B$3:$B$13, 1), 1))</f>
        <v>2.5000000000000001E-2</v>
      </c>
      <c r="K2521" s="26">
        <f t="shared" si="510"/>
        <v>0.78844069654226467</v>
      </c>
      <c r="L2521" s="27">
        <f t="shared" ca="1" si="511"/>
        <v>0</v>
      </c>
      <c r="M2521" s="27">
        <f t="shared" ca="1" si="512"/>
        <v>0</v>
      </c>
      <c r="N2521" s="28">
        <f t="shared" ca="1" si="513"/>
        <v>0</v>
      </c>
      <c r="O2521" s="29">
        <f t="shared" ca="1" si="514"/>
        <v>0</v>
      </c>
      <c r="P2521" s="30">
        <f t="shared" ca="1" si="515"/>
        <v>0</v>
      </c>
    </row>
    <row r="2522" spans="1:16" x14ac:dyDescent="0.25">
      <c r="A2522" s="3">
        <f t="shared" si="516"/>
        <v>49642</v>
      </c>
      <c r="B2522" s="21">
        <f t="shared" si="507"/>
        <v>36859</v>
      </c>
      <c r="C2522" s="21">
        <f t="shared" si="508"/>
        <v>36880</v>
      </c>
      <c r="D2522" s="1">
        <f t="shared" si="517"/>
        <v>0</v>
      </c>
      <c r="E2522" s="3">
        <f t="array" ref="E2522">INDEX($A$9:A2521, MAX(IF($D$9:D2521=1, ROW(D$9:$D2521)-ROW($D$9)+1, 0)))</f>
        <v>49572</v>
      </c>
      <c r="F2522" s="23">
        <f t="shared" si="509"/>
        <v>9.6290212183436008</v>
      </c>
      <c r="G2522" s="5">
        <f>INDEX('Default Prob'!$P$5:$P$14,MIN(1+_xlfn.IFNA(MATCH(F2522,'Default Prob'!$F$5:$F$14,1),0),COUNT('Default Prob'!$P$5:$P$14)))</f>
        <v>8.0322462664562722E-2</v>
      </c>
      <c r="H2522" s="5">
        <f t="shared" si="518"/>
        <v>0.72340104961993212</v>
      </c>
      <c r="I2522" s="24">
        <f t="shared" si="519"/>
        <v>1.5910128205021135E-4</v>
      </c>
      <c r="J2522" s="25">
        <f>INDEX('Default Prob'!$C$3:$C$13, _xlfn.IFNA(MATCH(F2522, 'Default Prob'!$B$3:$B$13, 1), 1))</f>
        <v>2.5000000000000001E-2</v>
      </c>
      <c r="K2522" s="26">
        <f t="shared" si="510"/>
        <v>0.78838739605602615</v>
      </c>
      <c r="L2522" s="27">
        <f t="shared" ca="1" si="511"/>
        <v>0</v>
      </c>
      <c r="M2522" s="27">
        <f t="shared" ca="1" si="512"/>
        <v>0</v>
      </c>
      <c r="N2522" s="28">
        <f t="shared" ca="1" si="513"/>
        <v>0</v>
      </c>
      <c r="O2522" s="29">
        <f t="shared" ca="1" si="514"/>
        <v>0</v>
      </c>
      <c r="P2522" s="30">
        <f t="shared" ca="1" si="515"/>
        <v>0</v>
      </c>
    </row>
    <row r="2523" spans="1:16" x14ac:dyDescent="0.25">
      <c r="A2523" s="3">
        <f t="shared" si="516"/>
        <v>49643</v>
      </c>
      <c r="B2523" s="21">
        <f t="shared" si="507"/>
        <v>36860</v>
      </c>
      <c r="C2523" s="21">
        <f t="shared" si="508"/>
        <v>36880</v>
      </c>
      <c r="D2523" s="1">
        <f t="shared" si="517"/>
        <v>0</v>
      </c>
      <c r="E2523" s="3">
        <f t="array" ref="E2523">INDEX($A$9:A2522, MAX(IF($D$9:D2522=1, ROW(D$9:$D2522)-ROW($D$9)+1, 0)))</f>
        <v>49572</v>
      </c>
      <c r="F2523" s="23">
        <f t="shared" si="509"/>
        <v>9.631759069130732</v>
      </c>
      <c r="G2523" s="5">
        <f>INDEX('Default Prob'!$P$5:$P$14,MIN(1+_xlfn.IFNA(MATCH(F2523,'Default Prob'!$F$5:$F$14,1),0),COUNT('Default Prob'!$P$5:$P$14)))</f>
        <v>8.0322462664562722E-2</v>
      </c>
      <c r="H2523" s="5">
        <f t="shared" si="518"/>
        <v>0.72324198332214418</v>
      </c>
      <c r="I2523" s="24">
        <f t="shared" si="519"/>
        <v>1.5906629778794645E-4</v>
      </c>
      <c r="J2523" s="25">
        <f>INDEX('Default Prob'!$C$3:$C$13, _xlfn.IFNA(MATCH(F2523, 'Default Prob'!$B$3:$B$13, 1), 1))</f>
        <v>2.5000000000000001E-2</v>
      </c>
      <c r="K2523" s="26">
        <f t="shared" si="510"/>
        <v>0.78833409917302844</v>
      </c>
      <c r="L2523" s="27">
        <f t="shared" ca="1" si="511"/>
        <v>0</v>
      </c>
      <c r="M2523" s="27">
        <f t="shared" ca="1" si="512"/>
        <v>0</v>
      </c>
      <c r="N2523" s="28">
        <f t="shared" ca="1" si="513"/>
        <v>0</v>
      </c>
      <c r="O2523" s="29">
        <f t="shared" ca="1" si="514"/>
        <v>0</v>
      </c>
      <c r="P2523" s="30">
        <f t="shared" ca="1" si="515"/>
        <v>0</v>
      </c>
    </row>
    <row r="2524" spans="1:16" x14ac:dyDescent="0.25">
      <c r="A2524" s="3">
        <f t="shared" si="516"/>
        <v>49646</v>
      </c>
      <c r="B2524" s="21">
        <f t="shared" si="507"/>
        <v>36863</v>
      </c>
      <c r="C2524" s="21">
        <f t="shared" si="508"/>
        <v>36880</v>
      </c>
      <c r="D2524" s="1">
        <f t="shared" si="517"/>
        <v>0</v>
      </c>
      <c r="E2524" s="3">
        <f t="array" ref="E2524">INDEX($A$9:A2523, MAX(IF($D$9:D2523=1, ROW(D$9:$D2523)-ROW($D$9)+1, 0)))</f>
        <v>49572</v>
      </c>
      <c r="F2524" s="23">
        <f t="shared" si="509"/>
        <v>9.6399726214921291</v>
      </c>
      <c r="G2524" s="5">
        <f>INDEX('Default Prob'!$P$5:$P$14,MIN(1+_xlfn.IFNA(MATCH(F2524,'Default Prob'!$F$5:$F$14,1),0),COUNT('Default Prob'!$P$5:$P$14)))</f>
        <v>8.0322462664562722E-2</v>
      </c>
      <c r="H2524" s="5">
        <f t="shared" si="518"/>
        <v>0.72276499425743523</v>
      </c>
      <c r="I2524" s="24">
        <f t="shared" si="519"/>
        <v>4.7698906470894364E-4</v>
      </c>
      <c r="J2524" s="25">
        <f>INDEX('Default Prob'!$C$3:$C$13, _xlfn.IFNA(MATCH(F2524, 'Default Prob'!$B$3:$B$13, 1), 1))</f>
        <v>2.5000000000000001E-2</v>
      </c>
      <c r="K2524" s="26">
        <f t="shared" si="510"/>
        <v>0.78817423014104571</v>
      </c>
      <c r="L2524" s="27">
        <f t="shared" ca="1" si="511"/>
        <v>0</v>
      </c>
      <c r="M2524" s="27">
        <f t="shared" ca="1" si="512"/>
        <v>0</v>
      </c>
      <c r="N2524" s="28">
        <f t="shared" ca="1" si="513"/>
        <v>0</v>
      </c>
      <c r="O2524" s="29">
        <f t="shared" ca="1" si="514"/>
        <v>0</v>
      </c>
      <c r="P2524" s="30">
        <f t="shared" ca="1" si="515"/>
        <v>0</v>
      </c>
    </row>
    <row r="2525" spans="1:16" x14ac:dyDescent="0.25">
      <c r="A2525" s="3">
        <f t="shared" si="516"/>
        <v>49647</v>
      </c>
      <c r="B2525" s="21">
        <f t="shared" si="507"/>
        <v>36864</v>
      </c>
      <c r="C2525" s="21">
        <f t="shared" si="508"/>
        <v>36880</v>
      </c>
      <c r="D2525" s="1">
        <f t="shared" si="517"/>
        <v>0</v>
      </c>
      <c r="E2525" s="3">
        <f t="array" ref="E2525">INDEX($A$9:A2524, MAX(IF($D$9:D2524=1, ROW(D$9:$D2524)-ROW($D$9)+1, 0)))</f>
        <v>49572</v>
      </c>
      <c r="F2525" s="23">
        <f t="shared" si="509"/>
        <v>9.6427104722792603</v>
      </c>
      <c r="G2525" s="5">
        <f>INDEX('Default Prob'!$P$5:$P$14,MIN(1+_xlfn.IFNA(MATCH(F2525,'Default Prob'!$F$5:$F$14,1),0),COUNT('Default Prob'!$P$5:$P$14)))</f>
        <v>8.0322462664562722E-2</v>
      </c>
      <c r="H2525" s="5">
        <f t="shared" si="518"/>
        <v>0.72260606781978676</v>
      </c>
      <c r="I2525" s="24">
        <f t="shared" si="519"/>
        <v>1.5892643764847669E-4</v>
      </c>
      <c r="J2525" s="25">
        <f>INDEX('Default Prob'!$C$3:$C$13, _xlfn.IFNA(MATCH(F2525, 'Default Prob'!$B$3:$B$13, 1), 1))</f>
        <v>2.5000000000000001E-2</v>
      </c>
      <c r="K2525" s="26">
        <f t="shared" si="510"/>
        <v>0.78812094766857632</v>
      </c>
      <c r="L2525" s="27">
        <f t="shared" ca="1" si="511"/>
        <v>0</v>
      </c>
      <c r="M2525" s="27">
        <f t="shared" ca="1" si="512"/>
        <v>0</v>
      </c>
      <c r="N2525" s="28">
        <f t="shared" ca="1" si="513"/>
        <v>0</v>
      </c>
      <c r="O2525" s="29">
        <f t="shared" ca="1" si="514"/>
        <v>0</v>
      </c>
      <c r="P2525" s="30">
        <f t="shared" ca="1" si="515"/>
        <v>0</v>
      </c>
    </row>
    <row r="2526" spans="1:16" x14ac:dyDescent="0.25">
      <c r="A2526" s="3">
        <f t="shared" si="516"/>
        <v>49648</v>
      </c>
      <c r="B2526" s="21">
        <f t="shared" si="507"/>
        <v>36865</v>
      </c>
      <c r="C2526" s="21">
        <f t="shared" si="508"/>
        <v>36880</v>
      </c>
      <c r="D2526" s="1">
        <f t="shared" si="517"/>
        <v>0</v>
      </c>
      <c r="E2526" s="3">
        <f t="array" ref="E2526">INDEX($A$9:A2525, MAX(IF($D$9:D2525=1, ROW(D$9:$D2525)-ROW($D$9)+1, 0)))</f>
        <v>49572</v>
      </c>
      <c r="F2526" s="23">
        <f t="shared" si="509"/>
        <v>9.6454483230663932</v>
      </c>
      <c r="G2526" s="5">
        <f>INDEX('Default Prob'!$P$5:$P$14,MIN(1+_xlfn.IFNA(MATCH(F2526,'Default Prob'!$F$5:$F$14,1),0),COUNT('Default Prob'!$P$5:$P$14)))</f>
        <v>8.0322462664562722E-2</v>
      </c>
      <c r="H2526" s="5">
        <f t="shared" si="518"/>
        <v>0.7224471763279543</v>
      </c>
      <c r="I2526" s="24">
        <f t="shared" si="519"/>
        <v>1.5889149183245799E-4</v>
      </c>
      <c r="J2526" s="25">
        <f>INDEX('Default Prob'!$C$3:$C$13, _xlfn.IFNA(MATCH(F2526, 'Default Prob'!$B$3:$B$13, 1), 1))</f>
        <v>2.5000000000000001E-2</v>
      </c>
      <c r="K2526" s="26">
        <f t="shared" si="510"/>
        <v>0.78806766879813006</v>
      </c>
      <c r="L2526" s="27">
        <f t="shared" ca="1" si="511"/>
        <v>0</v>
      </c>
      <c r="M2526" s="27">
        <f t="shared" ca="1" si="512"/>
        <v>0</v>
      </c>
      <c r="N2526" s="28">
        <f t="shared" ca="1" si="513"/>
        <v>0</v>
      </c>
      <c r="O2526" s="29">
        <f t="shared" ca="1" si="514"/>
        <v>0</v>
      </c>
      <c r="P2526" s="30">
        <f t="shared" ca="1" si="515"/>
        <v>0</v>
      </c>
    </row>
    <row r="2527" spans="1:16" x14ac:dyDescent="0.25">
      <c r="A2527" s="3">
        <f t="shared" si="516"/>
        <v>49649</v>
      </c>
      <c r="B2527" s="21">
        <f t="shared" si="507"/>
        <v>36866</v>
      </c>
      <c r="C2527" s="21">
        <f t="shared" si="508"/>
        <v>36880</v>
      </c>
      <c r="D2527" s="1">
        <f t="shared" si="517"/>
        <v>0</v>
      </c>
      <c r="E2527" s="3">
        <f t="array" ref="E2527">INDEX($A$9:A2526, MAX(IF($D$9:D2526=1, ROW(D$9:$D2526)-ROW($D$9)+1, 0)))</f>
        <v>49572</v>
      </c>
      <c r="F2527" s="23">
        <f t="shared" si="509"/>
        <v>9.6481861738535244</v>
      </c>
      <c r="G2527" s="5">
        <f>INDEX('Default Prob'!$P$5:$P$14,MIN(1+_xlfn.IFNA(MATCH(F2527,'Default Prob'!$F$5:$F$14,1),0),COUNT('Default Prob'!$P$5:$P$14)))</f>
        <v>8.0322462664562722E-2</v>
      </c>
      <c r="H2527" s="5">
        <f t="shared" si="518"/>
        <v>0.7222883197742539</v>
      </c>
      <c r="I2527" s="24">
        <f t="shared" si="519"/>
        <v>1.5885655370040386E-4</v>
      </c>
      <c r="J2527" s="25">
        <f>INDEX('Default Prob'!$C$3:$C$13, _xlfn.IFNA(MATCH(F2527, 'Default Prob'!$B$3:$B$13, 1), 1))</f>
        <v>2.5000000000000001E-2</v>
      </c>
      <c r="K2527" s="26">
        <f t="shared" si="510"/>
        <v>0.78801439352946367</v>
      </c>
      <c r="L2527" s="27">
        <f t="shared" ca="1" si="511"/>
        <v>0</v>
      </c>
      <c r="M2527" s="27">
        <f t="shared" ca="1" si="512"/>
        <v>0</v>
      </c>
      <c r="N2527" s="28">
        <f t="shared" ca="1" si="513"/>
        <v>0</v>
      </c>
      <c r="O2527" s="29">
        <f t="shared" ca="1" si="514"/>
        <v>0</v>
      </c>
      <c r="P2527" s="30">
        <f t="shared" ca="1" si="515"/>
        <v>0</v>
      </c>
    </row>
    <row r="2528" spans="1:16" x14ac:dyDescent="0.25">
      <c r="A2528" s="3">
        <f t="shared" si="516"/>
        <v>49650</v>
      </c>
      <c r="B2528" s="21">
        <f t="shared" si="507"/>
        <v>36867</v>
      </c>
      <c r="C2528" s="21">
        <f t="shared" si="508"/>
        <v>36880</v>
      </c>
      <c r="D2528" s="1">
        <f t="shared" si="517"/>
        <v>0</v>
      </c>
      <c r="E2528" s="3">
        <f t="array" ref="E2528">INDEX($A$9:A2527, MAX(IF($D$9:D2527=1, ROW(D$9:$D2527)-ROW($D$9)+1, 0)))</f>
        <v>49572</v>
      </c>
      <c r="F2528" s="23">
        <f t="shared" si="509"/>
        <v>9.6509240246406574</v>
      </c>
      <c r="G2528" s="5">
        <f>INDEX('Default Prob'!$P$5:$P$14,MIN(1+_xlfn.IFNA(MATCH(F2528,'Default Prob'!$F$5:$F$14,1),0),COUNT('Default Prob'!$P$5:$P$14)))</f>
        <v>8.0322462664562722E-2</v>
      </c>
      <c r="H2528" s="5">
        <f t="shared" si="518"/>
        <v>0.72212949815100291</v>
      </c>
      <c r="I2528" s="24">
        <f t="shared" si="519"/>
        <v>1.5882162325098204E-4</v>
      </c>
      <c r="J2528" s="25">
        <f>INDEX('Default Prob'!$C$3:$C$13, _xlfn.IFNA(MATCH(F2528, 'Default Prob'!$B$3:$B$13, 1), 1))</f>
        <v>2.5000000000000001E-2</v>
      </c>
      <c r="K2528" s="26">
        <f t="shared" si="510"/>
        <v>0.78796112186233325</v>
      </c>
      <c r="L2528" s="27">
        <f t="shared" ca="1" si="511"/>
        <v>0</v>
      </c>
      <c r="M2528" s="27">
        <f t="shared" ca="1" si="512"/>
        <v>0</v>
      </c>
      <c r="N2528" s="28">
        <f t="shared" ca="1" si="513"/>
        <v>0</v>
      </c>
      <c r="O2528" s="29">
        <f t="shared" ca="1" si="514"/>
        <v>0</v>
      </c>
      <c r="P2528" s="30">
        <f t="shared" ca="1" si="515"/>
        <v>0</v>
      </c>
    </row>
    <row r="2529" spans="1:16" x14ac:dyDescent="0.25">
      <c r="A2529" s="3">
        <f t="shared" si="516"/>
        <v>49653</v>
      </c>
      <c r="B2529" s="21">
        <f t="shared" si="507"/>
        <v>36870</v>
      </c>
      <c r="C2529" s="21">
        <f t="shared" si="508"/>
        <v>36880</v>
      </c>
      <c r="D2529" s="1">
        <f t="shared" si="517"/>
        <v>0</v>
      </c>
      <c r="E2529" s="3">
        <f t="array" ref="E2529">INDEX($A$9:A2528, MAX(IF($D$9:D2528=1, ROW(D$9:$D2528)-ROW($D$9)+1, 0)))</f>
        <v>49572</v>
      </c>
      <c r="F2529" s="23">
        <f t="shared" si="509"/>
        <v>9.6591375770020527</v>
      </c>
      <c r="G2529" s="5">
        <f>INDEX('Default Prob'!$P$5:$P$14,MIN(1+_xlfn.IFNA(MATCH(F2529,'Default Prob'!$F$5:$F$14,1),0),COUNT('Default Prob'!$P$5:$P$14)))</f>
        <v>8.0322462664562722E-2</v>
      </c>
      <c r="H2529" s="5">
        <f t="shared" si="518"/>
        <v>0.72165324278714871</v>
      </c>
      <c r="I2529" s="24">
        <f t="shared" si="519"/>
        <v>4.7625536385420553E-4</v>
      </c>
      <c r="J2529" s="25">
        <f>INDEX('Default Prob'!$C$3:$C$13, _xlfn.IFNA(MATCH(F2529, 'Default Prob'!$B$3:$B$13, 1), 1))</f>
        <v>2.5000000000000001E-2</v>
      </c>
      <c r="K2529" s="26">
        <f t="shared" si="510"/>
        <v>0.7878013284677251</v>
      </c>
      <c r="L2529" s="27">
        <f t="shared" ca="1" si="511"/>
        <v>0</v>
      </c>
      <c r="M2529" s="27">
        <f t="shared" ca="1" si="512"/>
        <v>0</v>
      </c>
      <c r="N2529" s="28">
        <f t="shared" ca="1" si="513"/>
        <v>0</v>
      </c>
      <c r="O2529" s="29">
        <f t="shared" ca="1" si="514"/>
        <v>0</v>
      </c>
      <c r="P2529" s="30">
        <f t="shared" ca="1" si="515"/>
        <v>0</v>
      </c>
    </row>
    <row r="2530" spans="1:16" x14ac:dyDescent="0.25">
      <c r="A2530" s="3">
        <f t="shared" si="516"/>
        <v>49654</v>
      </c>
      <c r="B2530" s="21">
        <f t="shared" si="507"/>
        <v>36871</v>
      </c>
      <c r="C2530" s="21">
        <f t="shared" si="508"/>
        <v>36880</v>
      </c>
      <c r="D2530" s="1">
        <f t="shared" si="517"/>
        <v>0</v>
      </c>
      <c r="E2530" s="3">
        <f t="array" ref="E2530">INDEX($A$9:A2529, MAX(IF($D$9:D2529=1, ROW(D$9:$D2529)-ROW($D$9)+1, 0)))</f>
        <v>49572</v>
      </c>
      <c r="F2530" s="23">
        <f t="shared" si="509"/>
        <v>9.6618754277891856</v>
      </c>
      <c r="G2530" s="5">
        <f>INDEX('Default Prob'!$P$5:$P$14,MIN(1+_xlfn.IFNA(MATCH(F2530,'Default Prob'!$F$5:$F$14,1),0),COUNT('Default Prob'!$P$5:$P$14)))</f>
        <v>8.0322462664562722E-2</v>
      </c>
      <c r="H2530" s="5">
        <f t="shared" si="518"/>
        <v>0.72149456080890551</v>
      </c>
      <c r="I2530" s="24">
        <f t="shared" si="519"/>
        <v>1.5868197824320251E-4</v>
      </c>
      <c r="J2530" s="25">
        <f>INDEX('Default Prob'!$C$3:$C$13, _xlfn.IFNA(MATCH(F2530, 'Default Prob'!$B$3:$B$13, 1), 1))</f>
        <v>2.5000000000000001E-2</v>
      </c>
      <c r="K2530" s="26">
        <f t="shared" si="510"/>
        <v>0.78774807120430523</v>
      </c>
      <c r="L2530" s="27">
        <f t="shared" ca="1" si="511"/>
        <v>0</v>
      </c>
      <c r="M2530" s="27">
        <f t="shared" ca="1" si="512"/>
        <v>0</v>
      </c>
      <c r="N2530" s="28">
        <f t="shared" ca="1" si="513"/>
        <v>0</v>
      </c>
      <c r="O2530" s="29">
        <f t="shared" ca="1" si="514"/>
        <v>0</v>
      </c>
      <c r="P2530" s="30">
        <f t="shared" ca="1" si="515"/>
        <v>0</v>
      </c>
    </row>
    <row r="2531" spans="1:16" x14ac:dyDescent="0.25">
      <c r="A2531" s="3">
        <f t="shared" si="516"/>
        <v>49655</v>
      </c>
      <c r="B2531" s="21">
        <f t="shared" si="507"/>
        <v>36872</v>
      </c>
      <c r="C2531" s="21">
        <f t="shared" si="508"/>
        <v>36880</v>
      </c>
      <c r="D2531" s="1">
        <f t="shared" si="517"/>
        <v>0</v>
      </c>
      <c r="E2531" s="3">
        <f t="array" ref="E2531">INDEX($A$9:A2530, MAX(IF($D$9:D2530=1, ROW(D$9:$D2530)-ROW($D$9)+1, 0)))</f>
        <v>49572</v>
      </c>
      <c r="F2531" s="23">
        <f t="shared" si="509"/>
        <v>9.6646132785763168</v>
      </c>
      <c r="G2531" s="5">
        <f>INDEX('Default Prob'!$P$5:$P$14,MIN(1+_xlfn.IFNA(MATCH(F2531,'Default Prob'!$F$5:$F$14,1),0),COUNT('Default Prob'!$P$5:$P$14)))</f>
        <v>8.0322462664562722E-2</v>
      </c>
      <c r="H2531" s="5">
        <f t="shared" si="518"/>
        <v>0.7213359137227251</v>
      </c>
      <c r="I2531" s="24">
        <f t="shared" si="519"/>
        <v>1.586470861804079E-4</v>
      </c>
      <c r="J2531" s="25">
        <f>INDEX('Default Prob'!$C$3:$C$13, _xlfn.IFNA(MATCH(F2531, 'Default Prob'!$B$3:$B$13, 1), 1))</f>
        <v>2.5000000000000001E-2</v>
      </c>
      <c r="K2531" s="26">
        <f t="shared" si="510"/>
        <v>0.7876948175412043</v>
      </c>
      <c r="L2531" s="27">
        <f t="shared" ca="1" si="511"/>
        <v>0</v>
      </c>
      <c r="M2531" s="27">
        <f t="shared" ca="1" si="512"/>
        <v>0</v>
      </c>
      <c r="N2531" s="28">
        <f t="shared" ca="1" si="513"/>
        <v>0</v>
      </c>
      <c r="O2531" s="29">
        <f t="shared" ca="1" si="514"/>
        <v>0</v>
      </c>
      <c r="P2531" s="30">
        <f t="shared" ca="1" si="515"/>
        <v>0</v>
      </c>
    </row>
    <row r="2532" spans="1:16" x14ac:dyDescent="0.25">
      <c r="A2532" s="3">
        <f t="shared" si="516"/>
        <v>49656</v>
      </c>
      <c r="B2532" s="21">
        <f t="shared" si="507"/>
        <v>36873</v>
      </c>
      <c r="C2532" s="21">
        <f t="shared" si="508"/>
        <v>36880</v>
      </c>
      <c r="D2532" s="1">
        <f t="shared" si="517"/>
        <v>0</v>
      </c>
      <c r="E2532" s="3">
        <f t="array" ref="E2532">INDEX($A$9:A2531, MAX(IF($D$9:D2531=1, ROW(D$9:$D2531)-ROW($D$9)+1, 0)))</f>
        <v>49572</v>
      </c>
      <c r="F2532" s="23">
        <f t="shared" si="509"/>
        <v>9.6673511293634498</v>
      </c>
      <c r="G2532" s="5">
        <f>INDEX('Default Prob'!$P$5:$P$14,MIN(1+_xlfn.IFNA(MATCH(F2532,'Default Prob'!$F$5:$F$14,1),0),COUNT('Default Prob'!$P$5:$P$14)))</f>
        <v>8.0322462664562722E-2</v>
      </c>
      <c r="H2532" s="5">
        <f t="shared" si="518"/>
        <v>0.72117730152093507</v>
      </c>
      <c r="I2532" s="24">
        <f t="shared" si="519"/>
        <v>1.5861220179003155E-4</v>
      </c>
      <c r="J2532" s="25">
        <f>INDEX('Default Prob'!$C$3:$C$13, _xlfn.IFNA(MATCH(F2532, 'Default Prob'!$B$3:$B$13, 1), 1))</f>
        <v>2.5000000000000001E-2</v>
      </c>
      <c r="K2532" s="26">
        <f t="shared" si="510"/>
        <v>0.78764156747817904</v>
      </c>
      <c r="L2532" s="27">
        <f t="shared" ca="1" si="511"/>
        <v>0</v>
      </c>
      <c r="M2532" s="27">
        <f t="shared" ca="1" si="512"/>
        <v>0</v>
      </c>
      <c r="N2532" s="28">
        <f t="shared" ca="1" si="513"/>
        <v>0</v>
      </c>
      <c r="O2532" s="29">
        <f t="shared" ca="1" si="514"/>
        <v>0</v>
      </c>
      <c r="P2532" s="30">
        <f t="shared" ca="1" si="515"/>
        <v>0</v>
      </c>
    </row>
    <row r="2533" spans="1:16" x14ac:dyDescent="0.25">
      <c r="A2533" s="3">
        <f t="shared" si="516"/>
        <v>49657</v>
      </c>
      <c r="B2533" s="21">
        <f t="shared" si="507"/>
        <v>36874</v>
      </c>
      <c r="C2533" s="21">
        <f t="shared" si="508"/>
        <v>36880</v>
      </c>
      <c r="D2533" s="1">
        <f t="shared" si="517"/>
        <v>0</v>
      </c>
      <c r="E2533" s="3">
        <f t="array" ref="E2533">INDEX($A$9:A2532, MAX(IF($D$9:D2532=1, ROW(D$9:$D2532)-ROW($D$9)+1, 0)))</f>
        <v>49572</v>
      </c>
      <c r="F2533" s="23">
        <f t="shared" si="509"/>
        <v>9.6700889801505809</v>
      </c>
      <c r="G2533" s="5">
        <f>INDEX('Default Prob'!$P$5:$P$14,MIN(1+_xlfn.IFNA(MATCH(F2533,'Default Prob'!$F$5:$F$14,1),0),COUNT('Default Prob'!$P$5:$P$14)))</f>
        <v>8.0322462664562722E-2</v>
      </c>
      <c r="H2533" s="5">
        <f t="shared" si="518"/>
        <v>0.72101872419586488</v>
      </c>
      <c r="I2533" s="24">
        <f t="shared" si="519"/>
        <v>1.5857732507018607E-4</v>
      </c>
      <c r="J2533" s="25">
        <f>INDEX('Default Prob'!$C$3:$C$13, _xlfn.IFNA(MATCH(F2533, 'Default Prob'!$B$3:$B$13, 1), 1))</f>
        <v>2.5000000000000001E-2</v>
      </c>
      <c r="K2533" s="26">
        <f t="shared" si="510"/>
        <v>0.78758832101498588</v>
      </c>
      <c r="L2533" s="27">
        <f t="shared" ca="1" si="511"/>
        <v>0</v>
      </c>
      <c r="M2533" s="27">
        <f t="shared" ca="1" si="512"/>
        <v>0</v>
      </c>
      <c r="N2533" s="28">
        <f t="shared" ca="1" si="513"/>
        <v>0</v>
      </c>
      <c r="O2533" s="29">
        <f t="shared" ca="1" si="514"/>
        <v>0</v>
      </c>
      <c r="P2533" s="30">
        <f t="shared" ca="1" si="515"/>
        <v>0</v>
      </c>
    </row>
    <row r="2534" spans="1:16" x14ac:dyDescent="0.25">
      <c r="A2534" s="3">
        <f t="shared" si="516"/>
        <v>49660</v>
      </c>
      <c r="B2534" s="21">
        <f t="shared" si="507"/>
        <v>36877</v>
      </c>
      <c r="C2534" s="21">
        <f t="shared" si="508"/>
        <v>36880</v>
      </c>
      <c r="D2534" s="1">
        <f t="shared" si="517"/>
        <v>0</v>
      </c>
      <c r="E2534" s="3">
        <f t="array" ref="E2534">INDEX($A$9:A2533, MAX(IF($D$9:D2533=1, ROW(D$9:$D2533)-ROW($D$9)+1, 0)))</f>
        <v>49572</v>
      </c>
      <c r="F2534" s="23">
        <f t="shared" si="509"/>
        <v>9.678302532511978</v>
      </c>
      <c r="G2534" s="5">
        <f>INDEX('Default Prob'!$P$5:$P$14,MIN(1+_xlfn.IFNA(MATCH(F2534,'Default Prob'!$F$5:$F$14,1),0),COUNT('Default Prob'!$P$5:$P$14)))</f>
        <v>8.0322462664562722E-2</v>
      </c>
      <c r="H2534" s="5">
        <f t="shared" si="518"/>
        <v>0.72054320140429229</v>
      </c>
      <c r="I2534" s="24">
        <f t="shared" si="519"/>
        <v>4.7552279157259125E-4</v>
      </c>
      <c r="J2534" s="25">
        <f>INDEX('Default Prob'!$C$3:$C$13, _xlfn.IFNA(MATCH(F2534, 'Default Prob'!$B$3:$B$13, 1), 1))</f>
        <v>2.5000000000000001E-2</v>
      </c>
      <c r="K2534" s="26">
        <f t="shared" si="510"/>
        <v>0.78742860322196695</v>
      </c>
      <c r="L2534" s="27">
        <f t="shared" ca="1" si="511"/>
        <v>0</v>
      </c>
      <c r="M2534" s="27">
        <f t="shared" ca="1" si="512"/>
        <v>0</v>
      </c>
      <c r="N2534" s="28">
        <f t="shared" ca="1" si="513"/>
        <v>0</v>
      </c>
      <c r="O2534" s="29">
        <f t="shared" ca="1" si="514"/>
        <v>0</v>
      </c>
      <c r="P2534" s="30">
        <f t="shared" ca="1" si="515"/>
        <v>0</v>
      </c>
    </row>
    <row r="2535" spans="1:16" x14ac:dyDescent="0.25">
      <c r="A2535" s="3">
        <f t="shared" si="516"/>
        <v>49661</v>
      </c>
      <c r="B2535" s="21">
        <f t="shared" si="507"/>
        <v>36878</v>
      </c>
      <c r="C2535" s="21">
        <f t="shared" si="508"/>
        <v>36880</v>
      </c>
      <c r="D2535" s="1">
        <f t="shared" si="517"/>
        <v>0</v>
      </c>
      <c r="E2535" s="3">
        <f t="array" ref="E2535">INDEX($A$9:A2534, MAX(IF($D$9:D2534=1, ROW(D$9:$D2534)-ROW($D$9)+1, 0)))</f>
        <v>49572</v>
      </c>
      <c r="F2535" s="23">
        <f t="shared" si="509"/>
        <v>9.681040383299111</v>
      </c>
      <c r="G2535" s="5">
        <f>INDEX('Default Prob'!$P$5:$P$14,MIN(1+_xlfn.IFNA(MATCH(F2535,'Default Prob'!$F$5:$F$14,1),0),COUNT('Default Prob'!$P$5:$P$14)))</f>
        <v>8.0322462664562722E-2</v>
      </c>
      <c r="H2535" s="5">
        <f t="shared" si="518"/>
        <v>0.72038476350942893</v>
      </c>
      <c r="I2535" s="24">
        <f t="shared" si="519"/>
        <v>1.5843789486336135E-4</v>
      </c>
      <c r="J2535" s="25">
        <f>INDEX('Default Prob'!$C$3:$C$13, _xlfn.IFNA(MATCH(F2535, 'Default Prob'!$B$3:$B$13, 1), 1))</f>
        <v>2.5000000000000001E-2</v>
      </c>
      <c r="K2535" s="26">
        <f t="shared" si="510"/>
        <v>0.78737537115566947</v>
      </c>
      <c r="L2535" s="27">
        <f t="shared" ca="1" si="511"/>
        <v>0</v>
      </c>
      <c r="M2535" s="27">
        <f t="shared" ca="1" si="512"/>
        <v>0</v>
      </c>
      <c r="N2535" s="28">
        <f t="shared" ca="1" si="513"/>
        <v>0</v>
      </c>
      <c r="O2535" s="29">
        <f t="shared" ca="1" si="514"/>
        <v>0</v>
      </c>
      <c r="P2535" s="30">
        <f t="shared" ca="1" si="515"/>
        <v>0</v>
      </c>
    </row>
    <row r="2536" spans="1:16" x14ac:dyDescent="0.25">
      <c r="A2536" s="3">
        <f t="shared" si="516"/>
        <v>49662</v>
      </c>
      <c r="B2536" s="21">
        <f t="shared" si="507"/>
        <v>36879</v>
      </c>
      <c r="C2536" s="21">
        <f t="shared" si="508"/>
        <v>36880</v>
      </c>
      <c r="D2536" s="1">
        <f t="shared" si="517"/>
        <v>0</v>
      </c>
      <c r="E2536" s="3">
        <f t="array" ref="E2536">INDEX($A$9:A2535, MAX(IF($D$9:D2535=1, ROW(D$9:$D2535)-ROW($D$9)+1, 0)))</f>
        <v>49572</v>
      </c>
      <c r="F2536" s="23">
        <f t="shared" si="509"/>
        <v>9.6837782340862422</v>
      </c>
      <c r="G2536" s="5">
        <f>INDEX('Default Prob'!$P$5:$P$14,MIN(1+_xlfn.IFNA(MATCH(F2536,'Default Prob'!$F$5:$F$14,1),0),COUNT('Default Prob'!$P$5:$P$14)))</f>
        <v>8.0322462664562722E-2</v>
      </c>
      <c r="H2536" s="5">
        <f t="shared" si="518"/>
        <v>0.72022636045295763</v>
      </c>
      <c r="I2536" s="24">
        <f t="shared" si="519"/>
        <v>1.5840305647130126E-4</v>
      </c>
      <c r="J2536" s="25">
        <f>INDEX('Default Prob'!$C$3:$C$13, _xlfn.IFNA(MATCH(F2536, 'Default Prob'!$B$3:$B$13, 1), 1))</f>
        <v>2.5000000000000001E-2</v>
      </c>
      <c r="K2536" s="26">
        <f t="shared" si="510"/>
        <v>0.78732214268798761</v>
      </c>
      <c r="L2536" s="27">
        <f t="shared" ca="1" si="511"/>
        <v>0</v>
      </c>
      <c r="M2536" s="27">
        <f t="shared" ca="1" si="512"/>
        <v>0</v>
      </c>
      <c r="N2536" s="28">
        <f t="shared" ca="1" si="513"/>
        <v>0</v>
      </c>
      <c r="O2536" s="29">
        <f t="shared" ca="1" si="514"/>
        <v>0</v>
      </c>
      <c r="P2536" s="30">
        <f t="shared" ca="1" si="515"/>
        <v>0</v>
      </c>
    </row>
    <row r="2537" spans="1:16" x14ac:dyDescent="0.25">
      <c r="A2537" s="3">
        <f t="shared" si="516"/>
        <v>49663</v>
      </c>
      <c r="B2537" s="21">
        <f t="shared" si="507"/>
        <v>36880</v>
      </c>
      <c r="C2537" s="21">
        <f t="shared" si="508"/>
        <v>36880</v>
      </c>
      <c r="D2537" s="1">
        <f t="shared" si="517"/>
        <v>1</v>
      </c>
      <c r="E2537" s="3">
        <f t="array" ref="E2537">INDEX($A$9:A2536, MAX(IF($D$9:D2536=1, ROW(D$9:$D2536)-ROW($D$9)+1, 0)))</f>
        <v>49572</v>
      </c>
      <c r="F2537" s="23">
        <f t="shared" si="509"/>
        <v>9.6865160848733751</v>
      </c>
      <c r="G2537" s="5">
        <f>INDEX('Default Prob'!$P$5:$P$14,MIN(1+_xlfn.IFNA(MATCH(F2537,'Default Prob'!$F$5:$F$14,1),0),COUNT('Default Prob'!$P$5:$P$14)))</f>
        <v>8.0322462664562722E-2</v>
      </c>
      <c r="H2537" s="5">
        <f t="shared" si="518"/>
        <v>0.72006799222721785</v>
      </c>
      <c r="I2537" s="24">
        <f t="shared" si="519"/>
        <v>1.5836822573978004E-4</v>
      </c>
      <c r="J2537" s="25">
        <f>INDEX('Default Prob'!$C$3:$C$13, _xlfn.IFNA(MATCH(F2537, 'Default Prob'!$B$3:$B$13, 1), 1))</f>
        <v>2.5000000000000001E-2</v>
      </c>
      <c r="K2537" s="26">
        <f t="shared" si="510"/>
        <v>0.78726891781867825</v>
      </c>
      <c r="L2537" s="27">
        <f t="shared" ca="1" si="511"/>
        <v>0</v>
      </c>
      <c r="M2537" s="27">
        <f t="shared" ca="1" si="512"/>
        <v>0</v>
      </c>
      <c r="N2537" s="28">
        <f t="shared" ca="1" si="513"/>
        <v>0</v>
      </c>
      <c r="O2537" s="29">
        <f t="shared" ca="1" si="514"/>
        <v>0</v>
      </c>
      <c r="P2537" s="30">
        <f t="shared" ca="1" si="515"/>
        <v>0</v>
      </c>
    </row>
    <row r="2538" spans="1:16" x14ac:dyDescent="0.25">
      <c r="A2538" s="3">
        <f t="shared" si="516"/>
        <v>49664</v>
      </c>
      <c r="B2538" s="21">
        <f t="shared" si="507"/>
        <v>36881</v>
      </c>
      <c r="C2538" s="21">
        <f t="shared" si="508"/>
        <v>36605</v>
      </c>
      <c r="D2538" s="1">
        <f t="shared" si="517"/>
        <v>0</v>
      </c>
      <c r="E2538" s="3">
        <f t="array" ref="E2538">INDEX($A$9:A2537, MAX(IF($D$9:D2537=1, ROW(D$9:$D2537)-ROW($D$9)+1, 0)))</f>
        <v>49663</v>
      </c>
      <c r="F2538" s="23">
        <f t="shared" si="509"/>
        <v>9.6892539356605063</v>
      </c>
      <c r="G2538" s="5">
        <f>INDEX('Default Prob'!$P$5:$P$14,MIN(1+_xlfn.IFNA(MATCH(F2538,'Default Prob'!$F$5:$F$14,1),0),COUNT('Default Prob'!$P$5:$P$14)))</f>
        <v>8.0322462664562722E-2</v>
      </c>
      <c r="H2538" s="5">
        <f t="shared" si="518"/>
        <v>0.71990965882455082</v>
      </c>
      <c r="I2538" s="24">
        <f t="shared" si="519"/>
        <v>1.5833340266702134E-4</v>
      </c>
      <c r="J2538" s="25">
        <f>INDEX('Default Prob'!$C$3:$C$13, _xlfn.IFNA(MATCH(F2538, 'Default Prob'!$B$3:$B$13, 1), 1))</f>
        <v>2.5000000000000001E-2</v>
      </c>
      <c r="K2538" s="26">
        <f t="shared" si="510"/>
        <v>0.7872156965474979</v>
      </c>
      <c r="L2538" s="27">
        <f t="shared" ca="1" si="511"/>
        <v>0</v>
      </c>
      <c r="M2538" s="27">
        <f t="shared" ca="1" si="512"/>
        <v>0</v>
      </c>
      <c r="N2538" s="28">
        <f t="shared" ca="1" si="513"/>
        <v>0</v>
      </c>
      <c r="O2538" s="29">
        <f t="shared" ca="1" si="514"/>
        <v>0</v>
      </c>
      <c r="P2538" s="30">
        <f t="shared" ca="1" si="515"/>
        <v>0</v>
      </c>
    </row>
    <row r="2539" spans="1:16" x14ac:dyDescent="0.25">
      <c r="A2539" s="3">
        <f t="shared" si="516"/>
        <v>49667</v>
      </c>
      <c r="B2539" s="21">
        <f t="shared" si="507"/>
        <v>36884</v>
      </c>
      <c r="C2539" s="21">
        <f t="shared" si="508"/>
        <v>36605</v>
      </c>
      <c r="D2539" s="1">
        <f t="shared" si="517"/>
        <v>0</v>
      </c>
      <c r="E2539" s="3">
        <f t="array" ref="E2539">INDEX($A$9:A2538, MAX(IF($D$9:D2538=1, ROW(D$9:$D2538)-ROW($D$9)+1, 0)))</f>
        <v>49663</v>
      </c>
      <c r="F2539" s="23">
        <f t="shared" si="509"/>
        <v>9.6974674880219034</v>
      </c>
      <c r="G2539" s="5">
        <f>INDEX('Default Prob'!$P$5:$P$14,MIN(1+_xlfn.IFNA(MATCH(F2539,'Default Prob'!$F$5:$F$14,1),0),COUNT('Default Prob'!$P$5:$P$14)))</f>
        <v>8.0322462664562722E-2</v>
      </c>
      <c r="H2539" s="5">
        <f t="shared" si="518"/>
        <v>0.719434867478423</v>
      </c>
      <c r="I2539" s="24">
        <f t="shared" si="519"/>
        <v>4.7479134612782303E-4</v>
      </c>
      <c r="J2539" s="25">
        <f>INDEX('Default Prob'!$C$3:$C$13, _xlfn.IFNA(MATCH(F2539, 'Default Prob'!$B$3:$B$13, 1), 1))</f>
        <v>2.5000000000000001E-2</v>
      </c>
      <c r="K2539" s="26">
        <f t="shared" si="510"/>
        <v>0.78705605432029901</v>
      </c>
      <c r="L2539" s="27">
        <f t="shared" ca="1" si="511"/>
        <v>0</v>
      </c>
      <c r="M2539" s="27">
        <f t="shared" ca="1" si="512"/>
        <v>0</v>
      </c>
      <c r="N2539" s="28">
        <f t="shared" ca="1" si="513"/>
        <v>0</v>
      </c>
      <c r="O2539" s="29">
        <f t="shared" ca="1" si="514"/>
        <v>0</v>
      </c>
      <c r="P2539" s="30">
        <f t="shared" ca="1" si="515"/>
        <v>0</v>
      </c>
    </row>
    <row r="2540" spans="1:16" x14ac:dyDescent="0.25">
      <c r="A2540" s="3">
        <f t="shared" si="516"/>
        <v>49668</v>
      </c>
      <c r="B2540" s="21">
        <f t="shared" si="507"/>
        <v>36885</v>
      </c>
      <c r="C2540" s="21">
        <f t="shared" si="508"/>
        <v>36605</v>
      </c>
      <c r="D2540" s="1">
        <f t="shared" si="517"/>
        <v>0</v>
      </c>
      <c r="E2540" s="3">
        <f t="array" ref="E2540">INDEX($A$9:A2539, MAX(IF($D$9:D2539=1, ROW(D$9:$D2539)-ROW($D$9)+1, 0)))</f>
        <v>49663</v>
      </c>
      <c r="F2540" s="23">
        <f t="shared" si="509"/>
        <v>9.7002053388090346</v>
      </c>
      <c r="G2540" s="5">
        <f>INDEX('Default Prob'!$P$5:$P$14,MIN(1+_xlfn.IFNA(MATCH(F2540,'Default Prob'!$F$5:$F$14,1),0),COUNT('Default Prob'!$P$5:$P$14)))</f>
        <v>8.0322462664562722E-2</v>
      </c>
      <c r="H2540" s="5">
        <f t="shared" si="518"/>
        <v>0.71927667329149236</v>
      </c>
      <c r="I2540" s="24">
        <f t="shared" si="519"/>
        <v>1.5819418693063803E-4</v>
      </c>
      <c r="J2540" s="25">
        <f>INDEX('Default Prob'!$C$3:$C$13, _xlfn.IFNA(MATCH(F2540, 'Default Prob'!$B$3:$B$13, 1), 1))</f>
        <v>2.5000000000000001E-2</v>
      </c>
      <c r="K2540" s="26">
        <f t="shared" si="510"/>
        <v>0.78700284743920301</v>
      </c>
      <c r="L2540" s="27">
        <f t="shared" ca="1" si="511"/>
        <v>0</v>
      </c>
      <c r="M2540" s="27">
        <f t="shared" ca="1" si="512"/>
        <v>0</v>
      </c>
      <c r="N2540" s="28">
        <f t="shared" ca="1" si="513"/>
        <v>0</v>
      </c>
      <c r="O2540" s="29">
        <f t="shared" ca="1" si="514"/>
        <v>0</v>
      </c>
      <c r="P2540" s="30">
        <f t="shared" ca="1" si="515"/>
        <v>0</v>
      </c>
    </row>
    <row r="2541" spans="1:16" x14ac:dyDescent="0.25">
      <c r="A2541" s="3">
        <f t="shared" si="516"/>
        <v>49669</v>
      </c>
      <c r="B2541" s="21">
        <f t="shared" si="507"/>
        <v>36886</v>
      </c>
      <c r="C2541" s="21">
        <f t="shared" si="508"/>
        <v>36605</v>
      </c>
      <c r="D2541" s="1">
        <f t="shared" si="517"/>
        <v>0</v>
      </c>
      <c r="E2541" s="3">
        <f t="array" ref="E2541">INDEX($A$9:A2540, MAX(IF($D$9:D2540=1, ROW(D$9:$D2540)-ROW($D$9)+1, 0)))</f>
        <v>49663</v>
      </c>
      <c r="F2541" s="23">
        <f t="shared" si="509"/>
        <v>9.7029431895961675</v>
      </c>
      <c r="G2541" s="5">
        <f>INDEX('Default Prob'!$P$5:$P$14,MIN(1+_xlfn.IFNA(MATCH(F2541,'Default Prob'!$F$5:$F$14,1),0),COUNT('Default Prob'!$P$5:$P$14)))</f>
        <v>8.0322462664562722E-2</v>
      </c>
      <c r="H2541" s="5">
        <f t="shared" si="518"/>
        <v>0.71911851388936554</v>
      </c>
      <c r="I2541" s="24">
        <f t="shared" si="519"/>
        <v>1.5815940212682289E-4</v>
      </c>
      <c r="J2541" s="25">
        <f>INDEX('Default Prob'!$C$3:$C$13, _xlfn.IFNA(MATCH(F2541, 'Default Prob'!$B$3:$B$13, 1), 1))</f>
        <v>2.5000000000000001E-2</v>
      </c>
      <c r="K2541" s="26">
        <f t="shared" si="510"/>
        <v>0.78694964415501978</v>
      </c>
      <c r="L2541" s="27">
        <f t="shared" ca="1" si="511"/>
        <v>0</v>
      </c>
      <c r="M2541" s="27">
        <f t="shared" ca="1" si="512"/>
        <v>0</v>
      </c>
      <c r="N2541" s="28">
        <f t="shared" ca="1" si="513"/>
        <v>0</v>
      </c>
      <c r="O2541" s="29">
        <f t="shared" ca="1" si="514"/>
        <v>0</v>
      </c>
      <c r="P2541" s="30">
        <f t="shared" ca="1" si="515"/>
        <v>0</v>
      </c>
    </row>
    <row r="2542" spans="1:16" x14ac:dyDescent="0.25">
      <c r="A2542" s="3">
        <f t="shared" si="516"/>
        <v>49670</v>
      </c>
      <c r="B2542" s="21">
        <f t="shared" si="507"/>
        <v>36887</v>
      </c>
      <c r="C2542" s="21">
        <f t="shared" si="508"/>
        <v>36605</v>
      </c>
      <c r="D2542" s="1">
        <f t="shared" si="517"/>
        <v>0</v>
      </c>
      <c r="E2542" s="3">
        <f t="array" ref="E2542">INDEX($A$9:A2541, MAX(IF($D$9:D2541=1, ROW(D$9:$D2541)-ROW($D$9)+1, 0)))</f>
        <v>49663</v>
      </c>
      <c r="F2542" s="23">
        <f t="shared" si="509"/>
        <v>9.7056810403832987</v>
      </c>
      <c r="G2542" s="5">
        <f>INDEX('Default Prob'!$P$5:$P$14,MIN(1+_xlfn.IFNA(MATCH(F2542,'Default Prob'!$F$5:$F$14,1),0),COUNT('Default Prob'!$P$5:$P$14)))</f>
        <v>8.0322462664562722E-2</v>
      </c>
      <c r="H2542" s="5">
        <f t="shared" si="518"/>
        <v>0.71896038926439398</v>
      </c>
      <c r="I2542" s="24">
        <f t="shared" si="519"/>
        <v>1.5812462497155622E-4</v>
      </c>
      <c r="J2542" s="25">
        <f>INDEX('Default Prob'!$C$3:$C$13, _xlfn.IFNA(MATCH(F2542, 'Default Prob'!$B$3:$B$13, 1), 1))</f>
        <v>2.5000000000000001E-2</v>
      </c>
      <c r="K2542" s="26">
        <f t="shared" si="510"/>
        <v>0.78689644446750662</v>
      </c>
      <c r="L2542" s="27">
        <f t="shared" ca="1" si="511"/>
        <v>0</v>
      </c>
      <c r="M2542" s="27">
        <f t="shared" ca="1" si="512"/>
        <v>0</v>
      </c>
      <c r="N2542" s="28">
        <f t="shared" ca="1" si="513"/>
        <v>0</v>
      </c>
      <c r="O2542" s="29">
        <f t="shared" ca="1" si="514"/>
        <v>0</v>
      </c>
      <c r="P2542" s="30">
        <f t="shared" ca="1" si="515"/>
        <v>0</v>
      </c>
    </row>
    <row r="2543" spans="1:16" x14ac:dyDescent="0.25">
      <c r="A2543" s="3">
        <f t="shared" si="516"/>
        <v>49671</v>
      </c>
      <c r="B2543" s="21">
        <f t="shared" si="507"/>
        <v>36888</v>
      </c>
      <c r="C2543" s="21">
        <f t="shared" si="508"/>
        <v>36605</v>
      </c>
      <c r="D2543" s="1">
        <f t="shared" si="517"/>
        <v>0</v>
      </c>
      <c r="E2543" s="3">
        <f t="array" ref="E2543">INDEX($A$9:A2542, MAX(IF($D$9:D2542=1, ROW(D$9:$D2542)-ROW($D$9)+1, 0)))</f>
        <v>49663</v>
      </c>
      <c r="F2543" s="23">
        <f t="shared" si="509"/>
        <v>9.7084188911704317</v>
      </c>
      <c r="G2543" s="5">
        <f>INDEX('Default Prob'!$P$5:$P$14,MIN(1+_xlfn.IFNA(MATCH(F2543,'Default Prob'!$F$5:$F$14,1),0),COUNT('Default Prob'!$P$5:$P$14)))</f>
        <v>8.0322462664562722E-2</v>
      </c>
      <c r="H2543" s="5">
        <f t="shared" si="518"/>
        <v>0.71880229940893048</v>
      </c>
      <c r="I2543" s="24">
        <f t="shared" si="519"/>
        <v>1.5808985546350574E-4</v>
      </c>
      <c r="J2543" s="25">
        <f>INDEX('Default Prob'!$C$3:$C$13, _xlfn.IFNA(MATCH(F2543, 'Default Prob'!$B$3:$B$13, 1), 1))</f>
        <v>2.5000000000000001E-2</v>
      </c>
      <c r="K2543" s="26">
        <f t="shared" si="510"/>
        <v>0.78684324837642006</v>
      </c>
      <c r="L2543" s="27">
        <f t="shared" ca="1" si="511"/>
        <v>0</v>
      </c>
      <c r="M2543" s="27">
        <f t="shared" ca="1" si="512"/>
        <v>0</v>
      </c>
      <c r="N2543" s="28">
        <f t="shared" ca="1" si="513"/>
        <v>0</v>
      </c>
      <c r="O2543" s="29">
        <f t="shared" ca="1" si="514"/>
        <v>0</v>
      </c>
      <c r="P2543" s="30">
        <f t="shared" ca="1" si="515"/>
        <v>0</v>
      </c>
    </row>
    <row r="2544" spans="1:16" x14ac:dyDescent="0.25">
      <c r="A2544" s="3">
        <f t="shared" si="516"/>
        <v>49674</v>
      </c>
      <c r="B2544" s="21">
        <f t="shared" si="507"/>
        <v>36891</v>
      </c>
      <c r="C2544" s="21">
        <f t="shared" si="508"/>
        <v>36605</v>
      </c>
      <c r="D2544" s="1">
        <f t="shared" si="517"/>
        <v>0</v>
      </c>
      <c r="E2544" s="3">
        <f t="array" ref="E2544">INDEX($A$9:A2543, MAX(IF($D$9:D2543=1, ROW(D$9:$D2543)-ROW($D$9)+1, 0)))</f>
        <v>49663</v>
      </c>
      <c r="F2544" s="23">
        <f t="shared" si="509"/>
        <v>9.716632443531827</v>
      </c>
      <c r="G2544" s="5">
        <f>INDEX('Default Prob'!$P$5:$P$14,MIN(1+_xlfn.IFNA(MATCH(F2544,'Default Prob'!$F$5:$F$14,1),0),COUNT('Default Prob'!$P$5:$P$14)))</f>
        <v>8.0322462664562722E-2</v>
      </c>
      <c r="H2544" s="5">
        <f t="shared" si="518"/>
        <v>0.71832823838314386</v>
      </c>
      <c r="I2544" s="24">
        <f t="shared" si="519"/>
        <v>4.7406102578662068E-4</v>
      </c>
      <c r="J2544" s="25">
        <f>INDEX('Default Prob'!$C$3:$C$13, _xlfn.IFNA(MATCH(F2544, 'Default Prob'!$B$3:$B$13, 1), 1))</f>
        <v>2.5000000000000001E-2</v>
      </c>
      <c r="K2544" s="26">
        <f t="shared" si="510"/>
        <v>0.78668368167928981</v>
      </c>
      <c r="L2544" s="27">
        <f t="shared" ca="1" si="511"/>
        <v>0</v>
      </c>
      <c r="M2544" s="27">
        <f t="shared" ca="1" si="512"/>
        <v>0</v>
      </c>
      <c r="N2544" s="28">
        <f t="shared" ca="1" si="513"/>
        <v>0</v>
      </c>
      <c r="O2544" s="29">
        <f t="shared" ca="1" si="514"/>
        <v>0</v>
      </c>
      <c r="P2544" s="30">
        <f t="shared" ca="1" si="515"/>
        <v>0</v>
      </c>
    </row>
    <row r="2545" spans="1:16" x14ac:dyDescent="0.25">
      <c r="A2545" s="3">
        <f t="shared" si="516"/>
        <v>49675</v>
      </c>
      <c r="B2545" s="21">
        <f t="shared" si="507"/>
        <v>36526</v>
      </c>
      <c r="C2545" s="21">
        <f t="shared" si="508"/>
        <v>36605</v>
      </c>
      <c r="D2545" s="1">
        <f t="shared" si="517"/>
        <v>0</v>
      </c>
      <c r="E2545" s="3">
        <f t="array" ref="E2545">INDEX($A$9:A2544, MAX(IF($D$9:D2544=1, ROW(D$9:$D2544)-ROW($D$9)+1, 0)))</f>
        <v>49663</v>
      </c>
      <c r="F2545" s="23">
        <f t="shared" si="509"/>
        <v>9.7193702943189599</v>
      </c>
      <c r="G2545" s="5">
        <f>INDEX('Default Prob'!$P$5:$P$14,MIN(1+_xlfn.IFNA(MATCH(F2545,'Default Prob'!$F$5:$F$14,1),0),COUNT('Default Prob'!$P$5:$P$14)))</f>
        <v>8.0322462664562722E-2</v>
      </c>
      <c r="H2545" s="5">
        <f t="shared" si="518"/>
        <v>0.71817028752927614</v>
      </c>
      <c r="I2545" s="24">
        <f t="shared" si="519"/>
        <v>1.5795085386771657E-4</v>
      </c>
      <c r="J2545" s="25">
        <f>INDEX('Default Prob'!$C$3:$C$13, _xlfn.IFNA(MATCH(F2545, 'Default Prob'!$B$3:$B$13, 1), 1))</f>
        <v>2.5000000000000001E-2</v>
      </c>
      <c r="K2545" s="26">
        <f t="shared" si="510"/>
        <v>0.78663049997147927</v>
      </c>
      <c r="L2545" s="27">
        <f t="shared" ca="1" si="511"/>
        <v>0</v>
      </c>
      <c r="M2545" s="27">
        <f t="shared" ca="1" si="512"/>
        <v>0</v>
      </c>
      <c r="N2545" s="28">
        <f t="shared" ca="1" si="513"/>
        <v>0</v>
      </c>
      <c r="O2545" s="29">
        <f t="shared" ca="1" si="514"/>
        <v>0</v>
      </c>
      <c r="P2545" s="30">
        <f t="shared" ca="1" si="515"/>
        <v>0</v>
      </c>
    </row>
    <row r="2546" spans="1:16" x14ac:dyDescent="0.25">
      <c r="A2546" s="3">
        <f t="shared" si="516"/>
        <v>49676</v>
      </c>
      <c r="B2546" s="21">
        <f t="shared" si="507"/>
        <v>36527</v>
      </c>
      <c r="C2546" s="21">
        <f t="shared" si="508"/>
        <v>36605</v>
      </c>
      <c r="D2546" s="1">
        <f t="shared" si="517"/>
        <v>0</v>
      </c>
      <c r="E2546" s="3">
        <f t="array" ref="E2546">INDEX($A$9:A2545, MAX(IF($D$9:D2545=1, ROW(D$9:$D2545)-ROW($D$9)+1, 0)))</f>
        <v>49663</v>
      </c>
      <c r="F2546" s="23">
        <f t="shared" si="509"/>
        <v>9.7221081451060911</v>
      </c>
      <c r="G2546" s="5">
        <f>INDEX('Default Prob'!$P$5:$P$14,MIN(1+_xlfn.IFNA(MATCH(F2546,'Default Prob'!$F$5:$F$14,1),0),COUNT('Default Prob'!$P$5:$P$14)))</f>
        <v>8.0322462664562722E-2</v>
      </c>
      <c r="H2546" s="5">
        <f t="shared" si="518"/>
        <v>0.71801237140670671</v>
      </c>
      <c r="I2546" s="24">
        <f t="shared" si="519"/>
        <v>1.5791612256943477E-4</v>
      </c>
      <c r="J2546" s="25">
        <f>INDEX('Default Prob'!$C$3:$C$13, _xlfn.IFNA(MATCH(F2546, 'Default Prob'!$B$3:$B$13, 1), 1))</f>
        <v>2.5000000000000001E-2</v>
      </c>
      <c r="K2546" s="26">
        <f t="shared" si="510"/>
        <v>0.78657732185887996</v>
      </c>
      <c r="L2546" s="27">
        <f t="shared" ca="1" si="511"/>
        <v>0</v>
      </c>
      <c r="M2546" s="27">
        <f t="shared" ca="1" si="512"/>
        <v>0</v>
      </c>
      <c r="N2546" s="28">
        <f t="shared" ca="1" si="513"/>
        <v>0</v>
      </c>
      <c r="O2546" s="29">
        <f t="shared" ca="1" si="514"/>
        <v>0</v>
      </c>
      <c r="P2546" s="30">
        <f t="shared" ca="1" si="515"/>
        <v>0</v>
      </c>
    </row>
    <row r="2547" spans="1:16" x14ac:dyDescent="0.25">
      <c r="A2547" s="3">
        <f t="shared" si="516"/>
        <v>49677</v>
      </c>
      <c r="B2547" s="21">
        <f t="shared" si="507"/>
        <v>36528</v>
      </c>
      <c r="C2547" s="21">
        <f t="shared" si="508"/>
        <v>36605</v>
      </c>
      <c r="D2547" s="1">
        <f t="shared" si="517"/>
        <v>0</v>
      </c>
      <c r="E2547" s="3">
        <f t="array" ref="E2547">INDEX($A$9:A2546, MAX(IF($D$9:D2546=1, ROW(D$9:$D2546)-ROW($D$9)+1, 0)))</f>
        <v>49663</v>
      </c>
      <c r="F2547" s="23">
        <f t="shared" si="509"/>
        <v>9.7248459958932241</v>
      </c>
      <c r="G2547" s="5">
        <f>INDEX('Default Prob'!$P$5:$P$14,MIN(1+_xlfn.IFNA(MATCH(F2547,'Default Prob'!$F$5:$F$14,1),0),COUNT('Default Prob'!$P$5:$P$14)))</f>
        <v>8.0322462664562722E-2</v>
      </c>
      <c r="H2547" s="5">
        <f t="shared" si="518"/>
        <v>0.71785449000779844</v>
      </c>
      <c r="I2547" s="24">
        <f t="shared" si="519"/>
        <v>1.5788139890826614E-4</v>
      </c>
      <c r="J2547" s="25">
        <f>INDEX('Default Prob'!$C$3:$C$13, _xlfn.IFNA(MATCH(F2547, 'Default Prob'!$B$3:$B$13, 1), 1))</f>
        <v>2.5000000000000001E-2</v>
      </c>
      <c r="K2547" s="26">
        <f t="shared" si="510"/>
        <v>0.78652414734124887</v>
      </c>
      <c r="L2547" s="27">
        <f t="shared" ca="1" si="511"/>
        <v>0</v>
      </c>
      <c r="M2547" s="27">
        <f t="shared" ca="1" si="512"/>
        <v>0</v>
      </c>
      <c r="N2547" s="28">
        <f t="shared" ca="1" si="513"/>
        <v>0</v>
      </c>
      <c r="O2547" s="29">
        <f t="shared" ca="1" si="514"/>
        <v>0</v>
      </c>
      <c r="P2547" s="30">
        <f t="shared" ca="1" si="515"/>
        <v>0</v>
      </c>
    </row>
    <row r="2548" spans="1:16" x14ac:dyDescent="0.25">
      <c r="A2548" s="3">
        <f t="shared" si="516"/>
        <v>49678</v>
      </c>
      <c r="B2548" s="21">
        <f t="shared" si="507"/>
        <v>36529</v>
      </c>
      <c r="C2548" s="21">
        <f t="shared" si="508"/>
        <v>36605</v>
      </c>
      <c r="D2548" s="1">
        <f t="shared" si="517"/>
        <v>0</v>
      </c>
      <c r="E2548" s="3">
        <f t="array" ref="E2548">INDEX($A$9:A2547, MAX(IF($D$9:D2547=1, ROW(D$9:$D2547)-ROW($D$9)+1, 0)))</f>
        <v>49663</v>
      </c>
      <c r="F2548" s="23">
        <f t="shared" si="509"/>
        <v>9.7275838466803553</v>
      </c>
      <c r="G2548" s="5">
        <f>INDEX('Default Prob'!$P$5:$P$14,MIN(1+_xlfn.IFNA(MATCH(F2548,'Default Prob'!$F$5:$F$14,1),0),COUNT('Default Prob'!$P$5:$P$14)))</f>
        <v>8.0322462664562722E-2</v>
      </c>
      <c r="H2548" s="5">
        <f t="shared" si="518"/>
        <v>0.71769664332491623</v>
      </c>
      <c r="I2548" s="24">
        <f t="shared" si="519"/>
        <v>1.5784668288221226E-4</v>
      </c>
      <c r="J2548" s="25">
        <f>INDEX('Default Prob'!$C$3:$C$13, _xlfn.IFNA(MATCH(F2548, 'Default Prob'!$B$3:$B$13, 1), 1))</f>
        <v>2.5000000000000001E-2</v>
      </c>
      <c r="K2548" s="26">
        <f t="shared" si="510"/>
        <v>0.78647097641834296</v>
      </c>
      <c r="L2548" s="27">
        <f t="shared" ca="1" si="511"/>
        <v>0</v>
      </c>
      <c r="M2548" s="27">
        <f t="shared" ca="1" si="512"/>
        <v>0</v>
      </c>
      <c r="N2548" s="28">
        <f t="shared" ca="1" si="513"/>
        <v>0</v>
      </c>
      <c r="O2548" s="29">
        <f t="shared" ca="1" si="514"/>
        <v>0</v>
      </c>
      <c r="P2548" s="30">
        <f t="shared" ca="1" si="515"/>
        <v>0</v>
      </c>
    </row>
    <row r="2549" spans="1:16" x14ac:dyDescent="0.25">
      <c r="A2549" s="3">
        <f t="shared" si="516"/>
        <v>49681</v>
      </c>
      <c r="B2549" s="21">
        <f t="shared" si="507"/>
        <v>36532</v>
      </c>
      <c r="C2549" s="21">
        <f t="shared" si="508"/>
        <v>36605</v>
      </c>
      <c r="D2549" s="1">
        <f t="shared" si="517"/>
        <v>0</v>
      </c>
      <c r="E2549" s="3">
        <f t="array" ref="E2549">INDEX($A$9:A2548, MAX(IF($D$9:D2548=1, ROW(D$9:$D2548)-ROW($D$9)+1, 0)))</f>
        <v>49663</v>
      </c>
      <c r="F2549" s="23">
        <f t="shared" si="509"/>
        <v>9.7357973990417523</v>
      </c>
      <c r="G2549" s="5">
        <f>INDEX('Default Prob'!$P$5:$P$14,MIN(1+_xlfn.IFNA(MATCH(F2549,'Default Prob'!$F$5:$F$14,1),0),COUNT('Default Prob'!$P$5:$P$14)))</f>
        <v>8.0322462664562722E-2</v>
      </c>
      <c r="H2549" s="5">
        <f t="shared" si="518"/>
        <v>0.71722331149609753</v>
      </c>
      <c r="I2549" s="24">
        <f t="shared" si="519"/>
        <v>4.7333182881870162E-4</v>
      </c>
      <c r="J2549" s="25">
        <f>INDEX('Default Prob'!$C$3:$C$13, _xlfn.IFNA(MATCH(F2549, 'Default Prob'!$B$3:$B$13, 1), 1))</f>
        <v>2.5000000000000001E-2</v>
      </c>
      <c r="K2549" s="26">
        <f t="shared" si="510"/>
        <v>0.7863114852155465</v>
      </c>
      <c r="L2549" s="27">
        <f t="shared" ca="1" si="511"/>
        <v>0</v>
      </c>
      <c r="M2549" s="27">
        <f t="shared" ca="1" si="512"/>
        <v>0</v>
      </c>
      <c r="N2549" s="28">
        <f t="shared" ca="1" si="513"/>
        <v>0</v>
      </c>
      <c r="O2549" s="29">
        <f t="shared" ca="1" si="514"/>
        <v>0</v>
      </c>
      <c r="P2549" s="30">
        <f t="shared" ca="1" si="515"/>
        <v>0</v>
      </c>
    </row>
    <row r="2550" spans="1:16" x14ac:dyDescent="0.25">
      <c r="A2550" s="3">
        <f t="shared" si="516"/>
        <v>49682</v>
      </c>
      <c r="B2550" s="21">
        <f t="shared" si="507"/>
        <v>36533</v>
      </c>
      <c r="C2550" s="21">
        <f t="shared" si="508"/>
        <v>36605</v>
      </c>
      <c r="D2550" s="1">
        <f t="shared" si="517"/>
        <v>0</v>
      </c>
      <c r="E2550" s="3">
        <f t="array" ref="E2550">INDEX($A$9:A2549, MAX(IF($D$9:D2549=1, ROW(D$9:$D2549)-ROW($D$9)+1, 0)))</f>
        <v>49663</v>
      </c>
      <c r="F2550" s="23">
        <f t="shared" si="509"/>
        <v>9.7385352498288835</v>
      </c>
      <c r="G2550" s="5">
        <f>INDEX('Default Prob'!$P$5:$P$14,MIN(1+_xlfn.IFNA(MATCH(F2550,'Default Prob'!$F$5:$F$14,1),0),COUNT('Default Prob'!$P$5:$P$14)))</f>
        <v>8.0322462664562722E-2</v>
      </c>
      <c r="H2550" s="5">
        <f t="shared" si="518"/>
        <v>0.71706560360099991</v>
      </c>
      <c r="I2550" s="24">
        <f t="shared" si="519"/>
        <v>1.5770789509761407E-4</v>
      </c>
      <c r="J2550" s="25">
        <f>INDEX('Default Prob'!$C$3:$C$13, _xlfn.IFNA(MATCH(F2550, 'Default Prob'!$B$3:$B$13, 1), 1))</f>
        <v>2.5000000000000001E-2</v>
      </c>
      <c r="K2550" s="26">
        <f t="shared" si="510"/>
        <v>0.78625832866911149</v>
      </c>
      <c r="L2550" s="27">
        <f t="shared" ca="1" si="511"/>
        <v>0</v>
      </c>
      <c r="M2550" s="27">
        <f t="shared" ca="1" si="512"/>
        <v>0</v>
      </c>
      <c r="N2550" s="28">
        <f t="shared" ca="1" si="513"/>
        <v>0</v>
      </c>
      <c r="O2550" s="29">
        <f t="shared" ca="1" si="514"/>
        <v>0</v>
      </c>
      <c r="P2550" s="30">
        <f t="shared" ca="1" si="515"/>
        <v>0</v>
      </c>
    </row>
    <row r="2551" spans="1:16" x14ac:dyDescent="0.25">
      <c r="A2551" s="3">
        <f t="shared" si="516"/>
        <v>49683</v>
      </c>
      <c r="B2551" s="21">
        <f t="shared" si="507"/>
        <v>36534</v>
      </c>
      <c r="C2551" s="21">
        <f t="shared" si="508"/>
        <v>36605</v>
      </c>
      <c r="D2551" s="1">
        <f t="shared" si="517"/>
        <v>0</v>
      </c>
      <c r="E2551" s="3">
        <f t="array" ref="E2551">INDEX($A$9:A2550, MAX(IF($D$9:D2550=1, ROW(D$9:$D2550)-ROW($D$9)+1, 0)))</f>
        <v>49663</v>
      </c>
      <c r="F2551" s="23">
        <f t="shared" si="509"/>
        <v>9.7412731006160165</v>
      </c>
      <c r="G2551" s="5">
        <f>INDEX('Default Prob'!$P$5:$P$14,MIN(1+_xlfn.IFNA(MATCH(F2551,'Default Prob'!$F$5:$F$14,1),0),COUNT('Default Prob'!$P$5:$P$14)))</f>
        <v>8.0322462664562722E-2</v>
      </c>
      <c r="H2551" s="5">
        <f t="shared" si="518"/>
        <v>0.71690793038377698</v>
      </c>
      <c r="I2551" s="24">
        <f t="shared" si="519"/>
        <v>1.5767321722293115E-4</v>
      </c>
      <c r="J2551" s="25">
        <f>INDEX('Default Prob'!$C$3:$C$13, _xlfn.IFNA(MATCH(F2551, 'Default Prob'!$B$3:$B$13, 1), 1))</f>
        <v>2.5000000000000001E-2</v>
      </c>
      <c r="K2551" s="26">
        <f t="shared" si="510"/>
        <v>0.78620517571618675</v>
      </c>
      <c r="L2551" s="27">
        <f t="shared" ca="1" si="511"/>
        <v>0</v>
      </c>
      <c r="M2551" s="27">
        <f t="shared" ca="1" si="512"/>
        <v>0</v>
      </c>
      <c r="N2551" s="28">
        <f t="shared" ca="1" si="513"/>
        <v>0</v>
      </c>
      <c r="O2551" s="29">
        <f t="shared" ca="1" si="514"/>
        <v>0</v>
      </c>
      <c r="P2551" s="30">
        <f t="shared" ca="1" si="515"/>
        <v>0</v>
      </c>
    </row>
    <row r="2552" spans="1:16" x14ac:dyDescent="0.25">
      <c r="A2552" s="3">
        <f t="shared" si="516"/>
        <v>49684</v>
      </c>
      <c r="B2552" s="21">
        <f t="shared" si="507"/>
        <v>36535</v>
      </c>
      <c r="C2552" s="21">
        <f t="shared" si="508"/>
        <v>36605</v>
      </c>
      <c r="D2552" s="1">
        <f t="shared" si="517"/>
        <v>0</v>
      </c>
      <c r="E2552" s="3">
        <f t="array" ref="E2552">INDEX($A$9:A2551, MAX(IF($D$9:D2551=1, ROW(D$9:$D2551)-ROW($D$9)+1, 0)))</f>
        <v>49663</v>
      </c>
      <c r="F2552" s="23">
        <f t="shared" si="509"/>
        <v>9.7440109514031477</v>
      </c>
      <c r="G2552" s="5">
        <f>INDEX('Default Prob'!$P$5:$P$14,MIN(1+_xlfn.IFNA(MATCH(F2552,'Default Prob'!$F$5:$F$14,1),0),COUNT('Default Prob'!$P$5:$P$14)))</f>
        <v>8.0322462664562722E-2</v>
      </c>
      <c r="H2552" s="5">
        <f t="shared" si="518"/>
        <v>0.71675029183680372</v>
      </c>
      <c r="I2552" s="24">
        <f t="shared" si="519"/>
        <v>1.5763854697325996E-4</v>
      </c>
      <c r="J2552" s="25">
        <f>INDEX('Default Prob'!$C$3:$C$13, _xlfn.IFNA(MATCH(F2552, 'Default Prob'!$B$3:$B$13, 1), 1))</f>
        <v>2.5000000000000001E-2</v>
      </c>
      <c r="K2552" s="26">
        <f t="shared" si="510"/>
        <v>0.78615202635652948</v>
      </c>
      <c r="L2552" s="27">
        <f t="shared" ca="1" si="511"/>
        <v>0</v>
      </c>
      <c r="M2552" s="27">
        <f t="shared" ca="1" si="512"/>
        <v>0</v>
      </c>
      <c r="N2552" s="28">
        <f t="shared" ca="1" si="513"/>
        <v>0</v>
      </c>
      <c r="O2552" s="29">
        <f t="shared" ca="1" si="514"/>
        <v>0</v>
      </c>
      <c r="P2552" s="30">
        <f t="shared" ca="1" si="515"/>
        <v>0</v>
      </c>
    </row>
    <row r="2553" spans="1:16" x14ac:dyDescent="0.25">
      <c r="A2553" s="3">
        <f t="shared" si="516"/>
        <v>49685</v>
      </c>
      <c r="B2553" s="21">
        <f t="shared" si="507"/>
        <v>36536</v>
      </c>
      <c r="C2553" s="21">
        <f t="shared" si="508"/>
        <v>36605</v>
      </c>
      <c r="D2553" s="1">
        <f t="shared" si="517"/>
        <v>0</v>
      </c>
      <c r="E2553" s="3">
        <f t="array" ref="E2553">INDEX($A$9:A2552, MAX(IF($D$9:D2552=1, ROW(D$9:$D2552)-ROW($D$9)+1, 0)))</f>
        <v>49663</v>
      </c>
      <c r="F2553" s="23">
        <f t="shared" si="509"/>
        <v>9.7467488021902806</v>
      </c>
      <c r="G2553" s="5">
        <f>INDEX('Default Prob'!$P$5:$P$14,MIN(1+_xlfn.IFNA(MATCH(F2553,'Default Prob'!$F$5:$F$14,1),0),COUNT('Default Prob'!$P$5:$P$14)))</f>
        <v>8.0322462664562722E-2</v>
      </c>
      <c r="H2553" s="5">
        <f t="shared" si="518"/>
        <v>0.71659268795245645</v>
      </c>
      <c r="I2553" s="24">
        <f t="shared" si="519"/>
        <v>1.5760388434726824E-4</v>
      </c>
      <c r="J2553" s="25">
        <f>INDEX('Default Prob'!$C$3:$C$13, _xlfn.IFNA(MATCH(F2553, 'Default Prob'!$B$3:$B$13, 1), 1))</f>
        <v>2.5000000000000001E-2</v>
      </c>
      <c r="K2553" s="26">
        <f t="shared" si="510"/>
        <v>0.78609888058989663</v>
      </c>
      <c r="L2553" s="27">
        <f t="shared" ca="1" si="511"/>
        <v>0</v>
      </c>
      <c r="M2553" s="27">
        <f t="shared" ca="1" si="512"/>
        <v>0</v>
      </c>
      <c r="N2553" s="28">
        <f t="shared" ca="1" si="513"/>
        <v>0</v>
      </c>
      <c r="O2553" s="29">
        <f t="shared" ca="1" si="514"/>
        <v>0</v>
      </c>
      <c r="P2553" s="30">
        <f t="shared" ca="1" si="515"/>
        <v>0</v>
      </c>
    </row>
    <row r="2554" spans="1:16" x14ac:dyDescent="0.25">
      <c r="A2554" s="3">
        <f t="shared" si="516"/>
        <v>49688</v>
      </c>
      <c r="B2554" s="21">
        <f t="shared" si="507"/>
        <v>36539</v>
      </c>
      <c r="C2554" s="21">
        <f t="shared" si="508"/>
        <v>36605</v>
      </c>
      <c r="D2554" s="1">
        <f t="shared" si="517"/>
        <v>0</v>
      </c>
      <c r="E2554" s="3">
        <f t="array" ref="E2554">INDEX($A$9:A2553, MAX(IF($D$9:D2553=1, ROW(D$9:$D2553)-ROW($D$9)+1, 0)))</f>
        <v>49663</v>
      </c>
      <c r="F2554" s="23">
        <f t="shared" si="509"/>
        <v>9.7549623545516777</v>
      </c>
      <c r="G2554" s="5">
        <f>INDEX('Default Prob'!$P$5:$P$14,MIN(1+_xlfn.IFNA(MATCH(F2554,'Default Prob'!$F$5:$F$14,1),0),COUNT('Default Prob'!$P$5:$P$14)))</f>
        <v>8.0322462664562722E-2</v>
      </c>
      <c r="H2554" s="5">
        <f t="shared" si="518"/>
        <v>0.71612008419896078</v>
      </c>
      <c r="I2554" s="24">
        <f t="shared" si="519"/>
        <v>4.7260375349567063E-4</v>
      </c>
      <c r="J2554" s="25">
        <f>INDEX('Default Prob'!$C$3:$C$13, _xlfn.IFNA(MATCH(F2554, 'Default Prob'!$B$3:$B$13, 1), 1))</f>
        <v>2.5000000000000001E-2</v>
      </c>
      <c r="K2554" s="26">
        <f t="shared" si="510"/>
        <v>0.78593946484571597</v>
      </c>
      <c r="L2554" s="27">
        <f t="shared" ca="1" si="511"/>
        <v>0</v>
      </c>
      <c r="M2554" s="27">
        <f t="shared" ca="1" si="512"/>
        <v>0</v>
      </c>
      <c r="N2554" s="28">
        <f t="shared" ca="1" si="513"/>
        <v>0</v>
      </c>
      <c r="O2554" s="29">
        <f t="shared" ca="1" si="514"/>
        <v>0</v>
      </c>
      <c r="P2554" s="30">
        <f t="shared" ca="1" si="515"/>
        <v>0</v>
      </c>
    </row>
    <row r="2555" spans="1:16" x14ac:dyDescent="0.25">
      <c r="A2555" s="3">
        <f t="shared" si="516"/>
        <v>49689</v>
      </c>
      <c r="B2555" s="21">
        <f t="shared" si="507"/>
        <v>36540</v>
      </c>
      <c r="C2555" s="21">
        <f t="shared" si="508"/>
        <v>36605</v>
      </c>
      <c r="D2555" s="1">
        <f t="shared" si="517"/>
        <v>0</v>
      </c>
      <c r="E2555" s="3">
        <f t="array" ref="E2555">INDEX($A$9:A2554, MAX(IF($D$9:D2554=1, ROW(D$9:$D2554)-ROW($D$9)+1, 0)))</f>
        <v>49663</v>
      </c>
      <c r="F2555" s="23">
        <f t="shared" si="509"/>
        <v>9.7577002053388089</v>
      </c>
      <c r="G2555" s="5">
        <f>INDEX('Default Prob'!$P$5:$P$14,MIN(1+_xlfn.IFNA(MATCH(F2555,'Default Prob'!$F$5:$F$14,1),0),COUNT('Default Prob'!$P$5:$P$14)))</f>
        <v>8.0322462664562722E-2</v>
      </c>
      <c r="H2555" s="5">
        <f t="shared" si="518"/>
        <v>0.71596261888891599</v>
      </c>
      <c r="I2555" s="24">
        <f t="shared" si="519"/>
        <v>1.5746531004479092E-4</v>
      </c>
      <c r="J2555" s="25">
        <f>INDEX('Default Prob'!$C$3:$C$13, _xlfn.IFNA(MATCH(F2555, 'Default Prob'!$B$3:$B$13, 1), 1))</f>
        <v>2.5000000000000001E-2</v>
      </c>
      <c r="K2555" s="26">
        <f t="shared" si="510"/>
        <v>0.78588633344875225</v>
      </c>
      <c r="L2555" s="27">
        <f t="shared" ca="1" si="511"/>
        <v>0</v>
      </c>
      <c r="M2555" s="27">
        <f t="shared" ca="1" si="512"/>
        <v>0</v>
      </c>
      <c r="N2555" s="28">
        <f t="shared" ca="1" si="513"/>
        <v>0</v>
      </c>
      <c r="O2555" s="29">
        <f t="shared" ca="1" si="514"/>
        <v>0</v>
      </c>
      <c r="P2555" s="30">
        <f t="shared" ca="1" si="515"/>
        <v>0</v>
      </c>
    </row>
    <row r="2556" spans="1:16" x14ac:dyDescent="0.25">
      <c r="A2556" s="3">
        <f t="shared" si="516"/>
        <v>49690</v>
      </c>
      <c r="B2556" s="21">
        <f t="shared" si="507"/>
        <v>36541</v>
      </c>
      <c r="C2556" s="21">
        <f t="shared" si="508"/>
        <v>36605</v>
      </c>
      <c r="D2556" s="1">
        <f t="shared" si="517"/>
        <v>0</v>
      </c>
      <c r="E2556" s="3">
        <f t="array" ref="E2556">INDEX($A$9:A2555, MAX(IF($D$9:D2555=1, ROW(D$9:$D2555)-ROW($D$9)+1, 0)))</f>
        <v>49663</v>
      </c>
      <c r="F2556" s="23">
        <f t="shared" si="509"/>
        <v>9.7604380561259418</v>
      </c>
      <c r="G2556" s="5">
        <f>INDEX('Default Prob'!$P$5:$P$14,MIN(1+_xlfn.IFNA(MATCH(F2556,'Default Prob'!$F$5:$F$14,1),0),COUNT('Default Prob'!$P$5:$P$14)))</f>
        <v>8.0322462664562722E-2</v>
      </c>
      <c r="H2556" s="5">
        <f t="shared" si="518"/>
        <v>0.71580518820340466</v>
      </c>
      <c r="I2556" s="24">
        <f t="shared" si="519"/>
        <v>1.5743068551132833E-4</v>
      </c>
      <c r="J2556" s="25">
        <f>INDEX('Default Prob'!$C$3:$C$13, _xlfn.IFNA(MATCH(F2556, 'Default Prob'!$B$3:$B$13, 1), 1))</f>
        <v>2.5000000000000001E-2</v>
      </c>
      <c r="K2556" s="26">
        <f t="shared" si="510"/>
        <v>0.78583320564359849</v>
      </c>
      <c r="L2556" s="27">
        <f t="shared" ca="1" si="511"/>
        <v>0</v>
      </c>
      <c r="M2556" s="27">
        <f t="shared" ca="1" si="512"/>
        <v>0</v>
      </c>
      <c r="N2556" s="28">
        <f t="shared" ca="1" si="513"/>
        <v>0</v>
      </c>
      <c r="O2556" s="29">
        <f t="shared" ca="1" si="514"/>
        <v>0</v>
      </c>
      <c r="P2556" s="30">
        <f t="shared" ca="1" si="515"/>
        <v>0</v>
      </c>
    </row>
    <row r="2557" spans="1:16" x14ac:dyDescent="0.25">
      <c r="A2557" s="3">
        <f t="shared" si="516"/>
        <v>49691</v>
      </c>
      <c r="B2557" s="21">
        <f t="shared" si="507"/>
        <v>36542</v>
      </c>
      <c r="C2557" s="21">
        <f t="shared" si="508"/>
        <v>36605</v>
      </c>
      <c r="D2557" s="1">
        <f t="shared" si="517"/>
        <v>0</v>
      </c>
      <c r="E2557" s="3">
        <f t="array" ref="E2557">INDEX($A$9:A2556, MAX(IF($D$9:D2556=1, ROW(D$9:$D2556)-ROW($D$9)+1, 0)))</f>
        <v>49663</v>
      </c>
      <c r="F2557" s="23">
        <f t="shared" si="509"/>
        <v>9.763175906913073</v>
      </c>
      <c r="G2557" s="5">
        <f>INDEX('Default Prob'!$P$5:$P$14,MIN(1+_xlfn.IFNA(MATCH(F2557,'Default Prob'!$F$5:$F$14,1),0),COUNT('Default Prob'!$P$5:$P$14)))</f>
        <v>8.0322462664562722E-2</v>
      </c>
      <c r="H2557" s="5">
        <f t="shared" si="518"/>
        <v>0.71564779213481344</v>
      </c>
      <c r="I2557" s="24">
        <f t="shared" si="519"/>
        <v>1.5739606859122013E-4</v>
      </c>
      <c r="J2557" s="25">
        <f>INDEX('Default Prob'!$C$3:$C$13, _xlfn.IFNA(MATCH(F2557, 'Default Prob'!$B$3:$B$13, 1), 1))</f>
        <v>2.5000000000000001E-2</v>
      </c>
      <c r="K2557" s="26">
        <f t="shared" si="510"/>
        <v>0.78578008143001221</v>
      </c>
      <c r="L2557" s="27">
        <f t="shared" ca="1" si="511"/>
        <v>0</v>
      </c>
      <c r="M2557" s="27">
        <f t="shared" ca="1" si="512"/>
        <v>0</v>
      </c>
      <c r="N2557" s="28">
        <f t="shared" ca="1" si="513"/>
        <v>0</v>
      </c>
      <c r="O2557" s="29">
        <f t="shared" ca="1" si="514"/>
        <v>0</v>
      </c>
      <c r="P2557" s="30">
        <f t="shared" ca="1" si="515"/>
        <v>0</v>
      </c>
    </row>
    <row r="2558" spans="1:16" x14ac:dyDescent="0.25">
      <c r="A2558" s="3">
        <f t="shared" si="516"/>
        <v>49692</v>
      </c>
      <c r="B2558" s="21">
        <f t="shared" si="507"/>
        <v>36543</v>
      </c>
      <c r="C2558" s="21">
        <f t="shared" si="508"/>
        <v>36605</v>
      </c>
      <c r="D2558" s="1">
        <f t="shared" si="517"/>
        <v>0</v>
      </c>
      <c r="E2558" s="3">
        <f t="array" ref="E2558">INDEX($A$9:A2557, MAX(IF($D$9:D2557=1, ROW(D$9:$D2557)-ROW($D$9)+1, 0)))</f>
        <v>49663</v>
      </c>
      <c r="F2558" s="23">
        <f t="shared" si="509"/>
        <v>9.765913757700206</v>
      </c>
      <c r="G2558" s="5">
        <f>INDEX('Default Prob'!$P$5:$P$14,MIN(1+_xlfn.IFNA(MATCH(F2558,'Default Prob'!$F$5:$F$14,1),0),COUNT('Default Prob'!$P$5:$P$14)))</f>
        <v>8.0322462664562722E-2</v>
      </c>
      <c r="H2558" s="5">
        <f t="shared" si="518"/>
        <v>0.71549043067553042</v>
      </c>
      <c r="I2558" s="24">
        <f t="shared" si="519"/>
        <v>1.5736145928302303E-4</v>
      </c>
      <c r="J2558" s="25">
        <f>INDEX('Default Prob'!$C$3:$C$13, _xlfn.IFNA(MATCH(F2558, 'Default Prob'!$B$3:$B$13, 1), 1))</f>
        <v>2.5000000000000001E-2</v>
      </c>
      <c r="K2558" s="26">
        <f t="shared" si="510"/>
        <v>0.7857269608077504</v>
      </c>
      <c r="L2558" s="27">
        <f t="shared" ca="1" si="511"/>
        <v>0</v>
      </c>
      <c r="M2558" s="27">
        <f t="shared" ca="1" si="512"/>
        <v>0</v>
      </c>
      <c r="N2558" s="28">
        <f t="shared" ca="1" si="513"/>
        <v>0</v>
      </c>
      <c r="O2558" s="29">
        <f t="shared" ca="1" si="514"/>
        <v>0</v>
      </c>
      <c r="P2558" s="30">
        <f t="shared" ca="1" si="515"/>
        <v>0</v>
      </c>
    </row>
    <row r="2559" spans="1:16" x14ac:dyDescent="0.25">
      <c r="A2559" s="3">
        <f t="shared" si="516"/>
        <v>49695</v>
      </c>
      <c r="B2559" s="21">
        <f t="shared" si="507"/>
        <v>36546</v>
      </c>
      <c r="C2559" s="21">
        <f t="shared" si="508"/>
        <v>36605</v>
      </c>
      <c r="D2559" s="1">
        <f t="shared" si="517"/>
        <v>0</v>
      </c>
      <c r="E2559" s="3">
        <f t="array" ref="E2559">INDEX($A$9:A2558, MAX(IF($D$9:D2558=1, ROW(D$9:$D2558)-ROW($D$9)+1, 0)))</f>
        <v>49663</v>
      </c>
      <c r="F2559" s="23">
        <f t="shared" si="509"/>
        <v>9.7741273100616013</v>
      </c>
      <c r="G2559" s="5">
        <f>INDEX('Default Prob'!$P$5:$P$14,MIN(1+_xlfn.IFNA(MATCH(F2559,'Default Prob'!$F$5:$F$14,1),0),COUNT('Default Prob'!$P$5:$P$14)))</f>
        <v>8.0322462664562722E-2</v>
      </c>
      <c r="H2559" s="5">
        <f t="shared" si="518"/>
        <v>0.71501855387743796</v>
      </c>
      <c r="I2559" s="24">
        <f t="shared" si="519"/>
        <v>4.7187679809246319E-4</v>
      </c>
      <c r="J2559" s="25">
        <f>INDEX('Default Prob'!$C$3:$C$13, _xlfn.IFNA(MATCH(F2559, 'Default Prob'!$B$3:$B$13, 1), 1))</f>
        <v>2.5000000000000001E-2</v>
      </c>
      <c r="K2559" s="26">
        <f t="shared" si="510"/>
        <v>0.78556762048648443</v>
      </c>
      <c r="L2559" s="27">
        <f t="shared" ca="1" si="511"/>
        <v>0</v>
      </c>
      <c r="M2559" s="27">
        <f t="shared" ca="1" si="512"/>
        <v>0</v>
      </c>
      <c r="N2559" s="28">
        <f t="shared" ca="1" si="513"/>
        <v>0</v>
      </c>
      <c r="O2559" s="29">
        <f t="shared" ca="1" si="514"/>
        <v>0</v>
      </c>
      <c r="P2559" s="30">
        <f t="shared" ca="1" si="515"/>
        <v>0</v>
      </c>
    </row>
    <row r="2560" spans="1:16" x14ac:dyDescent="0.25">
      <c r="A2560" s="3">
        <f t="shared" si="516"/>
        <v>49696</v>
      </c>
      <c r="B2560" s="21">
        <f t="shared" si="507"/>
        <v>36547</v>
      </c>
      <c r="C2560" s="21">
        <f t="shared" si="508"/>
        <v>36605</v>
      </c>
      <c r="D2560" s="1">
        <f t="shared" si="517"/>
        <v>0</v>
      </c>
      <c r="E2560" s="3">
        <f t="array" ref="E2560">INDEX($A$9:A2559, MAX(IF($D$9:D2559=1, ROW(D$9:$D2559)-ROW($D$9)+1, 0)))</f>
        <v>49663</v>
      </c>
      <c r="F2560" s="23">
        <f t="shared" si="509"/>
        <v>9.7768651608487342</v>
      </c>
      <c r="G2560" s="5">
        <f>INDEX('Default Prob'!$P$5:$P$14,MIN(1+_xlfn.IFNA(MATCH(F2560,'Default Prob'!$F$5:$F$14,1),0),COUNT('Default Prob'!$P$5:$P$14)))</f>
        <v>8.0322462664562722E-2</v>
      </c>
      <c r="H2560" s="5">
        <f t="shared" si="518"/>
        <v>0.71486133077930336</v>
      </c>
      <c r="I2560" s="24">
        <f t="shared" si="519"/>
        <v>1.5722309813459567E-4</v>
      </c>
      <c r="J2560" s="25">
        <f>INDEX('Default Prob'!$C$3:$C$13, _xlfn.IFNA(MATCH(F2560, 'Default Prob'!$B$3:$B$13, 1), 1))</f>
        <v>2.5000000000000001E-2</v>
      </c>
      <c r="K2560" s="26">
        <f t="shared" si="510"/>
        <v>0.78551451422709306</v>
      </c>
      <c r="L2560" s="27">
        <f t="shared" ca="1" si="511"/>
        <v>0</v>
      </c>
      <c r="M2560" s="27">
        <f t="shared" ca="1" si="512"/>
        <v>0</v>
      </c>
      <c r="N2560" s="28">
        <f t="shared" ca="1" si="513"/>
        <v>0</v>
      </c>
      <c r="O2560" s="29">
        <f t="shared" ca="1" si="514"/>
        <v>0</v>
      </c>
      <c r="P2560" s="30">
        <f t="shared" ca="1" si="515"/>
        <v>0</v>
      </c>
    </row>
    <row r="2561" spans="1:16" x14ac:dyDescent="0.25">
      <c r="A2561" s="3">
        <f t="shared" si="516"/>
        <v>49697</v>
      </c>
      <c r="B2561" s="21">
        <f t="shared" si="507"/>
        <v>36548</v>
      </c>
      <c r="C2561" s="21">
        <f t="shared" si="508"/>
        <v>36605</v>
      </c>
      <c r="D2561" s="1">
        <f t="shared" si="517"/>
        <v>0</v>
      </c>
      <c r="E2561" s="3">
        <f t="array" ref="E2561">INDEX($A$9:A2560, MAX(IF($D$9:D2560=1, ROW(D$9:$D2560)-ROW($D$9)+1, 0)))</f>
        <v>49663</v>
      </c>
      <c r="F2561" s="23">
        <f t="shared" si="509"/>
        <v>9.7796030116358654</v>
      </c>
      <c r="G2561" s="5">
        <f>INDEX('Default Prob'!$P$5:$P$14,MIN(1+_xlfn.IFNA(MATCH(F2561,'Default Prob'!$F$5:$F$14,1),0),COUNT('Default Prob'!$P$5:$P$14)))</f>
        <v>8.0322462664562722E-2</v>
      </c>
      <c r="H2561" s="5">
        <f t="shared" si="518"/>
        <v>0.71470414225244316</v>
      </c>
      <c r="I2561" s="24">
        <f t="shared" si="519"/>
        <v>1.5718852686019691E-4</v>
      </c>
      <c r="J2561" s="25">
        <f>INDEX('Default Prob'!$C$3:$C$13, _xlfn.IFNA(MATCH(F2561, 'Default Prob'!$B$3:$B$13, 1), 1))</f>
        <v>2.5000000000000001E-2</v>
      </c>
      <c r="K2561" s="26">
        <f t="shared" si="510"/>
        <v>0.78546141155781268</v>
      </c>
      <c r="L2561" s="27">
        <f t="shared" ca="1" si="511"/>
        <v>0</v>
      </c>
      <c r="M2561" s="27">
        <f t="shared" ca="1" si="512"/>
        <v>0</v>
      </c>
      <c r="N2561" s="28">
        <f t="shared" ca="1" si="513"/>
        <v>0</v>
      </c>
      <c r="O2561" s="29">
        <f t="shared" ca="1" si="514"/>
        <v>0</v>
      </c>
      <c r="P2561" s="30">
        <f t="shared" ca="1" si="515"/>
        <v>0</v>
      </c>
    </row>
    <row r="2562" spans="1:16" x14ac:dyDescent="0.25">
      <c r="A2562" s="3">
        <f t="shared" si="516"/>
        <v>49698</v>
      </c>
      <c r="B2562" s="21">
        <f t="shared" si="507"/>
        <v>36549</v>
      </c>
      <c r="C2562" s="21">
        <f t="shared" si="508"/>
        <v>36605</v>
      </c>
      <c r="D2562" s="1">
        <f t="shared" si="517"/>
        <v>0</v>
      </c>
      <c r="E2562" s="3">
        <f t="array" ref="E2562">INDEX($A$9:A2561, MAX(IF($D$9:D2561=1, ROW(D$9:$D2561)-ROW($D$9)+1, 0)))</f>
        <v>49663</v>
      </c>
      <c r="F2562" s="23">
        <f t="shared" si="509"/>
        <v>9.7823408624229984</v>
      </c>
      <c r="G2562" s="5">
        <f>INDEX('Default Prob'!$P$5:$P$14,MIN(1+_xlfn.IFNA(MATCH(F2562,'Default Prob'!$F$5:$F$14,1),0),COUNT('Default Prob'!$P$5:$P$14)))</f>
        <v>8.0322462664562722E-2</v>
      </c>
      <c r="H2562" s="5">
        <f t="shared" si="518"/>
        <v>0.71454698828925545</v>
      </c>
      <c r="I2562" s="24">
        <f t="shared" si="519"/>
        <v>1.5715396318771724E-4</v>
      </c>
      <c r="J2562" s="25">
        <f>INDEX('Default Prob'!$C$3:$C$13, _xlfn.IFNA(MATCH(F2562, 'Default Prob'!$B$3:$B$13, 1), 1))</f>
        <v>2.5000000000000001E-2</v>
      </c>
      <c r="K2562" s="26">
        <f t="shared" si="510"/>
        <v>0.78540831247840015</v>
      </c>
      <c r="L2562" s="27">
        <f t="shared" ca="1" si="511"/>
        <v>0</v>
      </c>
      <c r="M2562" s="27">
        <f t="shared" ca="1" si="512"/>
        <v>0</v>
      </c>
      <c r="N2562" s="28">
        <f t="shared" ca="1" si="513"/>
        <v>0</v>
      </c>
      <c r="O2562" s="29">
        <f t="shared" ca="1" si="514"/>
        <v>0</v>
      </c>
      <c r="P2562" s="30">
        <f t="shared" ca="1" si="515"/>
        <v>0</v>
      </c>
    </row>
    <row r="2563" spans="1:16" x14ac:dyDescent="0.25">
      <c r="A2563" s="3">
        <f t="shared" si="516"/>
        <v>49699</v>
      </c>
      <c r="B2563" s="21">
        <f t="shared" si="507"/>
        <v>36550</v>
      </c>
      <c r="C2563" s="21">
        <f t="shared" si="508"/>
        <v>36605</v>
      </c>
      <c r="D2563" s="1">
        <f t="shared" si="517"/>
        <v>0</v>
      </c>
      <c r="E2563" s="3">
        <f t="array" ref="E2563">INDEX($A$9:A2562, MAX(IF($D$9:D2562=1, ROW(D$9:$D2562)-ROW($D$9)+1, 0)))</f>
        <v>49663</v>
      </c>
      <c r="F2563" s="23">
        <f t="shared" si="509"/>
        <v>9.7850787132101296</v>
      </c>
      <c r="G2563" s="5">
        <f>INDEX('Default Prob'!$P$5:$P$14,MIN(1+_xlfn.IFNA(MATCH(F2563,'Default Prob'!$F$5:$F$14,1),0),COUNT('Default Prob'!$P$5:$P$14)))</f>
        <v>8.0322462664562722E-2</v>
      </c>
      <c r="H2563" s="5">
        <f t="shared" si="518"/>
        <v>0.71438986888214029</v>
      </c>
      <c r="I2563" s="24">
        <f t="shared" si="519"/>
        <v>1.5711940711515826E-4</v>
      </c>
      <c r="J2563" s="25">
        <f>INDEX('Default Prob'!$C$3:$C$13, _xlfn.IFNA(MATCH(F2563, 'Default Prob'!$B$3:$B$13, 1), 1))</f>
        <v>2.5000000000000001E-2</v>
      </c>
      <c r="K2563" s="26">
        <f t="shared" si="510"/>
        <v>0.78535521698861321</v>
      </c>
      <c r="L2563" s="27">
        <f t="shared" ca="1" si="511"/>
        <v>0</v>
      </c>
      <c r="M2563" s="27">
        <f t="shared" ca="1" si="512"/>
        <v>0</v>
      </c>
      <c r="N2563" s="28">
        <f t="shared" ca="1" si="513"/>
        <v>0</v>
      </c>
      <c r="O2563" s="29">
        <f t="shared" ca="1" si="514"/>
        <v>0</v>
      </c>
      <c r="P2563" s="30">
        <f t="shared" ca="1" si="515"/>
        <v>0</v>
      </c>
    </row>
    <row r="2564" spans="1:16" x14ac:dyDescent="0.25">
      <c r="A2564" s="3">
        <f t="shared" si="516"/>
        <v>49702</v>
      </c>
      <c r="B2564" s="21">
        <f t="shared" si="507"/>
        <v>36553</v>
      </c>
      <c r="C2564" s="21">
        <f t="shared" si="508"/>
        <v>36605</v>
      </c>
      <c r="D2564" s="1">
        <f t="shared" si="517"/>
        <v>0</v>
      </c>
      <c r="E2564" s="3">
        <f t="array" ref="E2564">INDEX($A$9:A2563, MAX(IF($D$9:D2563=1, ROW(D$9:$D2563)-ROW($D$9)+1, 0)))</f>
        <v>49663</v>
      </c>
      <c r="F2564" s="23">
        <f t="shared" si="509"/>
        <v>9.7932922655715267</v>
      </c>
      <c r="G2564" s="5">
        <f>INDEX('Default Prob'!$P$5:$P$14,MIN(1+_xlfn.IFNA(MATCH(F2564,'Default Prob'!$F$5:$F$14,1),0),COUNT('Default Prob'!$P$5:$P$14)))</f>
        <v>8.0322462664562722E-2</v>
      </c>
      <c r="H2564" s="5">
        <f t="shared" si="518"/>
        <v>0.71391871792125383</v>
      </c>
      <c r="I2564" s="24">
        <f t="shared" si="519"/>
        <v>4.7115096088645725E-4</v>
      </c>
      <c r="J2564" s="25">
        <f>INDEX('Default Prob'!$C$3:$C$13, _xlfn.IFNA(MATCH(F2564, 'Default Prob'!$B$3:$B$13, 1), 1))</f>
        <v>2.5000000000000001E-2</v>
      </c>
      <c r="K2564" s="26">
        <f t="shared" si="510"/>
        <v>0.78519595205457771</v>
      </c>
      <c r="L2564" s="27">
        <f t="shared" ca="1" si="511"/>
        <v>0</v>
      </c>
      <c r="M2564" s="27">
        <f t="shared" ca="1" si="512"/>
        <v>0</v>
      </c>
      <c r="N2564" s="28">
        <f t="shared" ca="1" si="513"/>
        <v>0</v>
      </c>
      <c r="O2564" s="29">
        <f t="shared" ca="1" si="514"/>
        <v>0</v>
      </c>
      <c r="P2564" s="30">
        <f t="shared" ca="1" si="515"/>
        <v>0</v>
      </c>
    </row>
    <row r="2565" spans="1:16" x14ac:dyDescent="0.25">
      <c r="A2565" s="3">
        <f t="shared" si="516"/>
        <v>49703</v>
      </c>
      <c r="B2565" s="21">
        <f t="shared" si="507"/>
        <v>36554</v>
      </c>
      <c r="C2565" s="21">
        <f t="shared" si="508"/>
        <v>36605</v>
      </c>
      <c r="D2565" s="1">
        <f t="shared" si="517"/>
        <v>0</v>
      </c>
      <c r="E2565" s="3">
        <f t="array" ref="E2565">INDEX($A$9:A2564, MAX(IF($D$9:D2564=1, ROW(D$9:$D2564)-ROW($D$9)+1, 0)))</f>
        <v>49663</v>
      </c>
      <c r="F2565" s="23">
        <f t="shared" si="509"/>
        <v>9.7960301163586578</v>
      </c>
      <c r="G2565" s="5">
        <f>INDEX('Default Prob'!$P$5:$P$14,MIN(1+_xlfn.IFNA(MATCH(F2565,'Default Prob'!$F$5:$F$14,1),0),COUNT('Default Prob'!$P$5:$P$14)))</f>
        <v>8.0322462664562722E-2</v>
      </c>
      <c r="H2565" s="5">
        <f t="shared" si="518"/>
        <v>0.71376173666246112</v>
      </c>
      <c r="I2565" s="24">
        <f t="shared" si="519"/>
        <v>1.5698125879270997E-4</v>
      </c>
      <c r="J2565" s="25">
        <f>INDEX('Default Prob'!$C$3:$C$13, _xlfn.IFNA(MATCH(F2565, 'Default Prob'!$B$3:$B$13, 1), 1))</f>
        <v>2.5000000000000001E-2</v>
      </c>
      <c r="K2565" s="26">
        <f t="shared" si="510"/>
        <v>0.78514287092086577</v>
      </c>
      <c r="L2565" s="27">
        <f t="shared" ca="1" si="511"/>
        <v>0</v>
      </c>
      <c r="M2565" s="27">
        <f t="shared" ca="1" si="512"/>
        <v>0</v>
      </c>
      <c r="N2565" s="28">
        <f t="shared" ca="1" si="513"/>
        <v>0</v>
      </c>
      <c r="O2565" s="29">
        <f t="shared" ca="1" si="514"/>
        <v>0</v>
      </c>
      <c r="P2565" s="30">
        <f t="shared" ca="1" si="515"/>
        <v>0</v>
      </c>
    </row>
    <row r="2566" spans="1:16" x14ac:dyDescent="0.25">
      <c r="A2566" s="3">
        <f t="shared" si="516"/>
        <v>49704</v>
      </c>
      <c r="B2566" s="21">
        <f t="shared" si="507"/>
        <v>36555</v>
      </c>
      <c r="C2566" s="21">
        <f t="shared" si="508"/>
        <v>36605</v>
      </c>
      <c r="D2566" s="1">
        <f t="shared" si="517"/>
        <v>0</v>
      </c>
      <c r="E2566" s="3">
        <f t="array" ref="E2566">INDEX($A$9:A2565, MAX(IF($D$9:D2565=1, ROW(D$9:$D2565)-ROW($D$9)+1, 0)))</f>
        <v>49663</v>
      </c>
      <c r="F2566" s="23">
        <f t="shared" si="509"/>
        <v>9.7987679671457908</v>
      </c>
      <c r="G2566" s="5">
        <f>INDEX('Default Prob'!$P$5:$P$14,MIN(1+_xlfn.IFNA(MATCH(F2566,'Default Prob'!$F$5:$F$14,1),0),COUNT('Default Prob'!$P$5:$P$14)))</f>
        <v>8.0322462664562722E-2</v>
      </c>
      <c r="H2566" s="5">
        <f t="shared" si="518"/>
        <v>0.71360478992176546</v>
      </c>
      <c r="I2566" s="24">
        <f t="shared" si="519"/>
        <v>1.5694674069566261E-4</v>
      </c>
      <c r="J2566" s="25">
        <f>INDEX('Default Prob'!$C$3:$C$13, _xlfn.IFNA(MATCH(F2566, 'Default Prob'!$B$3:$B$13, 1), 1))</f>
        <v>2.5000000000000001E-2</v>
      </c>
      <c r="K2566" s="26">
        <f t="shared" si="510"/>
        <v>0.78508979337556617</v>
      </c>
      <c r="L2566" s="27">
        <f t="shared" ca="1" si="511"/>
        <v>0</v>
      </c>
      <c r="M2566" s="27">
        <f t="shared" ca="1" si="512"/>
        <v>0</v>
      </c>
      <c r="N2566" s="28">
        <f t="shared" ca="1" si="513"/>
        <v>0</v>
      </c>
      <c r="O2566" s="29">
        <f t="shared" ca="1" si="514"/>
        <v>0</v>
      </c>
      <c r="P2566" s="30">
        <f t="shared" ca="1" si="515"/>
        <v>0</v>
      </c>
    </row>
    <row r="2567" spans="1:16" x14ac:dyDescent="0.25">
      <c r="A2567" s="3">
        <f t="shared" si="516"/>
        <v>49705</v>
      </c>
      <c r="B2567" s="21">
        <f t="shared" si="507"/>
        <v>36556</v>
      </c>
      <c r="C2567" s="21">
        <f t="shared" si="508"/>
        <v>36605</v>
      </c>
      <c r="D2567" s="1">
        <f t="shared" si="517"/>
        <v>0</v>
      </c>
      <c r="E2567" s="3">
        <f t="array" ref="E2567">INDEX($A$9:A2566, MAX(IF($D$9:D2566=1, ROW(D$9:$D2566)-ROW($D$9)+1, 0)))</f>
        <v>49663</v>
      </c>
      <c r="F2567" s="23">
        <f t="shared" si="509"/>
        <v>9.801505817932922</v>
      </c>
      <c r="G2567" s="5">
        <f>INDEX('Default Prob'!$P$5:$P$14,MIN(1+_xlfn.IFNA(MATCH(F2567,'Default Prob'!$F$5:$F$14,1),0),COUNT('Default Prob'!$P$5:$P$14)))</f>
        <v>8.0322462664562722E-2</v>
      </c>
      <c r="H2567" s="5">
        <f t="shared" si="518"/>
        <v>0.71344787769157691</v>
      </c>
      <c r="I2567" s="24">
        <f t="shared" si="519"/>
        <v>1.5691223018854394E-4</v>
      </c>
      <c r="J2567" s="25">
        <f>INDEX('Default Prob'!$C$3:$C$13, _xlfn.IFNA(MATCH(F2567, 'Default Prob'!$B$3:$B$13, 1), 1))</f>
        <v>2.5000000000000001E-2</v>
      </c>
      <c r="K2567" s="26">
        <f t="shared" si="510"/>
        <v>0.785036719418436</v>
      </c>
      <c r="L2567" s="27">
        <f t="shared" ca="1" si="511"/>
        <v>0</v>
      </c>
      <c r="M2567" s="27">
        <f t="shared" ca="1" si="512"/>
        <v>0</v>
      </c>
      <c r="N2567" s="28">
        <f t="shared" ca="1" si="513"/>
        <v>0</v>
      </c>
      <c r="O2567" s="29">
        <f t="shared" ca="1" si="514"/>
        <v>0</v>
      </c>
      <c r="P2567" s="30">
        <f t="shared" ca="1" si="515"/>
        <v>0</v>
      </c>
    </row>
    <row r="2568" spans="1:16" x14ac:dyDescent="0.25">
      <c r="A2568" s="3">
        <f t="shared" si="516"/>
        <v>49706</v>
      </c>
      <c r="B2568" s="21">
        <f t="shared" si="507"/>
        <v>36557</v>
      </c>
      <c r="C2568" s="21">
        <f t="shared" si="508"/>
        <v>36605</v>
      </c>
      <c r="D2568" s="1">
        <f t="shared" si="517"/>
        <v>0</v>
      </c>
      <c r="E2568" s="3">
        <f t="array" ref="E2568">INDEX($A$9:A2567, MAX(IF($D$9:D2567=1, ROW(D$9:$D2567)-ROW($D$9)+1, 0)))</f>
        <v>49663</v>
      </c>
      <c r="F2568" s="23">
        <f t="shared" si="509"/>
        <v>9.8042436687200549</v>
      </c>
      <c r="G2568" s="5">
        <f>INDEX('Default Prob'!$P$5:$P$14,MIN(1+_xlfn.IFNA(MATCH(F2568,'Default Prob'!$F$5:$F$14,1),0),COUNT('Default Prob'!$P$5:$P$14)))</f>
        <v>8.0322462664562722E-2</v>
      </c>
      <c r="H2568" s="5">
        <f t="shared" si="518"/>
        <v>0.71329099996430689</v>
      </c>
      <c r="I2568" s="24">
        <f t="shared" si="519"/>
        <v>1.5687772727002169E-4</v>
      </c>
      <c r="J2568" s="25">
        <f>INDEX('Default Prob'!$C$3:$C$13, _xlfn.IFNA(MATCH(F2568, 'Default Prob'!$B$3:$B$13, 1), 1))</f>
        <v>2.5000000000000001E-2</v>
      </c>
      <c r="K2568" s="26">
        <f t="shared" si="510"/>
        <v>0.78498364904923301</v>
      </c>
      <c r="L2568" s="27">
        <f t="shared" ca="1" si="511"/>
        <v>0</v>
      </c>
      <c r="M2568" s="27">
        <f t="shared" ca="1" si="512"/>
        <v>0</v>
      </c>
      <c r="N2568" s="28">
        <f t="shared" ca="1" si="513"/>
        <v>0</v>
      </c>
      <c r="O2568" s="29">
        <f t="shared" ca="1" si="514"/>
        <v>0</v>
      </c>
      <c r="P2568" s="30">
        <f t="shared" ca="1" si="515"/>
        <v>0</v>
      </c>
    </row>
    <row r="2569" spans="1:16" x14ac:dyDescent="0.25">
      <c r="A2569" s="3">
        <f t="shared" si="516"/>
        <v>49709</v>
      </c>
      <c r="B2569" s="21">
        <f t="shared" ref="B2569:B2632" si="520">DATE(2000, MONTH(A2569), DAY(A2569))</f>
        <v>36560</v>
      </c>
      <c r="C2569" s="21">
        <f t="shared" ref="C2569:C2632" si="521">VLOOKUP(B2569, $R$9:$S$13, 2)</f>
        <v>36605</v>
      </c>
      <c r="D2569" s="1">
        <f t="shared" si="517"/>
        <v>0</v>
      </c>
      <c r="E2569" s="3">
        <f t="array" ref="E2569">INDEX($A$9:A2568, MAX(IF($D$9:D2568=1, ROW(D$9:$D2568)-ROW($D$9)+1, 0)))</f>
        <v>49663</v>
      </c>
      <c r="F2569" s="23">
        <f t="shared" ref="F2569:F2632" si="522">(A2569-$A$2)/365.25</f>
        <v>9.8124572210814502</v>
      </c>
      <c r="G2569" s="5">
        <f>INDEX('Default Prob'!$P$5:$P$14,MIN(1+_xlfn.IFNA(MATCH(F2569,'Default Prob'!$F$5:$F$14,1),0),COUNT('Default Prob'!$P$5:$P$14)))</f>
        <v>8.0322462664562722E-2</v>
      </c>
      <c r="H2569" s="5">
        <f t="shared" si="518"/>
        <v>0.71282057372414953</v>
      </c>
      <c r="I2569" s="24">
        <f t="shared" si="519"/>
        <v>4.7042624015736223E-4</v>
      </c>
      <c r="J2569" s="25">
        <f>INDEX('Default Prob'!$C$3:$C$13, _xlfn.IFNA(MATCH(F2569, 'Default Prob'!$B$3:$B$13, 1), 1))</f>
        <v>2.5000000000000001E-2</v>
      </c>
      <c r="K2569" s="26">
        <f t="shared" ref="K2569:K2632" si="523">1/((1+J2569)^F2569)</f>
        <v>0.78482445946676094</v>
      </c>
      <c r="L2569" s="27">
        <f t="shared" ref="L2569:L2632" ca="1" si="524">IF(AND(D2569, A2569 &lt;= $G$2), $D$5*$D$2*(A2569-E2569)/365.25, 0)</f>
        <v>0</v>
      </c>
      <c r="M2569" s="27">
        <f t="shared" ref="M2569:M2632" ca="1" si="525">IF(A2569&lt;=$G$2, $D$5*$D$2*(A2569-E2569)/365.25, 0)</f>
        <v>0</v>
      </c>
      <c r="N2569" s="28">
        <f t="shared" ref="N2569:N2632" ca="1" si="526">(L2569*H2569 + M2569*I2569) * K2569</f>
        <v>0</v>
      </c>
      <c r="O2569" s="29">
        <f t="shared" ref="O2569:O2632" ca="1" si="527">IF(A2569&lt;=$G$2, $D$2*(1-$D$3), 0)</f>
        <v>0</v>
      </c>
      <c r="P2569" s="30">
        <f t="shared" ref="P2569:P2632" ca="1" si="528">O2569*I2569*K2569</f>
        <v>0</v>
      </c>
    </row>
    <row r="2570" spans="1:16" x14ac:dyDescent="0.25">
      <c r="A2570" s="3">
        <f t="shared" ref="A2570:A2633" si="529">WORKDAY(A2569, 1)</f>
        <v>49710</v>
      </c>
      <c r="B2570" s="21">
        <f t="shared" si="520"/>
        <v>36561</v>
      </c>
      <c r="C2570" s="21">
        <f t="shared" si="521"/>
        <v>36605</v>
      </c>
      <c r="D2570" s="1">
        <f t="shared" ref="D2570:D2633" si="530">IF(OR(C2570=B2570, AND(C2570&lt;&gt;C2569, C2569&gt;B2569)), 1, 0)</f>
        <v>0</v>
      </c>
      <c r="E2570" s="3">
        <f t="array" ref="E2570">INDEX($A$9:A2569, MAX(IF($D$9:D2569=1, ROW(D$9:$D2569)-ROW($D$9)+1, 0)))</f>
        <v>49663</v>
      </c>
      <c r="F2570" s="23">
        <f t="shared" si="522"/>
        <v>9.8151950718685832</v>
      </c>
      <c r="G2570" s="5">
        <f>INDEX('Default Prob'!$P$5:$P$14,MIN(1+_xlfn.IFNA(MATCH(F2570,'Default Prob'!$F$5:$F$14,1),0),COUNT('Default Prob'!$P$5:$P$14)))</f>
        <v>8.0322462664562722E-2</v>
      </c>
      <c r="H2570" s="5">
        <f t="shared" ref="H2570:H2633" si="531">H2569*EXP(-G2569*(F2570-F2569))</f>
        <v>0.71266383393270316</v>
      </c>
      <c r="I2570" s="24">
        <f t="shared" ref="I2570:I2633" si="532">H2569-H2570</f>
        <v>1.5673979144636974E-4</v>
      </c>
      <c r="J2570" s="25">
        <f>INDEX('Default Prob'!$C$3:$C$13, _xlfn.IFNA(MATCH(F2570, 'Default Prob'!$B$3:$B$13, 1), 1))</f>
        <v>2.5000000000000001E-2</v>
      </c>
      <c r="K2570" s="26">
        <f t="shared" si="523"/>
        <v>0.78477140344684093</v>
      </c>
      <c r="L2570" s="27">
        <f t="shared" ca="1" si="524"/>
        <v>0</v>
      </c>
      <c r="M2570" s="27">
        <f t="shared" ca="1" si="525"/>
        <v>0</v>
      </c>
      <c r="N2570" s="28">
        <f t="shared" ca="1" si="526"/>
        <v>0</v>
      </c>
      <c r="O2570" s="29">
        <f t="shared" ca="1" si="527"/>
        <v>0</v>
      </c>
      <c r="P2570" s="30">
        <f t="shared" ca="1" si="528"/>
        <v>0</v>
      </c>
    </row>
    <row r="2571" spans="1:16" x14ac:dyDescent="0.25">
      <c r="A2571" s="3">
        <f t="shared" si="529"/>
        <v>49711</v>
      </c>
      <c r="B2571" s="21">
        <f t="shared" si="520"/>
        <v>36562</v>
      </c>
      <c r="C2571" s="21">
        <f t="shared" si="521"/>
        <v>36605</v>
      </c>
      <c r="D2571" s="1">
        <f t="shared" si="530"/>
        <v>0</v>
      </c>
      <c r="E2571" s="3">
        <f t="array" ref="E2571">INDEX($A$9:A2570, MAX(IF($D$9:D2570=1, ROW(D$9:$D2570)-ROW($D$9)+1, 0)))</f>
        <v>49663</v>
      </c>
      <c r="F2571" s="23">
        <f t="shared" si="522"/>
        <v>9.8179329226557144</v>
      </c>
      <c r="G2571" s="5">
        <f>INDEX('Default Prob'!$P$5:$P$14,MIN(1+_xlfn.IFNA(MATCH(F2571,'Default Prob'!$F$5:$F$14,1),0),COUNT('Default Prob'!$P$5:$P$14)))</f>
        <v>8.0322462664562722E-2</v>
      </c>
      <c r="H2571" s="5">
        <f t="shared" si="531"/>
        <v>0.71250712860625853</v>
      </c>
      <c r="I2571" s="24">
        <f t="shared" si="532"/>
        <v>1.5670532644462831E-4</v>
      </c>
      <c r="J2571" s="25">
        <f>INDEX('Default Prob'!$C$3:$C$13, _xlfn.IFNA(MATCH(F2571, 'Default Prob'!$B$3:$B$13, 1), 1))</f>
        <v>2.5000000000000001E-2</v>
      </c>
      <c r="K2571" s="26">
        <f t="shared" si="523"/>
        <v>0.78471835101363541</v>
      </c>
      <c r="L2571" s="27">
        <f t="shared" ca="1" si="524"/>
        <v>0</v>
      </c>
      <c r="M2571" s="27">
        <f t="shared" ca="1" si="525"/>
        <v>0</v>
      </c>
      <c r="N2571" s="28">
        <f t="shared" ca="1" si="526"/>
        <v>0</v>
      </c>
      <c r="O2571" s="29">
        <f t="shared" ca="1" si="527"/>
        <v>0</v>
      </c>
      <c r="P2571" s="30">
        <f t="shared" ca="1" si="528"/>
        <v>0</v>
      </c>
    </row>
    <row r="2572" spans="1:16" x14ac:dyDescent="0.25">
      <c r="A2572" s="3">
        <f t="shared" si="529"/>
        <v>49712</v>
      </c>
      <c r="B2572" s="21">
        <f t="shared" si="520"/>
        <v>36563</v>
      </c>
      <c r="C2572" s="21">
        <f t="shared" si="521"/>
        <v>36605</v>
      </c>
      <c r="D2572" s="1">
        <f t="shared" si="530"/>
        <v>0</v>
      </c>
      <c r="E2572" s="3">
        <f t="array" ref="E2572">INDEX($A$9:A2571, MAX(IF($D$9:D2571=1, ROW(D$9:$D2571)-ROW($D$9)+1, 0)))</f>
        <v>49663</v>
      </c>
      <c r="F2572" s="23">
        <f t="shared" si="522"/>
        <v>9.8206707734428473</v>
      </c>
      <c r="G2572" s="5">
        <f>INDEX('Default Prob'!$P$5:$P$14,MIN(1+_xlfn.IFNA(MATCH(F2572,'Default Prob'!$F$5:$F$14,1),0),COUNT('Default Prob'!$P$5:$P$14)))</f>
        <v>8.0322462664562722E-2</v>
      </c>
      <c r="H2572" s="5">
        <f t="shared" si="531"/>
        <v>0.71235045773723704</v>
      </c>
      <c r="I2572" s="24">
        <f t="shared" si="532"/>
        <v>1.566708690214913E-4</v>
      </c>
      <c r="J2572" s="25">
        <f>INDEX('Default Prob'!$C$3:$C$13, _xlfn.IFNA(MATCH(F2572, 'Default Prob'!$B$3:$B$13, 1), 1))</f>
        <v>2.5000000000000001E-2</v>
      </c>
      <c r="K2572" s="26">
        <f t="shared" si="523"/>
        <v>0.78466530216690167</v>
      </c>
      <c r="L2572" s="27">
        <f t="shared" ca="1" si="524"/>
        <v>0</v>
      </c>
      <c r="M2572" s="27">
        <f t="shared" ca="1" si="525"/>
        <v>0</v>
      </c>
      <c r="N2572" s="28">
        <f t="shared" ca="1" si="526"/>
        <v>0</v>
      </c>
      <c r="O2572" s="29">
        <f t="shared" ca="1" si="527"/>
        <v>0</v>
      </c>
      <c r="P2572" s="30">
        <f t="shared" ca="1" si="528"/>
        <v>0</v>
      </c>
    </row>
    <row r="2573" spans="1:16" x14ac:dyDescent="0.25">
      <c r="A2573" s="3">
        <f t="shared" si="529"/>
        <v>49713</v>
      </c>
      <c r="B2573" s="21">
        <f t="shared" si="520"/>
        <v>36564</v>
      </c>
      <c r="C2573" s="21">
        <f t="shared" si="521"/>
        <v>36605</v>
      </c>
      <c r="D2573" s="1">
        <f t="shared" si="530"/>
        <v>0</v>
      </c>
      <c r="E2573" s="3">
        <f t="array" ref="E2573">INDEX($A$9:A2572, MAX(IF($D$9:D2572=1, ROW(D$9:$D2572)-ROW($D$9)+1, 0)))</f>
        <v>49663</v>
      </c>
      <c r="F2573" s="23">
        <f t="shared" si="522"/>
        <v>9.8234086242299803</v>
      </c>
      <c r="G2573" s="5">
        <f>INDEX('Default Prob'!$P$5:$P$14,MIN(1+_xlfn.IFNA(MATCH(F2573,'Default Prob'!$F$5:$F$14,1),0),COUNT('Default Prob'!$P$5:$P$14)))</f>
        <v>8.0322462664562722E-2</v>
      </c>
      <c r="H2573" s="5">
        <f t="shared" si="531"/>
        <v>0.71219382131806208</v>
      </c>
      <c r="I2573" s="24">
        <f t="shared" si="532"/>
        <v>1.566364191749603E-4</v>
      </c>
      <c r="J2573" s="25">
        <f>INDEX('Default Prob'!$C$3:$C$13, _xlfn.IFNA(MATCH(F2573, 'Default Prob'!$B$3:$B$13, 1), 1))</f>
        <v>2.5000000000000001E-2</v>
      </c>
      <c r="K2573" s="26">
        <f t="shared" si="523"/>
        <v>0.78461225690639769</v>
      </c>
      <c r="L2573" s="27">
        <f t="shared" ca="1" si="524"/>
        <v>0</v>
      </c>
      <c r="M2573" s="27">
        <f t="shared" ca="1" si="525"/>
        <v>0</v>
      </c>
      <c r="N2573" s="28">
        <f t="shared" ca="1" si="526"/>
        <v>0</v>
      </c>
      <c r="O2573" s="29">
        <f t="shared" ca="1" si="527"/>
        <v>0</v>
      </c>
      <c r="P2573" s="30">
        <f t="shared" ca="1" si="528"/>
        <v>0</v>
      </c>
    </row>
    <row r="2574" spans="1:16" x14ac:dyDescent="0.25">
      <c r="A2574" s="3">
        <f t="shared" si="529"/>
        <v>49716</v>
      </c>
      <c r="B2574" s="21">
        <f t="shared" si="520"/>
        <v>36567</v>
      </c>
      <c r="C2574" s="21">
        <f t="shared" si="521"/>
        <v>36605</v>
      </c>
      <c r="D2574" s="1">
        <f t="shared" si="530"/>
        <v>0</v>
      </c>
      <c r="E2574" s="3">
        <f t="array" ref="E2574">INDEX($A$9:A2573, MAX(IF($D$9:D2573=1, ROW(D$9:$D2573)-ROW($D$9)+1, 0)))</f>
        <v>49663</v>
      </c>
      <c r="F2574" s="23">
        <f t="shared" si="522"/>
        <v>9.8316221765913756</v>
      </c>
      <c r="G2574" s="5">
        <f>INDEX('Default Prob'!$P$5:$P$14,MIN(1+_xlfn.IFNA(MATCH(F2574,'Default Prob'!$F$5:$F$14,1),0),COUNT('Default Prob'!$P$5:$P$14)))</f>
        <v>8.0322462664562722E-2</v>
      </c>
      <c r="H2574" s="5">
        <f t="shared" si="531"/>
        <v>0.71172411868387386</v>
      </c>
      <c r="I2574" s="24">
        <f t="shared" si="532"/>
        <v>4.6970263418821823E-4</v>
      </c>
      <c r="J2574" s="25">
        <f>INDEX('Default Prob'!$C$3:$C$13, _xlfn.IFNA(MATCH(F2574, 'Default Prob'!$B$3:$B$13, 1), 1))</f>
        <v>2.5000000000000001E-2</v>
      </c>
      <c r="K2574" s="26">
        <f t="shared" si="523"/>
        <v>0.78445314263983856</v>
      </c>
      <c r="L2574" s="27">
        <f t="shared" ca="1" si="524"/>
        <v>0</v>
      </c>
      <c r="M2574" s="27">
        <f t="shared" ca="1" si="525"/>
        <v>0</v>
      </c>
      <c r="N2574" s="28">
        <f t="shared" ca="1" si="526"/>
        <v>0</v>
      </c>
      <c r="O2574" s="29">
        <f t="shared" ca="1" si="527"/>
        <v>0</v>
      </c>
      <c r="P2574" s="30">
        <f t="shared" ca="1" si="528"/>
        <v>0</v>
      </c>
    </row>
    <row r="2575" spans="1:16" x14ac:dyDescent="0.25">
      <c r="A2575" s="3">
        <f t="shared" si="529"/>
        <v>49717</v>
      </c>
      <c r="B2575" s="21">
        <f t="shared" si="520"/>
        <v>36568</v>
      </c>
      <c r="C2575" s="21">
        <f t="shared" si="521"/>
        <v>36605</v>
      </c>
      <c r="D2575" s="1">
        <f t="shared" si="530"/>
        <v>0</v>
      </c>
      <c r="E2575" s="3">
        <f t="array" ref="E2575">INDEX($A$9:A2574, MAX(IF($D$9:D2574=1, ROW(D$9:$D2574)-ROW($D$9)+1, 0)))</f>
        <v>49663</v>
      </c>
      <c r="F2575" s="23">
        <f t="shared" si="522"/>
        <v>9.8343600273785086</v>
      </c>
      <c r="G2575" s="5">
        <f>INDEX('Default Prob'!$P$5:$P$14,MIN(1+_xlfn.IFNA(MATCH(F2575,'Default Prob'!$F$5:$F$14,1),0),COUNT('Default Prob'!$P$5:$P$14)))</f>
        <v>8.0322462664562722E-2</v>
      </c>
      <c r="H2575" s="5">
        <f t="shared" si="531"/>
        <v>0.71156761998835083</v>
      </c>
      <c r="I2575" s="24">
        <f t="shared" si="532"/>
        <v>1.5649869552303297E-4</v>
      </c>
      <c r="J2575" s="25">
        <f>INDEX('Default Prob'!$C$3:$C$13, _xlfn.IFNA(MATCH(F2575, 'Default Prob'!$B$3:$B$13, 1), 1))</f>
        <v>2.5000000000000001E-2</v>
      </c>
      <c r="K2575" s="26">
        <f t="shared" si="523"/>
        <v>0.78440011172182855</v>
      </c>
      <c r="L2575" s="27">
        <f t="shared" ca="1" si="524"/>
        <v>0</v>
      </c>
      <c r="M2575" s="27">
        <f t="shared" ca="1" si="525"/>
        <v>0</v>
      </c>
      <c r="N2575" s="28">
        <f t="shared" ca="1" si="526"/>
        <v>0</v>
      </c>
      <c r="O2575" s="29">
        <f t="shared" ca="1" si="527"/>
        <v>0</v>
      </c>
      <c r="P2575" s="30">
        <f t="shared" ca="1" si="528"/>
        <v>0</v>
      </c>
    </row>
    <row r="2576" spans="1:16" x14ac:dyDescent="0.25">
      <c r="A2576" s="3">
        <f t="shared" si="529"/>
        <v>49718</v>
      </c>
      <c r="B2576" s="21">
        <f t="shared" si="520"/>
        <v>36569</v>
      </c>
      <c r="C2576" s="21">
        <f t="shared" si="521"/>
        <v>36605</v>
      </c>
      <c r="D2576" s="1">
        <f t="shared" si="530"/>
        <v>0</v>
      </c>
      <c r="E2576" s="3">
        <f t="array" ref="E2576">INDEX($A$9:A2575, MAX(IF($D$9:D2575=1, ROW(D$9:$D2575)-ROW($D$9)+1, 0)))</f>
        <v>49663</v>
      </c>
      <c r="F2576" s="23">
        <f t="shared" si="522"/>
        <v>9.8370978781656397</v>
      </c>
      <c r="G2576" s="5">
        <f>INDEX('Default Prob'!$P$5:$P$14,MIN(1+_xlfn.IFNA(MATCH(F2576,'Default Prob'!$F$5:$F$14,1),0),COUNT('Default Prob'!$P$5:$P$14)))</f>
        <v>8.0322462664562722E-2</v>
      </c>
      <c r="H2576" s="5">
        <f t="shared" si="531"/>
        <v>0.71141115570481572</v>
      </c>
      <c r="I2576" s="24">
        <f t="shared" si="532"/>
        <v>1.5646428353510711E-4</v>
      </c>
      <c r="J2576" s="25">
        <f>INDEX('Default Prob'!$C$3:$C$13, _xlfn.IFNA(MATCH(F2576, 'Default Prob'!$B$3:$B$13, 1), 1))</f>
        <v>2.5000000000000001E-2</v>
      </c>
      <c r="K2576" s="26">
        <f t="shared" si="523"/>
        <v>0.78434708438883605</v>
      </c>
      <c r="L2576" s="27">
        <f t="shared" ca="1" si="524"/>
        <v>0</v>
      </c>
      <c r="M2576" s="27">
        <f t="shared" ca="1" si="525"/>
        <v>0</v>
      </c>
      <c r="N2576" s="28">
        <f t="shared" ca="1" si="526"/>
        <v>0</v>
      </c>
      <c r="O2576" s="29">
        <f t="shared" ca="1" si="527"/>
        <v>0</v>
      </c>
      <c r="P2576" s="30">
        <f t="shared" ca="1" si="528"/>
        <v>0</v>
      </c>
    </row>
    <row r="2577" spans="1:16" x14ac:dyDescent="0.25">
      <c r="A2577" s="3">
        <f t="shared" si="529"/>
        <v>49719</v>
      </c>
      <c r="B2577" s="21">
        <f t="shared" si="520"/>
        <v>36570</v>
      </c>
      <c r="C2577" s="21">
        <f t="shared" si="521"/>
        <v>36605</v>
      </c>
      <c r="D2577" s="1">
        <f t="shared" si="530"/>
        <v>0</v>
      </c>
      <c r="E2577" s="3">
        <f t="array" ref="E2577">INDEX($A$9:A2576, MAX(IF($D$9:D2576=1, ROW(D$9:$D2576)-ROW($D$9)+1, 0)))</f>
        <v>49663</v>
      </c>
      <c r="F2577" s="23">
        <f t="shared" si="522"/>
        <v>9.8398357289527727</v>
      </c>
      <c r="G2577" s="5">
        <f>INDEX('Default Prob'!$P$5:$P$14,MIN(1+_xlfn.IFNA(MATCH(F2577,'Default Prob'!$F$5:$F$14,1),0),COUNT('Default Prob'!$P$5:$P$14)))</f>
        <v>8.0322462664562722E-2</v>
      </c>
      <c r="H2577" s="5">
        <f t="shared" si="531"/>
        <v>0.71125472582570159</v>
      </c>
      <c r="I2577" s="24">
        <f t="shared" si="532"/>
        <v>1.5642987911412831E-4</v>
      </c>
      <c r="J2577" s="25">
        <f>INDEX('Default Prob'!$C$3:$C$13, _xlfn.IFNA(MATCH(F2577, 'Default Prob'!$B$3:$B$13, 1), 1))</f>
        <v>2.5000000000000001E-2</v>
      </c>
      <c r="K2577" s="26">
        <f t="shared" si="523"/>
        <v>0.78429406064061868</v>
      </c>
      <c r="L2577" s="27">
        <f t="shared" ca="1" si="524"/>
        <v>0</v>
      </c>
      <c r="M2577" s="27">
        <f t="shared" ca="1" si="525"/>
        <v>0</v>
      </c>
      <c r="N2577" s="28">
        <f t="shared" ca="1" si="526"/>
        <v>0</v>
      </c>
      <c r="O2577" s="29">
        <f t="shared" ca="1" si="527"/>
        <v>0</v>
      </c>
      <c r="P2577" s="30">
        <f t="shared" ca="1" si="528"/>
        <v>0</v>
      </c>
    </row>
    <row r="2578" spans="1:16" x14ac:dyDescent="0.25">
      <c r="A2578" s="3">
        <f t="shared" si="529"/>
        <v>49720</v>
      </c>
      <c r="B2578" s="21">
        <f t="shared" si="520"/>
        <v>36571</v>
      </c>
      <c r="C2578" s="21">
        <f t="shared" si="521"/>
        <v>36605</v>
      </c>
      <c r="D2578" s="1">
        <f t="shared" si="530"/>
        <v>0</v>
      </c>
      <c r="E2578" s="3">
        <f t="array" ref="E2578">INDEX($A$9:A2577, MAX(IF($D$9:D2577=1, ROW(D$9:$D2577)-ROW($D$9)+1, 0)))</f>
        <v>49663</v>
      </c>
      <c r="F2578" s="23">
        <f t="shared" si="522"/>
        <v>9.8425735797399039</v>
      </c>
      <c r="G2578" s="5">
        <f>INDEX('Default Prob'!$P$5:$P$14,MIN(1+_xlfn.IFNA(MATCH(F2578,'Default Prob'!$F$5:$F$14,1),0),COUNT('Default Prob'!$P$5:$P$14)))</f>
        <v>8.0322462664562722E-2</v>
      </c>
      <c r="H2578" s="5">
        <f t="shared" si="531"/>
        <v>0.7110983303434435</v>
      </c>
      <c r="I2578" s="24">
        <f t="shared" si="532"/>
        <v>1.5639548225809818E-4</v>
      </c>
      <c r="J2578" s="25">
        <f>INDEX('Default Prob'!$C$3:$C$13, _xlfn.IFNA(MATCH(F2578, 'Default Prob'!$B$3:$B$13, 1), 1))</f>
        <v>2.5000000000000001E-2</v>
      </c>
      <c r="K2578" s="26">
        <f t="shared" si="523"/>
        <v>0.78424104047693399</v>
      </c>
      <c r="L2578" s="27">
        <f t="shared" ca="1" si="524"/>
        <v>0</v>
      </c>
      <c r="M2578" s="27">
        <f t="shared" ca="1" si="525"/>
        <v>0</v>
      </c>
      <c r="N2578" s="28">
        <f t="shared" ca="1" si="526"/>
        <v>0</v>
      </c>
      <c r="O2578" s="29">
        <f t="shared" ca="1" si="527"/>
        <v>0</v>
      </c>
      <c r="P2578" s="30">
        <f t="shared" ca="1" si="528"/>
        <v>0</v>
      </c>
    </row>
    <row r="2579" spans="1:16" x14ac:dyDescent="0.25">
      <c r="A2579" s="3">
        <f t="shared" si="529"/>
        <v>49723</v>
      </c>
      <c r="B2579" s="21">
        <f t="shared" si="520"/>
        <v>36574</v>
      </c>
      <c r="C2579" s="21">
        <f t="shared" si="521"/>
        <v>36605</v>
      </c>
      <c r="D2579" s="1">
        <f t="shared" si="530"/>
        <v>0</v>
      </c>
      <c r="E2579" s="3">
        <f t="array" ref="E2579">INDEX($A$9:A2578, MAX(IF($D$9:D2578=1, ROW(D$9:$D2578)-ROW($D$9)+1, 0)))</f>
        <v>49663</v>
      </c>
      <c r="F2579" s="23">
        <f t="shared" si="522"/>
        <v>9.850787132101301</v>
      </c>
      <c r="G2579" s="5">
        <f>INDEX('Default Prob'!$P$5:$P$14,MIN(1+_xlfn.IFNA(MATCH(F2579,'Default Prob'!$F$5:$F$14,1),0),COUNT('Default Prob'!$P$5:$P$14)))</f>
        <v>8.0322462664562722E-2</v>
      </c>
      <c r="H2579" s="5">
        <f t="shared" si="531"/>
        <v>0.71062935020217932</v>
      </c>
      <c r="I2579" s="24">
        <f t="shared" si="532"/>
        <v>4.6898014126417475E-4</v>
      </c>
      <c r="J2579" s="25">
        <f>INDEX('Default Prob'!$C$3:$C$13, _xlfn.IFNA(MATCH(F2579, 'Default Prob'!$B$3:$B$13, 1), 1))</f>
        <v>2.5000000000000001E-2</v>
      </c>
      <c r="K2579" s="26">
        <f t="shared" si="523"/>
        <v>0.78408200149065443</v>
      </c>
      <c r="L2579" s="27">
        <f t="shared" ca="1" si="524"/>
        <v>0</v>
      </c>
      <c r="M2579" s="27">
        <f t="shared" ca="1" si="525"/>
        <v>0</v>
      </c>
      <c r="N2579" s="28">
        <f t="shared" ca="1" si="526"/>
        <v>0</v>
      </c>
      <c r="O2579" s="29">
        <f t="shared" ca="1" si="527"/>
        <v>0</v>
      </c>
      <c r="P2579" s="30">
        <f t="shared" ca="1" si="528"/>
        <v>0</v>
      </c>
    </row>
    <row r="2580" spans="1:16" x14ac:dyDescent="0.25">
      <c r="A2580" s="3">
        <f t="shared" si="529"/>
        <v>49724</v>
      </c>
      <c r="B2580" s="21">
        <f t="shared" si="520"/>
        <v>36575</v>
      </c>
      <c r="C2580" s="21">
        <f t="shared" si="521"/>
        <v>36605</v>
      </c>
      <c r="D2580" s="1">
        <f t="shared" si="530"/>
        <v>0</v>
      </c>
      <c r="E2580" s="3">
        <f t="array" ref="E2580">INDEX($A$9:A2579, MAX(IF($D$9:D2579=1, ROW(D$9:$D2579)-ROW($D$9)+1, 0)))</f>
        <v>49663</v>
      </c>
      <c r="F2580" s="23">
        <f t="shared" si="522"/>
        <v>9.8535249828884321</v>
      </c>
      <c r="G2580" s="5">
        <f>INDEX('Default Prob'!$P$5:$P$14,MIN(1+_xlfn.IFNA(MATCH(F2580,'Default Prob'!$F$5:$F$14,1),0),COUNT('Default Prob'!$P$5:$P$14)))</f>
        <v>8.0322462664562722E-2</v>
      </c>
      <c r="H2580" s="5">
        <f t="shared" si="531"/>
        <v>0.71047309223172772</v>
      </c>
      <c r="I2580" s="24">
        <f t="shared" si="532"/>
        <v>1.5625797045160095E-4</v>
      </c>
      <c r="J2580" s="25">
        <f>INDEX('Default Prob'!$C$3:$C$13, _xlfn.IFNA(MATCH(F2580, 'Default Prob'!$B$3:$B$13, 1), 1))</f>
        <v>2.5000000000000001E-2</v>
      </c>
      <c r="K2580" s="26">
        <f t="shared" si="523"/>
        <v>0.78402899566267803</v>
      </c>
      <c r="L2580" s="27">
        <f t="shared" ca="1" si="524"/>
        <v>0</v>
      </c>
      <c r="M2580" s="27">
        <f t="shared" ca="1" si="525"/>
        <v>0</v>
      </c>
      <c r="N2580" s="28">
        <f t="shared" ca="1" si="526"/>
        <v>0</v>
      </c>
      <c r="O2580" s="29">
        <f t="shared" ca="1" si="527"/>
        <v>0</v>
      </c>
      <c r="P2580" s="30">
        <f t="shared" ca="1" si="528"/>
        <v>0</v>
      </c>
    </row>
    <row r="2581" spans="1:16" x14ac:dyDescent="0.25">
      <c r="A2581" s="3">
        <f t="shared" si="529"/>
        <v>49725</v>
      </c>
      <c r="B2581" s="21">
        <f t="shared" si="520"/>
        <v>36576</v>
      </c>
      <c r="C2581" s="21">
        <f t="shared" si="521"/>
        <v>36605</v>
      </c>
      <c r="D2581" s="1">
        <f t="shared" si="530"/>
        <v>0</v>
      </c>
      <c r="E2581" s="3">
        <f t="array" ref="E2581">INDEX($A$9:A2580, MAX(IF($D$9:D2580=1, ROW(D$9:$D2580)-ROW($D$9)+1, 0)))</f>
        <v>49663</v>
      </c>
      <c r="F2581" s="23">
        <f t="shared" si="522"/>
        <v>9.8562628336755651</v>
      </c>
      <c r="G2581" s="5">
        <f>INDEX('Default Prob'!$P$5:$P$14,MIN(1+_xlfn.IFNA(MATCH(F2581,'Default Prob'!$F$5:$F$14,1),0),COUNT('Default Prob'!$P$5:$P$14)))</f>
        <v>8.0322462664562722E-2</v>
      </c>
      <c r="H2581" s="5">
        <f t="shared" si="531"/>
        <v>0.71031686862033161</v>
      </c>
      <c r="I2581" s="24">
        <f t="shared" si="532"/>
        <v>1.5622361139611129E-4</v>
      </c>
      <c r="J2581" s="25">
        <f>INDEX('Default Prob'!$C$3:$C$13, _xlfn.IFNA(MATCH(F2581, 'Default Prob'!$B$3:$B$13, 1), 1))</f>
        <v>2.5000000000000001E-2</v>
      </c>
      <c r="K2581" s="26">
        <f t="shared" si="523"/>
        <v>0.78397599341802326</v>
      </c>
      <c r="L2581" s="27">
        <f t="shared" ca="1" si="524"/>
        <v>0</v>
      </c>
      <c r="M2581" s="27">
        <f t="shared" ca="1" si="525"/>
        <v>0</v>
      </c>
      <c r="N2581" s="28">
        <f t="shared" ca="1" si="526"/>
        <v>0</v>
      </c>
      <c r="O2581" s="29">
        <f t="shared" ca="1" si="527"/>
        <v>0</v>
      </c>
      <c r="P2581" s="30">
        <f t="shared" ca="1" si="528"/>
        <v>0</v>
      </c>
    </row>
    <row r="2582" spans="1:16" x14ac:dyDescent="0.25">
      <c r="A2582" s="3">
        <f t="shared" si="529"/>
        <v>49726</v>
      </c>
      <c r="B2582" s="21">
        <f t="shared" si="520"/>
        <v>36577</v>
      </c>
      <c r="C2582" s="21">
        <f t="shared" si="521"/>
        <v>36605</v>
      </c>
      <c r="D2582" s="1">
        <f t="shared" si="530"/>
        <v>0</v>
      </c>
      <c r="E2582" s="3">
        <f t="array" ref="E2582">INDEX($A$9:A2581, MAX(IF($D$9:D2581=1, ROW(D$9:$D2581)-ROW($D$9)+1, 0)))</f>
        <v>49663</v>
      </c>
      <c r="F2582" s="23">
        <f t="shared" si="522"/>
        <v>9.8590006844626963</v>
      </c>
      <c r="G2582" s="5">
        <f>INDEX('Default Prob'!$P$5:$P$14,MIN(1+_xlfn.IFNA(MATCH(F2582,'Default Prob'!$F$5:$F$14,1),0),COUNT('Default Prob'!$P$5:$P$14)))</f>
        <v>8.0322462664562722E-2</v>
      </c>
      <c r="H2582" s="5">
        <f t="shared" si="531"/>
        <v>0.71016067936043603</v>
      </c>
      <c r="I2582" s="24">
        <f t="shared" si="532"/>
        <v>1.561892598955783E-4</v>
      </c>
      <c r="J2582" s="25">
        <f>INDEX('Default Prob'!$C$3:$C$13, _xlfn.IFNA(MATCH(F2582, 'Default Prob'!$B$3:$B$13, 1), 1))</f>
        <v>2.5000000000000001E-2</v>
      </c>
      <c r="K2582" s="26">
        <f t="shared" si="523"/>
        <v>0.78392299475644756</v>
      </c>
      <c r="L2582" s="27">
        <f t="shared" ca="1" si="524"/>
        <v>0</v>
      </c>
      <c r="M2582" s="27">
        <f t="shared" ca="1" si="525"/>
        <v>0</v>
      </c>
      <c r="N2582" s="28">
        <f t="shared" ca="1" si="526"/>
        <v>0</v>
      </c>
      <c r="O2582" s="29">
        <f t="shared" ca="1" si="527"/>
        <v>0</v>
      </c>
      <c r="P2582" s="30">
        <f t="shared" ca="1" si="528"/>
        <v>0</v>
      </c>
    </row>
    <row r="2583" spans="1:16" x14ac:dyDescent="0.25">
      <c r="A2583" s="3">
        <f t="shared" si="529"/>
        <v>49727</v>
      </c>
      <c r="B2583" s="21">
        <f t="shared" si="520"/>
        <v>36578</v>
      </c>
      <c r="C2583" s="21">
        <f t="shared" si="521"/>
        <v>36605</v>
      </c>
      <c r="D2583" s="1">
        <f t="shared" si="530"/>
        <v>0</v>
      </c>
      <c r="E2583" s="3">
        <f t="array" ref="E2583">INDEX($A$9:A2582, MAX(IF($D$9:D2582=1, ROW(D$9:$D2582)-ROW($D$9)+1, 0)))</f>
        <v>49663</v>
      </c>
      <c r="F2583" s="23">
        <f t="shared" si="522"/>
        <v>9.8617385352498292</v>
      </c>
      <c r="G2583" s="5">
        <f>INDEX('Default Prob'!$P$5:$P$14,MIN(1+_xlfn.IFNA(MATCH(F2583,'Default Prob'!$F$5:$F$14,1),0),COUNT('Default Prob'!$P$5:$P$14)))</f>
        <v>8.0322462664562722E-2</v>
      </c>
      <c r="H2583" s="5">
        <f t="shared" si="531"/>
        <v>0.71000452444448747</v>
      </c>
      <c r="I2583" s="24">
        <f t="shared" si="532"/>
        <v>1.5615491594855868E-4</v>
      </c>
      <c r="J2583" s="25">
        <f>INDEX('Default Prob'!$C$3:$C$13, _xlfn.IFNA(MATCH(F2583, 'Default Prob'!$B$3:$B$13, 1), 1))</f>
        <v>2.5000000000000001E-2</v>
      </c>
      <c r="K2583" s="26">
        <f t="shared" si="523"/>
        <v>0.78386999967770865</v>
      </c>
      <c r="L2583" s="27">
        <f t="shared" ca="1" si="524"/>
        <v>0</v>
      </c>
      <c r="M2583" s="27">
        <f t="shared" ca="1" si="525"/>
        <v>0</v>
      </c>
      <c r="N2583" s="28">
        <f t="shared" ca="1" si="526"/>
        <v>0</v>
      </c>
      <c r="O2583" s="29">
        <f t="shared" ca="1" si="527"/>
        <v>0</v>
      </c>
      <c r="P2583" s="30">
        <f t="shared" ca="1" si="528"/>
        <v>0</v>
      </c>
    </row>
    <row r="2584" spans="1:16" x14ac:dyDescent="0.25">
      <c r="A2584" s="3">
        <f t="shared" si="529"/>
        <v>49730</v>
      </c>
      <c r="B2584" s="21">
        <f t="shared" si="520"/>
        <v>36581</v>
      </c>
      <c r="C2584" s="21">
        <f t="shared" si="521"/>
        <v>36605</v>
      </c>
      <c r="D2584" s="1">
        <f t="shared" si="530"/>
        <v>0</v>
      </c>
      <c r="E2584" s="3">
        <f t="array" ref="E2584">INDEX($A$9:A2583, MAX(IF($D$9:D2583=1, ROW(D$9:$D2583)-ROW($D$9)+1, 0)))</f>
        <v>49663</v>
      </c>
      <c r="F2584" s="23">
        <f t="shared" si="522"/>
        <v>9.8699520876112246</v>
      </c>
      <c r="G2584" s="5">
        <f>INDEX('Default Prob'!$P$5:$P$14,MIN(1+_xlfn.IFNA(MATCH(F2584,'Default Prob'!$F$5:$F$14,1),0),COUNT('Default Prob'!$P$5:$P$14)))</f>
        <v>8.0322462664562722E-2</v>
      </c>
      <c r="H2584" s="5">
        <f t="shared" si="531"/>
        <v>0.70953626568481454</v>
      </c>
      <c r="I2584" s="24">
        <f t="shared" si="532"/>
        <v>4.6825875967293484E-4</v>
      </c>
      <c r="J2584" s="25">
        <f>INDEX('Default Prob'!$C$3:$C$13, _xlfn.IFNA(MATCH(F2584, 'Default Prob'!$B$3:$B$13, 1), 1))</f>
        <v>2.5000000000000001E-2</v>
      </c>
      <c r="K2584" s="26">
        <f t="shared" si="523"/>
        <v>0.7837110359360917</v>
      </c>
      <c r="L2584" s="27">
        <f t="shared" ca="1" si="524"/>
        <v>0</v>
      </c>
      <c r="M2584" s="27">
        <f t="shared" ca="1" si="525"/>
        <v>0</v>
      </c>
      <c r="N2584" s="28">
        <f t="shared" ca="1" si="526"/>
        <v>0</v>
      </c>
      <c r="O2584" s="29">
        <f t="shared" ca="1" si="527"/>
        <v>0</v>
      </c>
      <c r="P2584" s="30">
        <f t="shared" ca="1" si="528"/>
        <v>0</v>
      </c>
    </row>
    <row r="2585" spans="1:16" x14ac:dyDescent="0.25">
      <c r="A2585" s="3">
        <f t="shared" si="529"/>
        <v>49731</v>
      </c>
      <c r="B2585" s="21">
        <f t="shared" si="520"/>
        <v>36582</v>
      </c>
      <c r="C2585" s="21">
        <f t="shared" si="521"/>
        <v>36605</v>
      </c>
      <c r="D2585" s="1">
        <f t="shared" si="530"/>
        <v>0</v>
      </c>
      <c r="E2585" s="3">
        <f t="array" ref="E2585">INDEX($A$9:A2584, MAX(IF($D$9:D2584=1, ROW(D$9:$D2584)-ROW($D$9)+1, 0)))</f>
        <v>49663</v>
      </c>
      <c r="F2585" s="23">
        <f t="shared" si="522"/>
        <v>9.8726899383983575</v>
      </c>
      <c r="G2585" s="5">
        <f>INDEX('Default Prob'!$P$5:$P$14,MIN(1+_xlfn.IFNA(MATCH(F2585,'Default Prob'!$F$5:$F$14,1),0),COUNT('Default Prob'!$P$5:$P$14)))</f>
        <v>8.0322462664562722E-2</v>
      </c>
      <c r="H2585" s="5">
        <f t="shared" si="531"/>
        <v>0.7093802480691529</v>
      </c>
      <c r="I2585" s="24">
        <f t="shared" si="532"/>
        <v>1.5601761566164107E-4</v>
      </c>
      <c r="J2585" s="25">
        <f>INDEX('Default Prob'!$C$3:$C$13, _xlfn.IFNA(MATCH(F2585, 'Default Prob'!$B$3:$B$13, 1), 1))</f>
        <v>2.5000000000000001E-2</v>
      </c>
      <c r="K2585" s="26">
        <f t="shared" si="523"/>
        <v>0.78365805518627851</v>
      </c>
      <c r="L2585" s="27">
        <f t="shared" ca="1" si="524"/>
        <v>0</v>
      </c>
      <c r="M2585" s="27">
        <f t="shared" ca="1" si="525"/>
        <v>0</v>
      </c>
      <c r="N2585" s="28">
        <f t="shared" ca="1" si="526"/>
        <v>0</v>
      </c>
      <c r="O2585" s="29">
        <f t="shared" ca="1" si="527"/>
        <v>0</v>
      </c>
      <c r="P2585" s="30">
        <f t="shared" ca="1" si="528"/>
        <v>0</v>
      </c>
    </row>
    <row r="2586" spans="1:16" x14ac:dyDescent="0.25">
      <c r="A2586" s="3">
        <f t="shared" si="529"/>
        <v>49732</v>
      </c>
      <c r="B2586" s="21">
        <f t="shared" si="520"/>
        <v>36583</v>
      </c>
      <c r="C2586" s="21">
        <f t="shared" si="521"/>
        <v>36605</v>
      </c>
      <c r="D2586" s="1">
        <f t="shared" si="530"/>
        <v>0</v>
      </c>
      <c r="E2586" s="3">
        <f t="array" ref="E2586">INDEX($A$9:A2585, MAX(IF($D$9:D2585=1, ROW(D$9:$D2585)-ROW($D$9)+1, 0)))</f>
        <v>49663</v>
      </c>
      <c r="F2586" s="23">
        <f t="shared" si="522"/>
        <v>9.8754277891854887</v>
      </c>
      <c r="G2586" s="5">
        <f>INDEX('Default Prob'!$P$5:$P$14,MIN(1+_xlfn.IFNA(MATCH(F2586,'Default Prob'!$F$5:$F$14,1),0),COUNT('Default Prob'!$P$5:$P$14)))</f>
        <v>8.0322462664562722E-2</v>
      </c>
      <c r="H2586" s="5">
        <f t="shared" si="531"/>
        <v>0.70922426475969602</v>
      </c>
      <c r="I2586" s="24">
        <f t="shared" si="532"/>
        <v>1.5598330945687522E-4</v>
      </c>
      <c r="J2586" s="25">
        <f>INDEX('Default Prob'!$C$3:$C$13, _xlfn.IFNA(MATCH(F2586, 'Default Prob'!$B$3:$B$13, 1), 1))</f>
        <v>2.5000000000000001E-2</v>
      </c>
      <c r="K2586" s="26">
        <f t="shared" si="523"/>
        <v>0.78360507801809143</v>
      </c>
      <c r="L2586" s="27">
        <f t="shared" ca="1" si="524"/>
        <v>0</v>
      </c>
      <c r="M2586" s="27">
        <f t="shared" ca="1" si="525"/>
        <v>0</v>
      </c>
      <c r="N2586" s="28">
        <f t="shared" ca="1" si="526"/>
        <v>0</v>
      </c>
      <c r="O2586" s="29">
        <f t="shared" ca="1" si="527"/>
        <v>0</v>
      </c>
      <c r="P2586" s="30">
        <f t="shared" ca="1" si="528"/>
        <v>0</v>
      </c>
    </row>
    <row r="2587" spans="1:16" x14ac:dyDescent="0.25">
      <c r="A2587" s="3">
        <f t="shared" si="529"/>
        <v>49733</v>
      </c>
      <c r="B2587" s="21">
        <f t="shared" si="520"/>
        <v>36584</v>
      </c>
      <c r="C2587" s="21">
        <f t="shared" si="521"/>
        <v>36605</v>
      </c>
      <c r="D2587" s="1">
        <f t="shared" si="530"/>
        <v>0</v>
      </c>
      <c r="E2587" s="3">
        <f t="array" ref="E2587">INDEX($A$9:A2586, MAX(IF($D$9:D2586=1, ROW(D$9:$D2586)-ROW($D$9)+1, 0)))</f>
        <v>49663</v>
      </c>
      <c r="F2587" s="23">
        <f t="shared" si="522"/>
        <v>9.8781656399726216</v>
      </c>
      <c r="G2587" s="5">
        <f>INDEX('Default Prob'!$P$5:$P$14,MIN(1+_xlfn.IFNA(MATCH(F2587,'Default Prob'!$F$5:$F$14,1),0),COUNT('Default Prob'!$P$5:$P$14)))</f>
        <v>8.0322462664562722E-2</v>
      </c>
      <c r="H2587" s="5">
        <f t="shared" si="531"/>
        <v>0.70906831574890028</v>
      </c>
      <c r="I2587" s="24">
        <f t="shared" si="532"/>
        <v>1.5594901079574175E-4</v>
      </c>
      <c r="J2587" s="25">
        <f>INDEX('Default Prob'!$C$3:$C$13, _xlfn.IFNA(MATCH(F2587, 'Default Prob'!$B$3:$B$13, 1), 1))</f>
        <v>2.5000000000000001E-2</v>
      </c>
      <c r="K2587" s="26">
        <f t="shared" si="523"/>
        <v>0.78355210443128831</v>
      </c>
      <c r="L2587" s="27">
        <f t="shared" ca="1" si="524"/>
        <v>0</v>
      </c>
      <c r="M2587" s="27">
        <f t="shared" ca="1" si="525"/>
        <v>0</v>
      </c>
      <c r="N2587" s="28">
        <f t="shared" ca="1" si="526"/>
        <v>0</v>
      </c>
      <c r="O2587" s="29">
        <f t="shared" ca="1" si="527"/>
        <v>0</v>
      </c>
      <c r="P2587" s="30">
        <f t="shared" ca="1" si="528"/>
        <v>0</v>
      </c>
    </row>
    <row r="2588" spans="1:16" x14ac:dyDescent="0.25">
      <c r="A2588" s="3">
        <f t="shared" si="529"/>
        <v>49734</v>
      </c>
      <c r="B2588" s="21">
        <f t="shared" si="520"/>
        <v>36585</v>
      </c>
      <c r="C2588" s="21">
        <f t="shared" si="521"/>
        <v>36605</v>
      </c>
      <c r="D2588" s="1">
        <f t="shared" si="530"/>
        <v>0</v>
      </c>
      <c r="E2588" s="3">
        <f t="array" ref="E2588">INDEX($A$9:A2587, MAX(IF($D$9:D2587=1, ROW(D$9:$D2587)-ROW($D$9)+1, 0)))</f>
        <v>49663</v>
      </c>
      <c r="F2588" s="23">
        <f t="shared" si="522"/>
        <v>9.8809034907597528</v>
      </c>
      <c r="G2588" s="5">
        <f>INDEX('Default Prob'!$P$5:$P$14,MIN(1+_xlfn.IFNA(MATCH(F2588,'Default Prob'!$F$5:$F$14,1),0),COUNT('Default Prob'!$P$5:$P$14)))</f>
        <v>8.0322462664562722E-2</v>
      </c>
      <c r="H2588" s="5">
        <f t="shared" si="531"/>
        <v>0.70891240102922415</v>
      </c>
      <c r="I2588" s="24">
        <f t="shared" si="532"/>
        <v>1.5591471967613124E-4</v>
      </c>
      <c r="J2588" s="25">
        <f>INDEX('Default Prob'!$C$3:$C$13, _xlfn.IFNA(MATCH(F2588, 'Default Prob'!$B$3:$B$13, 1), 1))</f>
        <v>2.5000000000000001E-2</v>
      </c>
      <c r="K2588" s="26">
        <f t="shared" si="523"/>
        <v>0.78349913442562702</v>
      </c>
      <c r="L2588" s="27">
        <f t="shared" ca="1" si="524"/>
        <v>0</v>
      </c>
      <c r="M2588" s="27">
        <f t="shared" ca="1" si="525"/>
        <v>0</v>
      </c>
      <c r="N2588" s="28">
        <f t="shared" ca="1" si="526"/>
        <v>0</v>
      </c>
      <c r="O2588" s="29">
        <f t="shared" ca="1" si="527"/>
        <v>0</v>
      </c>
      <c r="P2588" s="30">
        <f t="shared" ca="1" si="528"/>
        <v>0</v>
      </c>
    </row>
    <row r="2589" spans="1:16" x14ac:dyDescent="0.25">
      <c r="A2589" s="3">
        <f t="shared" si="529"/>
        <v>49737</v>
      </c>
      <c r="B2589" s="21">
        <f t="shared" si="520"/>
        <v>36588</v>
      </c>
      <c r="C2589" s="21">
        <f t="shared" si="521"/>
        <v>36605</v>
      </c>
      <c r="D2589" s="1">
        <f t="shared" si="530"/>
        <v>0</v>
      </c>
      <c r="E2589" s="3">
        <f t="array" ref="E2589">INDEX($A$9:A2588, MAX(IF($D$9:D2588=1, ROW(D$9:$D2588)-ROW($D$9)+1, 0)))</f>
        <v>49663</v>
      </c>
      <c r="F2589" s="23">
        <f t="shared" si="522"/>
        <v>9.8891170431211499</v>
      </c>
      <c r="G2589" s="5">
        <f>INDEX('Default Prob'!$P$5:$P$14,MIN(1+_xlfn.IFNA(MATCH(F2589,'Default Prob'!$F$5:$F$14,1),0),COUNT('Default Prob'!$P$5:$P$14)))</f>
        <v>8.0322462664562722E-2</v>
      </c>
      <c r="H2589" s="5">
        <f t="shared" si="531"/>
        <v>0.70844486254151873</v>
      </c>
      <c r="I2589" s="24">
        <f t="shared" si="532"/>
        <v>4.6753848770542117E-4</v>
      </c>
      <c r="J2589" s="25">
        <f>INDEX('Default Prob'!$C$3:$C$13, _xlfn.IFNA(MATCH(F2589, 'Default Prob'!$B$3:$B$13, 1), 1))</f>
        <v>2.5000000000000001E-2</v>
      </c>
      <c r="K2589" s="26">
        <f t="shared" si="523"/>
        <v>0.78334024589307283</v>
      </c>
      <c r="L2589" s="27">
        <f t="shared" ca="1" si="524"/>
        <v>0</v>
      </c>
      <c r="M2589" s="27">
        <f t="shared" ca="1" si="525"/>
        <v>0</v>
      </c>
      <c r="N2589" s="28">
        <f t="shared" ca="1" si="526"/>
        <v>0</v>
      </c>
      <c r="O2589" s="29">
        <f t="shared" ca="1" si="527"/>
        <v>0</v>
      </c>
      <c r="P2589" s="30">
        <f t="shared" ca="1" si="528"/>
        <v>0</v>
      </c>
    </row>
    <row r="2590" spans="1:16" x14ac:dyDescent="0.25">
      <c r="A2590" s="3">
        <f t="shared" si="529"/>
        <v>49738</v>
      </c>
      <c r="B2590" s="21">
        <f t="shared" si="520"/>
        <v>36589</v>
      </c>
      <c r="C2590" s="21">
        <f t="shared" si="521"/>
        <v>36605</v>
      </c>
      <c r="D2590" s="1">
        <f t="shared" si="530"/>
        <v>0</v>
      </c>
      <c r="E2590" s="3">
        <f t="array" ref="E2590">INDEX($A$9:A2589, MAX(IF($D$9:D2589=1, ROW(D$9:$D2589)-ROW($D$9)+1, 0)))</f>
        <v>49663</v>
      </c>
      <c r="F2590" s="23">
        <f t="shared" si="522"/>
        <v>9.8918548939082829</v>
      </c>
      <c r="G2590" s="5">
        <f>INDEX('Default Prob'!$P$5:$P$14,MIN(1+_xlfn.IFNA(MATCH(F2590,'Default Prob'!$F$5:$F$14,1),0),COUNT('Default Prob'!$P$5:$P$14)))</f>
        <v>8.0322462664562722E-2</v>
      </c>
      <c r="H2590" s="5">
        <f t="shared" si="531"/>
        <v>0.70828908491093512</v>
      </c>
      <c r="I2590" s="24">
        <f t="shared" si="532"/>
        <v>1.5577763058360894E-4</v>
      </c>
      <c r="J2590" s="25">
        <f>INDEX('Default Prob'!$C$3:$C$13, _xlfn.IFNA(MATCH(F2590, 'Default Prob'!$B$3:$B$13, 1), 1))</f>
        <v>2.5000000000000001E-2</v>
      </c>
      <c r="K2590" s="26">
        <f t="shared" si="523"/>
        <v>0.7832872902095579</v>
      </c>
      <c r="L2590" s="27">
        <f t="shared" ca="1" si="524"/>
        <v>0</v>
      </c>
      <c r="M2590" s="27">
        <f t="shared" ca="1" si="525"/>
        <v>0</v>
      </c>
      <c r="N2590" s="28">
        <f t="shared" ca="1" si="526"/>
        <v>0</v>
      </c>
      <c r="O2590" s="29">
        <f t="shared" ca="1" si="527"/>
        <v>0</v>
      </c>
      <c r="P2590" s="30">
        <f t="shared" ca="1" si="528"/>
        <v>0</v>
      </c>
    </row>
    <row r="2591" spans="1:16" x14ac:dyDescent="0.25">
      <c r="A2591" s="3">
        <f t="shared" si="529"/>
        <v>49739</v>
      </c>
      <c r="B2591" s="21">
        <f t="shared" si="520"/>
        <v>36590</v>
      </c>
      <c r="C2591" s="21">
        <f t="shared" si="521"/>
        <v>36605</v>
      </c>
      <c r="D2591" s="1">
        <f t="shared" si="530"/>
        <v>0</v>
      </c>
      <c r="E2591" s="3">
        <f t="array" ref="E2591">INDEX($A$9:A2590, MAX(IF($D$9:D2590=1, ROW(D$9:$D2590)-ROW($D$9)+1, 0)))</f>
        <v>49663</v>
      </c>
      <c r="F2591" s="23">
        <f t="shared" si="522"/>
        <v>9.8945927446954141</v>
      </c>
      <c r="G2591" s="5">
        <f>INDEX('Default Prob'!$P$5:$P$14,MIN(1+_xlfn.IFNA(MATCH(F2591,'Default Prob'!$F$5:$F$14,1),0),COUNT('Default Prob'!$P$5:$P$14)))</f>
        <v>8.0322462664562722E-2</v>
      </c>
      <c r="H2591" s="5">
        <f t="shared" si="531"/>
        <v>0.70813334153378682</v>
      </c>
      <c r="I2591" s="24">
        <f t="shared" si="532"/>
        <v>1.5574337714829856E-4</v>
      </c>
      <c r="J2591" s="25">
        <f>INDEX('Default Prob'!$C$3:$C$13, _xlfn.IFNA(MATCH(F2591, 'Default Prob'!$B$3:$B$13, 1), 1))</f>
        <v>2.5000000000000001E-2</v>
      </c>
      <c r="K2591" s="26">
        <f t="shared" si="523"/>
        <v>0.78323433810597454</v>
      </c>
      <c r="L2591" s="27">
        <f t="shared" ca="1" si="524"/>
        <v>0</v>
      </c>
      <c r="M2591" s="27">
        <f t="shared" ca="1" si="525"/>
        <v>0</v>
      </c>
      <c r="N2591" s="28">
        <f t="shared" ca="1" si="526"/>
        <v>0</v>
      </c>
      <c r="O2591" s="29">
        <f t="shared" ca="1" si="527"/>
        <v>0</v>
      </c>
      <c r="P2591" s="30">
        <f t="shared" ca="1" si="528"/>
        <v>0</v>
      </c>
    </row>
    <row r="2592" spans="1:16" x14ac:dyDescent="0.25">
      <c r="A2592" s="3">
        <f t="shared" si="529"/>
        <v>49740</v>
      </c>
      <c r="B2592" s="21">
        <f t="shared" si="520"/>
        <v>36591</v>
      </c>
      <c r="C2592" s="21">
        <f t="shared" si="521"/>
        <v>36605</v>
      </c>
      <c r="D2592" s="1">
        <f t="shared" si="530"/>
        <v>0</v>
      </c>
      <c r="E2592" s="3">
        <f t="array" ref="E2592">INDEX($A$9:A2591, MAX(IF($D$9:D2591=1, ROW(D$9:$D2591)-ROW($D$9)+1, 0)))</f>
        <v>49663</v>
      </c>
      <c r="F2592" s="23">
        <f t="shared" si="522"/>
        <v>9.897330595482547</v>
      </c>
      <c r="G2592" s="5">
        <f>INDEX('Default Prob'!$P$5:$P$14,MIN(1+_xlfn.IFNA(MATCH(F2592,'Default Prob'!$F$5:$F$14,1),0),COUNT('Default Prob'!$P$5:$P$14)))</f>
        <v>8.0322462664562722E-2</v>
      </c>
      <c r="H2592" s="5">
        <f t="shared" si="531"/>
        <v>0.70797763240254175</v>
      </c>
      <c r="I2592" s="24">
        <f t="shared" si="532"/>
        <v>1.5570913124507424E-4</v>
      </c>
      <c r="J2592" s="25">
        <f>INDEX('Default Prob'!$C$3:$C$13, _xlfn.IFNA(MATCH(F2592, 'Default Prob'!$B$3:$B$13, 1), 1))</f>
        <v>2.5000000000000001E-2</v>
      </c>
      <c r="K2592" s="26">
        <f t="shared" si="523"/>
        <v>0.7831813895820805</v>
      </c>
      <c r="L2592" s="27">
        <f t="shared" ca="1" si="524"/>
        <v>0</v>
      </c>
      <c r="M2592" s="27">
        <f t="shared" ca="1" si="525"/>
        <v>0</v>
      </c>
      <c r="N2592" s="28">
        <f t="shared" ca="1" si="526"/>
        <v>0</v>
      </c>
      <c r="O2592" s="29">
        <f t="shared" ca="1" si="527"/>
        <v>0</v>
      </c>
      <c r="P2592" s="30">
        <f t="shared" ca="1" si="528"/>
        <v>0</v>
      </c>
    </row>
    <row r="2593" spans="1:16" x14ac:dyDescent="0.25">
      <c r="A2593" s="3">
        <f t="shared" si="529"/>
        <v>49741</v>
      </c>
      <c r="B2593" s="21">
        <f t="shared" si="520"/>
        <v>36592</v>
      </c>
      <c r="C2593" s="21">
        <f t="shared" si="521"/>
        <v>36605</v>
      </c>
      <c r="D2593" s="1">
        <f t="shared" si="530"/>
        <v>0</v>
      </c>
      <c r="E2593" s="3">
        <f t="array" ref="E2593">INDEX($A$9:A2592, MAX(IF($D$9:D2592=1, ROW(D$9:$D2592)-ROW($D$9)+1, 0)))</f>
        <v>49663</v>
      </c>
      <c r="F2593" s="23">
        <f t="shared" si="522"/>
        <v>9.9000684462696782</v>
      </c>
      <c r="G2593" s="5">
        <f>INDEX('Default Prob'!$P$5:$P$14,MIN(1+_xlfn.IFNA(MATCH(F2593,'Default Prob'!$F$5:$F$14,1),0),COUNT('Default Prob'!$P$5:$P$14)))</f>
        <v>8.0322462664562722E-2</v>
      </c>
      <c r="H2593" s="5">
        <f t="shared" si="531"/>
        <v>0.70782195750966992</v>
      </c>
      <c r="I2593" s="24">
        <f t="shared" si="532"/>
        <v>1.5567489287182656E-4</v>
      </c>
      <c r="J2593" s="25">
        <f>INDEX('Default Prob'!$C$3:$C$13, _xlfn.IFNA(MATCH(F2593, 'Default Prob'!$B$3:$B$13, 1), 1))</f>
        <v>2.5000000000000001E-2</v>
      </c>
      <c r="K2593" s="26">
        <f t="shared" si="523"/>
        <v>0.78312844463763398</v>
      </c>
      <c r="L2593" s="27">
        <f t="shared" ca="1" si="524"/>
        <v>0</v>
      </c>
      <c r="M2593" s="27">
        <f t="shared" ca="1" si="525"/>
        <v>0</v>
      </c>
      <c r="N2593" s="28">
        <f t="shared" ca="1" si="526"/>
        <v>0</v>
      </c>
      <c r="O2593" s="29">
        <f t="shared" ca="1" si="527"/>
        <v>0</v>
      </c>
      <c r="P2593" s="30">
        <f t="shared" ca="1" si="528"/>
        <v>0</v>
      </c>
    </row>
    <row r="2594" spans="1:16" x14ac:dyDescent="0.25">
      <c r="A2594" s="3">
        <f t="shared" si="529"/>
        <v>49744</v>
      </c>
      <c r="B2594" s="21">
        <f t="shared" si="520"/>
        <v>36595</v>
      </c>
      <c r="C2594" s="21">
        <f t="shared" si="521"/>
        <v>36605</v>
      </c>
      <c r="D2594" s="1">
        <f t="shared" si="530"/>
        <v>0</v>
      </c>
      <c r="E2594" s="3">
        <f t="array" ref="E2594">INDEX($A$9:A2593, MAX(IF($D$9:D2593=1, ROW(D$9:$D2593)-ROW($D$9)+1, 0)))</f>
        <v>49663</v>
      </c>
      <c r="F2594" s="23">
        <f t="shared" si="522"/>
        <v>9.9082819986310753</v>
      </c>
      <c r="G2594" s="5">
        <f>INDEX('Default Prob'!$P$5:$P$14,MIN(1+_xlfn.IFNA(MATCH(F2594,'Default Prob'!$F$5:$F$14,1),0),COUNT('Default Prob'!$P$5:$P$14)))</f>
        <v>8.0322462664562722E-2</v>
      </c>
      <c r="H2594" s="5">
        <f t="shared" si="531"/>
        <v>0.70735513818601536</v>
      </c>
      <c r="I2594" s="24">
        <f t="shared" si="532"/>
        <v>4.6681932365455481E-4</v>
      </c>
      <c r="J2594" s="25">
        <f>INDEX('Default Prob'!$C$3:$C$13, _xlfn.IFNA(MATCH(F2594, 'Default Prob'!$B$3:$B$13, 1), 1))</f>
        <v>2.5000000000000001E-2</v>
      </c>
      <c r="K2594" s="26">
        <f t="shared" si="523"/>
        <v>0.7829696312785599</v>
      </c>
      <c r="L2594" s="27">
        <f t="shared" ca="1" si="524"/>
        <v>0</v>
      </c>
      <c r="M2594" s="27">
        <f t="shared" ca="1" si="525"/>
        <v>0</v>
      </c>
      <c r="N2594" s="28">
        <f t="shared" ca="1" si="526"/>
        <v>0</v>
      </c>
      <c r="O2594" s="29">
        <f t="shared" ca="1" si="527"/>
        <v>0</v>
      </c>
      <c r="P2594" s="30">
        <f t="shared" ca="1" si="528"/>
        <v>0</v>
      </c>
    </row>
    <row r="2595" spans="1:16" x14ac:dyDescent="0.25">
      <c r="A2595" s="3">
        <f t="shared" si="529"/>
        <v>49745</v>
      </c>
      <c r="B2595" s="21">
        <f t="shared" si="520"/>
        <v>36596</v>
      </c>
      <c r="C2595" s="21">
        <f t="shared" si="521"/>
        <v>36605</v>
      </c>
      <c r="D2595" s="1">
        <f t="shared" si="530"/>
        <v>0</v>
      </c>
      <c r="E2595" s="3">
        <f t="array" ref="E2595">INDEX($A$9:A2594, MAX(IF($D$9:D2594=1, ROW(D$9:$D2594)-ROW($D$9)+1, 0)))</f>
        <v>49663</v>
      </c>
      <c r="F2595" s="23">
        <f t="shared" si="522"/>
        <v>9.9110198494182065</v>
      </c>
      <c r="G2595" s="5">
        <f>INDEX('Default Prob'!$P$5:$P$14,MIN(1+_xlfn.IFNA(MATCH(F2595,'Default Prob'!$F$5:$F$14,1),0),COUNT('Default Prob'!$P$5:$P$14)))</f>
        <v>8.0322462664562722E-2</v>
      </c>
      <c r="H2595" s="5">
        <f t="shared" si="531"/>
        <v>0.70719960017136685</v>
      </c>
      <c r="I2595" s="24">
        <f t="shared" si="532"/>
        <v>1.5553801464851524E-4</v>
      </c>
      <c r="J2595" s="25">
        <f>INDEX('Default Prob'!$C$3:$C$13, _xlfn.IFNA(MATCH(F2595, 'Default Prob'!$B$3:$B$13, 1), 1))</f>
        <v>2.5000000000000001E-2</v>
      </c>
      <c r="K2595" s="26">
        <f t="shared" si="523"/>
        <v>0.78291670064948371</v>
      </c>
      <c r="L2595" s="27">
        <f t="shared" ca="1" si="524"/>
        <v>0</v>
      </c>
      <c r="M2595" s="27">
        <f t="shared" ca="1" si="525"/>
        <v>0</v>
      </c>
      <c r="N2595" s="28">
        <f t="shared" ca="1" si="526"/>
        <v>0</v>
      </c>
      <c r="O2595" s="29">
        <f t="shared" ca="1" si="527"/>
        <v>0</v>
      </c>
      <c r="P2595" s="30">
        <f t="shared" ca="1" si="528"/>
        <v>0</v>
      </c>
    </row>
    <row r="2596" spans="1:16" x14ac:dyDescent="0.25">
      <c r="A2596" s="3">
        <f t="shared" si="529"/>
        <v>49746</v>
      </c>
      <c r="B2596" s="21">
        <f t="shared" si="520"/>
        <v>36597</v>
      </c>
      <c r="C2596" s="21">
        <f t="shared" si="521"/>
        <v>36605</v>
      </c>
      <c r="D2596" s="1">
        <f t="shared" si="530"/>
        <v>0</v>
      </c>
      <c r="E2596" s="3">
        <f t="array" ref="E2596">INDEX($A$9:A2595, MAX(IF($D$9:D2595=1, ROW(D$9:$D2595)-ROW($D$9)+1, 0)))</f>
        <v>49663</v>
      </c>
      <c r="F2596" s="23">
        <f t="shared" si="522"/>
        <v>9.9137577002053394</v>
      </c>
      <c r="G2596" s="5">
        <f>INDEX('Default Prob'!$P$5:$P$14,MIN(1+_xlfn.IFNA(MATCH(F2596,'Default Prob'!$F$5:$F$14,1),0),COUNT('Default Prob'!$P$5:$P$14)))</f>
        <v>8.0322462664562722E-2</v>
      </c>
      <c r="H2596" s="5">
        <f t="shared" si="531"/>
        <v>0.70704409635746501</v>
      </c>
      <c r="I2596" s="24">
        <f t="shared" si="532"/>
        <v>1.555038139018361E-4</v>
      </c>
      <c r="J2596" s="25">
        <f>INDEX('Default Prob'!$C$3:$C$13, _xlfn.IFNA(MATCH(F2596, 'Default Prob'!$B$3:$B$13, 1), 1))</f>
        <v>2.5000000000000001E-2</v>
      </c>
      <c r="K2596" s="26">
        <f t="shared" si="523"/>
        <v>0.78286377359864534</v>
      </c>
      <c r="L2596" s="27">
        <f t="shared" ca="1" si="524"/>
        <v>0</v>
      </c>
      <c r="M2596" s="27">
        <f t="shared" ca="1" si="525"/>
        <v>0</v>
      </c>
      <c r="N2596" s="28">
        <f t="shared" ca="1" si="526"/>
        <v>0</v>
      </c>
      <c r="O2596" s="29">
        <f t="shared" ca="1" si="527"/>
        <v>0</v>
      </c>
      <c r="P2596" s="30">
        <f t="shared" ca="1" si="528"/>
        <v>0</v>
      </c>
    </row>
    <row r="2597" spans="1:16" x14ac:dyDescent="0.25">
      <c r="A2597" s="3">
        <f t="shared" si="529"/>
        <v>49747</v>
      </c>
      <c r="B2597" s="21">
        <f t="shared" si="520"/>
        <v>36598</v>
      </c>
      <c r="C2597" s="21">
        <f t="shared" si="521"/>
        <v>36605</v>
      </c>
      <c r="D2597" s="1">
        <f t="shared" si="530"/>
        <v>0</v>
      </c>
      <c r="E2597" s="3">
        <f t="array" ref="E2597">INDEX($A$9:A2596, MAX(IF($D$9:D2596=1, ROW(D$9:$D2596)-ROW($D$9)+1, 0)))</f>
        <v>49663</v>
      </c>
      <c r="F2597" s="23">
        <f t="shared" si="522"/>
        <v>9.9164955509924706</v>
      </c>
      <c r="G2597" s="5">
        <f>INDEX('Default Prob'!$P$5:$P$14,MIN(1+_xlfn.IFNA(MATCH(F2597,'Default Prob'!$F$5:$F$14,1),0),COUNT('Default Prob'!$P$5:$P$14)))</f>
        <v>8.0322462664562722E-2</v>
      </c>
      <c r="H2597" s="5">
        <f t="shared" si="531"/>
        <v>0.70688862673678987</v>
      </c>
      <c r="I2597" s="24">
        <f t="shared" si="532"/>
        <v>1.5546962067514158E-4</v>
      </c>
      <c r="J2597" s="25">
        <f>INDEX('Default Prob'!$C$3:$C$13, _xlfn.IFNA(MATCH(F2597, 'Default Prob'!$B$3:$B$13, 1), 1))</f>
        <v>2.5000000000000001E-2</v>
      </c>
      <c r="K2597" s="26">
        <f t="shared" si="523"/>
        <v>0.78281085012580276</v>
      </c>
      <c r="L2597" s="27">
        <f t="shared" ca="1" si="524"/>
        <v>0</v>
      </c>
      <c r="M2597" s="27">
        <f t="shared" ca="1" si="525"/>
        <v>0</v>
      </c>
      <c r="N2597" s="28">
        <f t="shared" ca="1" si="526"/>
        <v>0</v>
      </c>
      <c r="O2597" s="29">
        <f t="shared" ca="1" si="527"/>
        <v>0</v>
      </c>
      <c r="P2597" s="30">
        <f t="shared" ca="1" si="528"/>
        <v>0</v>
      </c>
    </row>
    <row r="2598" spans="1:16" x14ac:dyDescent="0.25">
      <c r="A2598" s="3">
        <f t="shared" si="529"/>
        <v>49748</v>
      </c>
      <c r="B2598" s="21">
        <f t="shared" si="520"/>
        <v>36599</v>
      </c>
      <c r="C2598" s="21">
        <f t="shared" si="521"/>
        <v>36605</v>
      </c>
      <c r="D2598" s="1">
        <f t="shared" si="530"/>
        <v>0</v>
      </c>
      <c r="E2598" s="3">
        <f t="array" ref="E2598">INDEX($A$9:A2597, MAX(IF($D$9:D2597=1, ROW(D$9:$D2597)-ROW($D$9)+1, 0)))</f>
        <v>49663</v>
      </c>
      <c r="F2598" s="23">
        <f t="shared" si="522"/>
        <v>9.9192334017796036</v>
      </c>
      <c r="G2598" s="5">
        <f>INDEX('Default Prob'!$P$5:$P$14,MIN(1+_xlfn.IFNA(MATCH(F2598,'Default Prob'!$F$5:$F$14,1),0),COUNT('Default Prob'!$P$5:$P$14)))</f>
        <v>8.0322462664562722E-2</v>
      </c>
      <c r="H2598" s="5">
        <f t="shared" si="531"/>
        <v>0.70673319130182255</v>
      </c>
      <c r="I2598" s="24">
        <f t="shared" si="532"/>
        <v>1.5543543496732148E-4</v>
      </c>
      <c r="J2598" s="25">
        <f>INDEX('Default Prob'!$C$3:$C$13, _xlfn.IFNA(MATCH(F2598, 'Default Prob'!$B$3:$B$13, 1), 1))</f>
        <v>2.5000000000000001E-2</v>
      </c>
      <c r="K2598" s="26">
        <f t="shared" si="523"/>
        <v>0.78275793023071416</v>
      </c>
      <c r="L2598" s="27">
        <f t="shared" ca="1" si="524"/>
        <v>0</v>
      </c>
      <c r="M2598" s="27">
        <f t="shared" ca="1" si="525"/>
        <v>0</v>
      </c>
      <c r="N2598" s="28">
        <f t="shared" ca="1" si="526"/>
        <v>0</v>
      </c>
      <c r="O2598" s="29">
        <f t="shared" ca="1" si="527"/>
        <v>0</v>
      </c>
      <c r="P2598" s="30">
        <f t="shared" ca="1" si="528"/>
        <v>0</v>
      </c>
    </row>
    <row r="2599" spans="1:16" x14ac:dyDescent="0.25">
      <c r="A2599" s="3">
        <f t="shared" si="529"/>
        <v>49751</v>
      </c>
      <c r="B2599" s="21">
        <f t="shared" si="520"/>
        <v>36602</v>
      </c>
      <c r="C2599" s="21">
        <f t="shared" si="521"/>
        <v>36605</v>
      </c>
      <c r="D2599" s="1">
        <f t="shared" si="530"/>
        <v>0</v>
      </c>
      <c r="E2599" s="3">
        <f t="array" ref="E2599">INDEX($A$9:A2598, MAX(IF($D$9:D2598=1, ROW(D$9:$D2598)-ROW($D$9)+1, 0)))</f>
        <v>49663</v>
      </c>
      <c r="F2599" s="23">
        <f t="shared" si="522"/>
        <v>9.9274469541409989</v>
      </c>
      <c r="G2599" s="5">
        <f>INDEX('Default Prob'!$P$5:$P$14,MIN(1+_xlfn.IFNA(MATCH(F2599,'Default Prob'!$F$5:$F$14,1),0),COUNT('Default Prob'!$P$5:$P$14)))</f>
        <v>8.0322462664562722E-2</v>
      </c>
      <c r="H2599" s="5">
        <f t="shared" si="531"/>
        <v>0.70626709003600652</v>
      </c>
      <c r="I2599" s="24">
        <f t="shared" si="532"/>
        <v>4.661012658160324E-4</v>
      </c>
      <c r="J2599" s="25">
        <f>INDEX('Default Prob'!$C$3:$C$13, _xlfn.IFNA(MATCH(F2599, 'Default Prob'!$B$3:$B$13, 1), 1))</f>
        <v>2.5000000000000001E-2</v>
      </c>
      <c r="K2599" s="26">
        <f t="shared" si="523"/>
        <v>0.78259919200955375</v>
      </c>
      <c r="L2599" s="27">
        <f t="shared" ca="1" si="524"/>
        <v>0</v>
      </c>
      <c r="M2599" s="27">
        <f t="shared" ca="1" si="525"/>
        <v>0</v>
      </c>
      <c r="N2599" s="28">
        <f t="shared" ca="1" si="526"/>
        <v>0</v>
      </c>
      <c r="O2599" s="29">
        <f t="shared" ca="1" si="527"/>
        <v>0</v>
      </c>
      <c r="P2599" s="30">
        <f t="shared" ca="1" si="528"/>
        <v>0</v>
      </c>
    </row>
    <row r="2600" spans="1:16" x14ac:dyDescent="0.25">
      <c r="A2600" s="3">
        <f t="shared" si="529"/>
        <v>49752</v>
      </c>
      <c r="B2600" s="21">
        <f t="shared" si="520"/>
        <v>36603</v>
      </c>
      <c r="C2600" s="21">
        <f t="shared" si="521"/>
        <v>36605</v>
      </c>
      <c r="D2600" s="1">
        <f t="shared" si="530"/>
        <v>0</v>
      </c>
      <c r="E2600" s="3">
        <f t="array" ref="E2600">INDEX($A$9:A2599, MAX(IF($D$9:D2599=1, ROW(D$9:$D2599)-ROW($D$9)+1, 0)))</f>
        <v>49663</v>
      </c>
      <c r="F2600" s="23">
        <f t="shared" si="522"/>
        <v>9.9301848049281318</v>
      </c>
      <c r="G2600" s="5">
        <f>INDEX('Default Prob'!$P$5:$P$14,MIN(1+_xlfn.IFNA(MATCH(F2600,'Default Prob'!$F$5:$F$14,1),0),COUNT('Default Prob'!$P$5:$P$14)))</f>
        <v>8.0322462664562722E-2</v>
      </c>
      <c r="H2600" s="5">
        <f t="shared" si="531"/>
        <v>0.70611179126871748</v>
      </c>
      <c r="I2600" s="24">
        <f t="shared" si="532"/>
        <v>1.5529876728903602E-4</v>
      </c>
      <c r="J2600" s="25">
        <f>INDEX('Default Prob'!$C$3:$C$13, _xlfn.IFNA(MATCH(F2600, 'Default Prob'!$B$3:$B$13, 1), 1))</f>
        <v>2.5000000000000001E-2</v>
      </c>
      <c r="K2600" s="26">
        <f t="shared" si="523"/>
        <v>0.78254628642306256</v>
      </c>
      <c r="L2600" s="27">
        <f t="shared" ca="1" si="524"/>
        <v>0</v>
      </c>
      <c r="M2600" s="27">
        <f t="shared" ca="1" si="525"/>
        <v>0</v>
      </c>
      <c r="N2600" s="28">
        <f t="shared" ca="1" si="526"/>
        <v>0</v>
      </c>
      <c r="O2600" s="29">
        <f t="shared" ca="1" si="527"/>
        <v>0</v>
      </c>
      <c r="P2600" s="30">
        <f t="shared" ca="1" si="528"/>
        <v>0</v>
      </c>
    </row>
    <row r="2601" spans="1:16" x14ac:dyDescent="0.25">
      <c r="A2601" s="3">
        <f t="shared" si="529"/>
        <v>49753</v>
      </c>
      <c r="B2601" s="21">
        <f t="shared" si="520"/>
        <v>36604</v>
      </c>
      <c r="C2601" s="21">
        <f t="shared" si="521"/>
        <v>36605</v>
      </c>
      <c r="D2601" s="1">
        <f t="shared" si="530"/>
        <v>0</v>
      </c>
      <c r="E2601" s="3">
        <f t="array" ref="E2601">INDEX($A$9:A2600, MAX(IF($D$9:D2600=1, ROW(D$9:$D2600)-ROW($D$9)+1, 0)))</f>
        <v>49663</v>
      </c>
      <c r="F2601" s="23">
        <f t="shared" si="522"/>
        <v>9.932922655715263</v>
      </c>
      <c r="G2601" s="5">
        <f>INDEX('Default Prob'!$P$5:$P$14,MIN(1+_xlfn.IFNA(MATCH(F2601,'Default Prob'!$F$5:$F$14,1),0),COUNT('Default Prob'!$P$5:$P$14)))</f>
        <v>8.0322462664562722E-2</v>
      </c>
      <c r="H2601" s="5">
        <f t="shared" si="531"/>
        <v>0.70595652664956798</v>
      </c>
      <c r="I2601" s="24">
        <f t="shared" si="532"/>
        <v>1.5526461914949774E-4</v>
      </c>
      <c r="J2601" s="25">
        <f>INDEX('Default Prob'!$C$3:$C$13, _xlfn.IFNA(MATCH(F2601, 'Default Prob'!$B$3:$B$13, 1), 1))</f>
        <v>2.5000000000000001E-2</v>
      </c>
      <c r="K2601" s="26">
        <f t="shared" si="523"/>
        <v>0.78249338441311633</v>
      </c>
      <c r="L2601" s="27">
        <f t="shared" ca="1" si="524"/>
        <v>0</v>
      </c>
      <c r="M2601" s="27">
        <f t="shared" ca="1" si="525"/>
        <v>0</v>
      </c>
      <c r="N2601" s="28">
        <f t="shared" ca="1" si="526"/>
        <v>0</v>
      </c>
      <c r="O2601" s="29">
        <f t="shared" ca="1" si="527"/>
        <v>0</v>
      </c>
      <c r="P2601" s="30">
        <f t="shared" ca="1" si="528"/>
        <v>0</v>
      </c>
    </row>
    <row r="2602" spans="1:16" x14ac:dyDescent="0.25">
      <c r="A2602" s="3">
        <f t="shared" si="529"/>
        <v>49754</v>
      </c>
      <c r="B2602" s="21">
        <f t="shared" si="520"/>
        <v>36605</v>
      </c>
      <c r="C2602" s="21">
        <f t="shared" si="521"/>
        <v>36605</v>
      </c>
      <c r="D2602" s="1">
        <f t="shared" si="530"/>
        <v>1</v>
      </c>
      <c r="E2602" s="3">
        <f t="array" ref="E2602">INDEX($A$9:A2601, MAX(IF($D$9:D2601=1, ROW(D$9:$D2601)-ROW($D$9)+1, 0)))</f>
        <v>49663</v>
      </c>
      <c r="F2602" s="23">
        <f t="shared" si="522"/>
        <v>9.935660506502396</v>
      </c>
      <c r="G2602" s="5">
        <f>INDEX('Default Prob'!$P$5:$P$14,MIN(1+_xlfn.IFNA(MATCH(F2602,'Default Prob'!$F$5:$F$14,1),0),COUNT('Default Prob'!$P$5:$P$14)))</f>
        <v>8.0322462664562722E-2</v>
      </c>
      <c r="H2602" s="5">
        <f t="shared" si="531"/>
        <v>0.70580129617104925</v>
      </c>
      <c r="I2602" s="24">
        <f t="shared" si="532"/>
        <v>1.5523047851873084E-4</v>
      </c>
      <c r="J2602" s="25">
        <f>INDEX('Default Prob'!$C$3:$C$13, _xlfn.IFNA(MATCH(F2602, 'Default Prob'!$B$3:$B$13, 1), 1))</f>
        <v>2.5000000000000001E-2</v>
      </c>
      <c r="K2602" s="26">
        <f t="shared" si="523"/>
        <v>0.78244048597947302</v>
      </c>
      <c r="L2602" s="27">
        <f t="shared" ca="1" si="524"/>
        <v>0</v>
      </c>
      <c r="M2602" s="27">
        <f t="shared" ca="1" si="525"/>
        <v>0</v>
      </c>
      <c r="N2602" s="28">
        <f t="shared" ca="1" si="526"/>
        <v>0</v>
      </c>
      <c r="O2602" s="29">
        <f t="shared" ca="1" si="527"/>
        <v>0</v>
      </c>
      <c r="P2602" s="30">
        <f t="shared" ca="1" si="528"/>
        <v>0</v>
      </c>
    </row>
    <row r="2603" spans="1:16" x14ac:dyDescent="0.25">
      <c r="A2603" s="3">
        <f t="shared" si="529"/>
        <v>49755</v>
      </c>
      <c r="B2603" s="21">
        <f t="shared" si="520"/>
        <v>36606</v>
      </c>
      <c r="C2603" s="21">
        <f t="shared" si="521"/>
        <v>36697</v>
      </c>
      <c r="D2603" s="1">
        <f t="shared" si="530"/>
        <v>0</v>
      </c>
      <c r="E2603" s="3">
        <f t="array" ref="E2603">INDEX($A$9:A2602, MAX(IF($D$9:D2602=1, ROW(D$9:$D2602)-ROW($D$9)+1, 0)))</f>
        <v>49754</v>
      </c>
      <c r="F2603" s="23">
        <f t="shared" si="522"/>
        <v>9.9383983572895271</v>
      </c>
      <c r="G2603" s="5">
        <f>INDEX('Default Prob'!$P$5:$P$14,MIN(1+_xlfn.IFNA(MATCH(F2603,'Default Prob'!$F$5:$F$14,1),0),COUNT('Default Prob'!$P$5:$P$14)))</f>
        <v>8.0322462664562722E-2</v>
      </c>
      <c r="H2603" s="5">
        <f t="shared" si="531"/>
        <v>0.70564609982565429</v>
      </c>
      <c r="I2603" s="24">
        <f t="shared" si="532"/>
        <v>1.5519634539495897E-4</v>
      </c>
      <c r="J2603" s="25">
        <f>INDEX('Default Prob'!$C$3:$C$13, _xlfn.IFNA(MATCH(F2603, 'Default Prob'!$B$3:$B$13, 1), 1))</f>
        <v>2.5000000000000001E-2</v>
      </c>
      <c r="K2603" s="26">
        <f t="shared" si="523"/>
        <v>0.78238759112189082</v>
      </c>
      <c r="L2603" s="27">
        <f t="shared" ca="1" si="524"/>
        <v>0</v>
      </c>
      <c r="M2603" s="27">
        <f t="shared" ca="1" si="525"/>
        <v>0</v>
      </c>
      <c r="N2603" s="28">
        <f t="shared" ca="1" si="526"/>
        <v>0</v>
      </c>
      <c r="O2603" s="29">
        <f t="shared" ca="1" si="527"/>
        <v>0</v>
      </c>
      <c r="P2603" s="30">
        <f t="shared" ca="1" si="528"/>
        <v>0</v>
      </c>
    </row>
    <row r="2604" spans="1:16" x14ac:dyDescent="0.25">
      <c r="A2604" s="3">
        <f t="shared" si="529"/>
        <v>49758</v>
      </c>
      <c r="B2604" s="21">
        <f t="shared" si="520"/>
        <v>36609</v>
      </c>
      <c r="C2604" s="21">
        <f t="shared" si="521"/>
        <v>36697</v>
      </c>
      <c r="D2604" s="1">
        <f t="shared" si="530"/>
        <v>0</v>
      </c>
      <c r="E2604" s="3">
        <f t="array" ref="E2604">INDEX($A$9:A2603, MAX(IF($D$9:D2603=1, ROW(D$9:$D2603)-ROW($D$9)+1, 0)))</f>
        <v>49754</v>
      </c>
      <c r="F2604" s="23">
        <f t="shared" si="522"/>
        <v>9.9466119096509242</v>
      </c>
      <c r="G2604" s="5">
        <f>INDEX('Default Prob'!$P$5:$P$14,MIN(1+_xlfn.IFNA(MATCH(F2604,'Default Prob'!$F$5:$F$14,1),0),COUNT('Default Prob'!$P$5:$P$14)))</f>
        <v>8.0322462664562722E-2</v>
      </c>
      <c r="H2604" s="5">
        <f t="shared" si="531"/>
        <v>0.70518071551316552</v>
      </c>
      <c r="I2604" s="24">
        <f t="shared" si="532"/>
        <v>4.6538431248877021E-4</v>
      </c>
      <c r="J2604" s="25">
        <f>INDEX('Default Prob'!$C$3:$C$13, _xlfn.IFNA(MATCH(F2604, 'Default Prob'!$B$3:$B$13, 1), 1))</f>
        <v>2.5000000000000001E-2</v>
      </c>
      <c r="K2604" s="26">
        <f t="shared" si="523"/>
        <v>0.78222892800309496</v>
      </c>
      <c r="L2604" s="27">
        <f t="shared" ca="1" si="524"/>
        <v>0</v>
      </c>
      <c r="M2604" s="27">
        <f t="shared" ca="1" si="525"/>
        <v>0</v>
      </c>
      <c r="N2604" s="28">
        <f t="shared" ca="1" si="526"/>
        <v>0</v>
      </c>
      <c r="O2604" s="29">
        <f t="shared" ca="1" si="527"/>
        <v>0</v>
      </c>
      <c r="P2604" s="30">
        <f t="shared" ca="1" si="528"/>
        <v>0</v>
      </c>
    </row>
    <row r="2605" spans="1:16" x14ac:dyDescent="0.25">
      <c r="A2605" s="3">
        <f t="shared" si="529"/>
        <v>49759</v>
      </c>
      <c r="B2605" s="21">
        <f t="shared" si="520"/>
        <v>36610</v>
      </c>
      <c r="C2605" s="21">
        <f t="shared" si="521"/>
        <v>36697</v>
      </c>
      <c r="D2605" s="1">
        <f t="shared" si="530"/>
        <v>0</v>
      </c>
      <c r="E2605" s="3">
        <f t="array" ref="E2605">INDEX($A$9:A2604, MAX(IF($D$9:D2604=1, ROW(D$9:$D2604)-ROW($D$9)+1, 0)))</f>
        <v>49754</v>
      </c>
      <c r="F2605" s="23">
        <f t="shared" si="522"/>
        <v>9.9493497604380554</v>
      </c>
      <c r="G2605" s="5">
        <f>INDEX('Default Prob'!$P$5:$P$14,MIN(1+_xlfn.IFNA(MATCH(F2605,'Default Prob'!$F$5:$F$14,1),0),COUNT('Default Prob'!$P$5:$P$14)))</f>
        <v>8.0322462664562722E-2</v>
      </c>
      <c r="H2605" s="5">
        <f t="shared" si="531"/>
        <v>0.70502565562522768</v>
      </c>
      <c r="I2605" s="24">
        <f t="shared" si="532"/>
        <v>1.5505988793784731E-4</v>
      </c>
      <c r="J2605" s="25">
        <f>INDEX('Default Prob'!$C$3:$C$13, _xlfn.IFNA(MATCH(F2605, 'Default Prob'!$B$3:$B$13, 1), 1))</f>
        <v>2.5000000000000001E-2</v>
      </c>
      <c r="K2605" s="26">
        <f t="shared" si="523"/>
        <v>0.78217604744734071</v>
      </c>
      <c r="L2605" s="27">
        <f t="shared" ca="1" si="524"/>
        <v>0</v>
      </c>
      <c r="M2605" s="27">
        <f t="shared" ca="1" si="525"/>
        <v>0</v>
      </c>
      <c r="N2605" s="28">
        <f t="shared" ca="1" si="526"/>
        <v>0</v>
      </c>
      <c r="O2605" s="29">
        <f t="shared" ca="1" si="527"/>
        <v>0</v>
      </c>
      <c r="P2605" s="30">
        <f t="shared" ca="1" si="528"/>
        <v>0</v>
      </c>
    </row>
    <row r="2606" spans="1:16" x14ac:dyDescent="0.25">
      <c r="A2606" s="3">
        <f t="shared" si="529"/>
        <v>49760</v>
      </c>
      <c r="B2606" s="21">
        <f t="shared" si="520"/>
        <v>36611</v>
      </c>
      <c r="C2606" s="21">
        <f t="shared" si="521"/>
        <v>36697</v>
      </c>
      <c r="D2606" s="1">
        <f t="shared" si="530"/>
        <v>0</v>
      </c>
      <c r="E2606" s="3">
        <f t="array" ref="E2606">INDEX($A$9:A2605, MAX(IF($D$9:D2605=1, ROW(D$9:$D2605)-ROW($D$9)+1, 0)))</f>
        <v>49754</v>
      </c>
      <c r="F2606" s="23">
        <f t="shared" si="522"/>
        <v>9.9520876112251884</v>
      </c>
      <c r="G2606" s="5">
        <f>INDEX('Default Prob'!$P$5:$P$14,MIN(1+_xlfn.IFNA(MATCH(F2606,'Default Prob'!$F$5:$F$14,1),0),COUNT('Default Prob'!$P$5:$P$14)))</f>
        <v>8.0322462664562722E-2</v>
      </c>
      <c r="H2606" s="5">
        <f t="shared" si="531"/>
        <v>0.70487062983290283</v>
      </c>
      <c r="I2606" s="24">
        <f t="shared" si="532"/>
        <v>1.550257923248477E-4</v>
      </c>
      <c r="J2606" s="25">
        <f>INDEX('Default Prob'!$C$3:$C$13, _xlfn.IFNA(MATCH(F2606, 'Default Prob'!$B$3:$B$13, 1), 1))</f>
        <v>2.5000000000000001E-2</v>
      </c>
      <c r="K2606" s="26">
        <f t="shared" si="523"/>
        <v>0.78212317046643898</v>
      </c>
      <c r="L2606" s="27">
        <f t="shared" ca="1" si="524"/>
        <v>0</v>
      </c>
      <c r="M2606" s="27">
        <f t="shared" ca="1" si="525"/>
        <v>0</v>
      </c>
      <c r="N2606" s="28">
        <f t="shared" ca="1" si="526"/>
        <v>0</v>
      </c>
      <c r="O2606" s="29">
        <f t="shared" ca="1" si="527"/>
        <v>0</v>
      </c>
      <c r="P2606" s="30">
        <f t="shared" ca="1" si="528"/>
        <v>0</v>
      </c>
    </row>
    <row r="2607" spans="1:16" x14ac:dyDescent="0.25">
      <c r="A2607" s="3">
        <f t="shared" si="529"/>
        <v>49761</v>
      </c>
      <c r="B2607" s="21">
        <f t="shared" si="520"/>
        <v>36612</v>
      </c>
      <c r="C2607" s="21">
        <f t="shared" si="521"/>
        <v>36697</v>
      </c>
      <c r="D2607" s="1">
        <f t="shared" si="530"/>
        <v>0</v>
      </c>
      <c r="E2607" s="3">
        <f t="array" ref="E2607">INDEX($A$9:A2606, MAX(IF($D$9:D2606=1, ROW(D$9:$D2606)-ROW($D$9)+1, 0)))</f>
        <v>49754</v>
      </c>
      <c r="F2607" s="23">
        <f t="shared" si="522"/>
        <v>9.9548254620123195</v>
      </c>
      <c r="G2607" s="5">
        <f>INDEX('Default Prob'!$P$5:$P$14,MIN(1+_xlfn.IFNA(MATCH(F2607,'Default Prob'!$F$5:$F$14,1),0),COUNT('Default Prob'!$P$5:$P$14)))</f>
        <v>8.0322462664562722E-2</v>
      </c>
      <c r="H2607" s="5">
        <f t="shared" si="531"/>
        <v>0.70471563812869409</v>
      </c>
      <c r="I2607" s="24">
        <f t="shared" si="532"/>
        <v>1.5499170420874009E-4</v>
      </c>
      <c r="J2607" s="25">
        <f>INDEX('Default Prob'!$C$3:$C$13, _xlfn.IFNA(MATCH(F2607, 'Default Prob'!$B$3:$B$13, 1), 1))</f>
        <v>2.5000000000000001E-2</v>
      </c>
      <c r="K2607" s="26">
        <f t="shared" si="523"/>
        <v>0.7820702970601483</v>
      </c>
      <c r="L2607" s="27">
        <f t="shared" ca="1" si="524"/>
        <v>0</v>
      </c>
      <c r="M2607" s="27">
        <f t="shared" ca="1" si="525"/>
        <v>0</v>
      </c>
      <c r="N2607" s="28">
        <f t="shared" ca="1" si="526"/>
        <v>0</v>
      </c>
      <c r="O2607" s="29">
        <f t="shared" ca="1" si="527"/>
        <v>0</v>
      </c>
      <c r="P2607" s="30">
        <f t="shared" ca="1" si="528"/>
        <v>0</v>
      </c>
    </row>
    <row r="2608" spans="1:16" x14ac:dyDescent="0.25">
      <c r="A2608" s="3">
        <f t="shared" si="529"/>
        <v>49762</v>
      </c>
      <c r="B2608" s="21">
        <f t="shared" si="520"/>
        <v>36613</v>
      </c>
      <c r="C2608" s="21">
        <f t="shared" si="521"/>
        <v>36697</v>
      </c>
      <c r="D2608" s="1">
        <f t="shared" si="530"/>
        <v>0</v>
      </c>
      <c r="E2608" s="3">
        <f t="array" ref="E2608">INDEX($A$9:A2607, MAX(IF($D$9:D2607=1, ROW(D$9:$D2607)-ROW($D$9)+1, 0)))</f>
        <v>49754</v>
      </c>
      <c r="F2608" s="23">
        <f t="shared" si="522"/>
        <v>9.9575633127994525</v>
      </c>
      <c r="G2608" s="5">
        <f>INDEX('Default Prob'!$P$5:$P$14,MIN(1+_xlfn.IFNA(MATCH(F2608,'Default Prob'!$F$5:$F$14,1),0),COUNT('Default Prob'!$P$5:$P$14)))</f>
        <v>8.0322462664562722E-2</v>
      </c>
      <c r="H2608" s="5">
        <f t="shared" si="531"/>
        <v>0.70456068050510567</v>
      </c>
      <c r="I2608" s="24">
        <f t="shared" si="532"/>
        <v>1.5495762358841425E-4</v>
      </c>
      <c r="J2608" s="25">
        <f>INDEX('Default Prob'!$C$3:$C$13, _xlfn.IFNA(MATCH(F2608, 'Default Prob'!$B$3:$B$13, 1), 1))</f>
        <v>2.5000000000000001E-2</v>
      </c>
      <c r="K2608" s="26">
        <f t="shared" si="523"/>
        <v>0.78201742722822698</v>
      </c>
      <c r="L2608" s="27">
        <f t="shared" ca="1" si="524"/>
        <v>0</v>
      </c>
      <c r="M2608" s="27">
        <f t="shared" ca="1" si="525"/>
        <v>0</v>
      </c>
      <c r="N2608" s="28">
        <f t="shared" ca="1" si="526"/>
        <v>0</v>
      </c>
      <c r="O2608" s="29">
        <f t="shared" ca="1" si="527"/>
        <v>0</v>
      </c>
      <c r="P2608" s="30">
        <f t="shared" ca="1" si="528"/>
        <v>0</v>
      </c>
    </row>
    <row r="2609" spans="1:16" x14ac:dyDescent="0.25">
      <c r="A2609" s="3">
        <f t="shared" si="529"/>
        <v>49765</v>
      </c>
      <c r="B2609" s="21">
        <f t="shared" si="520"/>
        <v>36616</v>
      </c>
      <c r="C2609" s="21">
        <f t="shared" si="521"/>
        <v>36697</v>
      </c>
      <c r="D2609" s="1">
        <f t="shared" si="530"/>
        <v>0</v>
      </c>
      <c r="E2609" s="3">
        <f t="array" ref="E2609">INDEX($A$9:A2608, MAX(IF($D$9:D2608=1, ROW(D$9:$D2608)-ROW($D$9)+1, 0)))</f>
        <v>49754</v>
      </c>
      <c r="F2609" s="23">
        <f t="shared" si="522"/>
        <v>9.9657768651608496</v>
      </c>
      <c r="G2609" s="5">
        <f>INDEX('Default Prob'!$P$5:$P$14,MIN(1+_xlfn.IFNA(MATCH(F2609,'Default Prob'!$F$5:$F$14,1),0),COUNT('Default Prob'!$P$5:$P$14)))</f>
        <v>8.0322462664562722E-2</v>
      </c>
      <c r="H2609" s="5">
        <f t="shared" si="531"/>
        <v>0.70409601204313232</v>
      </c>
      <c r="I2609" s="24">
        <f t="shared" si="532"/>
        <v>4.6466846197334988E-4</v>
      </c>
      <c r="J2609" s="25">
        <f>INDEX('Default Prob'!$C$3:$C$13, _xlfn.IFNA(MATCH(F2609, 'Default Prob'!$B$3:$B$13, 1), 1))</f>
        <v>2.5000000000000001E-2</v>
      </c>
      <c r="K2609" s="26">
        <f t="shared" si="523"/>
        <v>0.78185883917626309</v>
      </c>
      <c r="L2609" s="27">
        <f t="shared" ca="1" si="524"/>
        <v>0</v>
      </c>
      <c r="M2609" s="27">
        <f t="shared" ca="1" si="525"/>
        <v>0</v>
      </c>
      <c r="N2609" s="28">
        <f t="shared" ca="1" si="526"/>
        <v>0</v>
      </c>
      <c r="O2609" s="29">
        <f t="shared" ca="1" si="527"/>
        <v>0</v>
      </c>
      <c r="P2609" s="30">
        <f t="shared" ca="1" si="528"/>
        <v>0</v>
      </c>
    </row>
    <row r="2610" spans="1:16" x14ac:dyDescent="0.25">
      <c r="A2610" s="3">
        <f t="shared" si="529"/>
        <v>49766</v>
      </c>
      <c r="B2610" s="21">
        <f t="shared" si="520"/>
        <v>36617</v>
      </c>
      <c r="C2610" s="21">
        <f t="shared" si="521"/>
        <v>36697</v>
      </c>
      <c r="D2610" s="1">
        <f t="shared" si="530"/>
        <v>0</v>
      </c>
      <c r="E2610" s="3">
        <f t="array" ref="E2610">INDEX($A$9:A2609, MAX(IF($D$9:D2609=1, ROW(D$9:$D2609)-ROW($D$9)+1, 0)))</f>
        <v>49754</v>
      </c>
      <c r="F2610" s="23">
        <f t="shared" si="522"/>
        <v>9.9685147159479808</v>
      </c>
      <c r="G2610" s="5">
        <f>INDEX('Default Prob'!$P$5:$P$14,MIN(1+_xlfn.IFNA(MATCH(F2610,'Default Prob'!$F$5:$F$14,1),0),COUNT('Default Prob'!$P$5:$P$14)))</f>
        <v>8.0322462664562722E-2</v>
      </c>
      <c r="H2610" s="5">
        <f t="shared" si="531"/>
        <v>0.70394119066710326</v>
      </c>
      <c r="I2610" s="24">
        <f t="shared" si="532"/>
        <v>1.5482137602906842E-4</v>
      </c>
      <c r="J2610" s="25">
        <f>INDEX('Default Prob'!$C$3:$C$13, _xlfn.IFNA(MATCH(F2610, 'Default Prob'!$B$3:$B$13, 1), 1))</f>
        <v>2.5000000000000001E-2</v>
      </c>
      <c r="K2610" s="26">
        <f t="shared" si="523"/>
        <v>0.78180598363940301</v>
      </c>
      <c r="L2610" s="27">
        <f t="shared" ca="1" si="524"/>
        <v>0</v>
      </c>
      <c r="M2610" s="27">
        <f t="shared" ca="1" si="525"/>
        <v>0</v>
      </c>
      <c r="N2610" s="28">
        <f t="shared" ca="1" si="526"/>
        <v>0</v>
      </c>
      <c r="O2610" s="29">
        <f t="shared" ca="1" si="527"/>
        <v>0</v>
      </c>
      <c r="P2610" s="30">
        <f t="shared" ca="1" si="528"/>
        <v>0</v>
      </c>
    </row>
    <row r="2611" spans="1:16" x14ac:dyDescent="0.25">
      <c r="A2611" s="3">
        <f t="shared" si="529"/>
        <v>49767</v>
      </c>
      <c r="B2611" s="21">
        <f t="shared" si="520"/>
        <v>36618</v>
      </c>
      <c r="C2611" s="21">
        <f t="shared" si="521"/>
        <v>36697</v>
      </c>
      <c r="D2611" s="1">
        <f t="shared" si="530"/>
        <v>0</v>
      </c>
      <c r="E2611" s="3">
        <f t="array" ref="E2611">INDEX($A$9:A2610, MAX(IF($D$9:D2610=1, ROW(D$9:$D2610)-ROW($D$9)+1, 0)))</f>
        <v>49754</v>
      </c>
      <c r="F2611" s="23">
        <f t="shared" si="522"/>
        <v>9.9712525667351137</v>
      </c>
      <c r="G2611" s="5">
        <f>INDEX('Default Prob'!$P$5:$P$14,MIN(1+_xlfn.IFNA(MATCH(F2611,'Default Prob'!$F$5:$F$14,1),0),COUNT('Default Prob'!$P$5:$P$14)))</f>
        <v>8.0322462664562722E-2</v>
      </c>
      <c r="H2611" s="5">
        <f t="shared" si="531"/>
        <v>0.70378640333424169</v>
      </c>
      <c r="I2611" s="24">
        <f t="shared" si="532"/>
        <v>1.5478733286156121E-4</v>
      </c>
      <c r="J2611" s="25">
        <f>INDEX('Default Prob'!$C$3:$C$13, _xlfn.IFNA(MATCH(F2611, 'Default Prob'!$B$3:$B$13, 1), 1))</f>
        <v>2.5000000000000001E-2</v>
      </c>
      <c r="K2611" s="26">
        <f t="shared" si="523"/>
        <v>0.78175313167570426</v>
      </c>
      <c r="L2611" s="27">
        <f t="shared" ca="1" si="524"/>
        <v>0</v>
      </c>
      <c r="M2611" s="27">
        <f t="shared" ca="1" si="525"/>
        <v>0</v>
      </c>
      <c r="N2611" s="28">
        <f t="shared" ca="1" si="526"/>
        <v>0</v>
      </c>
      <c r="O2611" s="29">
        <f t="shared" ca="1" si="527"/>
        <v>0</v>
      </c>
      <c r="P2611" s="30">
        <f t="shared" ca="1" si="528"/>
        <v>0</v>
      </c>
    </row>
    <row r="2612" spans="1:16" x14ac:dyDescent="0.25">
      <c r="A2612" s="3">
        <f t="shared" si="529"/>
        <v>49768</v>
      </c>
      <c r="B2612" s="21">
        <f t="shared" si="520"/>
        <v>36619</v>
      </c>
      <c r="C2612" s="21">
        <f t="shared" si="521"/>
        <v>36697</v>
      </c>
      <c r="D2612" s="1">
        <f t="shared" si="530"/>
        <v>0</v>
      </c>
      <c r="E2612" s="3">
        <f t="array" ref="E2612">INDEX($A$9:A2611, MAX(IF($D$9:D2611=1, ROW(D$9:$D2611)-ROW($D$9)+1, 0)))</f>
        <v>49754</v>
      </c>
      <c r="F2612" s="23">
        <f t="shared" si="522"/>
        <v>9.9739904175222449</v>
      </c>
      <c r="G2612" s="5">
        <f>INDEX('Default Prob'!$P$5:$P$14,MIN(1+_xlfn.IFNA(MATCH(F2612,'Default Prob'!$F$5:$F$14,1),0),COUNT('Default Prob'!$P$5:$P$14)))</f>
        <v>8.0322462664562722E-2</v>
      </c>
      <c r="H2612" s="5">
        <f t="shared" si="531"/>
        <v>0.70363165003706207</v>
      </c>
      <c r="I2612" s="24">
        <f t="shared" si="532"/>
        <v>1.5475329717962172E-4</v>
      </c>
      <c r="J2612" s="25">
        <f>INDEX('Default Prob'!$C$3:$C$13, _xlfn.IFNA(MATCH(F2612, 'Default Prob'!$B$3:$B$13, 1), 1))</f>
        <v>2.5000000000000001E-2</v>
      </c>
      <c r="K2612" s="26">
        <f t="shared" si="523"/>
        <v>0.78170028328492536</v>
      </c>
      <c r="L2612" s="27">
        <f t="shared" ca="1" si="524"/>
        <v>0</v>
      </c>
      <c r="M2612" s="27">
        <f t="shared" ca="1" si="525"/>
        <v>0</v>
      </c>
      <c r="N2612" s="28">
        <f t="shared" ca="1" si="526"/>
        <v>0</v>
      </c>
      <c r="O2612" s="29">
        <f t="shared" ca="1" si="527"/>
        <v>0</v>
      </c>
      <c r="P2612" s="30">
        <f t="shared" ca="1" si="528"/>
        <v>0</v>
      </c>
    </row>
    <row r="2613" spans="1:16" x14ac:dyDescent="0.25">
      <c r="A2613" s="3">
        <f t="shared" si="529"/>
        <v>49769</v>
      </c>
      <c r="B2613" s="21">
        <f t="shared" si="520"/>
        <v>36620</v>
      </c>
      <c r="C2613" s="21">
        <f t="shared" si="521"/>
        <v>36697</v>
      </c>
      <c r="D2613" s="1">
        <f t="shared" si="530"/>
        <v>0</v>
      </c>
      <c r="E2613" s="3">
        <f t="array" ref="E2613">INDEX($A$9:A2612, MAX(IF($D$9:D2612=1, ROW(D$9:$D2612)-ROW($D$9)+1, 0)))</f>
        <v>49754</v>
      </c>
      <c r="F2613" s="23">
        <f t="shared" si="522"/>
        <v>9.9767282683093779</v>
      </c>
      <c r="G2613" s="5">
        <f>INDEX('Default Prob'!$P$5:$P$14,MIN(1+_xlfn.IFNA(MATCH(F2613,'Default Prob'!$F$5:$F$14,1),0),COUNT('Default Prob'!$P$5:$P$14)))</f>
        <v>8.0322462664562722E-2</v>
      </c>
      <c r="H2613" s="5">
        <f t="shared" si="531"/>
        <v>0.70347693076808016</v>
      </c>
      <c r="I2613" s="24">
        <f t="shared" si="532"/>
        <v>1.5471926898191768E-4</v>
      </c>
      <c r="J2613" s="25">
        <f>INDEX('Default Prob'!$C$3:$C$13, _xlfn.IFNA(MATCH(F2613, 'Default Prob'!$B$3:$B$13, 1), 1))</f>
        <v>2.5000000000000001E-2</v>
      </c>
      <c r="K2613" s="26">
        <f t="shared" si="523"/>
        <v>0.78164743846682461</v>
      </c>
      <c r="L2613" s="27">
        <f t="shared" ca="1" si="524"/>
        <v>0</v>
      </c>
      <c r="M2613" s="27">
        <f t="shared" ca="1" si="525"/>
        <v>0</v>
      </c>
      <c r="N2613" s="28">
        <f t="shared" ca="1" si="526"/>
        <v>0</v>
      </c>
      <c r="O2613" s="29">
        <f t="shared" ca="1" si="527"/>
        <v>0</v>
      </c>
      <c r="P2613" s="30">
        <f t="shared" ca="1" si="528"/>
        <v>0</v>
      </c>
    </row>
    <row r="2614" spans="1:16" x14ac:dyDescent="0.25">
      <c r="A2614" s="3">
        <f t="shared" si="529"/>
        <v>49772</v>
      </c>
      <c r="B2614" s="21">
        <f t="shared" si="520"/>
        <v>36623</v>
      </c>
      <c r="C2614" s="21">
        <f t="shared" si="521"/>
        <v>36697</v>
      </c>
      <c r="D2614" s="1">
        <f t="shared" si="530"/>
        <v>0</v>
      </c>
      <c r="E2614" s="3">
        <f t="array" ref="E2614">INDEX($A$9:A2613, MAX(IF($D$9:D2613=1, ROW(D$9:$D2613)-ROW($D$9)+1, 0)))</f>
        <v>49754</v>
      </c>
      <c r="F2614" s="23">
        <f t="shared" si="522"/>
        <v>9.9849418206707732</v>
      </c>
      <c r="G2614" s="5">
        <f>INDEX('Default Prob'!$P$5:$P$14,MIN(1+_xlfn.IFNA(MATCH(F2614,'Default Prob'!$F$5:$F$14,1),0),COUNT('Default Prob'!$P$5:$P$14)))</f>
        <v>8.0322462664562722E-2</v>
      </c>
      <c r="H2614" s="5">
        <f t="shared" si="531"/>
        <v>0.70301297705550669</v>
      </c>
      <c r="I2614" s="24">
        <f t="shared" si="532"/>
        <v>4.6395371257346163E-4</v>
      </c>
      <c r="J2614" s="25">
        <f>INDEX('Default Prob'!$C$3:$C$13, _xlfn.IFNA(MATCH(F2614, 'Default Prob'!$B$3:$B$13, 1), 1))</f>
        <v>2.5000000000000001E-2</v>
      </c>
      <c r="K2614" s="26">
        <f t="shared" si="523"/>
        <v>0.78148892544617687</v>
      </c>
      <c r="L2614" s="27">
        <f t="shared" ca="1" si="524"/>
        <v>0</v>
      </c>
      <c r="M2614" s="27">
        <f t="shared" ca="1" si="525"/>
        <v>0</v>
      </c>
      <c r="N2614" s="28">
        <f t="shared" ca="1" si="526"/>
        <v>0</v>
      </c>
      <c r="O2614" s="29">
        <f t="shared" ca="1" si="527"/>
        <v>0</v>
      </c>
      <c r="P2614" s="30">
        <f t="shared" ca="1" si="528"/>
        <v>0</v>
      </c>
    </row>
    <row r="2615" spans="1:16" x14ac:dyDescent="0.25">
      <c r="A2615" s="3">
        <f t="shared" si="529"/>
        <v>49773</v>
      </c>
      <c r="B2615" s="21">
        <f t="shared" si="520"/>
        <v>36624</v>
      </c>
      <c r="C2615" s="21">
        <f t="shared" si="521"/>
        <v>36697</v>
      </c>
      <c r="D2615" s="1">
        <f t="shared" si="530"/>
        <v>0</v>
      </c>
      <c r="E2615" s="3">
        <f t="array" ref="E2615">INDEX($A$9:A2614, MAX(IF($D$9:D2614=1, ROW(D$9:$D2614)-ROW($D$9)+1, 0)))</f>
        <v>49754</v>
      </c>
      <c r="F2615" s="23">
        <f t="shared" si="522"/>
        <v>9.9876796714579061</v>
      </c>
      <c r="G2615" s="5">
        <f>INDEX('Default Prob'!$P$5:$P$14,MIN(1+_xlfn.IFNA(MATCH(F2615,'Default Prob'!$F$5:$F$14,1),0),COUNT('Default Prob'!$P$5:$P$14)))</f>
        <v>8.0322462664562722E-2</v>
      </c>
      <c r="H2615" s="5">
        <f t="shared" si="531"/>
        <v>0.70285839382450921</v>
      </c>
      <c r="I2615" s="24">
        <f t="shared" si="532"/>
        <v>1.5458323099748483E-4</v>
      </c>
      <c r="J2615" s="25">
        <f>INDEX('Default Prob'!$C$3:$C$13, _xlfn.IFNA(MATCH(F2615, 'Default Prob'!$B$3:$B$13, 1), 1))</f>
        <v>2.5000000000000001E-2</v>
      </c>
      <c r="K2615" s="26">
        <f t="shared" si="523"/>
        <v>0.78143609491637422</v>
      </c>
      <c r="L2615" s="27">
        <f t="shared" ca="1" si="524"/>
        <v>0</v>
      </c>
      <c r="M2615" s="27">
        <f t="shared" ca="1" si="525"/>
        <v>0</v>
      </c>
      <c r="N2615" s="28">
        <f t="shared" ca="1" si="526"/>
        <v>0</v>
      </c>
      <c r="O2615" s="29">
        <f t="shared" ca="1" si="527"/>
        <v>0</v>
      </c>
      <c r="P2615" s="30">
        <f t="shared" ca="1" si="528"/>
        <v>0</v>
      </c>
    </row>
    <row r="2616" spans="1:16" x14ac:dyDescent="0.25">
      <c r="A2616" s="3">
        <f t="shared" si="529"/>
        <v>49774</v>
      </c>
      <c r="B2616" s="21">
        <f t="shared" si="520"/>
        <v>36625</v>
      </c>
      <c r="C2616" s="21">
        <f t="shared" si="521"/>
        <v>36697</v>
      </c>
      <c r="D2616" s="1">
        <f t="shared" si="530"/>
        <v>0</v>
      </c>
      <c r="E2616" s="3">
        <f t="array" ref="E2616">INDEX($A$9:A2615, MAX(IF($D$9:D2615=1, ROW(D$9:$D2615)-ROW($D$9)+1, 0)))</f>
        <v>49754</v>
      </c>
      <c r="F2616" s="23">
        <f t="shared" si="522"/>
        <v>9.9904175222450373</v>
      </c>
      <c r="G2616" s="5">
        <f>INDEX('Default Prob'!$P$5:$P$14,MIN(1+_xlfn.IFNA(MATCH(F2616,'Default Prob'!$F$5:$F$14,1),0),COUNT('Default Prob'!$P$5:$P$14)))</f>
        <v>8.0322462664562722E-2</v>
      </c>
      <c r="H2616" s="5">
        <f t="shared" si="531"/>
        <v>0.70270384458431445</v>
      </c>
      <c r="I2616" s="24">
        <f t="shared" si="532"/>
        <v>1.545492401947568E-4</v>
      </c>
      <c r="J2616" s="25">
        <f>INDEX('Default Prob'!$C$3:$C$13, _xlfn.IFNA(MATCH(F2616, 'Default Prob'!$B$3:$B$13, 1), 1))</f>
        <v>2.5000000000000001E-2</v>
      </c>
      <c r="K2616" s="26">
        <f t="shared" si="523"/>
        <v>0.78138326795804225</v>
      </c>
      <c r="L2616" s="27">
        <f t="shared" ca="1" si="524"/>
        <v>0</v>
      </c>
      <c r="M2616" s="27">
        <f t="shared" ca="1" si="525"/>
        <v>0</v>
      </c>
      <c r="N2616" s="28">
        <f t="shared" ca="1" si="526"/>
        <v>0</v>
      </c>
      <c r="O2616" s="29">
        <f t="shared" ca="1" si="527"/>
        <v>0</v>
      </c>
      <c r="P2616" s="30">
        <f t="shared" ca="1" si="528"/>
        <v>0</v>
      </c>
    </row>
    <row r="2617" spans="1:16" x14ac:dyDescent="0.25">
      <c r="A2617" s="3">
        <f t="shared" si="529"/>
        <v>49775</v>
      </c>
      <c r="B2617" s="21">
        <f t="shared" si="520"/>
        <v>36626</v>
      </c>
      <c r="C2617" s="21">
        <f t="shared" si="521"/>
        <v>36697</v>
      </c>
      <c r="D2617" s="1">
        <f t="shared" si="530"/>
        <v>0</v>
      </c>
      <c r="E2617" s="3">
        <f t="array" ref="E2617">INDEX($A$9:A2616, MAX(IF($D$9:D2616=1, ROW(D$9:$D2616)-ROW($D$9)+1, 0)))</f>
        <v>49754</v>
      </c>
      <c r="F2617" s="23">
        <f t="shared" si="522"/>
        <v>9.9931553730321703</v>
      </c>
      <c r="G2617" s="5">
        <f>INDEX('Default Prob'!$P$5:$P$14,MIN(1+_xlfn.IFNA(MATCH(F2617,'Default Prob'!$F$5:$F$14,1),0),COUNT('Default Prob'!$P$5:$P$14)))</f>
        <v>8.0322462664562722E-2</v>
      </c>
      <c r="H2617" s="5">
        <f t="shared" si="531"/>
        <v>0.70254932932744796</v>
      </c>
      <c r="I2617" s="24">
        <f t="shared" si="532"/>
        <v>1.5451525686649425E-4</v>
      </c>
      <c r="J2617" s="25">
        <f>INDEX('Default Prob'!$C$3:$C$13, _xlfn.IFNA(MATCH(F2617, 'Default Prob'!$B$3:$B$13, 1), 1))</f>
        <v>2.5000000000000001E-2</v>
      </c>
      <c r="K2617" s="26">
        <f t="shared" si="523"/>
        <v>0.7813304445709397</v>
      </c>
      <c r="L2617" s="27">
        <f t="shared" ca="1" si="524"/>
        <v>0</v>
      </c>
      <c r="M2617" s="27">
        <f t="shared" ca="1" si="525"/>
        <v>0</v>
      </c>
      <c r="N2617" s="28">
        <f t="shared" ca="1" si="526"/>
        <v>0</v>
      </c>
      <c r="O2617" s="29">
        <f t="shared" ca="1" si="527"/>
        <v>0</v>
      </c>
      <c r="P2617" s="30">
        <f t="shared" ca="1" si="528"/>
        <v>0</v>
      </c>
    </row>
    <row r="2618" spans="1:16" x14ac:dyDescent="0.25">
      <c r="A2618" s="3">
        <f t="shared" si="529"/>
        <v>49776</v>
      </c>
      <c r="B2618" s="21">
        <f t="shared" si="520"/>
        <v>36627</v>
      </c>
      <c r="C2618" s="21">
        <f t="shared" si="521"/>
        <v>36697</v>
      </c>
      <c r="D2618" s="1">
        <f t="shared" si="530"/>
        <v>0</v>
      </c>
      <c r="E2618" s="3">
        <f t="array" ref="E2618">INDEX($A$9:A2617, MAX(IF($D$9:D2617=1, ROW(D$9:$D2617)-ROW($D$9)+1, 0)))</f>
        <v>49754</v>
      </c>
      <c r="F2618" s="23">
        <f t="shared" si="522"/>
        <v>9.9958932238193015</v>
      </c>
      <c r="G2618" s="5">
        <f>INDEX('Default Prob'!$P$5:$P$14,MIN(1+_xlfn.IFNA(MATCH(F2618,'Default Prob'!$F$5:$F$14,1),0),COUNT('Default Prob'!$P$5:$P$14)))</f>
        <v>8.0322462664562722E-2</v>
      </c>
      <c r="H2618" s="5">
        <f t="shared" si="531"/>
        <v>0.70239484804643759</v>
      </c>
      <c r="I2618" s="24">
        <f t="shared" si="532"/>
        <v>1.5448128101036573E-4</v>
      </c>
      <c r="J2618" s="25">
        <f>INDEX('Default Prob'!$C$3:$C$13, _xlfn.IFNA(MATCH(F2618, 'Default Prob'!$B$3:$B$13, 1), 1))</f>
        <v>2.5000000000000001E-2</v>
      </c>
      <c r="K2618" s="26">
        <f t="shared" si="523"/>
        <v>0.78127762475482498</v>
      </c>
      <c r="L2618" s="27">
        <f t="shared" ca="1" si="524"/>
        <v>0</v>
      </c>
      <c r="M2618" s="27">
        <f t="shared" ca="1" si="525"/>
        <v>0</v>
      </c>
      <c r="N2618" s="28">
        <f t="shared" ca="1" si="526"/>
        <v>0</v>
      </c>
      <c r="O2618" s="29">
        <f t="shared" ca="1" si="527"/>
        <v>0</v>
      </c>
      <c r="P2618" s="30">
        <f t="shared" ca="1" si="528"/>
        <v>0</v>
      </c>
    </row>
    <row r="2619" spans="1:16" x14ac:dyDescent="0.25">
      <c r="A2619" s="3">
        <f t="shared" si="529"/>
        <v>49779</v>
      </c>
      <c r="B2619" s="21">
        <f t="shared" si="520"/>
        <v>36630</v>
      </c>
      <c r="C2619" s="21">
        <f t="shared" si="521"/>
        <v>36697</v>
      </c>
      <c r="D2619" s="1">
        <f t="shared" si="530"/>
        <v>0</v>
      </c>
      <c r="E2619" s="3">
        <f t="array" ref="E2619">INDEX($A$9:A2618, MAX(IF($D$9:D2618=1, ROW(D$9:$D2618)-ROW($D$9)+1, 0)))</f>
        <v>49754</v>
      </c>
      <c r="F2619" s="23">
        <f t="shared" si="522"/>
        <v>10.004106776180699</v>
      </c>
      <c r="G2619" s="5">
        <f>INDEX('Default Prob'!$P$5:$P$14,MIN(1+_xlfn.IFNA(MATCH(F2619,'Default Prob'!$F$5:$F$14,1),0),COUNT('Default Prob'!$P$5:$P$14)))</f>
        <v>8.0322462664562722E-2</v>
      </c>
      <c r="H2619" s="5">
        <f t="shared" si="531"/>
        <v>0.7019316079838418</v>
      </c>
      <c r="I2619" s="24">
        <f t="shared" si="532"/>
        <v>4.6324006259579331E-4</v>
      </c>
      <c r="J2619" s="25">
        <f>INDEX('Default Prob'!$C$3:$C$13, _xlfn.IFNA(MATCH(F2619, 'Default Prob'!$B$3:$B$13, 1), 1))</f>
        <v>2.5600000000000001E-2</v>
      </c>
      <c r="K2619" s="26">
        <f t="shared" si="523"/>
        <v>0.77655960196575946</v>
      </c>
      <c r="L2619" s="27">
        <f t="shared" ca="1" si="524"/>
        <v>0</v>
      </c>
      <c r="M2619" s="27">
        <f t="shared" ca="1" si="525"/>
        <v>0</v>
      </c>
      <c r="N2619" s="28">
        <f t="shared" ca="1" si="526"/>
        <v>0</v>
      </c>
      <c r="O2619" s="29">
        <f t="shared" ca="1" si="527"/>
        <v>0</v>
      </c>
      <c r="P2619" s="30">
        <f t="shared" ca="1" si="528"/>
        <v>0</v>
      </c>
    </row>
    <row r="2620" spans="1:16" x14ac:dyDescent="0.25">
      <c r="A2620" s="3">
        <f t="shared" si="529"/>
        <v>49780</v>
      </c>
      <c r="B2620" s="21">
        <f t="shared" si="520"/>
        <v>36631</v>
      </c>
      <c r="C2620" s="21">
        <f t="shared" si="521"/>
        <v>36697</v>
      </c>
      <c r="D2620" s="1">
        <f t="shared" si="530"/>
        <v>0</v>
      </c>
      <c r="E2620" s="3">
        <f t="array" ref="E2620">INDEX($A$9:A2619, MAX(IF($D$9:D2619=1, ROW(D$9:$D2619)-ROW($D$9)+1, 0)))</f>
        <v>49754</v>
      </c>
      <c r="F2620" s="23">
        <f t="shared" si="522"/>
        <v>10.00684462696783</v>
      </c>
      <c r="G2620" s="5">
        <f>INDEX('Default Prob'!$P$5:$P$14,MIN(1+_xlfn.IFNA(MATCH(F2620,'Default Prob'!$F$5:$F$14,1),0),COUNT('Default Prob'!$P$5:$P$14)))</f>
        <v>8.0322462664562722E-2</v>
      </c>
      <c r="H2620" s="5">
        <f t="shared" si="531"/>
        <v>0.70177726253156325</v>
      </c>
      <c r="I2620" s="24">
        <f t="shared" si="532"/>
        <v>1.5434545227854812E-4</v>
      </c>
      <c r="J2620" s="25">
        <f>INDEX('Default Prob'!$C$3:$C$13, _xlfn.IFNA(MATCH(F2620, 'Default Prob'!$B$3:$B$13, 1), 1))</f>
        <v>2.5600000000000001E-2</v>
      </c>
      <c r="K2620" s="26">
        <f t="shared" si="523"/>
        <v>0.77650586057042637</v>
      </c>
      <c r="L2620" s="27">
        <f t="shared" ca="1" si="524"/>
        <v>0</v>
      </c>
      <c r="M2620" s="27">
        <f t="shared" ca="1" si="525"/>
        <v>0</v>
      </c>
      <c r="N2620" s="28">
        <f t="shared" ca="1" si="526"/>
        <v>0</v>
      </c>
      <c r="O2620" s="29">
        <f t="shared" ca="1" si="527"/>
        <v>0</v>
      </c>
      <c r="P2620" s="30">
        <f t="shared" ca="1" si="528"/>
        <v>0</v>
      </c>
    </row>
    <row r="2621" spans="1:16" x14ac:dyDescent="0.25">
      <c r="A2621" s="3">
        <f t="shared" si="529"/>
        <v>49781</v>
      </c>
      <c r="B2621" s="21">
        <f t="shared" si="520"/>
        <v>36632</v>
      </c>
      <c r="C2621" s="21">
        <f t="shared" si="521"/>
        <v>36697</v>
      </c>
      <c r="D2621" s="1">
        <f t="shared" si="530"/>
        <v>0</v>
      </c>
      <c r="E2621" s="3">
        <f t="array" ref="E2621">INDEX($A$9:A2620, MAX(IF($D$9:D2620=1, ROW(D$9:$D2620)-ROW($D$9)+1, 0)))</f>
        <v>49754</v>
      </c>
      <c r="F2621" s="23">
        <f t="shared" si="522"/>
        <v>10.009582477754963</v>
      </c>
      <c r="G2621" s="5">
        <f>INDEX('Default Prob'!$P$5:$P$14,MIN(1+_xlfn.IFNA(MATCH(F2621,'Default Prob'!$F$5:$F$14,1),0),COUNT('Default Prob'!$P$5:$P$14)))</f>
        <v>8.0322462664562722E-2</v>
      </c>
      <c r="H2621" s="5">
        <f t="shared" si="531"/>
        <v>0.70162295101780281</v>
      </c>
      <c r="I2621" s="24">
        <f t="shared" si="532"/>
        <v>1.5431151376044117E-4</v>
      </c>
      <c r="J2621" s="25">
        <f>INDEX('Default Prob'!$C$3:$C$13, _xlfn.IFNA(MATCH(F2621, 'Default Prob'!$B$3:$B$13, 1), 1))</f>
        <v>2.5600000000000001E-2</v>
      </c>
      <c r="K2621" s="26">
        <f t="shared" si="523"/>
        <v>0.77645212289423793</v>
      </c>
      <c r="L2621" s="27">
        <f t="shared" ca="1" si="524"/>
        <v>0</v>
      </c>
      <c r="M2621" s="27">
        <f t="shared" ca="1" si="525"/>
        <v>0</v>
      </c>
      <c r="N2621" s="28">
        <f t="shared" ca="1" si="526"/>
        <v>0</v>
      </c>
      <c r="O2621" s="29">
        <f t="shared" ca="1" si="527"/>
        <v>0</v>
      </c>
      <c r="P2621" s="30">
        <f t="shared" ca="1" si="528"/>
        <v>0</v>
      </c>
    </row>
    <row r="2622" spans="1:16" x14ac:dyDescent="0.25">
      <c r="A2622" s="3">
        <f t="shared" si="529"/>
        <v>49782</v>
      </c>
      <c r="B2622" s="21">
        <f t="shared" si="520"/>
        <v>36633</v>
      </c>
      <c r="C2622" s="21">
        <f t="shared" si="521"/>
        <v>36697</v>
      </c>
      <c r="D2622" s="1">
        <f t="shared" si="530"/>
        <v>0</v>
      </c>
      <c r="E2622" s="3">
        <f t="array" ref="E2622">INDEX($A$9:A2621, MAX(IF($D$9:D2621=1, ROW(D$9:$D2621)-ROW($D$9)+1, 0)))</f>
        <v>49754</v>
      </c>
      <c r="F2622" s="23">
        <f t="shared" si="522"/>
        <v>10.012320328542094</v>
      </c>
      <c r="G2622" s="5">
        <f>INDEX('Default Prob'!$P$5:$P$14,MIN(1+_xlfn.IFNA(MATCH(F2622,'Default Prob'!$F$5:$F$14,1),0),COUNT('Default Prob'!$P$5:$P$14)))</f>
        <v>8.0322462664562722E-2</v>
      </c>
      <c r="H2622" s="5">
        <f t="shared" si="531"/>
        <v>0.701468673435098</v>
      </c>
      <c r="I2622" s="24">
        <f t="shared" si="532"/>
        <v>1.5427758270480929E-4</v>
      </c>
      <c r="J2622" s="25">
        <f>INDEX('Default Prob'!$C$3:$C$13, _xlfn.IFNA(MATCH(F2622, 'Default Prob'!$B$3:$B$13, 1), 1))</f>
        <v>2.5600000000000001E-2</v>
      </c>
      <c r="K2622" s="26">
        <f t="shared" si="523"/>
        <v>0.7763983889369368</v>
      </c>
      <c r="L2622" s="27">
        <f t="shared" ca="1" si="524"/>
        <v>0</v>
      </c>
      <c r="M2622" s="27">
        <f t="shared" ca="1" si="525"/>
        <v>0</v>
      </c>
      <c r="N2622" s="28">
        <f t="shared" ca="1" si="526"/>
        <v>0</v>
      </c>
      <c r="O2622" s="29">
        <f t="shared" ca="1" si="527"/>
        <v>0</v>
      </c>
      <c r="P2622" s="30">
        <f t="shared" ca="1" si="528"/>
        <v>0</v>
      </c>
    </row>
    <row r="2623" spans="1:16" x14ac:dyDescent="0.25">
      <c r="A2623" s="3">
        <f t="shared" si="529"/>
        <v>49783</v>
      </c>
      <c r="B2623" s="21">
        <f t="shared" si="520"/>
        <v>36634</v>
      </c>
      <c r="C2623" s="21">
        <f t="shared" si="521"/>
        <v>36697</v>
      </c>
      <c r="D2623" s="1">
        <f t="shared" si="530"/>
        <v>0</v>
      </c>
      <c r="E2623" s="3">
        <f t="array" ref="E2623">INDEX($A$9:A2622, MAX(IF($D$9:D2622=1, ROW(D$9:$D2622)-ROW($D$9)+1, 0)))</f>
        <v>49754</v>
      </c>
      <c r="F2623" s="23">
        <f t="shared" si="522"/>
        <v>10.015058179329227</v>
      </c>
      <c r="G2623" s="5">
        <f>INDEX('Default Prob'!$P$5:$P$14,MIN(1+_xlfn.IFNA(MATCH(F2623,'Default Prob'!$F$5:$F$14,1),0),COUNT('Default Prob'!$P$5:$P$14)))</f>
        <v>8.0322462664562722E-2</v>
      </c>
      <c r="H2623" s="5">
        <f t="shared" si="531"/>
        <v>0.70131442977598768</v>
      </c>
      <c r="I2623" s="24">
        <f t="shared" si="532"/>
        <v>1.5424365911032023E-4</v>
      </c>
      <c r="J2623" s="25">
        <f>INDEX('Default Prob'!$C$3:$C$13, _xlfn.IFNA(MATCH(F2623, 'Default Prob'!$B$3:$B$13, 1), 1))</f>
        <v>2.5600000000000001E-2</v>
      </c>
      <c r="K2623" s="26">
        <f t="shared" si="523"/>
        <v>0.77634465869826574</v>
      </c>
      <c r="L2623" s="27">
        <f t="shared" ca="1" si="524"/>
        <v>0</v>
      </c>
      <c r="M2623" s="27">
        <f t="shared" ca="1" si="525"/>
        <v>0</v>
      </c>
      <c r="N2623" s="28">
        <f t="shared" ca="1" si="526"/>
        <v>0</v>
      </c>
      <c r="O2623" s="29">
        <f t="shared" ca="1" si="527"/>
        <v>0</v>
      </c>
      <c r="P2623" s="30">
        <f t="shared" ca="1" si="528"/>
        <v>0</v>
      </c>
    </row>
    <row r="2624" spans="1:16" x14ac:dyDescent="0.25">
      <c r="A2624" s="3">
        <f t="shared" si="529"/>
        <v>49786</v>
      </c>
      <c r="B2624" s="21">
        <f t="shared" si="520"/>
        <v>36637</v>
      </c>
      <c r="C2624" s="21">
        <f t="shared" si="521"/>
        <v>36697</v>
      </c>
      <c r="D2624" s="1">
        <f t="shared" si="530"/>
        <v>0</v>
      </c>
      <c r="E2624" s="3">
        <f t="array" ref="E2624">INDEX($A$9:A2623, MAX(IF($D$9:D2623=1, ROW(D$9:$D2623)-ROW($D$9)+1, 0)))</f>
        <v>49754</v>
      </c>
      <c r="F2624" s="23">
        <f t="shared" si="522"/>
        <v>10.023271731690622</v>
      </c>
      <c r="G2624" s="5">
        <f>INDEX('Default Prob'!$P$5:$P$14,MIN(1+_xlfn.IFNA(MATCH(F2624,'Default Prob'!$F$5:$F$14,1),0),COUNT('Default Prob'!$P$5:$P$14)))</f>
        <v>8.0322462664562722E-2</v>
      </c>
      <c r="H2624" s="5">
        <f t="shared" si="531"/>
        <v>0.70085190226563898</v>
      </c>
      <c r="I2624" s="24">
        <f t="shared" si="532"/>
        <v>4.625275103486981E-4</v>
      </c>
      <c r="J2624" s="25">
        <f>INDEX('Default Prob'!$C$3:$C$13, _xlfn.IFNA(MATCH(F2624, 'Default Prob'!$B$3:$B$13, 1), 1))</f>
        <v>2.5600000000000001E-2</v>
      </c>
      <c r="K2624" s="26">
        <f t="shared" si="523"/>
        <v>0.77618349029145961</v>
      </c>
      <c r="L2624" s="27">
        <f t="shared" ca="1" si="524"/>
        <v>0</v>
      </c>
      <c r="M2624" s="27">
        <f t="shared" ca="1" si="525"/>
        <v>0</v>
      </c>
      <c r="N2624" s="28">
        <f t="shared" ca="1" si="526"/>
        <v>0</v>
      </c>
      <c r="O2624" s="29">
        <f t="shared" ca="1" si="527"/>
        <v>0</v>
      </c>
      <c r="P2624" s="30">
        <f t="shared" ca="1" si="528"/>
        <v>0</v>
      </c>
    </row>
    <row r="2625" spans="1:16" x14ac:dyDescent="0.25">
      <c r="A2625" s="3">
        <f t="shared" si="529"/>
        <v>49787</v>
      </c>
      <c r="B2625" s="21">
        <f t="shared" si="520"/>
        <v>36638</v>
      </c>
      <c r="C2625" s="21">
        <f t="shared" si="521"/>
        <v>36697</v>
      </c>
      <c r="D2625" s="1">
        <f t="shared" si="530"/>
        <v>0</v>
      </c>
      <c r="E2625" s="3">
        <f t="array" ref="E2625">INDEX($A$9:A2624, MAX(IF($D$9:D2624=1, ROW(D$9:$D2624)-ROW($D$9)+1, 0)))</f>
        <v>49754</v>
      </c>
      <c r="F2625" s="23">
        <f t="shared" si="522"/>
        <v>10.026009582477755</v>
      </c>
      <c r="G2625" s="5">
        <f>INDEX('Default Prob'!$P$5:$P$14,MIN(1+_xlfn.IFNA(MATCH(F2625,'Default Prob'!$F$5:$F$14,1),0),COUNT('Default Prob'!$P$5:$P$14)))</f>
        <v>8.0322462664562722E-2</v>
      </c>
      <c r="H2625" s="5">
        <f t="shared" si="531"/>
        <v>0.70069779422632983</v>
      </c>
      <c r="I2625" s="24">
        <f t="shared" si="532"/>
        <v>1.5410803930915318E-4</v>
      </c>
      <c r="J2625" s="25">
        <f>INDEX('Default Prob'!$C$3:$C$13, _xlfn.IFNA(MATCH(F2625, 'Default Prob'!$B$3:$B$13, 1), 1))</f>
        <v>2.5600000000000001E-2</v>
      </c>
      <c r="K2625" s="26">
        <f t="shared" si="523"/>
        <v>0.77612977492473523</v>
      </c>
      <c r="L2625" s="27">
        <f t="shared" ca="1" si="524"/>
        <v>0</v>
      </c>
      <c r="M2625" s="27">
        <f t="shared" ca="1" si="525"/>
        <v>0</v>
      </c>
      <c r="N2625" s="28">
        <f t="shared" ca="1" si="526"/>
        <v>0</v>
      </c>
      <c r="O2625" s="29">
        <f t="shared" ca="1" si="527"/>
        <v>0</v>
      </c>
      <c r="P2625" s="30">
        <f t="shared" ca="1" si="528"/>
        <v>0</v>
      </c>
    </row>
    <row r="2626" spans="1:16" x14ac:dyDescent="0.25">
      <c r="A2626" s="3">
        <f t="shared" si="529"/>
        <v>49788</v>
      </c>
      <c r="B2626" s="21">
        <f t="shared" si="520"/>
        <v>36639</v>
      </c>
      <c r="C2626" s="21">
        <f t="shared" si="521"/>
        <v>36697</v>
      </c>
      <c r="D2626" s="1">
        <f t="shared" si="530"/>
        <v>0</v>
      </c>
      <c r="E2626" s="3">
        <f t="array" ref="E2626">INDEX($A$9:A2625, MAX(IF($D$9:D2625=1, ROW(D$9:$D2625)-ROW($D$9)+1, 0)))</f>
        <v>49754</v>
      </c>
      <c r="F2626" s="23">
        <f t="shared" si="522"/>
        <v>10.028747433264886</v>
      </c>
      <c r="G2626" s="5">
        <f>INDEX('Default Prob'!$P$5:$P$14,MIN(1+_xlfn.IFNA(MATCH(F2626,'Default Prob'!$F$5:$F$14,1),0),COUNT('Default Prob'!$P$5:$P$14)))</f>
        <v>8.0322462664562722E-2</v>
      </c>
      <c r="H2626" s="5">
        <f t="shared" si="531"/>
        <v>0.70054372007333499</v>
      </c>
      <c r="I2626" s="24">
        <f t="shared" si="532"/>
        <v>1.5407415299484306E-4</v>
      </c>
      <c r="J2626" s="25">
        <f>INDEX('Default Prob'!$C$3:$C$13, _xlfn.IFNA(MATCH(F2626, 'Default Prob'!$B$3:$B$13, 1), 1))</f>
        <v>2.5600000000000001E-2</v>
      </c>
      <c r="K2626" s="26">
        <f t="shared" si="523"/>
        <v>0.7760760632753545</v>
      </c>
      <c r="L2626" s="27">
        <f t="shared" ca="1" si="524"/>
        <v>0</v>
      </c>
      <c r="M2626" s="27">
        <f t="shared" ca="1" si="525"/>
        <v>0</v>
      </c>
      <c r="N2626" s="28">
        <f t="shared" ca="1" si="526"/>
        <v>0</v>
      </c>
      <c r="O2626" s="29">
        <f t="shared" ca="1" si="527"/>
        <v>0</v>
      </c>
      <c r="P2626" s="30">
        <f t="shared" ca="1" si="528"/>
        <v>0</v>
      </c>
    </row>
    <row r="2627" spans="1:16" x14ac:dyDescent="0.25">
      <c r="A2627" s="3">
        <f t="shared" si="529"/>
        <v>49789</v>
      </c>
      <c r="B2627" s="21">
        <f t="shared" si="520"/>
        <v>36640</v>
      </c>
      <c r="C2627" s="21">
        <f t="shared" si="521"/>
        <v>36697</v>
      </c>
      <c r="D2627" s="1">
        <f t="shared" si="530"/>
        <v>0</v>
      </c>
      <c r="E2627" s="3">
        <f t="array" ref="E2627">INDEX($A$9:A2626, MAX(IF($D$9:D2626=1, ROW(D$9:$D2626)-ROW($D$9)+1, 0)))</f>
        <v>49754</v>
      </c>
      <c r="F2627" s="23">
        <f t="shared" si="522"/>
        <v>10.031485284052019</v>
      </c>
      <c r="G2627" s="5">
        <f>INDEX('Default Prob'!$P$5:$P$14,MIN(1+_xlfn.IFNA(MATCH(F2627,'Default Prob'!$F$5:$F$14,1),0),COUNT('Default Prob'!$P$5:$P$14)))</f>
        <v>8.0322462664562722E-2</v>
      </c>
      <c r="H2627" s="5">
        <f t="shared" si="531"/>
        <v>0.70038967979920308</v>
      </c>
      <c r="I2627" s="24">
        <f t="shared" si="532"/>
        <v>1.540402741319058E-4</v>
      </c>
      <c r="J2627" s="25">
        <f>INDEX('Default Prob'!$C$3:$C$13, _xlfn.IFNA(MATCH(F2627, 'Default Prob'!$B$3:$B$13, 1), 1))</f>
        <v>2.5600000000000001E-2</v>
      </c>
      <c r="K2627" s="26">
        <f t="shared" si="523"/>
        <v>0.77602235534305997</v>
      </c>
      <c r="L2627" s="27">
        <f t="shared" ca="1" si="524"/>
        <v>0</v>
      </c>
      <c r="M2627" s="27">
        <f t="shared" ca="1" si="525"/>
        <v>0</v>
      </c>
      <c r="N2627" s="28">
        <f t="shared" ca="1" si="526"/>
        <v>0</v>
      </c>
      <c r="O2627" s="29">
        <f t="shared" ca="1" si="527"/>
        <v>0</v>
      </c>
      <c r="P2627" s="30">
        <f t="shared" ca="1" si="528"/>
        <v>0</v>
      </c>
    </row>
    <row r="2628" spans="1:16" x14ac:dyDescent="0.25">
      <c r="A2628" s="3">
        <f t="shared" si="529"/>
        <v>49790</v>
      </c>
      <c r="B2628" s="21">
        <f t="shared" si="520"/>
        <v>36641</v>
      </c>
      <c r="C2628" s="21">
        <f t="shared" si="521"/>
        <v>36697</v>
      </c>
      <c r="D2628" s="1">
        <f t="shared" si="530"/>
        <v>0</v>
      </c>
      <c r="E2628" s="3">
        <f t="array" ref="E2628">INDEX($A$9:A2627, MAX(IF($D$9:D2627=1, ROW(D$9:$D2627)-ROW($D$9)+1, 0)))</f>
        <v>49754</v>
      </c>
      <c r="F2628" s="23">
        <f t="shared" si="522"/>
        <v>10.03422313483915</v>
      </c>
      <c r="G2628" s="5">
        <f>INDEX('Default Prob'!$P$5:$P$14,MIN(1+_xlfn.IFNA(MATCH(F2628,'Default Prob'!$F$5:$F$14,1),0),COUNT('Default Prob'!$P$5:$P$14)))</f>
        <v>8.0322462664562722E-2</v>
      </c>
      <c r="H2628" s="5">
        <f t="shared" si="531"/>
        <v>0.70023567339648485</v>
      </c>
      <c r="I2628" s="24">
        <f t="shared" si="532"/>
        <v>1.5400640271823196E-4</v>
      </c>
      <c r="J2628" s="25">
        <f>INDEX('Default Prob'!$C$3:$C$13, _xlfn.IFNA(MATCH(F2628, 'Default Prob'!$B$3:$B$13, 1), 1))</f>
        <v>2.5600000000000001E-2</v>
      </c>
      <c r="K2628" s="26">
        <f t="shared" si="523"/>
        <v>0.77596865112759439</v>
      </c>
      <c r="L2628" s="27">
        <f t="shared" ca="1" si="524"/>
        <v>0</v>
      </c>
      <c r="M2628" s="27">
        <f t="shared" ca="1" si="525"/>
        <v>0</v>
      </c>
      <c r="N2628" s="28">
        <f t="shared" ca="1" si="526"/>
        <v>0</v>
      </c>
      <c r="O2628" s="29">
        <f t="shared" ca="1" si="527"/>
        <v>0</v>
      </c>
      <c r="P2628" s="30">
        <f t="shared" ca="1" si="528"/>
        <v>0</v>
      </c>
    </row>
    <row r="2629" spans="1:16" x14ac:dyDescent="0.25">
      <c r="A2629" s="3">
        <f t="shared" si="529"/>
        <v>49793</v>
      </c>
      <c r="B2629" s="21">
        <f t="shared" si="520"/>
        <v>36644</v>
      </c>
      <c r="C2629" s="21">
        <f t="shared" si="521"/>
        <v>36697</v>
      </c>
      <c r="D2629" s="1">
        <f t="shared" si="530"/>
        <v>0</v>
      </c>
      <c r="E2629" s="3">
        <f t="array" ref="E2629">INDEX($A$9:A2628, MAX(IF($D$9:D2628=1, ROW(D$9:$D2628)-ROW($D$9)+1, 0)))</f>
        <v>49754</v>
      </c>
      <c r="F2629" s="23">
        <f t="shared" si="522"/>
        <v>10.042436687200547</v>
      </c>
      <c r="G2629" s="5">
        <f>INDEX('Default Prob'!$P$5:$P$14,MIN(1+_xlfn.IFNA(MATCH(F2629,'Default Prob'!$F$5:$F$14,1),0),COUNT('Default Prob'!$P$5:$P$14)))</f>
        <v>8.0322462664562722E-2</v>
      </c>
      <c r="H2629" s="5">
        <f t="shared" si="531"/>
        <v>0.69977385734234065</v>
      </c>
      <c r="I2629" s="24">
        <f t="shared" si="532"/>
        <v>4.6181605414419291E-4</v>
      </c>
      <c r="J2629" s="25">
        <f>INDEX('Default Prob'!$C$3:$C$13, _xlfn.IFNA(MATCH(F2629, 'Default Prob'!$B$3:$B$13, 1), 1))</f>
        <v>2.5600000000000001E-2</v>
      </c>
      <c r="K2629" s="26">
        <f t="shared" si="523"/>
        <v>0.77580756077959923</v>
      </c>
      <c r="L2629" s="27">
        <f t="shared" ca="1" si="524"/>
        <v>0</v>
      </c>
      <c r="M2629" s="27">
        <f t="shared" ca="1" si="525"/>
        <v>0</v>
      </c>
      <c r="N2629" s="28">
        <f t="shared" ca="1" si="526"/>
        <v>0</v>
      </c>
      <c r="O2629" s="29">
        <f t="shared" ca="1" si="527"/>
        <v>0</v>
      </c>
      <c r="P2629" s="30">
        <f t="shared" ca="1" si="528"/>
        <v>0</v>
      </c>
    </row>
    <row r="2630" spans="1:16" x14ac:dyDescent="0.25">
      <c r="A2630" s="3">
        <f t="shared" si="529"/>
        <v>49794</v>
      </c>
      <c r="B2630" s="21">
        <f t="shared" si="520"/>
        <v>36645</v>
      </c>
      <c r="C2630" s="21">
        <f t="shared" si="521"/>
        <v>36697</v>
      </c>
      <c r="D2630" s="1">
        <f t="shared" si="530"/>
        <v>0</v>
      </c>
      <c r="E2630" s="3">
        <f t="array" ref="E2630">INDEX($A$9:A2629, MAX(IF($D$9:D2629=1, ROW(D$9:$D2629)-ROW($D$9)+1, 0)))</f>
        <v>49754</v>
      </c>
      <c r="F2630" s="23">
        <f t="shared" si="522"/>
        <v>10.04517453798768</v>
      </c>
      <c r="G2630" s="5">
        <f>INDEX('Default Prob'!$P$5:$P$14,MIN(1+_xlfn.IFNA(MATCH(F2630,'Default Prob'!$F$5:$F$14,1),0),COUNT('Default Prob'!$P$5:$P$14)))</f>
        <v>8.0322462664562722E-2</v>
      </c>
      <c r="H2630" s="5">
        <f t="shared" si="531"/>
        <v>0.69961998635081413</v>
      </c>
      <c r="I2630" s="24">
        <f t="shared" si="532"/>
        <v>1.5387099152652794E-4</v>
      </c>
      <c r="J2630" s="25">
        <f>INDEX('Default Prob'!$C$3:$C$13, _xlfn.IFNA(MATCH(F2630, 'Default Prob'!$B$3:$B$13, 1), 1))</f>
        <v>2.5600000000000001E-2</v>
      </c>
      <c r="K2630" s="26">
        <f t="shared" si="523"/>
        <v>0.77575387142887742</v>
      </c>
      <c r="L2630" s="27">
        <f t="shared" ca="1" si="524"/>
        <v>0</v>
      </c>
      <c r="M2630" s="27">
        <f t="shared" ca="1" si="525"/>
        <v>0</v>
      </c>
      <c r="N2630" s="28">
        <f t="shared" ca="1" si="526"/>
        <v>0</v>
      </c>
      <c r="O2630" s="29">
        <f t="shared" ca="1" si="527"/>
        <v>0</v>
      </c>
      <c r="P2630" s="30">
        <f t="shared" ca="1" si="528"/>
        <v>0</v>
      </c>
    </row>
    <row r="2631" spans="1:16" x14ac:dyDescent="0.25">
      <c r="A2631" s="3">
        <f t="shared" si="529"/>
        <v>49795</v>
      </c>
      <c r="B2631" s="21">
        <f t="shared" si="520"/>
        <v>36646</v>
      </c>
      <c r="C2631" s="21">
        <f t="shared" si="521"/>
        <v>36697</v>
      </c>
      <c r="D2631" s="1">
        <f t="shared" si="530"/>
        <v>0</v>
      </c>
      <c r="E2631" s="3">
        <f t="array" ref="E2631">INDEX($A$9:A2630, MAX(IF($D$9:D2630=1, ROW(D$9:$D2630)-ROW($D$9)+1, 0)))</f>
        <v>49754</v>
      </c>
      <c r="F2631" s="23">
        <f t="shared" si="522"/>
        <v>10.047912388774812</v>
      </c>
      <c r="G2631" s="5">
        <f>INDEX('Default Prob'!$P$5:$P$14,MIN(1+_xlfn.IFNA(MATCH(F2631,'Default Prob'!$F$5:$F$14,1),0),COUNT('Default Prob'!$P$5:$P$14)))</f>
        <v>8.0322462664562722E-2</v>
      </c>
      <c r="H2631" s="5">
        <f t="shared" si="531"/>
        <v>0.69946614919347827</v>
      </c>
      <c r="I2631" s="24">
        <f t="shared" si="532"/>
        <v>1.5383715733585657E-4</v>
      </c>
      <c r="J2631" s="25">
        <f>INDEX('Default Prob'!$C$3:$C$13, _xlfn.IFNA(MATCH(F2631, 'Default Prob'!$B$3:$B$13, 1), 1))</f>
        <v>2.5600000000000001E-2</v>
      </c>
      <c r="K2631" s="26">
        <f t="shared" si="523"/>
        <v>0.77570018579369859</v>
      </c>
      <c r="L2631" s="27">
        <f t="shared" ca="1" si="524"/>
        <v>0</v>
      </c>
      <c r="M2631" s="27">
        <f t="shared" ca="1" si="525"/>
        <v>0</v>
      </c>
      <c r="N2631" s="28">
        <f t="shared" ca="1" si="526"/>
        <v>0</v>
      </c>
      <c r="O2631" s="29">
        <f t="shared" ca="1" si="527"/>
        <v>0</v>
      </c>
      <c r="P2631" s="30">
        <f t="shared" ca="1" si="528"/>
        <v>0</v>
      </c>
    </row>
    <row r="2632" spans="1:16" x14ac:dyDescent="0.25">
      <c r="A2632" s="3">
        <f t="shared" si="529"/>
        <v>49796</v>
      </c>
      <c r="B2632" s="21">
        <f t="shared" si="520"/>
        <v>36647</v>
      </c>
      <c r="C2632" s="21">
        <f t="shared" si="521"/>
        <v>36697</v>
      </c>
      <c r="D2632" s="1">
        <f t="shared" si="530"/>
        <v>0</v>
      </c>
      <c r="E2632" s="3">
        <f t="array" ref="E2632">INDEX($A$9:A2631, MAX(IF($D$9:D2631=1, ROW(D$9:$D2631)-ROW($D$9)+1, 0)))</f>
        <v>49754</v>
      </c>
      <c r="F2632" s="23">
        <f t="shared" si="522"/>
        <v>10.050650239561945</v>
      </c>
      <c r="G2632" s="5">
        <f>INDEX('Default Prob'!$P$5:$P$14,MIN(1+_xlfn.IFNA(MATCH(F2632,'Default Prob'!$F$5:$F$14,1),0),COUNT('Default Prob'!$P$5:$P$14)))</f>
        <v>8.0322462664562722E-2</v>
      </c>
      <c r="H2632" s="5">
        <f t="shared" si="531"/>
        <v>0.69931234586289315</v>
      </c>
      <c r="I2632" s="24">
        <f t="shared" si="532"/>
        <v>1.5380333058512274E-4</v>
      </c>
      <c r="J2632" s="25">
        <f>INDEX('Default Prob'!$C$3:$C$13, _xlfn.IFNA(MATCH(F2632, 'Default Prob'!$B$3:$B$13, 1), 1))</f>
        <v>2.5600000000000001E-2</v>
      </c>
      <c r="K2632" s="26">
        <f t="shared" si="523"/>
        <v>0.77564650387380585</v>
      </c>
      <c r="L2632" s="27">
        <f t="shared" ca="1" si="524"/>
        <v>0</v>
      </c>
      <c r="M2632" s="27">
        <f t="shared" ca="1" si="525"/>
        <v>0</v>
      </c>
      <c r="N2632" s="28">
        <f t="shared" ca="1" si="526"/>
        <v>0</v>
      </c>
      <c r="O2632" s="29">
        <f t="shared" ca="1" si="527"/>
        <v>0</v>
      </c>
      <c r="P2632" s="30">
        <f t="shared" ca="1" si="528"/>
        <v>0</v>
      </c>
    </row>
    <row r="2633" spans="1:16" x14ac:dyDescent="0.25">
      <c r="A2633" s="3">
        <f t="shared" si="529"/>
        <v>49797</v>
      </c>
      <c r="B2633" s="21">
        <f t="shared" ref="B2633:B2696" si="533">DATE(2000, MONTH(A2633), DAY(A2633))</f>
        <v>36648</v>
      </c>
      <c r="C2633" s="21">
        <f t="shared" ref="C2633:C2696" si="534">VLOOKUP(B2633, $R$9:$S$13, 2)</f>
        <v>36697</v>
      </c>
      <c r="D2633" s="1">
        <f t="shared" si="530"/>
        <v>0</v>
      </c>
      <c r="E2633" s="3">
        <f t="array" ref="E2633">INDEX($A$9:A2632, MAX(IF($D$9:D2632=1, ROW(D$9:$D2632)-ROW($D$9)+1, 0)))</f>
        <v>49754</v>
      </c>
      <c r="F2633" s="23">
        <f t="shared" ref="F2633:F2696" si="535">(A2633-$A$2)/365.25</f>
        <v>10.053388090349076</v>
      </c>
      <c r="G2633" s="5">
        <f>INDEX('Default Prob'!$P$5:$P$14,MIN(1+_xlfn.IFNA(MATCH(F2633,'Default Prob'!$F$5:$F$14,1),0),COUNT('Default Prob'!$P$5:$P$14)))</f>
        <v>8.0322462664562722E-2</v>
      </c>
      <c r="H2633" s="5">
        <f t="shared" si="531"/>
        <v>0.69915857635162093</v>
      </c>
      <c r="I2633" s="24">
        <f t="shared" si="532"/>
        <v>1.5376951127221705E-4</v>
      </c>
      <c r="J2633" s="25">
        <f>INDEX('Default Prob'!$C$3:$C$13, _xlfn.IFNA(MATCH(F2633, 'Default Prob'!$B$3:$B$13, 1), 1))</f>
        <v>2.5600000000000001E-2</v>
      </c>
      <c r="K2633" s="26">
        <f t="shared" ref="K2633:K2696" si="536">1/((1+J2633)^F2633)</f>
        <v>0.77559282566894183</v>
      </c>
      <c r="L2633" s="27">
        <f t="shared" ref="L2633:L2696" ca="1" si="537">IF(AND(D2633, A2633 &lt;= $G$2), $D$5*$D$2*(A2633-E2633)/365.25, 0)</f>
        <v>0</v>
      </c>
      <c r="M2633" s="27">
        <f t="shared" ref="M2633:M2696" ca="1" si="538">IF(A2633&lt;=$G$2, $D$5*$D$2*(A2633-E2633)/365.25, 0)</f>
        <v>0</v>
      </c>
      <c r="N2633" s="28">
        <f t="shared" ref="N2633:N2696" ca="1" si="539">(L2633*H2633 + M2633*I2633) * K2633</f>
        <v>0</v>
      </c>
      <c r="O2633" s="29">
        <f t="shared" ref="O2633:O2696" ca="1" si="540">IF(A2633&lt;=$G$2, $D$2*(1-$D$3), 0)</f>
        <v>0</v>
      </c>
      <c r="P2633" s="30">
        <f t="shared" ref="P2633:P2696" ca="1" si="541">O2633*I2633*K2633</f>
        <v>0</v>
      </c>
    </row>
    <row r="2634" spans="1:16" x14ac:dyDescent="0.25">
      <c r="A2634" s="3">
        <f t="shared" ref="A2634:A2697" si="542">WORKDAY(A2633, 1)</f>
        <v>49800</v>
      </c>
      <c r="B2634" s="21">
        <f t="shared" si="533"/>
        <v>36651</v>
      </c>
      <c r="C2634" s="21">
        <f t="shared" si="534"/>
        <v>36697</v>
      </c>
      <c r="D2634" s="1">
        <f t="shared" ref="D2634:D2697" si="543">IF(OR(C2634=B2634, AND(C2634&lt;&gt;C2633, C2633&gt;B2633)), 1, 0)</f>
        <v>0</v>
      </c>
      <c r="E2634" s="3">
        <f t="array" ref="E2634">INDEX($A$9:A2633, MAX(IF($D$9:D2633=1, ROW(D$9:$D2633)-ROW($D$9)+1, 0)))</f>
        <v>49754</v>
      </c>
      <c r="F2634" s="23">
        <f t="shared" si="535"/>
        <v>10.061601642710473</v>
      </c>
      <c r="G2634" s="5">
        <f>INDEX('Default Prob'!$P$5:$P$14,MIN(1+_xlfn.IFNA(MATCH(F2634,'Default Prob'!$F$5:$F$14,1),0),COUNT('Default Prob'!$P$5:$P$14)))</f>
        <v>8.0322462664562722E-2</v>
      </c>
      <c r="H2634" s="5">
        <f t="shared" ref="H2634:H2697" si="544">H2633*EXP(-G2633*(F2634-F2633))</f>
        <v>0.69869747065932508</v>
      </c>
      <c r="I2634" s="24">
        <f t="shared" ref="I2634:I2697" si="545">H2633-H2634</f>
        <v>4.6110569229584897E-4</v>
      </c>
      <c r="J2634" s="25">
        <f>INDEX('Default Prob'!$C$3:$C$13, _xlfn.IFNA(MATCH(F2634, 'Default Prob'!$B$3:$B$13, 1), 1))</f>
        <v>2.5600000000000001E-2</v>
      </c>
      <c r="K2634" s="26">
        <f t="shared" si="536"/>
        <v>0.77543181334195155</v>
      </c>
      <c r="L2634" s="27">
        <f t="shared" ca="1" si="537"/>
        <v>0</v>
      </c>
      <c r="M2634" s="27">
        <f t="shared" ca="1" si="538"/>
        <v>0</v>
      </c>
      <c r="N2634" s="28">
        <f t="shared" ca="1" si="539"/>
        <v>0</v>
      </c>
      <c r="O2634" s="29">
        <f t="shared" ca="1" si="540"/>
        <v>0</v>
      </c>
      <c r="P2634" s="30">
        <f t="shared" ca="1" si="541"/>
        <v>0</v>
      </c>
    </row>
    <row r="2635" spans="1:16" x14ac:dyDescent="0.25">
      <c r="A2635" s="3">
        <f t="shared" si="542"/>
        <v>49801</v>
      </c>
      <c r="B2635" s="21">
        <f t="shared" si="533"/>
        <v>36652</v>
      </c>
      <c r="C2635" s="21">
        <f t="shared" si="534"/>
        <v>36697</v>
      </c>
      <c r="D2635" s="1">
        <f t="shared" si="543"/>
        <v>0</v>
      </c>
      <c r="E2635" s="3">
        <f t="array" ref="E2635">INDEX($A$9:A2634, MAX(IF($D$9:D2634=1, ROW(D$9:$D2634)-ROW($D$9)+1, 0)))</f>
        <v>49754</v>
      </c>
      <c r="F2635" s="23">
        <f t="shared" si="535"/>
        <v>10.064339493497604</v>
      </c>
      <c r="G2635" s="5">
        <f>INDEX('Default Prob'!$P$5:$P$14,MIN(1+_xlfn.IFNA(MATCH(F2635,'Default Prob'!$F$5:$F$14,1),0),COUNT('Default Prob'!$P$5:$P$14)))</f>
        <v>8.0322462664562722E-2</v>
      </c>
      <c r="H2635" s="5">
        <f t="shared" si="544"/>
        <v>0.69854383635095629</v>
      </c>
      <c r="I2635" s="24">
        <f t="shared" si="545"/>
        <v>1.5363430836878855E-4</v>
      </c>
      <c r="J2635" s="25">
        <f>INDEX('Default Prob'!$C$3:$C$13, _xlfn.IFNA(MATCH(F2635, 'Default Prob'!$B$3:$B$13, 1), 1))</f>
        <v>2.5600000000000001E-2</v>
      </c>
      <c r="K2635" s="26">
        <f t="shared" si="536"/>
        <v>0.77537814999463184</v>
      </c>
      <c r="L2635" s="27">
        <f t="shared" ca="1" si="537"/>
        <v>0</v>
      </c>
      <c r="M2635" s="27">
        <f t="shared" ca="1" si="538"/>
        <v>0</v>
      </c>
      <c r="N2635" s="28">
        <f t="shared" ca="1" si="539"/>
        <v>0</v>
      </c>
      <c r="O2635" s="29">
        <f t="shared" ca="1" si="540"/>
        <v>0</v>
      </c>
      <c r="P2635" s="30">
        <f t="shared" ca="1" si="541"/>
        <v>0</v>
      </c>
    </row>
    <row r="2636" spans="1:16" x14ac:dyDescent="0.25">
      <c r="A2636" s="3">
        <f t="shared" si="542"/>
        <v>49802</v>
      </c>
      <c r="B2636" s="21">
        <f t="shared" si="533"/>
        <v>36653</v>
      </c>
      <c r="C2636" s="21">
        <f t="shared" si="534"/>
        <v>36697</v>
      </c>
      <c r="D2636" s="1">
        <f t="shared" si="543"/>
        <v>0</v>
      </c>
      <c r="E2636" s="3">
        <f t="array" ref="E2636">INDEX($A$9:A2635, MAX(IF($D$9:D2635=1, ROW(D$9:$D2635)-ROW($D$9)+1, 0)))</f>
        <v>49754</v>
      </c>
      <c r="F2636" s="23">
        <f t="shared" si="535"/>
        <v>10.067077344284737</v>
      </c>
      <c r="G2636" s="5">
        <f>INDEX('Default Prob'!$P$5:$P$14,MIN(1+_xlfn.IFNA(MATCH(F2636,'Default Prob'!$F$5:$F$14,1),0),COUNT('Default Prob'!$P$5:$P$14)))</f>
        <v>8.0322462664562722E-2</v>
      </c>
      <c r="H2636" s="5">
        <f t="shared" si="544"/>
        <v>0.69839023582473447</v>
      </c>
      <c r="I2636" s="24">
        <f t="shared" si="545"/>
        <v>1.5360052622181986E-4</v>
      </c>
      <c r="J2636" s="25">
        <f>INDEX('Default Prob'!$C$3:$C$13, _xlfn.IFNA(MATCH(F2636, 'Default Prob'!$B$3:$B$13, 1), 1))</f>
        <v>2.5600000000000001E-2</v>
      </c>
      <c r="K2636" s="26">
        <f t="shared" si="536"/>
        <v>0.77532449036105566</v>
      </c>
      <c r="L2636" s="27">
        <f t="shared" ca="1" si="537"/>
        <v>0</v>
      </c>
      <c r="M2636" s="27">
        <f t="shared" ca="1" si="538"/>
        <v>0</v>
      </c>
      <c r="N2636" s="28">
        <f t="shared" ca="1" si="539"/>
        <v>0</v>
      </c>
      <c r="O2636" s="29">
        <f t="shared" ca="1" si="540"/>
        <v>0</v>
      </c>
      <c r="P2636" s="30">
        <f t="shared" ca="1" si="541"/>
        <v>0</v>
      </c>
    </row>
    <row r="2637" spans="1:16" x14ac:dyDescent="0.25">
      <c r="A2637" s="3">
        <f t="shared" si="542"/>
        <v>49803</v>
      </c>
      <c r="B2637" s="21">
        <f t="shared" si="533"/>
        <v>36654</v>
      </c>
      <c r="C2637" s="21">
        <f t="shared" si="534"/>
        <v>36697</v>
      </c>
      <c r="D2637" s="1">
        <f t="shared" si="543"/>
        <v>0</v>
      </c>
      <c r="E2637" s="3">
        <f t="array" ref="E2637">INDEX($A$9:A2636, MAX(IF($D$9:D2636=1, ROW(D$9:$D2636)-ROW($D$9)+1, 0)))</f>
        <v>49754</v>
      </c>
      <c r="F2637" s="23">
        <f t="shared" si="535"/>
        <v>10.069815195071868</v>
      </c>
      <c r="G2637" s="5">
        <f>INDEX('Default Prob'!$P$5:$P$14,MIN(1+_xlfn.IFNA(MATCH(F2637,'Default Prob'!$F$5:$F$14,1),0),COUNT('Default Prob'!$P$5:$P$14)))</f>
        <v>8.0322462664562722E-2</v>
      </c>
      <c r="H2637" s="5">
        <f t="shared" si="544"/>
        <v>0.69823666907323156</v>
      </c>
      <c r="I2637" s="24">
        <f t="shared" si="545"/>
        <v>1.5356675150290933E-4</v>
      </c>
      <c r="J2637" s="25">
        <f>INDEX('Default Prob'!$C$3:$C$13, _xlfn.IFNA(MATCH(F2637, 'Default Prob'!$B$3:$B$13, 1), 1))</f>
        <v>2.5600000000000001E-2</v>
      </c>
      <c r="K2637" s="26">
        <f t="shared" si="536"/>
        <v>0.77527083444096601</v>
      </c>
      <c r="L2637" s="27">
        <f t="shared" ca="1" si="537"/>
        <v>0</v>
      </c>
      <c r="M2637" s="27">
        <f t="shared" ca="1" si="538"/>
        <v>0</v>
      </c>
      <c r="N2637" s="28">
        <f t="shared" ca="1" si="539"/>
        <v>0</v>
      </c>
      <c r="O2637" s="29">
        <f t="shared" ca="1" si="540"/>
        <v>0</v>
      </c>
      <c r="P2637" s="30">
        <f t="shared" ca="1" si="541"/>
        <v>0</v>
      </c>
    </row>
    <row r="2638" spans="1:16" x14ac:dyDescent="0.25">
      <c r="A2638" s="3">
        <f t="shared" si="542"/>
        <v>49804</v>
      </c>
      <c r="B2638" s="21">
        <f t="shared" si="533"/>
        <v>36655</v>
      </c>
      <c r="C2638" s="21">
        <f t="shared" si="534"/>
        <v>36697</v>
      </c>
      <c r="D2638" s="1">
        <f t="shared" si="543"/>
        <v>0</v>
      </c>
      <c r="E2638" s="3">
        <f t="array" ref="E2638">INDEX($A$9:A2637, MAX(IF($D$9:D2637=1, ROW(D$9:$D2637)-ROW($D$9)+1, 0)))</f>
        <v>49754</v>
      </c>
      <c r="F2638" s="23">
        <f t="shared" si="535"/>
        <v>10.072553045859001</v>
      </c>
      <c r="G2638" s="5">
        <f>INDEX('Default Prob'!$P$5:$P$14,MIN(1+_xlfn.IFNA(MATCH(F2638,'Default Prob'!$F$5:$F$14,1),0),COUNT('Default Prob'!$P$5:$P$14)))</f>
        <v>8.0322462664562722E-2</v>
      </c>
      <c r="H2638" s="5">
        <f t="shared" si="544"/>
        <v>0.69808313608902084</v>
      </c>
      <c r="I2638" s="24">
        <f t="shared" si="545"/>
        <v>1.535329842107247E-4</v>
      </c>
      <c r="J2638" s="25">
        <f>INDEX('Default Prob'!$C$3:$C$13, _xlfn.IFNA(MATCH(F2638, 'Default Prob'!$B$3:$B$13, 1), 1))</f>
        <v>2.5600000000000001E-2</v>
      </c>
      <c r="K2638" s="26">
        <f t="shared" si="536"/>
        <v>0.77521718223410574</v>
      </c>
      <c r="L2638" s="27">
        <f t="shared" ca="1" si="537"/>
        <v>0</v>
      </c>
      <c r="M2638" s="27">
        <f t="shared" ca="1" si="538"/>
        <v>0</v>
      </c>
      <c r="N2638" s="28">
        <f t="shared" ca="1" si="539"/>
        <v>0</v>
      </c>
      <c r="O2638" s="29">
        <f t="shared" ca="1" si="540"/>
        <v>0</v>
      </c>
      <c r="P2638" s="30">
        <f t="shared" ca="1" si="541"/>
        <v>0</v>
      </c>
    </row>
    <row r="2639" spans="1:16" x14ac:dyDescent="0.25">
      <c r="A2639" s="3">
        <f t="shared" si="542"/>
        <v>49807</v>
      </c>
      <c r="B2639" s="21">
        <f t="shared" si="533"/>
        <v>36658</v>
      </c>
      <c r="C2639" s="21">
        <f t="shared" si="534"/>
        <v>36697</v>
      </c>
      <c r="D2639" s="1">
        <f t="shared" si="543"/>
        <v>0</v>
      </c>
      <c r="E2639" s="3">
        <f t="array" ref="E2639">INDEX($A$9:A2638, MAX(IF($D$9:D2638=1, ROW(D$9:$D2638)-ROW($D$9)+1, 0)))</f>
        <v>49754</v>
      </c>
      <c r="F2639" s="23">
        <f t="shared" si="535"/>
        <v>10.080766598220396</v>
      </c>
      <c r="G2639" s="5">
        <f>INDEX('Default Prob'!$P$5:$P$14,MIN(1+_xlfn.IFNA(MATCH(F2639,'Default Prob'!$F$5:$F$14,1),0),COUNT('Default Prob'!$P$5:$P$14)))</f>
        <v>8.0322462664562722E-2</v>
      </c>
      <c r="H2639" s="5">
        <f t="shared" si="544"/>
        <v>0.69762273966590027</v>
      </c>
      <c r="I2639" s="24">
        <f t="shared" si="545"/>
        <v>4.6039642312056817E-4</v>
      </c>
      <c r="J2639" s="25">
        <f>INDEX('Default Prob'!$C$3:$C$13, _xlfn.IFNA(MATCH(F2639, 'Default Prob'!$B$3:$B$13, 1), 1))</f>
        <v>2.5600000000000001E-2</v>
      </c>
      <c r="K2639" s="26">
        <f t="shared" si="536"/>
        <v>0.77505624789033245</v>
      </c>
      <c r="L2639" s="27">
        <f t="shared" ca="1" si="537"/>
        <v>0</v>
      </c>
      <c r="M2639" s="27">
        <f t="shared" ca="1" si="538"/>
        <v>0</v>
      </c>
      <c r="N2639" s="28">
        <f t="shared" ca="1" si="539"/>
        <v>0</v>
      </c>
      <c r="O2639" s="29">
        <f t="shared" ca="1" si="540"/>
        <v>0</v>
      </c>
      <c r="P2639" s="30">
        <f t="shared" ca="1" si="541"/>
        <v>0</v>
      </c>
    </row>
    <row r="2640" spans="1:16" x14ac:dyDescent="0.25">
      <c r="A2640" s="3">
        <f t="shared" si="542"/>
        <v>49808</v>
      </c>
      <c r="B2640" s="21">
        <f t="shared" si="533"/>
        <v>36659</v>
      </c>
      <c r="C2640" s="21">
        <f t="shared" si="534"/>
        <v>36697</v>
      </c>
      <c r="D2640" s="1">
        <f t="shared" si="543"/>
        <v>0</v>
      </c>
      <c r="E2640" s="3">
        <f t="array" ref="E2640">INDEX($A$9:A2639, MAX(IF($D$9:D2639=1, ROW(D$9:$D2639)-ROW($D$9)+1, 0)))</f>
        <v>49754</v>
      </c>
      <c r="F2640" s="23">
        <f t="shared" si="535"/>
        <v>10.083504449007529</v>
      </c>
      <c r="G2640" s="5">
        <f>INDEX('Default Prob'!$P$5:$P$14,MIN(1+_xlfn.IFNA(MATCH(F2640,'Default Prob'!$F$5:$F$14,1),0),COUNT('Default Prob'!$P$5:$P$14)))</f>
        <v>8.0322462664562722E-2</v>
      </c>
      <c r="H2640" s="5">
        <f t="shared" si="544"/>
        <v>0.69746934167662489</v>
      </c>
      <c r="I2640" s="24">
        <f t="shared" si="545"/>
        <v>1.533979892753834E-4</v>
      </c>
      <c r="J2640" s="25">
        <f>INDEX('Default Prob'!$C$3:$C$13, _xlfn.IFNA(MATCH(F2640, 'Default Prob'!$B$3:$B$13, 1), 1))</f>
        <v>2.5600000000000001E-2</v>
      </c>
      <c r="K2640" s="26">
        <f t="shared" si="536"/>
        <v>0.77500261053382058</v>
      </c>
      <c r="L2640" s="27">
        <f t="shared" ca="1" si="537"/>
        <v>0</v>
      </c>
      <c r="M2640" s="27">
        <f t="shared" ca="1" si="538"/>
        <v>0</v>
      </c>
      <c r="N2640" s="28">
        <f t="shared" ca="1" si="539"/>
        <v>0</v>
      </c>
      <c r="O2640" s="29">
        <f t="shared" ca="1" si="540"/>
        <v>0</v>
      </c>
      <c r="P2640" s="30">
        <f t="shared" ca="1" si="541"/>
        <v>0</v>
      </c>
    </row>
    <row r="2641" spans="1:16" x14ac:dyDescent="0.25">
      <c r="A2641" s="3">
        <f t="shared" si="542"/>
        <v>49809</v>
      </c>
      <c r="B2641" s="21">
        <f t="shared" si="533"/>
        <v>36660</v>
      </c>
      <c r="C2641" s="21">
        <f t="shared" si="534"/>
        <v>36697</v>
      </c>
      <c r="D2641" s="1">
        <f t="shared" si="543"/>
        <v>0</v>
      </c>
      <c r="E2641" s="3">
        <f t="array" ref="E2641">INDEX($A$9:A2640, MAX(IF($D$9:D2640=1, ROW(D$9:$D2640)-ROW($D$9)+1, 0)))</f>
        <v>49754</v>
      </c>
      <c r="F2641" s="23">
        <f t="shared" si="535"/>
        <v>10.086242299794661</v>
      </c>
      <c r="G2641" s="5">
        <f>INDEX('Default Prob'!$P$5:$P$14,MIN(1+_xlfn.IFNA(MATCH(F2641,'Default Prob'!$F$5:$F$14,1),0),COUNT('Default Prob'!$P$5:$P$14)))</f>
        <v>8.0322462664562722E-2</v>
      </c>
      <c r="H2641" s="5">
        <f t="shared" si="544"/>
        <v>0.69731597741753315</v>
      </c>
      <c r="I2641" s="24">
        <f t="shared" si="545"/>
        <v>1.5336425909173723E-4</v>
      </c>
      <c r="J2641" s="25">
        <f>INDEX('Default Prob'!$C$3:$C$13, _xlfn.IFNA(MATCH(F2641, 'Default Prob'!$B$3:$B$13, 1), 1))</f>
        <v>2.5600000000000001E-2</v>
      </c>
      <c r="K2641" s="26">
        <f t="shared" si="536"/>
        <v>0.77494897688925357</v>
      </c>
      <c r="L2641" s="27">
        <f t="shared" ca="1" si="537"/>
        <v>0</v>
      </c>
      <c r="M2641" s="27">
        <f t="shared" ca="1" si="538"/>
        <v>0</v>
      </c>
      <c r="N2641" s="28">
        <f t="shared" ca="1" si="539"/>
        <v>0</v>
      </c>
      <c r="O2641" s="29">
        <f t="shared" ca="1" si="540"/>
        <v>0</v>
      </c>
      <c r="P2641" s="30">
        <f t="shared" ca="1" si="541"/>
        <v>0</v>
      </c>
    </row>
    <row r="2642" spans="1:16" x14ac:dyDescent="0.25">
      <c r="A2642" s="3">
        <f t="shared" si="542"/>
        <v>49810</v>
      </c>
      <c r="B2642" s="21">
        <f t="shared" si="533"/>
        <v>36661</v>
      </c>
      <c r="C2642" s="21">
        <f t="shared" si="534"/>
        <v>36697</v>
      </c>
      <c r="D2642" s="1">
        <f t="shared" si="543"/>
        <v>0</v>
      </c>
      <c r="E2642" s="3">
        <f t="array" ref="E2642">INDEX($A$9:A2641, MAX(IF($D$9:D2641=1, ROW(D$9:$D2641)-ROW($D$9)+1, 0)))</f>
        <v>49754</v>
      </c>
      <c r="F2642" s="23">
        <f t="shared" si="535"/>
        <v>10.088980150581794</v>
      </c>
      <c r="G2642" s="5">
        <f>INDEX('Default Prob'!$P$5:$P$14,MIN(1+_xlfn.IFNA(MATCH(F2642,'Default Prob'!$F$5:$F$14,1),0),COUNT('Default Prob'!$P$5:$P$14)))</f>
        <v>8.0322462664562722E-2</v>
      </c>
      <c r="H2642" s="5">
        <f t="shared" si="544"/>
        <v>0.69716264688120821</v>
      </c>
      <c r="I2642" s="24">
        <f t="shared" si="545"/>
        <v>1.5333053632493598E-4</v>
      </c>
      <c r="J2642" s="25">
        <f>INDEX('Default Prob'!$C$3:$C$13, _xlfn.IFNA(MATCH(F2642, 'Default Prob'!$B$3:$B$13, 1), 1))</f>
        <v>2.5600000000000001E-2</v>
      </c>
      <c r="K2642" s="26">
        <f t="shared" si="536"/>
        <v>0.77489534695637441</v>
      </c>
      <c r="L2642" s="27">
        <f t="shared" ca="1" si="537"/>
        <v>0</v>
      </c>
      <c r="M2642" s="27">
        <f t="shared" ca="1" si="538"/>
        <v>0</v>
      </c>
      <c r="N2642" s="28">
        <f t="shared" ca="1" si="539"/>
        <v>0</v>
      </c>
      <c r="O2642" s="29">
        <f t="shared" ca="1" si="540"/>
        <v>0</v>
      </c>
      <c r="P2642" s="30">
        <f t="shared" ca="1" si="541"/>
        <v>0</v>
      </c>
    </row>
    <row r="2643" spans="1:16" x14ac:dyDescent="0.25">
      <c r="A2643" s="3">
        <f t="shared" si="542"/>
        <v>49811</v>
      </c>
      <c r="B2643" s="21">
        <f t="shared" si="533"/>
        <v>36662</v>
      </c>
      <c r="C2643" s="21">
        <f t="shared" si="534"/>
        <v>36697</v>
      </c>
      <c r="D2643" s="1">
        <f t="shared" si="543"/>
        <v>0</v>
      </c>
      <c r="E2643" s="3">
        <f t="array" ref="E2643">INDEX($A$9:A2642, MAX(IF($D$9:D2642=1, ROW(D$9:$D2642)-ROW($D$9)+1, 0)))</f>
        <v>49754</v>
      </c>
      <c r="F2643" s="23">
        <f t="shared" si="535"/>
        <v>10.091718001368925</v>
      </c>
      <c r="G2643" s="5">
        <f>INDEX('Default Prob'!$P$5:$P$14,MIN(1+_xlfn.IFNA(MATCH(F2643,'Default Prob'!$F$5:$F$14,1),0),COUNT('Default Prob'!$P$5:$P$14)))</f>
        <v>8.0322462664562722E-2</v>
      </c>
      <c r="H2643" s="5">
        <f t="shared" si="544"/>
        <v>0.6970093500602349</v>
      </c>
      <c r="I2643" s="24">
        <f t="shared" si="545"/>
        <v>1.5329682097331432E-4</v>
      </c>
      <c r="J2643" s="25">
        <f>INDEX('Default Prob'!$C$3:$C$13, _xlfn.IFNA(MATCH(F2643, 'Default Prob'!$B$3:$B$13, 1), 1))</f>
        <v>2.5600000000000001E-2</v>
      </c>
      <c r="K2643" s="26">
        <f t="shared" si="536"/>
        <v>0.77484172073492641</v>
      </c>
      <c r="L2643" s="27">
        <f t="shared" ca="1" si="537"/>
        <v>0</v>
      </c>
      <c r="M2643" s="27">
        <f t="shared" ca="1" si="538"/>
        <v>0</v>
      </c>
      <c r="N2643" s="28">
        <f t="shared" ca="1" si="539"/>
        <v>0</v>
      </c>
      <c r="O2643" s="29">
        <f t="shared" ca="1" si="540"/>
        <v>0</v>
      </c>
      <c r="P2643" s="30">
        <f t="shared" ca="1" si="541"/>
        <v>0</v>
      </c>
    </row>
    <row r="2644" spans="1:16" x14ac:dyDescent="0.25">
      <c r="A2644" s="3">
        <f t="shared" si="542"/>
        <v>49814</v>
      </c>
      <c r="B2644" s="21">
        <f t="shared" si="533"/>
        <v>36665</v>
      </c>
      <c r="C2644" s="21">
        <f t="shared" si="534"/>
        <v>36697</v>
      </c>
      <c r="D2644" s="1">
        <f t="shared" si="543"/>
        <v>0</v>
      </c>
      <c r="E2644" s="3">
        <f t="array" ref="E2644">INDEX($A$9:A2643, MAX(IF($D$9:D2643=1, ROW(D$9:$D2643)-ROW($D$9)+1, 0)))</f>
        <v>49754</v>
      </c>
      <c r="F2644" s="23">
        <f t="shared" si="535"/>
        <v>10.099931553730322</v>
      </c>
      <c r="G2644" s="5">
        <f>INDEX('Default Prob'!$P$5:$P$14,MIN(1+_xlfn.IFNA(MATCH(F2644,'Default Prob'!$F$5:$F$14,1),0),COUNT('Default Prob'!$P$5:$P$14)))</f>
        <v>8.0322462664562722E-2</v>
      </c>
      <c r="H2644" s="5">
        <f t="shared" si="544"/>
        <v>0.69654966181529721</v>
      </c>
      <c r="I2644" s="24">
        <f t="shared" si="545"/>
        <v>4.5968824493769489E-4</v>
      </c>
      <c r="J2644" s="25">
        <f>INDEX('Default Prob'!$C$3:$C$13, _xlfn.IFNA(MATCH(F2644, 'Default Prob'!$B$3:$B$13, 1), 1))</f>
        <v>2.5600000000000001E-2</v>
      </c>
      <c r="K2644" s="26">
        <f t="shared" si="536"/>
        <v>0.77468086433660044</v>
      </c>
      <c r="L2644" s="27">
        <f t="shared" ca="1" si="537"/>
        <v>0</v>
      </c>
      <c r="M2644" s="27">
        <f t="shared" ca="1" si="538"/>
        <v>0</v>
      </c>
      <c r="N2644" s="28">
        <f t="shared" ca="1" si="539"/>
        <v>0</v>
      </c>
      <c r="O2644" s="29">
        <f t="shared" ca="1" si="540"/>
        <v>0</v>
      </c>
      <c r="P2644" s="30">
        <f t="shared" ca="1" si="541"/>
        <v>0</v>
      </c>
    </row>
    <row r="2645" spans="1:16" x14ac:dyDescent="0.25">
      <c r="A2645" s="3">
        <f t="shared" si="542"/>
        <v>49815</v>
      </c>
      <c r="B2645" s="21">
        <f t="shared" si="533"/>
        <v>36666</v>
      </c>
      <c r="C2645" s="21">
        <f t="shared" si="534"/>
        <v>36697</v>
      </c>
      <c r="D2645" s="1">
        <f t="shared" si="543"/>
        <v>0</v>
      </c>
      <c r="E2645" s="3">
        <f t="array" ref="E2645">INDEX($A$9:A2644, MAX(IF($D$9:D2644=1, ROW(D$9:$D2644)-ROW($D$9)+1, 0)))</f>
        <v>49754</v>
      </c>
      <c r="F2645" s="23">
        <f t="shared" si="535"/>
        <v>10.102669404517453</v>
      </c>
      <c r="G2645" s="5">
        <f>INDEX('Default Prob'!$P$5:$P$14,MIN(1+_xlfn.IFNA(MATCH(F2645,'Default Prob'!$F$5:$F$14,1),0),COUNT('Default Prob'!$P$5:$P$14)))</f>
        <v>8.0322462664562722E-2</v>
      </c>
      <c r="H2645" s="5">
        <f t="shared" si="544"/>
        <v>0.69639649978161111</v>
      </c>
      <c r="I2645" s="24">
        <f t="shared" si="545"/>
        <v>1.5316203368609393E-4</v>
      </c>
      <c r="J2645" s="25">
        <f>INDEX('Default Prob'!$C$3:$C$13, _xlfn.IFNA(MATCH(F2645, 'Default Prob'!$B$3:$B$13, 1), 1))</f>
        <v>2.5600000000000001E-2</v>
      </c>
      <c r="K2645" s="26">
        <f t="shared" si="536"/>
        <v>0.77462725295830837</v>
      </c>
      <c r="L2645" s="27">
        <f t="shared" ca="1" si="537"/>
        <v>0</v>
      </c>
      <c r="M2645" s="27">
        <f t="shared" ca="1" si="538"/>
        <v>0</v>
      </c>
      <c r="N2645" s="28">
        <f t="shared" ca="1" si="539"/>
        <v>0</v>
      </c>
      <c r="O2645" s="29">
        <f t="shared" ca="1" si="540"/>
        <v>0</v>
      </c>
      <c r="P2645" s="30">
        <f t="shared" ca="1" si="541"/>
        <v>0</v>
      </c>
    </row>
    <row r="2646" spans="1:16" x14ac:dyDescent="0.25">
      <c r="A2646" s="3">
        <f t="shared" si="542"/>
        <v>49816</v>
      </c>
      <c r="B2646" s="21">
        <f t="shared" si="533"/>
        <v>36667</v>
      </c>
      <c r="C2646" s="21">
        <f t="shared" si="534"/>
        <v>36697</v>
      </c>
      <c r="D2646" s="1">
        <f t="shared" si="543"/>
        <v>0</v>
      </c>
      <c r="E2646" s="3">
        <f t="array" ref="E2646">INDEX($A$9:A2645, MAX(IF($D$9:D2645=1, ROW(D$9:$D2645)-ROW($D$9)+1, 0)))</f>
        <v>49754</v>
      </c>
      <c r="F2646" s="23">
        <f t="shared" si="535"/>
        <v>10.105407255304586</v>
      </c>
      <c r="G2646" s="5">
        <f>INDEX('Default Prob'!$P$5:$P$14,MIN(1+_xlfn.IFNA(MATCH(F2646,'Default Prob'!$F$5:$F$14,1),0),COUNT('Default Prob'!$P$5:$P$14)))</f>
        <v>8.0322462664562722E-2</v>
      </c>
      <c r="H2646" s="5">
        <f t="shared" si="544"/>
        <v>0.69624337142622506</v>
      </c>
      <c r="I2646" s="24">
        <f t="shared" si="545"/>
        <v>1.5312835538605629E-4</v>
      </c>
      <c r="J2646" s="25">
        <f>INDEX('Default Prob'!$C$3:$C$13, _xlfn.IFNA(MATCH(F2646, 'Default Prob'!$B$3:$B$13, 1), 1))</f>
        <v>2.5600000000000001E-2</v>
      </c>
      <c r="K2646" s="26">
        <f t="shared" si="536"/>
        <v>0.77457364529016315</v>
      </c>
      <c r="L2646" s="27">
        <f t="shared" ca="1" si="537"/>
        <v>0</v>
      </c>
      <c r="M2646" s="27">
        <f t="shared" ca="1" si="538"/>
        <v>0</v>
      </c>
      <c r="N2646" s="28">
        <f t="shared" ca="1" si="539"/>
        <v>0</v>
      </c>
      <c r="O2646" s="29">
        <f t="shared" ca="1" si="540"/>
        <v>0</v>
      </c>
      <c r="P2646" s="30">
        <f t="shared" ca="1" si="541"/>
        <v>0</v>
      </c>
    </row>
    <row r="2647" spans="1:16" x14ac:dyDescent="0.25">
      <c r="A2647" s="3">
        <f t="shared" si="542"/>
        <v>49817</v>
      </c>
      <c r="B2647" s="21">
        <f t="shared" si="533"/>
        <v>36668</v>
      </c>
      <c r="C2647" s="21">
        <f t="shared" si="534"/>
        <v>36697</v>
      </c>
      <c r="D2647" s="1">
        <f t="shared" si="543"/>
        <v>0</v>
      </c>
      <c r="E2647" s="3">
        <f t="array" ref="E2647">INDEX($A$9:A2646, MAX(IF($D$9:D2646=1, ROW(D$9:$D2646)-ROW($D$9)+1, 0)))</f>
        <v>49754</v>
      </c>
      <c r="F2647" s="23">
        <f t="shared" si="535"/>
        <v>10.108145106091717</v>
      </c>
      <c r="G2647" s="5">
        <f>INDEX('Default Prob'!$P$5:$P$14,MIN(1+_xlfn.IFNA(MATCH(F2647,'Default Prob'!$F$5:$F$14,1),0),COUNT('Default Prob'!$P$5:$P$14)))</f>
        <v>8.0322462664562722E-2</v>
      </c>
      <c r="H2647" s="5">
        <f t="shared" si="544"/>
        <v>0.69609027674173385</v>
      </c>
      <c r="I2647" s="24">
        <f t="shared" si="545"/>
        <v>1.5309468449120622E-4</v>
      </c>
      <c r="J2647" s="25">
        <f>INDEX('Default Prob'!$C$3:$C$13, _xlfn.IFNA(MATCH(F2647, 'Default Prob'!$B$3:$B$13, 1), 1))</f>
        <v>2.5600000000000001E-2</v>
      </c>
      <c r="K2647" s="26">
        <f t="shared" si="536"/>
        <v>0.77452004133190833</v>
      </c>
      <c r="L2647" s="27">
        <f t="shared" ca="1" si="537"/>
        <v>0</v>
      </c>
      <c r="M2647" s="27">
        <f t="shared" ca="1" si="538"/>
        <v>0</v>
      </c>
      <c r="N2647" s="28">
        <f t="shared" ca="1" si="539"/>
        <v>0</v>
      </c>
      <c r="O2647" s="29">
        <f t="shared" ca="1" si="540"/>
        <v>0</v>
      </c>
      <c r="P2647" s="30">
        <f t="shared" ca="1" si="541"/>
        <v>0</v>
      </c>
    </row>
    <row r="2648" spans="1:16" x14ac:dyDescent="0.25">
      <c r="A2648" s="3">
        <f t="shared" si="542"/>
        <v>49818</v>
      </c>
      <c r="B2648" s="21">
        <f t="shared" si="533"/>
        <v>36669</v>
      </c>
      <c r="C2648" s="21">
        <f t="shared" si="534"/>
        <v>36697</v>
      </c>
      <c r="D2648" s="1">
        <f t="shared" si="543"/>
        <v>0</v>
      </c>
      <c r="E2648" s="3">
        <f t="array" ref="E2648">INDEX($A$9:A2647, MAX(IF($D$9:D2647=1, ROW(D$9:$D2647)-ROW($D$9)+1, 0)))</f>
        <v>49754</v>
      </c>
      <c r="F2648" s="23">
        <f t="shared" si="535"/>
        <v>10.11088295687885</v>
      </c>
      <c r="G2648" s="5">
        <f>INDEX('Default Prob'!$P$5:$P$14,MIN(1+_xlfn.IFNA(MATCH(F2648,'Default Prob'!$F$5:$F$14,1),0),COUNT('Default Prob'!$P$5:$P$14)))</f>
        <v>8.0322462664562722E-2</v>
      </c>
      <c r="H2648" s="5">
        <f t="shared" si="544"/>
        <v>0.69593721572073342</v>
      </c>
      <c r="I2648" s="24">
        <f t="shared" si="545"/>
        <v>1.5306102100043351E-4</v>
      </c>
      <c r="J2648" s="25">
        <f>INDEX('Default Prob'!$C$3:$C$13, _xlfn.IFNA(MATCH(F2648, 'Default Prob'!$B$3:$B$13, 1), 1))</f>
        <v>2.5600000000000001E-2</v>
      </c>
      <c r="K2648" s="26">
        <f t="shared" si="536"/>
        <v>0.77446644108328699</v>
      </c>
      <c r="L2648" s="27">
        <f t="shared" ca="1" si="537"/>
        <v>0</v>
      </c>
      <c r="M2648" s="27">
        <f t="shared" ca="1" si="538"/>
        <v>0</v>
      </c>
      <c r="N2648" s="28">
        <f t="shared" ca="1" si="539"/>
        <v>0</v>
      </c>
      <c r="O2648" s="29">
        <f t="shared" ca="1" si="540"/>
        <v>0</v>
      </c>
      <c r="P2648" s="30">
        <f t="shared" ca="1" si="541"/>
        <v>0</v>
      </c>
    </row>
    <row r="2649" spans="1:16" x14ac:dyDescent="0.25">
      <c r="A2649" s="3">
        <f t="shared" si="542"/>
        <v>49821</v>
      </c>
      <c r="B2649" s="21">
        <f t="shared" si="533"/>
        <v>36672</v>
      </c>
      <c r="C2649" s="21">
        <f t="shared" si="534"/>
        <v>36697</v>
      </c>
      <c r="D2649" s="1">
        <f t="shared" si="543"/>
        <v>0</v>
      </c>
      <c r="E2649" s="3">
        <f t="array" ref="E2649">INDEX($A$9:A2648, MAX(IF($D$9:D2648=1, ROW(D$9:$D2648)-ROW($D$9)+1, 0)))</f>
        <v>49754</v>
      </c>
      <c r="F2649" s="23">
        <f t="shared" si="535"/>
        <v>10.119096509240247</v>
      </c>
      <c r="G2649" s="5">
        <f>INDEX('Default Prob'!$P$5:$P$14,MIN(1+_xlfn.IFNA(MATCH(F2649,'Default Prob'!$F$5:$F$14,1),0),COUNT('Default Prob'!$P$5:$P$14)))</f>
        <v>8.0322462664562722E-2</v>
      </c>
      <c r="H2649" s="5">
        <f t="shared" si="544"/>
        <v>0.69547823456466451</v>
      </c>
      <c r="I2649" s="24">
        <f t="shared" si="545"/>
        <v>4.5898115606890499E-4</v>
      </c>
      <c r="J2649" s="25">
        <f>INDEX('Default Prob'!$C$3:$C$13, _xlfn.IFNA(MATCH(F2649, 'Default Prob'!$B$3:$B$13, 1), 1))</f>
        <v>2.5600000000000001E-2</v>
      </c>
      <c r="K2649" s="26">
        <f t="shared" si="536"/>
        <v>0.77430566259265676</v>
      </c>
      <c r="L2649" s="27">
        <f t="shared" ca="1" si="537"/>
        <v>0</v>
      </c>
      <c r="M2649" s="27">
        <f t="shared" ca="1" si="538"/>
        <v>0</v>
      </c>
      <c r="N2649" s="28">
        <f t="shared" ca="1" si="539"/>
        <v>0</v>
      </c>
      <c r="O2649" s="29">
        <f t="shared" ca="1" si="540"/>
        <v>0</v>
      </c>
      <c r="P2649" s="30">
        <f t="shared" ca="1" si="541"/>
        <v>0</v>
      </c>
    </row>
    <row r="2650" spans="1:16" x14ac:dyDescent="0.25">
      <c r="A2650" s="3">
        <f t="shared" si="542"/>
        <v>49822</v>
      </c>
      <c r="B2650" s="21">
        <f t="shared" si="533"/>
        <v>36673</v>
      </c>
      <c r="C2650" s="21">
        <f t="shared" si="534"/>
        <v>36697</v>
      </c>
      <c r="D2650" s="1">
        <f t="shared" si="543"/>
        <v>0</v>
      </c>
      <c r="E2650" s="3">
        <f t="array" ref="E2650">INDEX($A$9:A2649, MAX(IF($D$9:D2649=1, ROW(D$9:$D2649)-ROW($D$9)+1, 0)))</f>
        <v>49754</v>
      </c>
      <c r="F2650" s="23">
        <f t="shared" si="535"/>
        <v>10.121834360027378</v>
      </c>
      <c r="G2650" s="5">
        <f>INDEX('Default Prob'!$P$5:$P$14,MIN(1+_xlfn.IFNA(MATCH(F2650,'Default Prob'!$F$5:$F$14,1),0),COUNT('Default Prob'!$P$5:$P$14)))</f>
        <v>8.0322462664562722E-2</v>
      </c>
      <c r="H2650" s="5">
        <f t="shared" si="544"/>
        <v>0.69532530812362259</v>
      </c>
      <c r="I2650" s="24">
        <f t="shared" si="545"/>
        <v>1.5292644104192288E-4</v>
      </c>
      <c r="J2650" s="25">
        <f>INDEX('Default Prob'!$C$3:$C$13, _xlfn.IFNA(MATCH(F2650, 'Default Prob'!$B$3:$B$13, 1), 1))</f>
        <v>2.5600000000000001E-2</v>
      </c>
      <c r="K2650" s="26">
        <f t="shared" si="536"/>
        <v>0.77425207718000233</v>
      </c>
      <c r="L2650" s="27">
        <f t="shared" ca="1" si="537"/>
        <v>0</v>
      </c>
      <c r="M2650" s="27">
        <f t="shared" ca="1" si="538"/>
        <v>0</v>
      </c>
      <c r="N2650" s="28">
        <f t="shared" ca="1" si="539"/>
        <v>0</v>
      </c>
      <c r="O2650" s="29">
        <f t="shared" ca="1" si="540"/>
        <v>0</v>
      </c>
      <c r="P2650" s="30">
        <f t="shared" ca="1" si="541"/>
        <v>0</v>
      </c>
    </row>
    <row r="2651" spans="1:16" x14ac:dyDescent="0.25">
      <c r="A2651" s="3">
        <f t="shared" si="542"/>
        <v>49823</v>
      </c>
      <c r="B2651" s="21">
        <f t="shared" si="533"/>
        <v>36674</v>
      </c>
      <c r="C2651" s="21">
        <f t="shared" si="534"/>
        <v>36697</v>
      </c>
      <c r="D2651" s="1">
        <f t="shared" si="543"/>
        <v>0</v>
      </c>
      <c r="E2651" s="3">
        <f t="array" ref="E2651">INDEX($A$9:A2650, MAX(IF($D$9:D2650=1, ROW(D$9:$D2650)-ROW($D$9)+1, 0)))</f>
        <v>49754</v>
      </c>
      <c r="F2651" s="23">
        <f t="shared" si="535"/>
        <v>10.124572210814511</v>
      </c>
      <c r="G2651" s="5">
        <f>INDEX('Default Prob'!$P$5:$P$14,MIN(1+_xlfn.IFNA(MATCH(F2651,'Default Prob'!$F$5:$F$14,1),0),COUNT('Default Prob'!$P$5:$P$14)))</f>
        <v>8.0322462664562722E-2</v>
      </c>
      <c r="H2651" s="5">
        <f t="shared" si="544"/>
        <v>0.69517241530907703</v>
      </c>
      <c r="I2651" s="24">
        <f t="shared" si="545"/>
        <v>1.528928145455577E-4</v>
      </c>
      <c r="J2651" s="25">
        <f>INDEX('Default Prob'!$C$3:$C$13, _xlfn.IFNA(MATCH(F2651, 'Default Prob'!$B$3:$B$13, 1), 1))</f>
        <v>2.5600000000000001E-2</v>
      </c>
      <c r="K2651" s="26">
        <f t="shared" si="536"/>
        <v>0.77419849547569797</v>
      </c>
      <c r="L2651" s="27">
        <f t="shared" ca="1" si="537"/>
        <v>0</v>
      </c>
      <c r="M2651" s="27">
        <f t="shared" ca="1" si="538"/>
        <v>0</v>
      </c>
      <c r="N2651" s="28">
        <f t="shared" ca="1" si="539"/>
        <v>0</v>
      </c>
      <c r="O2651" s="29">
        <f t="shared" ca="1" si="540"/>
        <v>0</v>
      </c>
      <c r="P2651" s="30">
        <f t="shared" ca="1" si="541"/>
        <v>0</v>
      </c>
    </row>
    <row r="2652" spans="1:16" x14ac:dyDescent="0.25">
      <c r="A2652" s="3">
        <f t="shared" si="542"/>
        <v>49824</v>
      </c>
      <c r="B2652" s="21">
        <f t="shared" si="533"/>
        <v>36675</v>
      </c>
      <c r="C2652" s="21">
        <f t="shared" si="534"/>
        <v>36697</v>
      </c>
      <c r="D2652" s="1">
        <f t="shared" si="543"/>
        <v>0</v>
      </c>
      <c r="E2652" s="3">
        <f t="array" ref="E2652">INDEX($A$9:A2651, MAX(IF($D$9:D2651=1, ROW(D$9:$D2651)-ROW($D$9)+1, 0)))</f>
        <v>49754</v>
      </c>
      <c r="F2652" s="23">
        <f t="shared" si="535"/>
        <v>10.127310061601642</v>
      </c>
      <c r="G2652" s="5">
        <f>INDEX('Default Prob'!$P$5:$P$14,MIN(1+_xlfn.IFNA(MATCH(F2652,'Default Prob'!$F$5:$F$14,1),0),COUNT('Default Prob'!$P$5:$P$14)))</f>
        <v>8.0322462664562722E-2</v>
      </c>
      <c r="H2652" s="5">
        <f t="shared" si="544"/>
        <v>0.69501955611363397</v>
      </c>
      <c r="I2652" s="24">
        <f t="shared" si="545"/>
        <v>1.5285919544305582E-4</v>
      </c>
      <c r="J2652" s="25">
        <f>INDEX('Default Prob'!$C$3:$C$13, _xlfn.IFNA(MATCH(F2652, 'Default Prob'!$B$3:$B$13, 1), 1))</f>
        <v>2.5600000000000001E-2</v>
      </c>
      <c r="K2652" s="26">
        <f t="shared" si="536"/>
        <v>0.77414491747948699</v>
      </c>
      <c r="L2652" s="27">
        <f t="shared" ca="1" si="537"/>
        <v>0</v>
      </c>
      <c r="M2652" s="27">
        <f t="shared" ca="1" si="538"/>
        <v>0</v>
      </c>
      <c r="N2652" s="28">
        <f t="shared" ca="1" si="539"/>
        <v>0</v>
      </c>
      <c r="O2652" s="29">
        <f t="shared" ca="1" si="540"/>
        <v>0</v>
      </c>
      <c r="P2652" s="30">
        <f t="shared" ca="1" si="541"/>
        <v>0</v>
      </c>
    </row>
    <row r="2653" spans="1:16" x14ac:dyDescent="0.25">
      <c r="A2653" s="3">
        <f t="shared" si="542"/>
        <v>49825</v>
      </c>
      <c r="B2653" s="21">
        <f t="shared" si="533"/>
        <v>36676</v>
      </c>
      <c r="C2653" s="21">
        <f t="shared" si="534"/>
        <v>36697</v>
      </c>
      <c r="D2653" s="1">
        <f t="shared" si="543"/>
        <v>0</v>
      </c>
      <c r="E2653" s="3">
        <f t="array" ref="E2653">INDEX($A$9:A2652, MAX(IF($D$9:D2652=1, ROW(D$9:$D2652)-ROW($D$9)+1, 0)))</f>
        <v>49754</v>
      </c>
      <c r="F2653" s="23">
        <f t="shared" si="535"/>
        <v>10.130047912388775</v>
      </c>
      <c r="G2653" s="5">
        <f>INDEX('Default Prob'!$P$5:$P$14,MIN(1+_xlfn.IFNA(MATCH(F2653,'Default Prob'!$F$5:$F$14,1),0),COUNT('Default Prob'!$P$5:$P$14)))</f>
        <v>8.0322462664562722E-2</v>
      </c>
      <c r="H2653" s="5">
        <f t="shared" si="544"/>
        <v>0.69486673052990089</v>
      </c>
      <c r="I2653" s="24">
        <f t="shared" si="545"/>
        <v>1.5282558373308497E-4</v>
      </c>
      <c r="J2653" s="25">
        <f>INDEX('Default Prob'!$C$3:$C$13, _xlfn.IFNA(MATCH(F2653, 'Default Prob'!$B$3:$B$13, 1), 1))</f>
        <v>2.5600000000000001E-2</v>
      </c>
      <c r="K2653" s="26">
        <f t="shared" si="536"/>
        <v>0.77409134319111295</v>
      </c>
      <c r="L2653" s="27">
        <f t="shared" ca="1" si="537"/>
        <v>0</v>
      </c>
      <c r="M2653" s="27">
        <f t="shared" ca="1" si="538"/>
        <v>0</v>
      </c>
      <c r="N2653" s="28">
        <f t="shared" ca="1" si="539"/>
        <v>0</v>
      </c>
      <c r="O2653" s="29">
        <f t="shared" ca="1" si="540"/>
        <v>0</v>
      </c>
      <c r="P2653" s="30">
        <f t="shared" ca="1" si="541"/>
        <v>0</v>
      </c>
    </row>
    <row r="2654" spans="1:16" x14ac:dyDescent="0.25">
      <c r="A2654" s="3">
        <f t="shared" si="542"/>
        <v>49828</v>
      </c>
      <c r="B2654" s="21">
        <f t="shared" si="533"/>
        <v>36679</v>
      </c>
      <c r="C2654" s="21">
        <f t="shared" si="534"/>
        <v>36697</v>
      </c>
      <c r="D2654" s="1">
        <f t="shared" si="543"/>
        <v>0</v>
      </c>
      <c r="E2654" s="3">
        <f t="array" ref="E2654">INDEX($A$9:A2653, MAX(IF($D$9:D2653=1, ROW(D$9:$D2653)-ROW($D$9)+1, 0)))</f>
        <v>49754</v>
      </c>
      <c r="F2654" s="23">
        <f t="shared" si="535"/>
        <v>10.138261464750171</v>
      </c>
      <c r="G2654" s="5">
        <f>INDEX('Default Prob'!$P$5:$P$14,MIN(1+_xlfn.IFNA(MATCH(F2654,'Default Prob'!$F$5:$F$14,1),0),COUNT('Default Prob'!$P$5:$P$14)))</f>
        <v>8.0322462664562722E-2</v>
      </c>
      <c r="H2654" s="5">
        <f t="shared" si="544"/>
        <v>0.69440845537506224</v>
      </c>
      <c r="I2654" s="24">
        <f t="shared" si="545"/>
        <v>4.5827515483864989E-4</v>
      </c>
      <c r="J2654" s="25">
        <f>INDEX('Default Prob'!$C$3:$C$13, _xlfn.IFNA(MATCH(F2654, 'Default Prob'!$B$3:$B$13, 1), 1))</f>
        <v>2.5600000000000001E-2</v>
      </c>
      <c r="K2654" s="26">
        <f t="shared" si="536"/>
        <v>0.77393064257044553</v>
      </c>
      <c r="L2654" s="27">
        <f t="shared" ca="1" si="537"/>
        <v>0</v>
      </c>
      <c r="M2654" s="27">
        <f t="shared" ca="1" si="538"/>
        <v>0</v>
      </c>
      <c r="N2654" s="28">
        <f t="shared" ca="1" si="539"/>
        <v>0</v>
      </c>
      <c r="O2654" s="29">
        <f t="shared" ca="1" si="540"/>
        <v>0</v>
      </c>
      <c r="P2654" s="30">
        <f t="shared" ca="1" si="541"/>
        <v>0</v>
      </c>
    </row>
    <row r="2655" spans="1:16" x14ac:dyDescent="0.25">
      <c r="A2655" s="3">
        <f t="shared" si="542"/>
        <v>49829</v>
      </c>
      <c r="B2655" s="21">
        <f t="shared" si="533"/>
        <v>36680</v>
      </c>
      <c r="C2655" s="21">
        <f t="shared" si="534"/>
        <v>36697</v>
      </c>
      <c r="D2655" s="1">
        <f t="shared" si="543"/>
        <v>0</v>
      </c>
      <c r="E2655" s="3">
        <f t="array" ref="E2655">INDEX($A$9:A2654, MAX(IF($D$9:D2654=1, ROW(D$9:$D2654)-ROW($D$9)+1, 0)))</f>
        <v>49754</v>
      </c>
      <c r="F2655" s="23">
        <f t="shared" si="535"/>
        <v>10.140999315537304</v>
      </c>
      <c r="G2655" s="5">
        <f>INDEX('Default Prob'!$P$5:$P$14,MIN(1+_xlfn.IFNA(MATCH(F2655,'Default Prob'!$F$5:$F$14,1),0),COUNT('Default Prob'!$P$5:$P$14)))</f>
        <v>8.0322462664562722E-2</v>
      </c>
      <c r="H2655" s="5">
        <f t="shared" si="544"/>
        <v>0.6942557641642777</v>
      </c>
      <c r="I2655" s="24">
        <f t="shared" si="545"/>
        <v>1.5269121078453907E-4</v>
      </c>
      <c r="J2655" s="25">
        <f>INDEX('Default Prob'!$C$3:$C$13, _xlfn.IFNA(MATCH(F2655, 'Default Prob'!$B$3:$B$13, 1), 1))</f>
        <v>2.5600000000000001E-2</v>
      </c>
      <c r="K2655" s="26">
        <f t="shared" si="536"/>
        <v>0.77387708311085268</v>
      </c>
      <c r="L2655" s="27">
        <f t="shared" ca="1" si="537"/>
        <v>0</v>
      </c>
      <c r="M2655" s="27">
        <f t="shared" ca="1" si="538"/>
        <v>0</v>
      </c>
      <c r="N2655" s="28">
        <f t="shared" ca="1" si="539"/>
        <v>0</v>
      </c>
      <c r="O2655" s="29">
        <f t="shared" ca="1" si="540"/>
        <v>0</v>
      </c>
      <c r="P2655" s="30">
        <f t="shared" ca="1" si="541"/>
        <v>0</v>
      </c>
    </row>
    <row r="2656" spans="1:16" x14ac:dyDescent="0.25">
      <c r="A2656" s="3">
        <f t="shared" si="542"/>
        <v>49830</v>
      </c>
      <c r="B2656" s="21">
        <f t="shared" si="533"/>
        <v>36681</v>
      </c>
      <c r="C2656" s="21">
        <f t="shared" si="534"/>
        <v>36697</v>
      </c>
      <c r="D2656" s="1">
        <f t="shared" si="543"/>
        <v>0</v>
      </c>
      <c r="E2656" s="3">
        <f t="array" ref="E2656">INDEX($A$9:A2655, MAX(IF($D$9:D2655=1, ROW(D$9:$D2655)-ROW($D$9)+1, 0)))</f>
        <v>49754</v>
      </c>
      <c r="F2656" s="23">
        <f t="shared" si="535"/>
        <v>10.143737166324435</v>
      </c>
      <c r="G2656" s="5">
        <f>INDEX('Default Prob'!$P$5:$P$14,MIN(1+_xlfn.IFNA(MATCH(F2656,'Default Prob'!$F$5:$F$14,1),0),COUNT('Default Prob'!$P$5:$P$14)))</f>
        <v>8.0322462664562722E-2</v>
      </c>
      <c r="H2656" s="5">
        <f t="shared" si="544"/>
        <v>0.69410310652826568</v>
      </c>
      <c r="I2656" s="24">
        <f t="shared" si="545"/>
        <v>1.5265763601202131E-4</v>
      </c>
      <c r="J2656" s="25">
        <f>INDEX('Default Prob'!$C$3:$C$13, _xlfn.IFNA(MATCH(F2656, 'Default Prob'!$B$3:$B$13, 1), 1))</f>
        <v>2.5600000000000001E-2</v>
      </c>
      <c r="K2656" s="26">
        <f t="shared" si="536"/>
        <v>0.77382352735781401</v>
      </c>
      <c r="L2656" s="27">
        <f t="shared" ca="1" si="537"/>
        <v>0</v>
      </c>
      <c r="M2656" s="27">
        <f t="shared" ca="1" si="538"/>
        <v>0</v>
      </c>
      <c r="N2656" s="28">
        <f t="shared" ca="1" si="539"/>
        <v>0</v>
      </c>
      <c r="O2656" s="29">
        <f t="shared" ca="1" si="540"/>
        <v>0</v>
      </c>
      <c r="P2656" s="30">
        <f t="shared" ca="1" si="541"/>
        <v>0</v>
      </c>
    </row>
    <row r="2657" spans="1:16" x14ac:dyDescent="0.25">
      <c r="A2657" s="3">
        <f t="shared" si="542"/>
        <v>49831</v>
      </c>
      <c r="B2657" s="21">
        <f t="shared" si="533"/>
        <v>36682</v>
      </c>
      <c r="C2657" s="21">
        <f t="shared" si="534"/>
        <v>36697</v>
      </c>
      <c r="D2657" s="1">
        <f t="shared" si="543"/>
        <v>0</v>
      </c>
      <c r="E2657" s="3">
        <f t="array" ref="E2657">INDEX($A$9:A2656, MAX(IF($D$9:D2656=1, ROW(D$9:$D2656)-ROW($D$9)+1, 0)))</f>
        <v>49754</v>
      </c>
      <c r="F2657" s="23">
        <f t="shared" si="535"/>
        <v>10.146475017111568</v>
      </c>
      <c r="G2657" s="5">
        <f>INDEX('Default Prob'!$P$5:$P$14,MIN(1+_xlfn.IFNA(MATCH(F2657,'Default Prob'!$F$5:$F$14,1),0),COUNT('Default Prob'!$P$5:$P$14)))</f>
        <v>8.0322462664562722E-2</v>
      </c>
      <c r="H2657" s="5">
        <f t="shared" si="544"/>
        <v>0.6939504824596433</v>
      </c>
      <c r="I2657" s="24">
        <f t="shared" si="545"/>
        <v>1.5262406862237565E-4</v>
      </c>
      <c r="J2657" s="25">
        <f>INDEX('Default Prob'!$C$3:$C$13, _xlfn.IFNA(MATCH(F2657, 'Default Prob'!$B$3:$B$13, 1), 1))</f>
        <v>2.5600000000000001E-2</v>
      </c>
      <c r="K2657" s="26">
        <f t="shared" si="536"/>
        <v>0.77376997531107283</v>
      </c>
      <c r="L2657" s="27">
        <f t="shared" ca="1" si="537"/>
        <v>0</v>
      </c>
      <c r="M2657" s="27">
        <f t="shared" ca="1" si="538"/>
        <v>0</v>
      </c>
      <c r="N2657" s="28">
        <f t="shared" ca="1" si="539"/>
        <v>0</v>
      </c>
      <c r="O2657" s="29">
        <f t="shared" ca="1" si="540"/>
        <v>0</v>
      </c>
      <c r="P2657" s="30">
        <f t="shared" ca="1" si="541"/>
        <v>0</v>
      </c>
    </row>
    <row r="2658" spans="1:16" x14ac:dyDescent="0.25">
      <c r="A2658" s="3">
        <f t="shared" si="542"/>
        <v>49832</v>
      </c>
      <c r="B2658" s="21">
        <f t="shared" si="533"/>
        <v>36683</v>
      </c>
      <c r="C2658" s="21">
        <f t="shared" si="534"/>
        <v>36697</v>
      </c>
      <c r="D2658" s="1">
        <f t="shared" si="543"/>
        <v>0</v>
      </c>
      <c r="E2658" s="3">
        <f t="array" ref="E2658">INDEX($A$9:A2657, MAX(IF($D$9:D2657=1, ROW(D$9:$D2657)-ROW($D$9)+1, 0)))</f>
        <v>49754</v>
      </c>
      <c r="F2658" s="23">
        <f t="shared" si="535"/>
        <v>10.149212867898699</v>
      </c>
      <c r="G2658" s="5">
        <f>INDEX('Default Prob'!$P$5:$P$14,MIN(1+_xlfn.IFNA(MATCH(F2658,'Default Prob'!$F$5:$F$14,1),0),COUNT('Default Prob'!$P$5:$P$14)))</f>
        <v>8.0322462664562722E-2</v>
      </c>
      <c r="H2658" s="5">
        <f t="shared" si="544"/>
        <v>0.69379789195102981</v>
      </c>
      <c r="I2658" s="24">
        <f t="shared" si="545"/>
        <v>1.5259050861349266E-4</v>
      </c>
      <c r="J2658" s="25">
        <f>INDEX('Default Prob'!$C$3:$C$13, _xlfn.IFNA(MATCH(F2658, 'Default Prob'!$B$3:$B$13, 1), 1))</f>
        <v>2.5600000000000001E-2</v>
      </c>
      <c r="K2658" s="26">
        <f t="shared" si="536"/>
        <v>0.77371642697037246</v>
      </c>
      <c r="L2658" s="27">
        <f t="shared" ca="1" si="537"/>
        <v>0</v>
      </c>
      <c r="M2658" s="27">
        <f t="shared" ca="1" si="538"/>
        <v>0</v>
      </c>
      <c r="N2658" s="28">
        <f t="shared" ca="1" si="539"/>
        <v>0</v>
      </c>
      <c r="O2658" s="29">
        <f t="shared" ca="1" si="540"/>
        <v>0</v>
      </c>
      <c r="P2658" s="30">
        <f t="shared" ca="1" si="541"/>
        <v>0</v>
      </c>
    </row>
    <row r="2659" spans="1:16" x14ac:dyDescent="0.25">
      <c r="A2659" s="3">
        <f t="shared" si="542"/>
        <v>49835</v>
      </c>
      <c r="B2659" s="21">
        <f t="shared" si="533"/>
        <v>36686</v>
      </c>
      <c r="C2659" s="21">
        <f t="shared" si="534"/>
        <v>36697</v>
      </c>
      <c r="D2659" s="1">
        <f t="shared" si="543"/>
        <v>0</v>
      </c>
      <c r="E2659" s="3">
        <f t="array" ref="E2659">INDEX($A$9:A2658, MAX(IF($D$9:D2658=1, ROW(D$9:$D2658)-ROW($D$9)+1, 0)))</f>
        <v>49754</v>
      </c>
      <c r="F2659" s="23">
        <f t="shared" si="535"/>
        <v>10.157426420260096</v>
      </c>
      <c r="G2659" s="5">
        <f>INDEX('Default Prob'!$P$5:$P$14,MIN(1+_xlfn.IFNA(MATCH(F2659,'Default Prob'!$F$5:$F$14,1),0),COUNT('Default Prob'!$P$5:$P$14)))</f>
        <v>8.0322462664562722E-2</v>
      </c>
      <c r="H2659" s="5">
        <f t="shared" si="544"/>
        <v>0.69334032171145565</v>
      </c>
      <c r="I2659" s="24">
        <f t="shared" si="545"/>
        <v>4.5757023957415655E-4</v>
      </c>
      <c r="J2659" s="25">
        <f>INDEX('Default Prob'!$C$3:$C$13, _xlfn.IFNA(MATCH(F2659, 'Default Prob'!$B$3:$B$13, 1), 1))</f>
        <v>2.5600000000000001E-2</v>
      </c>
      <c r="K2659" s="26">
        <f t="shared" si="536"/>
        <v>0.77355580418195302</v>
      </c>
      <c r="L2659" s="27">
        <f t="shared" ca="1" si="537"/>
        <v>0</v>
      </c>
      <c r="M2659" s="27">
        <f t="shared" ca="1" si="538"/>
        <v>0</v>
      </c>
      <c r="N2659" s="28">
        <f t="shared" ca="1" si="539"/>
        <v>0</v>
      </c>
      <c r="O2659" s="29">
        <f t="shared" ca="1" si="540"/>
        <v>0</v>
      </c>
      <c r="P2659" s="30">
        <f t="shared" ca="1" si="541"/>
        <v>0</v>
      </c>
    </row>
    <row r="2660" spans="1:16" x14ac:dyDescent="0.25">
      <c r="A2660" s="3">
        <f t="shared" si="542"/>
        <v>49836</v>
      </c>
      <c r="B2660" s="21">
        <f t="shared" si="533"/>
        <v>36687</v>
      </c>
      <c r="C2660" s="21">
        <f t="shared" si="534"/>
        <v>36697</v>
      </c>
      <c r="D2660" s="1">
        <f t="shared" si="543"/>
        <v>0</v>
      </c>
      <c r="E2660" s="3">
        <f t="array" ref="E2660">INDEX($A$9:A2659, MAX(IF($D$9:D2659=1, ROW(D$9:$D2659)-ROW($D$9)+1, 0)))</f>
        <v>49754</v>
      </c>
      <c r="F2660" s="23">
        <f t="shared" si="535"/>
        <v>10.160164271047227</v>
      </c>
      <c r="G2660" s="5">
        <f>INDEX('Default Prob'!$P$5:$P$14,MIN(1+_xlfn.IFNA(MATCH(F2660,'Default Prob'!$F$5:$F$14,1),0),COUNT('Default Prob'!$P$5:$P$14)))</f>
        <v>8.0322462664562722E-2</v>
      </c>
      <c r="H2660" s="5">
        <f t="shared" si="544"/>
        <v>0.69318786536909938</v>
      </c>
      <c r="I2660" s="24">
        <f t="shared" si="545"/>
        <v>1.5245634235627747E-4</v>
      </c>
      <c r="J2660" s="25">
        <f>INDEX('Default Prob'!$C$3:$C$13, _xlfn.IFNA(MATCH(F2660, 'Default Prob'!$B$3:$B$13, 1), 1))</f>
        <v>2.5600000000000001E-2</v>
      </c>
      <c r="K2660" s="26">
        <f t="shared" si="536"/>
        <v>0.77350227066285215</v>
      </c>
      <c r="L2660" s="27">
        <f t="shared" ca="1" si="537"/>
        <v>0</v>
      </c>
      <c r="M2660" s="27">
        <f t="shared" ca="1" si="538"/>
        <v>0</v>
      </c>
      <c r="N2660" s="28">
        <f t="shared" ca="1" si="539"/>
        <v>0</v>
      </c>
      <c r="O2660" s="29">
        <f t="shared" ca="1" si="540"/>
        <v>0</v>
      </c>
      <c r="P2660" s="30">
        <f t="shared" ca="1" si="541"/>
        <v>0</v>
      </c>
    </row>
    <row r="2661" spans="1:16" x14ac:dyDescent="0.25">
      <c r="A2661" s="3">
        <f t="shared" si="542"/>
        <v>49837</v>
      </c>
      <c r="B2661" s="21">
        <f t="shared" si="533"/>
        <v>36688</v>
      </c>
      <c r="C2661" s="21">
        <f t="shared" si="534"/>
        <v>36697</v>
      </c>
      <c r="D2661" s="1">
        <f t="shared" si="543"/>
        <v>0</v>
      </c>
      <c r="E2661" s="3">
        <f t="array" ref="E2661">INDEX($A$9:A2660, MAX(IF($D$9:D2660=1, ROW(D$9:$D2660)-ROW($D$9)+1, 0)))</f>
        <v>49754</v>
      </c>
      <c r="F2661" s="23">
        <f t="shared" si="535"/>
        <v>10.16290212183436</v>
      </c>
      <c r="G2661" s="5">
        <f>INDEX('Default Prob'!$P$5:$P$14,MIN(1+_xlfn.IFNA(MATCH(F2661,'Default Prob'!$F$5:$F$14,1),0),COUNT('Default Prob'!$P$5:$P$14)))</f>
        <v>8.0322462664562722E-2</v>
      </c>
      <c r="H2661" s="5">
        <f t="shared" si="544"/>
        <v>0.69303544254987093</v>
      </c>
      <c r="I2661" s="24">
        <f t="shared" si="545"/>
        <v>1.5242281922844825E-4</v>
      </c>
      <c r="J2661" s="25">
        <f>INDEX('Default Prob'!$C$3:$C$13, _xlfn.IFNA(MATCH(F2661, 'Default Prob'!$B$3:$B$13, 1), 1))</f>
        <v>2.5600000000000001E-2</v>
      </c>
      <c r="K2661" s="26">
        <f t="shared" si="536"/>
        <v>0.77344874084851001</v>
      </c>
      <c r="L2661" s="27">
        <f t="shared" ca="1" si="537"/>
        <v>0</v>
      </c>
      <c r="M2661" s="27">
        <f t="shared" ca="1" si="538"/>
        <v>0</v>
      </c>
      <c r="N2661" s="28">
        <f t="shared" ca="1" si="539"/>
        <v>0</v>
      </c>
      <c r="O2661" s="29">
        <f t="shared" ca="1" si="540"/>
        <v>0</v>
      </c>
      <c r="P2661" s="30">
        <f t="shared" ca="1" si="541"/>
        <v>0</v>
      </c>
    </row>
    <row r="2662" spans="1:16" x14ac:dyDescent="0.25">
      <c r="A2662" s="3">
        <f t="shared" si="542"/>
        <v>49838</v>
      </c>
      <c r="B2662" s="21">
        <f t="shared" si="533"/>
        <v>36689</v>
      </c>
      <c r="C2662" s="21">
        <f t="shared" si="534"/>
        <v>36697</v>
      </c>
      <c r="D2662" s="1">
        <f t="shared" si="543"/>
        <v>0</v>
      </c>
      <c r="E2662" s="3">
        <f t="array" ref="E2662">INDEX($A$9:A2661, MAX(IF($D$9:D2661=1, ROW(D$9:$D2661)-ROW($D$9)+1, 0)))</f>
        <v>49754</v>
      </c>
      <c r="F2662" s="23">
        <f t="shared" si="535"/>
        <v>10.165639972621491</v>
      </c>
      <c r="G2662" s="5">
        <f>INDEX('Default Prob'!$P$5:$P$14,MIN(1+_xlfn.IFNA(MATCH(F2662,'Default Prob'!$F$5:$F$14,1),0),COUNT('Default Prob'!$P$5:$P$14)))</f>
        <v>8.0322462664562722E-2</v>
      </c>
      <c r="H2662" s="5">
        <f t="shared" si="544"/>
        <v>0.69288305324639921</v>
      </c>
      <c r="I2662" s="24">
        <f t="shared" si="545"/>
        <v>1.5238930347172275E-4</v>
      </c>
      <c r="J2662" s="25">
        <f>INDEX('Default Prob'!$C$3:$C$13, _xlfn.IFNA(MATCH(F2662, 'Default Prob'!$B$3:$B$13, 1), 1))</f>
        <v>2.5600000000000001E-2</v>
      </c>
      <c r="K2662" s="26">
        <f t="shared" si="536"/>
        <v>0.77339521473867034</v>
      </c>
      <c r="L2662" s="27">
        <f t="shared" ca="1" si="537"/>
        <v>0</v>
      </c>
      <c r="M2662" s="27">
        <f t="shared" ca="1" si="538"/>
        <v>0</v>
      </c>
      <c r="N2662" s="28">
        <f t="shared" ca="1" si="539"/>
        <v>0</v>
      </c>
      <c r="O2662" s="29">
        <f t="shared" ca="1" si="540"/>
        <v>0</v>
      </c>
      <c r="P2662" s="30">
        <f t="shared" ca="1" si="541"/>
        <v>0</v>
      </c>
    </row>
    <row r="2663" spans="1:16" x14ac:dyDescent="0.25">
      <c r="A2663" s="3">
        <f t="shared" si="542"/>
        <v>49839</v>
      </c>
      <c r="B2663" s="21">
        <f t="shared" si="533"/>
        <v>36690</v>
      </c>
      <c r="C2663" s="21">
        <f t="shared" si="534"/>
        <v>36697</v>
      </c>
      <c r="D2663" s="1">
        <f t="shared" si="543"/>
        <v>0</v>
      </c>
      <c r="E2663" s="3">
        <f t="array" ref="E2663">INDEX($A$9:A2662, MAX(IF($D$9:D2662=1, ROW(D$9:$D2662)-ROW($D$9)+1, 0)))</f>
        <v>49754</v>
      </c>
      <c r="F2663" s="23">
        <f t="shared" si="535"/>
        <v>10.168377823408624</v>
      </c>
      <c r="G2663" s="5">
        <f>INDEX('Default Prob'!$P$5:$P$14,MIN(1+_xlfn.IFNA(MATCH(F2663,'Default Prob'!$F$5:$F$14,1),0),COUNT('Default Prob'!$P$5:$P$14)))</f>
        <v>8.0322462664562722E-2</v>
      </c>
      <c r="H2663" s="5">
        <f t="shared" si="544"/>
        <v>0.69273069745131444</v>
      </c>
      <c r="I2663" s="24">
        <f t="shared" si="545"/>
        <v>1.5235579508476871E-4</v>
      </c>
      <c r="J2663" s="25">
        <f>INDEX('Default Prob'!$C$3:$C$13, _xlfn.IFNA(MATCH(F2663, 'Default Prob'!$B$3:$B$13, 1), 1))</f>
        <v>2.5600000000000001E-2</v>
      </c>
      <c r="K2663" s="26">
        <f t="shared" si="536"/>
        <v>0.7733416923330767</v>
      </c>
      <c r="L2663" s="27">
        <f t="shared" ca="1" si="537"/>
        <v>0</v>
      </c>
      <c r="M2663" s="27">
        <f t="shared" ca="1" si="538"/>
        <v>0</v>
      </c>
      <c r="N2663" s="28">
        <f t="shared" ca="1" si="539"/>
        <v>0</v>
      </c>
      <c r="O2663" s="29">
        <f t="shared" ca="1" si="540"/>
        <v>0</v>
      </c>
      <c r="P2663" s="30">
        <f t="shared" ca="1" si="541"/>
        <v>0</v>
      </c>
    </row>
    <row r="2664" spans="1:16" x14ac:dyDescent="0.25">
      <c r="A2664" s="3">
        <f t="shared" si="542"/>
        <v>49842</v>
      </c>
      <c r="B2664" s="21">
        <f t="shared" si="533"/>
        <v>36693</v>
      </c>
      <c r="C2664" s="21">
        <f t="shared" si="534"/>
        <v>36697</v>
      </c>
      <c r="D2664" s="1">
        <f t="shared" si="543"/>
        <v>0</v>
      </c>
      <c r="E2664" s="3">
        <f t="array" ref="E2664">INDEX($A$9:A2663, MAX(IF($D$9:D2663=1, ROW(D$9:$D2663)-ROW($D$9)+1, 0)))</f>
        <v>49754</v>
      </c>
      <c r="F2664" s="23">
        <f t="shared" si="535"/>
        <v>10.17659137577002</v>
      </c>
      <c r="G2664" s="5">
        <f>INDEX('Default Prob'!$P$5:$P$14,MIN(1+_xlfn.IFNA(MATCH(F2664,'Default Prob'!$F$5:$F$14,1),0),COUNT('Default Prob'!$P$5:$P$14)))</f>
        <v>8.0322462664562722E-2</v>
      </c>
      <c r="H2664" s="5">
        <f t="shared" si="544"/>
        <v>0.6922738310427099</v>
      </c>
      <c r="I2664" s="24">
        <f t="shared" si="545"/>
        <v>4.5686640860453931E-4</v>
      </c>
      <c r="J2664" s="25">
        <f>INDEX('Default Prob'!$C$3:$C$13, _xlfn.IFNA(MATCH(F2664, 'Default Prob'!$B$3:$B$13, 1), 1))</f>
        <v>2.5600000000000001E-2</v>
      </c>
      <c r="K2664" s="26">
        <f t="shared" si="536"/>
        <v>0.77318114733920873</v>
      </c>
      <c r="L2664" s="27">
        <f t="shared" ca="1" si="537"/>
        <v>0</v>
      </c>
      <c r="M2664" s="27">
        <f t="shared" ca="1" si="538"/>
        <v>0</v>
      </c>
      <c r="N2664" s="28">
        <f t="shared" ca="1" si="539"/>
        <v>0</v>
      </c>
      <c r="O2664" s="29">
        <f t="shared" ca="1" si="540"/>
        <v>0</v>
      </c>
      <c r="P2664" s="30">
        <f t="shared" ca="1" si="541"/>
        <v>0</v>
      </c>
    </row>
    <row r="2665" spans="1:16" x14ac:dyDescent="0.25">
      <c r="A2665" s="3">
        <f t="shared" si="542"/>
        <v>49843</v>
      </c>
      <c r="B2665" s="21">
        <f t="shared" si="533"/>
        <v>36694</v>
      </c>
      <c r="C2665" s="21">
        <f t="shared" si="534"/>
        <v>36697</v>
      </c>
      <c r="D2665" s="1">
        <f t="shared" si="543"/>
        <v>0</v>
      </c>
      <c r="E2665" s="3">
        <f t="array" ref="E2665">INDEX($A$9:A2664, MAX(IF($D$9:D2664=1, ROW(D$9:$D2664)-ROW($D$9)+1, 0)))</f>
        <v>49754</v>
      </c>
      <c r="F2665" s="23">
        <f t="shared" si="535"/>
        <v>10.179329226557153</v>
      </c>
      <c r="G2665" s="5">
        <f>INDEX('Default Prob'!$P$5:$P$14,MIN(1+_xlfn.IFNA(MATCH(F2665,'Default Prob'!$F$5:$F$14,1),0),COUNT('Default Prob'!$P$5:$P$14)))</f>
        <v>8.0322462664562722E-2</v>
      </c>
      <c r="H2665" s="5">
        <f t="shared" si="544"/>
        <v>0.69212160920750887</v>
      </c>
      <c r="I2665" s="24">
        <f t="shared" si="545"/>
        <v>1.5222183520102739E-4</v>
      </c>
      <c r="J2665" s="25">
        <f>INDEX('Default Prob'!$C$3:$C$13, _xlfn.IFNA(MATCH(F2665, 'Default Prob'!$B$3:$B$13, 1), 1))</f>
        <v>2.5600000000000001E-2</v>
      </c>
      <c r="K2665" s="26">
        <f t="shared" si="536"/>
        <v>0.77312763974803589</v>
      </c>
      <c r="L2665" s="27">
        <f t="shared" ca="1" si="537"/>
        <v>0</v>
      </c>
      <c r="M2665" s="27">
        <f t="shared" ca="1" si="538"/>
        <v>0</v>
      </c>
      <c r="N2665" s="28">
        <f t="shared" ca="1" si="539"/>
        <v>0</v>
      </c>
      <c r="O2665" s="29">
        <f t="shared" ca="1" si="540"/>
        <v>0</v>
      </c>
      <c r="P2665" s="30">
        <f t="shared" ca="1" si="541"/>
        <v>0</v>
      </c>
    </row>
    <row r="2666" spans="1:16" x14ac:dyDescent="0.25">
      <c r="A2666" s="3">
        <f t="shared" si="542"/>
        <v>49844</v>
      </c>
      <c r="B2666" s="21">
        <f t="shared" si="533"/>
        <v>36695</v>
      </c>
      <c r="C2666" s="21">
        <f t="shared" si="534"/>
        <v>36697</v>
      </c>
      <c r="D2666" s="1">
        <f t="shared" si="543"/>
        <v>0</v>
      </c>
      <c r="E2666" s="3">
        <f t="array" ref="E2666">INDEX($A$9:A2665, MAX(IF($D$9:D2665=1, ROW(D$9:$D2665)-ROW($D$9)+1, 0)))</f>
        <v>49754</v>
      </c>
      <c r="F2666" s="23">
        <f t="shared" si="535"/>
        <v>10.182067077344286</v>
      </c>
      <c r="G2666" s="5">
        <f>INDEX('Default Prob'!$P$5:$P$14,MIN(1+_xlfn.IFNA(MATCH(F2666,'Default Prob'!$F$5:$F$14,1),0),COUNT('Default Prob'!$P$5:$P$14)))</f>
        <v>8.0322462664562722E-2</v>
      </c>
      <c r="H2666" s="5">
        <f t="shared" si="544"/>
        <v>0.6919694208438707</v>
      </c>
      <c r="I2666" s="24">
        <f t="shared" si="545"/>
        <v>1.5218836363817267E-4</v>
      </c>
      <c r="J2666" s="25">
        <f>INDEX('Default Prob'!$C$3:$C$13, _xlfn.IFNA(MATCH(F2666, 'Default Prob'!$B$3:$B$13, 1), 1))</f>
        <v>2.5600000000000001E-2</v>
      </c>
      <c r="K2666" s="26">
        <f t="shared" si="536"/>
        <v>0.77307413585982754</v>
      </c>
      <c r="L2666" s="27">
        <f t="shared" ca="1" si="537"/>
        <v>0</v>
      </c>
      <c r="M2666" s="27">
        <f t="shared" ca="1" si="538"/>
        <v>0</v>
      </c>
      <c r="N2666" s="28">
        <f t="shared" ca="1" si="539"/>
        <v>0</v>
      </c>
      <c r="O2666" s="29">
        <f t="shared" ca="1" si="540"/>
        <v>0</v>
      </c>
      <c r="P2666" s="30">
        <f t="shared" ca="1" si="541"/>
        <v>0</v>
      </c>
    </row>
    <row r="2667" spans="1:16" x14ac:dyDescent="0.25">
      <c r="A2667" s="3">
        <f t="shared" si="542"/>
        <v>49845</v>
      </c>
      <c r="B2667" s="21">
        <f t="shared" si="533"/>
        <v>36696</v>
      </c>
      <c r="C2667" s="21">
        <f t="shared" si="534"/>
        <v>36697</v>
      </c>
      <c r="D2667" s="1">
        <f t="shared" si="543"/>
        <v>0</v>
      </c>
      <c r="E2667" s="3">
        <f t="array" ref="E2667">INDEX($A$9:A2666, MAX(IF($D$9:D2666=1, ROW(D$9:$D2666)-ROW($D$9)+1, 0)))</f>
        <v>49754</v>
      </c>
      <c r="F2667" s="23">
        <f t="shared" si="535"/>
        <v>10.184804928131417</v>
      </c>
      <c r="G2667" s="5">
        <f>INDEX('Default Prob'!$P$5:$P$14,MIN(1+_xlfn.IFNA(MATCH(F2667,'Default Prob'!$F$5:$F$14,1),0),COUNT('Default Prob'!$P$5:$P$14)))</f>
        <v>8.0322462664562722E-2</v>
      </c>
      <c r="H2667" s="5">
        <f t="shared" si="544"/>
        <v>0.6918172659444356</v>
      </c>
      <c r="I2667" s="24">
        <f t="shared" si="545"/>
        <v>1.5215489943509741E-4</v>
      </c>
      <c r="J2667" s="25">
        <f>INDEX('Default Prob'!$C$3:$C$13, _xlfn.IFNA(MATCH(F2667, 'Default Prob'!$B$3:$B$13, 1), 1))</f>
        <v>2.5600000000000001E-2</v>
      </c>
      <c r="K2667" s="26">
        <f t="shared" si="536"/>
        <v>0.77302063567432744</v>
      </c>
      <c r="L2667" s="27">
        <f t="shared" ca="1" si="537"/>
        <v>0</v>
      </c>
      <c r="M2667" s="27">
        <f t="shared" ca="1" si="538"/>
        <v>0</v>
      </c>
      <c r="N2667" s="28">
        <f t="shared" ca="1" si="539"/>
        <v>0</v>
      </c>
      <c r="O2667" s="29">
        <f t="shared" ca="1" si="540"/>
        <v>0</v>
      </c>
      <c r="P2667" s="30">
        <f t="shared" ca="1" si="541"/>
        <v>0</v>
      </c>
    </row>
    <row r="2668" spans="1:16" x14ac:dyDescent="0.25">
      <c r="A2668" s="3">
        <f t="shared" si="542"/>
        <v>49846</v>
      </c>
      <c r="B2668" s="21">
        <f t="shared" si="533"/>
        <v>36697</v>
      </c>
      <c r="C2668" s="21">
        <f t="shared" si="534"/>
        <v>36697</v>
      </c>
      <c r="D2668" s="1">
        <f t="shared" si="543"/>
        <v>1</v>
      </c>
      <c r="E2668" s="3">
        <f t="array" ref="E2668">INDEX($A$9:A2667, MAX(IF($D$9:D2667=1, ROW(D$9:$D2667)-ROW($D$9)+1, 0)))</f>
        <v>49754</v>
      </c>
      <c r="F2668" s="23">
        <f t="shared" si="535"/>
        <v>10.18754277891855</v>
      </c>
      <c r="G2668" s="5">
        <f>INDEX('Default Prob'!$P$5:$P$14,MIN(1+_xlfn.IFNA(MATCH(F2668,'Default Prob'!$F$5:$F$14,1),0),COUNT('Default Prob'!$P$5:$P$14)))</f>
        <v>8.0322462664562722E-2</v>
      </c>
      <c r="H2668" s="5">
        <f t="shared" si="544"/>
        <v>0.69166514450184513</v>
      </c>
      <c r="I2668" s="24">
        <f t="shared" si="545"/>
        <v>1.5212144259046934E-4</v>
      </c>
      <c r="J2668" s="25">
        <f>INDEX('Default Prob'!$C$3:$C$13, _xlfn.IFNA(MATCH(F2668, 'Default Prob'!$B$3:$B$13, 1), 1))</f>
        <v>2.5600000000000001E-2</v>
      </c>
      <c r="K2668" s="26">
        <f t="shared" si="536"/>
        <v>0.77296713919127924</v>
      </c>
      <c r="L2668" s="27">
        <f t="shared" ca="1" si="537"/>
        <v>0</v>
      </c>
      <c r="M2668" s="27">
        <f t="shared" ca="1" si="538"/>
        <v>0</v>
      </c>
      <c r="N2668" s="28">
        <f t="shared" ca="1" si="539"/>
        <v>0</v>
      </c>
      <c r="O2668" s="29">
        <f t="shared" ca="1" si="540"/>
        <v>0</v>
      </c>
      <c r="P2668" s="30">
        <f t="shared" ca="1" si="541"/>
        <v>0</v>
      </c>
    </row>
    <row r="2669" spans="1:16" x14ac:dyDescent="0.25">
      <c r="A2669" s="3">
        <f t="shared" si="542"/>
        <v>49849</v>
      </c>
      <c r="B2669" s="21">
        <f t="shared" si="533"/>
        <v>36700</v>
      </c>
      <c r="C2669" s="21">
        <f t="shared" si="534"/>
        <v>36789</v>
      </c>
      <c r="D2669" s="1">
        <f t="shared" si="543"/>
        <v>0</v>
      </c>
      <c r="E2669" s="3">
        <f t="array" ref="E2669">INDEX($A$9:A2668, MAX(IF($D$9:D2668=1, ROW(D$9:$D2668)-ROW($D$9)+1, 0)))</f>
        <v>49846</v>
      </c>
      <c r="F2669" s="23">
        <f t="shared" si="535"/>
        <v>10.195756331279945</v>
      </c>
      <c r="G2669" s="5">
        <f>INDEX('Default Prob'!$P$5:$P$14,MIN(1+_xlfn.IFNA(MATCH(F2669,'Default Prob'!$F$5:$F$14,1),0),COUNT('Default Prob'!$P$5:$P$14)))</f>
        <v>8.0322462664562722E-2</v>
      </c>
      <c r="H2669" s="5">
        <f t="shared" si="544"/>
        <v>0.69120898084158278</v>
      </c>
      <c r="I2669" s="24">
        <f t="shared" si="545"/>
        <v>4.5616366026235422E-4</v>
      </c>
      <c r="J2669" s="25">
        <f>INDEX('Default Prob'!$C$3:$C$13, _xlfn.IFNA(MATCH(F2669, 'Default Prob'!$B$3:$B$13, 1), 1))</f>
        <v>2.5600000000000001E-2</v>
      </c>
      <c r="K2669" s="26">
        <f t="shared" si="536"/>
        <v>0.77280667195428443</v>
      </c>
      <c r="L2669" s="27">
        <f t="shared" ca="1" si="537"/>
        <v>0</v>
      </c>
      <c r="M2669" s="27">
        <f t="shared" ca="1" si="538"/>
        <v>0</v>
      </c>
      <c r="N2669" s="28">
        <f t="shared" ca="1" si="539"/>
        <v>0</v>
      </c>
      <c r="O2669" s="29">
        <f t="shared" ca="1" si="540"/>
        <v>0</v>
      </c>
      <c r="P2669" s="30">
        <f t="shared" ca="1" si="541"/>
        <v>0</v>
      </c>
    </row>
    <row r="2670" spans="1:16" x14ac:dyDescent="0.25">
      <c r="A2670" s="3">
        <f t="shared" si="542"/>
        <v>49850</v>
      </c>
      <c r="B2670" s="21">
        <f t="shared" si="533"/>
        <v>36701</v>
      </c>
      <c r="C2670" s="21">
        <f t="shared" si="534"/>
        <v>36789</v>
      </c>
      <c r="D2670" s="1">
        <f t="shared" si="543"/>
        <v>0</v>
      </c>
      <c r="E2670" s="3">
        <f t="array" ref="E2670">INDEX($A$9:A2669, MAX(IF($D$9:D2669=1, ROW(D$9:$D2669)-ROW($D$9)+1, 0)))</f>
        <v>49846</v>
      </c>
      <c r="F2670" s="23">
        <f t="shared" si="535"/>
        <v>10.198494182067078</v>
      </c>
      <c r="G2670" s="5">
        <f>INDEX('Default Prob'!$P$5:$P$14,MIN(1+_xlfn.IFNA(MATCH(F2670,'Default Prob'!$F$5:$F$14,1),0),COUNT('Default Prob'!$P$5:$P$14)))</f>
        <v>8.0322462664562722E-2</v>
      </c>
      <c r="H2670" s="5">
        <f t="shared" si="544"/>
        <v>0.69105699315281999</v>
      </c>
      <c r="I2670" s="24">
        <f t="shared" si="545"/>
        <v>1.5198768876278912E-4</v>
      </c>
      <c r="J2670" s="25">
        <f>INDEX('Default Prob'!$C$3:$C$13, _xlfn.IFNA(MATCH(F2670, 'Default Prob'!$B$3:$B$13, 1), 1))</f>
        <v>2.5600000000000001E-2</v>
      </c>
      <c r="K2670" s="26">
        <f t="shared" si="536"/>
        <v>0.77275319027848188</v>
      </c>
      <c r="L2670" s="27">
        <f t="shared" ca="1" si="537"/>
        <v>0</v>
      </c>
      <c r="M2670" s="27">
        <f t="shared" ca="1" si="538"/>
        <v>0</v>
      </c>
      <c r="N2670" s="28">
        <f t="shared" ca="1" si="539"/>
        <v>0</v>
      </c>
      <c r="O2670" s="29">
        <f t="shared" ca="1" si="540"/>
        <v>0</v>
      </c>
      <c r="P2670" s="30">
        <f t="shared" ca="1" si="541"/>
        <v>0</v>
      </c>
    </row>
    <row r="2671" spans="1:16" x14ac:dyDescent="0.25">
      <c r="A2671" s="3">
        <f t="shared" si="542"/>
        <v>49851</v>
      </c>
      <c r="B2671" s="21">
        <f t="shared" si="533"/>
        <v>36702</v>
      </c>
      <c r="C2671" s="21">
        <f t="shared" si="534"/>
        <v>36789</v>
      </c>
      <c r="D2671" s="1">
        <f t="shared" si="543"/>
        <v>0</v>
      </c>
      <c r="E2671" s="3">
        <f t="array" ref="E2671">INDEX($A$9:A2670, MAX(IF($D$9:D2670=1, ROW(D$9:$D2670)-ROW($D$9)+1, 0)))</f>
        <v>49846</v>
      </c>
      <c r="F2671" s="23">
        <f t="shared" si="535"/>
        <v>10.201232032854209</v>
      </c>
      <c r="G2671" s="5">
        <f>INDEX('Default Prob'!$P$5:$P$14,MIN(1+_xlfn.IFNA(MATCH(F2671,'Default Prob'!$F$5:$F$14,1),0),COUNT('Default Prob'!$P$5:$P$14)))</f>
        <v>8.0322462664562722E-2</v>
      </c>
      <c r="H2671" s="5">
        <f t="shared" si="544"/>
        <v>0.69090503888413446</v>
      </c>
      <c r="I2671" s="24">
        <f t="shared" si="545"/>
        <v>1.5195426868552797E-4</v>
      </c>
      <c r="J2671" s="25">
        <f>INDEX('Default Prob'!$C$3:$C$13, _xlfn.IFNA(MATCH(F2671, 'Default Prob'!$B$3:$B$13, 1), 1))</f>
        <v>2.5600000000000001E-2</v>
      </c>
      <c r="K2671" s="26">
        <f t="shared" si="536"/>
        <v>0.77269971230385048</v>
      </c>
      <c r="L2671" s="27">
        <f t="shared" ca="1" si="537"/>
        <v>0</v>
      </c>
      <c r="M2671" s="27">
        <f t="shared" ca="1" si="538"/>
        <v>0</v>
      </c>
      <c r="N2671" s="28">
        <f t="shared" ca="1" si="539"/>
        <v>0</v>
      </c>
      <c r="O2671" s="29">
        <f t="shared" ca="1" si="540"/>
        <v>0</v>
      </c>
      <c r="P2671" s="30">
        <f t="shared" ca="1" si="541"/>
        <v>0</v>
      </c>
    </row>
    <row r="2672" spans="1:16" x14ac:dyDescent="0.25">
      <c r="A2672" s="3">
        <f t="shared" si="542"/>
        <v>49852</v>
      </c>
      <c r="B2672" s="21">
        <f t="shared" si="533"/>
        <v>36703</v>
      </c>
      <c r="C2672" s="21">
        <f t="shared" si="534"/>
        <v>36789</v>
      </c>
      <c r="D2672" s="1">
        <f t="shared" si="543"/>
        <v>0</v>
      </c>
      <c r="E2672" s="3">
        <f t="array" ref="E2672">INDEX($A$9:A2671, MAX(IF($D$9:D2671=1, ROW(D$9:$D2671)-ROW($D$9)+1, 0)))</f>
        <v>49846</v>
      </c>
      <c r="F2672" s="23">
        <f t="shared" si="535"/>
        <v>10.203969883641342</v>
      </c>
      <c r="G2672" s="5">
        <f>INDEX('Default Prob'!$P$5:$P$14,MIN(1+_xlfn.IFNA(MATCH(F2672,'Default Prob'!$F$5:$F$14,1),0),COUNT('Default Prob'!$P$5:$P$14)))</f>
        <v>8.0322462664562722E-2</v>
      </c>
      <c r="H2672" s="5">
        <f t="shared" si="544"/>
        <v>0.69075311802817752</v>
      </c>
      <c r="I2672" s="24">
        <f t="shared" si="545"/>
        <v>1.5192085595694405E-4</v>
      </c>
      <c r="J2672" s="25">
        <f>INDEX('Default Prob'!$C$3:$C$13, _xlfn.IFNA(MATCH(F2672, 'Default Prob'!$B$3:$B$13, 1), 1))</f>
        <v>2.5600000000000001E-2</v>
      </c>
      <c r="K2672" s="26">
        <f t="shared" si="536"/>
        <v>0.77264623803013388</v>
      </c>
      <c r="L2672" s="27">
        <f t="shared" ca="1" si="537"/>
        <v>0</v>
      </c>
      <c r="M2672" s="27">
        <f t="shared" ca="1" si="538"/>
        <v>0</v>
      </c>
      <c r="N2672" s="28">
        <f t="shared" ca="1" si="539"/>
        <v>0</v>
      </c>
      <c r="O2672" s="29">
        <f t="shared" ca="1" si="540"/>
        <v>0</v>
      </c>
      <c r="P2672" s="30">
        <f t="shared" ca="1" si="541"/>
        <v>0</v>
      </c>
    </row>
    <row r="2673" spans="1:16" x14ac:dyDescent="0.25">
      <c r="A2673" s="3">
        <f t="shared" si="542"/>
        <v>49853</v>
      </c>
      <c r="B2673" s="21">
        <f t="shared" si="533"/>
        <v>36704</v>
      </c>
      <c r="C2673" s="21">
        <f t="shared" si="534"/>
        <v>36789</v>
      </c>
      <c r="D2673" s="1">
        <f t="shared" si="543"/>
        <v>0</v>
      </c>
      <c r="E2673" s="3">
        <f t="array" ref="E2673">INDEX($A$9:A2672, MAX(IF($D$9:D2672=1, ROW(D$9:$D2672)-ROW($D$9)+1, 0)))</f>
        <v>49846</v>
      </c>
      <c r="F2673" s="23">
        <f t="shared" si="535"/>
        <v>10.206707734428473</v>
      </c>
      <c r="G2673" s="5">
        <f>INDEX('Default Prob'!$P$5:$P$14,MIN(1+_xlfn.IFNA(MATCH(F2673,'Default Prob'!$F$5:$F$14,1),0),COUNT('Default Prob'!$P$5:$P$14)))</f>
        <v>8.0322462664562722E-2</v>
      </c>
      <c r="H2673" s="5">
        <f t="shared" si="544"/>
        <v>0.69060123057760225</v>
      </c>
      <c r="I2673" s="24">
        <f t="shared" si="545"/>
        <v>1.5188745057526098E-4</v>
      </c>
      <c r="J2673" s="25">
        <f>INDEX('Default Prob'!$C$3:$C$13, _xlfn.IFNA(MATCH(F2673, 'Default Prob'!$B$3:$B$13, 1), 1))</f>
        <v>2.5600000000000001E-2</v>
      </c>
      <c r="K2673" s="26">
        <f t="shared" si="536"/>
        <v>0.77259276745707606</v>
      </c>
      <c r="L2673" s="27">
        <f t="shared" ca="1" si="537"/>
        <v>0</v>
      </c>
      <c r="M2673" s="27">
        <f t="shared" ca="1" si="538"/>
        <v>0</v>
      </c>
      <c r="N2673" s="28">
        <f t="shared" ca="1" si="539"/>
        <v>0</v>
      </c>
      <c r="O2673" s="29">
        <f t="shared" ca="1" si="540"/>
        <v>0</v>
      </c>
      <c r="P2673" s="30">
        <f t="shared" ca="1" si="541"/>
        <v>0</v>
      </c>
    </row>
    <row r="2674" spans="1:16" x14ac:dyDescent="0.25">
      <c r="A2674" s="3">
        <f t="shared" si="542"/>
        <v>49856</v>
      </c>
      <c r="B2674" s="21">
        <f t="shared" si="533"/>
        <v>36707</v>
      </c>
      <c r="C2674" s="21">
        <f t="shared" si="534"/>
        <v>36789</v>
      </c>
      <c r="D2674" s="1">
        <f t="shared" si="543"/>
        <v>0</v>
      </c>
      <c r="E2674" s="3">
        <f t="array" ref="E2674">INDEX($A$9:A2673, MAX(IF($D$9:D2673=1, ROW(D$9:$D2673)-ROW($D$9)+1, 0)))</f>
        <v>49846</v>
      </c>
      <c r="F2674" s="23">
        <f t="shared" si="535"/>
        <v>10.21492128678987</v>
      </c>
      <c r="G2674" s="5">
        <f>INDEX('Default Prob'!$P$5:$P$14,MIN(1+_xlfn.IFNA(MATCH(F2674,'Default Prob'!$F$5:$F$14,1),0),COUNT('Default Prob'!$P$5:$P$14)))</f>
        <v>8.0322462664562722E-2</v>
      </c>
      <c r="H2674" s="5">
        <f t="shared" si="544"/>
        <v>0.69014576858471999</v>
      </c>
      <c r="I2674" s="24">
        <f t="shared" si="545"/>
        <v>4.5546199288226674E-4</v>
      </c>
      <c r="J2674" s="25">
        <f>INDEX('Default Prob'!$C$3:$C$13, _xlfn.IFNA(MATCH(F2674, 'Default Prob'!$B$3:$B$13, 1), 1))</f>
        <v>2.5600000000000001E-2</v>
      </c>
      <c r="K2674" s="26">
        <f t="shared" si="536"/>
        <v>0.7724323779392942</v>
      </c>
      <c r="L2674" s="27">
        <f t="shared" ca="1" si="537"/>
        <v>0</v>
      </c>
      <c r="M2674" s="27">
        <f t="shared" ca="1" si="538"/>
        <v>0</v>
      </c>
      <c r="N2674" s="28">
        <f t="shared" ca="1" si="539"/>
        <v>0</v>
      </c>
      <c r="O2674" s="29">
        <f t="shared" ca="1" si="540"/>
        <v>0</v>
      </c>
      <c r="P2674" s="30">
        <f t="shared" ca="1" si="541"/>
        <v>0</v>
      </c>
    </row>
    <row r="2675" spans="1:16" x14ac:dyDescent="0.25">
      <c r="A2675" s="3">
        <f t="shared" si="542"/>
        <v>49857</v>
      </c>
      <c r="B2675" s="21">
        <f t="shared" si="533"/>
        <v>36708</v>
      </c>
      <c r="C2675" s="21">
        <f t="shared" si="534"/>
        <v>36789</v>
      </c>
      <c r="D2675" s="1">
        <f t="shared" si="543"/>
        <v>0</v>
      </c>
      <c r="E2675" s="3">
        <f t="array" ref="E2675">INDEX($A$9:A2674, MAX(IF($D$9:D2674=1, ROW(D$9:$D2674)-ROW($D$9)+1, 0)))</f>
        <v>49846</v>
      </c>
      <c r="F2675" s="23">
        <f t="shared" si="535"/>
        <v>10.217659137577002</v>
      </c>
      <c r="G2675" s="5">
        <f>INDEX('Default Prob'!$P$5:$P$14,MIN(1+_xlfn.IFNA(MATCH(F2675,'Default Prob'!$F$5:$F$14,1),0),COUNT('Default Prob'!$P$5:$P$14)))</f>
        <v>8.0322462664562722E-2</v>
      </c>
      <c r="H2675" s="5">
        <f t="shared" si="544"/>
        <v>0.6899940146822332</v>
      </c>
      <c r="I2675" s="24">
        <f t="shared" si="545"/>
        <v>1.5175390248678422E-4</v>
      </c>
      <c r="J2675" s="25">
        <f>INDEX('Default Prob'!$C$3:$C$13, _xlfn.IFNA(MATCH(F2675, 'Default Prob'!$B$3:$B$13, 1), 1))</f>
        <v>2.5600000000000001E-2</v>
      </c>
      <c r="K2675" s="26">
        <f t="shared" si="536"/>
        <v>0.77237892216631066</v>
      </c>
      <c r="L2675" s="27">
        <f t="shared" ca="1" si="537"/>
        <v>0</v>
      </c>
      <c r="M2675" s="27">
        <f t="shared" ca="1" si="538"/>
        <v>0</v>
      </c>
      <c r="N2675" s="28">
        <f t="shared" ca="1" si="539"/>
        <v>0</v>
      </c>
      <c r="O2675" s="29">
        <f t="shared" ca="1" si="540"/>
        <v>0</v>
      </c>
      <c r="P2675" s="30">
        <f t="shared" ca="1" si="541"/>
        <v>0</v>
      </c>
    </row>
    <row r="2676" spans="1:16" x14ac:dyDescent="0.25">
      <c r="A2676" s="3">
        <f t="shared" si="542"/>
        <v>49858</v>
      </c>
      <c r="B2676" s="21">
        <f t="shared" si="533"/>
        <v>36709</v>
      </c>
      <c r="C2676" s="21">
        <f t="shared" si="534"/>
        <v>36789</v>
      </c>
      <c r="D2676" s="1">
        <f t="shared" si="543"/>
        <v>0</v>
      </c>
      <c r="E2676" s="3">
        <f t="array" ref="E2676">INDEX($A$9:A2675, MAX(IF($D$9:D2675=1, ROW(D$9:$D2675)-ROW($D$9)+1, 0)))</f>
        <v>49846</v>
      </c>
      <c r="F2676" s="23">
        <f t="shared" si="535"/>
        <v>10.220396988364135</v>
      </c>
      <c r="G2676" s="5">
        <f>INDEX('Default Prob'!$P$5:$P$14,MIN(1+_xlfn.IFNA(MATCH(F2676,'Default Prob'!$F$5:$F$14,1),0),COUNT('Default Prob'!$P$5:$P$14)))</f>
        <v>8.0322462664562722E-2</v>
      </c>
      <c r="H2676" s="5">
        <f t="shared" si="544"/>
        <v>0.68984229414841713</v>
      </c>
      <c r="I2676" s="24">
        <f t="shared" si="545"/>
        <v>1.5172053381606876E-4</v>
      </c>
      <c r="J2676" s="25">
        <f>INDEX('Default Prob'!$C$3:$C$13, _xlfn.IFNA(MATCH(F2676, 'Default Prob'!$B$3:$B$13, 1), 1))</f>
        <v>2.5600000000000001E-2</v>
      </c>
      <c r="K2676" s="26">
        <f t="shared" si="536"/>
        <v>0.77232547009270536</v>
      </c>
      <c r="L2676" s="27">
        <f t="shared" ca="1" si="537"/>
        <v>0</v>
      </c>
      <c r="M2676" s="27">
        <f t="shared" ca="1" si="538"/>
        <v>0</v>
      </c>
      <c r="N2676" s="28">
        <f t="shared" ca="1" si="539"/>
        <v>0</v>
      </c>
      <c r="O2676" s="29">
        <f t="shared" ca="1" si="540"/>
        <v>0</v>
      </c>
      <c r="P2676" s="30">
        <f t="shared" ca="1" si="541"/>
        <v>0</v>
      </c>
    </row>
    <row r="2677" spans="1:16" x14ac:dyDescent="0.25">
      <c r="A2677" s="3">
        <f t="shared" si="542"/>
        <v>49859</v>
      </c>
      <c r="B2677" s="21">
        <f t="shared" si="533"/>
        <v>36710</v>
      </c>
      <c r="C2677" s="21">
        <f t="shared" si="534"/>
        <v>36789</v>
      </c>
      <c r="D2677" s="1">
        <f t="shared" si="543"/>
        <v>0</v>
      </c>
      <c r="E2677" s="3">
        <f t="array" ref="E2677">INDEX($A$9:A2676, MAX(IF($D$9:D2676=1, ROW(D$9:$D2676)-ROW($D$9)+1, 0)))</f>
        <v>49846</v>
      </c>
      <c r="F2677" s="23">
        <f t="shared" si="535"/>
        <v>10.223134839151266</v>
      </c>
      <c r="G2677" s="5">
        <f>INDEX('Default Prob'!$P$5:$P$14,MIN(1+_xlfn.IFNA(MATCH(F2677,'Default Prob'!$F$5:$F$14,1),0),COUNT('Default Prob'!$P$5:$P$14)))</f>
        <v>8.0322462664562722E-2</v>
      </c>
      <c r="H2677" s="5">
        <f t="shared" si="544"/>
        <v>0.68969060697593454</v>
      </c>
      <c r="I2677" s="24">
        <f t="shared" si="545"/>
        <v>1.5168717248259522E-4</v>
      </c>
      <c r="J2677" s="25">
        <f>INDEX('Default Prob'!$C$3:$C$13, _xlfn.IFNA(MATCH(F2677, 'Default Prob'!$B$3:$B$13, 1), 1))</f>
        <v>2.5600000000000001E-2</v>
      </c>
      <c r="K2677" s="26">
        <f t="shared" si="536"/>
        <v>0.77227202171822251</v>
      </c>
      <c r="L2677" s="27">
        <f t="shared" ca="1" si="537"/>
        <v>0</v>
      </c>
      <c r="M2677" s="27">
        <f t="shared" ca="1" si="538"/>
        <v>0</v>
      </c>
      <c r="N2677" s="28">
        <f t="shared" ca="1" si="539"/>
        <v>0</v>
      </c>
      <c r="O2677" s="29">
        <f t="shared" ca="1" si="540"/>
        <v>0</v>
      </c>
      <c r="P2677" s="30">
        <f t="shared" ca="1" si="541"/>
        <v>0</v>
      </c>
    </row>
    <row r="2678" spans="1:16" x14ac:dyDescent="0.25">
      <c r="A2678" s="3">
        <f t="shared" si="542"/>
        <v>49860</v>
      </c>
      <c r="B2678" s="21">
        <f t="shared" si="533"/>
        <v>36711</v>
      </c>
      <c r="C2678" s="21">
        <f t="shared" si="534"/>
        <v>36789</v>
      </c>
      <c r="D2678" s="1">
        <f t="shared" si="543"/>
        <v>0</v>
      </c>
      <c r="E2678" s="3">
        <f t="array" ref="E2678">INDEX($A$9:A2677, MAX(IF($D$9:D2677=1, ROW(D$9:$D2677)-ROW($D$9)+1, 0)))</f>
        <v>49846</v>
      </c>
      <c r="F2678" s="23">
        <f t="shared" si="535"/>
        <v>10.225872689938399</v>
      </c>
      <c r="G2678" s="5">
        <f>INDEX('Default Prob'!$P$5:$P$14,MIN(1+_xlfn.IFNA(MATCH(F2678,'Default Prob'!$F$5:$F$14,1),0),COUNT('Default Prob'!$P$5:$P$14)))</f>
        <v>8.0322462664562722E-2</v>
      </c>
      <c r="H2678" s="5">
        <f t="shared" si="544"/>
        <v>0.68953895315744962</v>
      </c>
      <c r="I2678" s="24">
        <f t="shared" si="545"/>
        <v>1.5165381848492032E-4</v>
      </c>
      <c r="J2678" s="25">
        <f>INDEX('Default Prob'!$C$3:$C$13, _xlfn.IFNA(MATCH(F2678, 'Default Prob'!$B$3:$B$13, 1), 1))</f>
        <v>2.5600000000000001E-2</v>
      </c>
      <c r="K2678" s="26">
        <f t="shared" si="536"/>
        <v>0.77221857704260599</v>
      </c>
      <c r="L2678" s="27">
        <f t="shared" ca="1" si="537"/>
        <v>0</v>
      </c>
      <c r="M2678" s="27">
        <f t="shared" ca="1" si="538"/>
        <v>0</v>
      </c>
      <c r="N2678" s="28">
        <f t="shared" ca="1" si="539"/>
        <v>0</v>
      </c>
      <c r="O2678" s="29">
        <f t="shared" ca="1" si="540"/>
        <v>0</v>
      </c>
      <c r="P2678" s="30">
        <f t="shared" ca="1" si="541"/>
        <v>0</v>
      </c>
    </row>
    <row r="2679" spans="1:16" x14ac:dyDescent="0.25">
      <c r="A2679" s="3">
        <f t="shared" si="542"/>
        <v>49863</v>
      </c>
      <c r="B2679" s="21">
        <f t="shared" si="533"/>
        <v>36714</v>
      </c>
      <c r="C2679" s="21">
        <f t="shared" si="534"/>
        <v>36789</v>
      </c>
      <c r="D2679" s="1">
        <f t="shared" si="543"/>
        <v>0</v>
      </c>
      <c r="E2679" s="3">
        <f t="array" ref="E2679">INDEX($A$9:A2678, MAX(IF($D$9:D2678=1, ROW(D$9:$D2678)-ROW($D$9)+1, 0)))</f>
        <v>49846</v>
      </c>
      <c r="F2679" s="23">
        <f t="shared" si="535"/>
        <v>10.234086242299794</v>
      </c>
      <c r="G2679" s="5">
        <f>INDEX('Default Prob'!$P$5:$P$14,MIN(1+_xlfn.IFNA(MATCH(F2679,'Default Prob'!$F$5:$F$14,1),0),COUNT('Default Prob'!$P$5:$P$14)))</f>
        <v>8.0322462664562722E-2</v>
      </c>
      <c r="H2679" s="5">
        <f t="shared" si="544"/>
        <v>0.68908419175264823</v>
      </c>
      <c r="I2679" s="24">
        <f t="shared" si="545"/>
        <v>4.5476140480138483E-4</v>
      </c>
      <c r="J2679" s="25">
        <f>INDEX('Default Prob'!$C$3:$C$13, _xlfn.IFNA(MATCH(F2679, 'Default Prob'!$B$3:$B$13, 1), 1))</f>
        <v>2.5600000000000001E-2</v>
      </c>
      <c r="K2679" s="26">
        <f t="shared" si="536"/>
        <v>0.77205826520639553</v>
      </c>
      <c r="L2679" s="27">
        <f t="shared" ca="1" si="537"/>
        <v>0</v>
      </c>
      <c r="M2679" s="27">
        <f t="shared" ca="1" si="538"/>
        <v>0</v>
      </c>
      <c r="N2679" s="28">
        <f t="shared" ca="1" si="539"/>
        <v>0</v>
      </c>
      <c r="O2679" s="29">
        <f t="shared" ca="1" si="540"/>
        <v>0</v>
      </c>
      <c r="P2679" s="30">
        <f t="shared" ca="1" si="541"/>
        <v>0</v>
      </c>
    </row>
    <row r="2680" spans="1:16" x14ac:dyDescent="0.25">
      <c r="A2680" s="3">
        <f t="shared" si="542"/>
        <v>49864</v>
      </c>
      <c r="B2680" s="21">
        <f t="shared" si="533"/>
        <v>36715</v>
      </c>
      <c r="C2680" s="21">
        <f t="shared" si="534"/>
        <v>36789</v>
      </c>
      <c r="D2680" s="1">
        <f t="shared" si="543"/>
        <v>0</v>
      </c>
      <c r="E2680" s="3">
        <f t="array" ref="E2680">INDEX($A$9:A2679, MAX(IF($D$9:D2679=1, ROW(D$9:$D2679)-ROW($D$9)+1, 0)))</f>
        <v>49846</v>
      </c>
      <c r="F2680" s="23">
        <f t="shared" si="535"/>
        <v>10.236824093086927</v>
      </c>
      <c r="G2680" s="5">
        <f>INDEX('Default Prob'!$P$5:$P$14,MIN(1+_xlfn.IFNA(MATCH(F2680,'Default Prob'!$F$5:$F$14,1),0),COUNT('Default Prob'!$P$5:$P$14)))</f>
        <v>8.0322462664562722E-2</v>
      </c>
      <c r="H2680" s="5">
        <f t="shared" si="544"/>
        <v>0.68893267127682922</v>
      </c>
      <c r="I2680" s="24">
        <f t="shared" si="545"/>
        <v>1.515204758190114E-4</v>
      </c>
      <c r="J2680" s="25">
        <f>INDEX('Default Prob'!$C$3:$C$13, _xlfn.IFNA(MATCH(F2680, 'Default Prob'!$B$3:$B$13, 1), 1))</f>
        <v>2.5600000000000001E-2</v>
      </c>
      <c r="K2680" s="26">
        <f t="shared" si="536"/>
        <v>0.77200483532368502</v>
      </c>
      <c r="L2680" s="27">
        <f t="shared" ca="1" si="537"/>
        <v>0</v>
      </c>
      <c r="M2680" s="27">
        <f t="shared" ca="1" si="538"/>
        <v>0</v>
      </c>
      <c r="N2680" s="28">
        <f t="shared" ca="1" si="539"/>
        <v>0</v>
      </c>
      <c r="O2680" s="29">
        <f t="shared" ca="1" si="540"/>
        <v>0</v>
      </c>
      <c r="P2680" s="30">
        <f t="shared" ca="1" si="541"/>
        <v>0</v>
      </c>
    </row>
    <row r="2681" spans="1:16" x14ac:dyDescent="0.25">
      <c r="A2681" s="3">
        <f t="shared" si="542"/>
        <v>49865</v>
      </c>
      <c r="B2681" s="21">
        <f t="shared" si="533"/>
        <v>36716</v>
      </c>
      <c r="C2681" s="21">
        <f t="shared" si="534"/>
        <v>36789</v>
      </c>
      <c r="D2681" s="1">
        <f t="shared" si="543"/>
        <v>0</v>
      </c>
      <c r="E2681" s="3">
        <f t="array" ref="E2681">INDEX($A$9:A2680, MAX(IF($D$9:D2680=1, ROW(D$9:$D2680)-ROW($D$9)+1, 0)))</f>
        <v>49846</v>
      </c>
      <c r="F2681" s="23">
        <f t="shared" si="535"/>
        <v>10.239561943874058</v>
      </c>
      <c r="G2681" s="5">
        <f>INDEX('Default Prob'!$P$5:$P$14,MIN(1+_xlfn.IFNA(MATCH(F2681,'Default Prob'!$F$5:$F$14,1),0),COUNT('Default Prob'!$P$5:$P$14)))</f>
        <v>8.0322462664562722E-2</v>
      </c>
      <c r="H2681" s="5">
        <f t="shared" si="544"/>
        <v>0.68878118411835365</v>
      </c>
      <c r="I2681" s="24">
        <f t="shared" si="545"/>
        <v>1.514871584755717E-4</v>
      </c>
      <c r="J2681" s="25">
        <f>INDEX('Default Prob'!$C$3:$C$13, _xlfn.IFNA(MATCH(F2681, 'Default Prob'!$B$3:$B$13, 1), 1))</f>
        <v>2.5600000000000001E-2</v>
      </c>
      <c r="K2681" s="26">
        <f t="shared" si="536"/>
        <v>0.77195140913856131</v>
      </c>
      <c r="L2681" s="27">
        <f t="shared" ca="1" si="537"/>
        <v>0</v>
      </c>
      <c r="M2681" s="27">
        <f t="shared" ca="1" si="538"/>
        <v>0</v>
      </c>
      <c r="N2681" s="28">
        <f t="shared" ca="1" si="539"/>
        <v>0</v>
      </c>
      <c r="O2681" s="29">
        <f t="shared" ca="1" si="540"/>
        <v>0</v>
      </c>
      <c r="P2681" s="30">
        <f t="shared" ca="1" si="541"/>
        <v>0</v>
      </c>
    </row>
    <row r="2682" spans="1:16" x14ac:dyDescent="0.25">
      <c r="A2682" s="3">
        <f t="shared" si="542"/>
        <v>49866</v>
      </c>
      <c r="B2682" s="21">
        <f t="shared" si="533"/>
        <v>36717</v>
      </c>
      <c r="C2682" s="21">
        <f t="shared" si="534"/>
        <v>36789</v>
      </c>
      <c r="D2682" s="1">
        <f t="shared" si="543"/>
        <v>0</v>
      </c>
      <c r="E2682" s="3">
        <f t="array" ref="E2682">INDEX($A$9:A2681, MAX(IF($D$9:D2681=1, ROW(D$9:$D2681)-ROW($D$9)+1, 0)))</f>
        <v>49846</v>
      </c>
      <c r="F2682" s="23">
        <f t="shared" si="535"/>
        <v>10.242299794661191</v>
      </c>
      <c r="G2682" s="5">
        <f>INDEX('Default Prob'!$P$5:$P$14,MIN(1+_xlfn.IFNA(MATCH(F2682,'Default Prob'!$F$5:$F$14,1),0),COUNT('Default Prob'!$P$5:$P$14)))</f>
        <v>8.0322462664562722E-2</v>
      </c>
      <c r="H2682" s="5">
        <f t="shared" si="544"/>
        <v>0.68862973026989527</v>
      </c>
      <c r="I2682" s="24">
        <f t="shared" si="545"/>
        <v>1.5145384845838272E-4</v>
      </c>
      <c r="J2682" s="25">
        <f>INDEX('Default Prob'!$C$3:$C$13, _xlfn.IFNA(MATCH(F2682, 'Default Prob'!$B$3:$B$13, 1), 1))</f>
        <v>2.5600000000000001E-2</v>
      </c>
      <c r="K2682" s="26">
        <f t="shared" si="536"/>
        <v>0.77189798665076836</v>
      </c>
      <c r="L2682" s="27">
        <f t="shared" ca="1" si="537"/>
        <v>0</v>
      </c>
      <c r="M2682" s="27">
        <f t="shared" ca="1" si="538"/>
        <v>0</v>
      </c>
      <c r="N2682" s="28">
        <f t="shared" ca="1" si="539"/>
        <v>0</v>
      </c>
      <c r="O2682" s="29">
        <f t="shared" ca="1" si="540"/>
        <v>0</v>
      </c>
      <c r="P2682" s="30">
        <f t="shared" ca="1" si="541"/>
        <v>0</v>
      </c>
    </row>
    <row r="2683" spans="1:16" x14ac:dyDescent="0.25">
      <c r="A2683" s="3">
        <f t="shared" si="542"/>
        <v>49867</v>
      </c>
      <c r="B2683" s="21">
        <f t="shared" si="533"/>
        <v>36718</v>
      </c>
      <c r="C2683" s="21">
        <f t="shared" si="534"/>
        <v>36789</v>
      </c>
      <c r="D2683" s="1">
        <f t="shared" si="543"/>
        <v>0</v>
      </c>
      <c r="E2683" s="3">
        <f t="array" ref="E2683">INDEX($A$9:A2682, MAX(IF($D$9:D2682=1, ROW(D$9:$D2682)-ROW($D$9)+1, 0)))</f>
        <v>49846</v>
      </c>
      <c r="F2683" s="23">
        <f t="shared" si="535"/>
        <v>10.245037645448322</v>
      </c>
      <c r="G2683" s="5">
        <f>INDEX('Default Prob'!$P$5:$P$14,MIN(1+_xlfn.IFNA(MATCH(F2683,'Default Prob'!$F$5:$F$14,1),0),COUNT('Default Prob'!$P$5:$P$14)))</f>
        <v>8.0322462664562722E-2</v>
      </c>
      <c r="H2683" s="5">
        <f t="shared" si="544"/>
        <v>0.68847830972412982</v>
      </c>
      <c r="I2683" s="24">
        <f t="shared" si="545"/>
        <v>1.5142054576544606E-4</v>
      </c>
      <c r="J2683" s="25">
        <f>INDEX('Default Prob'!$C$3:$C$13, _xlfn.IFNA(MATCH(F2683, 'Default Prob'!$B$3:$B$13, 1), 1))</f>
        <v>2.5600000000000001E-2</v>
      </c>
      <c r="K2683" s="26">
        <f t="shared" si="536"/>
        <v>0.7718445678600504</v>
      </c>
      <c r="L2683" s="27">
        <f t="shared" ca="1" si="537"/>
        <v>0</v>
      </c>
      <c r="M2683" s="27">
        <f t="shared" ca="1" si="538"/>
        <v>0</v>
      </c>
      <c r="N2683" s="28">
        <f t="shared" ca="1" si="539"/>
        <v>0</v>
      </c>
      <c r="O2683" s="29">
        <f t="shared" ca="1" si="540"/>
        <v>0</v>
      </c>
      <c r="P2683" s="30">
        <f t="shared" ca="1" si="541"/>
        <v>0</v>
      </c>
    </row>
    <row r="2684" spans="1:16" x14ac:dyDescent="0.25">
      <c r="A2684" s="3">
        <f t="shared" si="542"/>
        <v>49870</v>
      </c>
      <c r="B2684" s="21">
        <f t="shared" si="533"/>
        <v>36721</v>
      </c>
      <c r="C2684" s="21">
        <f t="shared" si="534"/>
        <v>36789</v>
      </c>
      <c r="D2684" s="1">
        <f t="shared" si="543"/>
        <v>0</v>
      </c>
      <c r="E2684" s="3">
        <f t="array" ref="E2684">INDEX($A$9:A2683, MAX(IF($D$9:D2683=1, ROW(D$9:$D2683)-ROW($D$9)+1, 0)))</f>
        <v>49846</v>
      </c>
      <c r="F2684" s="23">
        <f t="shared" si="535"/>
        <v>10.253251197809719</v>
      </c>
      <c r="G2684" s="5">
        <f>INDEX('Default Prob'!$P$5:$P$14,MIN(1+_xlfn.IFNA(MATCH(F2684,'Default Prob'!$F$5:$F$14,1),0),COUNT('Default Prob'!$P$5:$P$14)))</f>
        <v>8.0322462664562722E-2</v>
      </c>
      <c r="H2684" s="5">
        <f t="shared" si="544"/>
        <v>0.68802424782977012</v>
      </c>
      <c r="I2684" s="24">
        <f t="shared" si="545"/>
        <v>4.5406189435970301E-4</v>
      </c>
      <c r="J2684" s="25">
        <f>INDEX('Default Prob'!$C$3:$C$13, _xlfn.IFNA(MATCH(F2684, 'Default Prob'!$B$3:$B$13, 1), 1))</f>
        <v>2.5600000000000001E-2</v>
      </c>
      <c r="K2684" s="26">
        <f t="shared" si="536"/>
        <v>0.77168433366778755</v>
      </c>
      <c r="L2684" s="27">
        <f t="shared" ca="1" si="537"/>
        <v>0</v>
      </c>
      <c r="M2684" s="27">
        <f t="shared" ca="1" si="538"/>
        <v>0</v>
      </c>
      <c r="N2684" s="28">
        <f t="shared" ca="1" si="539"/>
        <v>0</v>
      </c>
      <c r="O2684" s="29">
        <f t="shared" ca="1" si="540"/>
        <v>0</v>
      </c>
      <c r="P2684" s="30">
        <f t="shared" ca="1" si="541"/>
        <v>0</v>
      </c>
    </row>
    <row r="2685" spans="1:16" x14ac:dyDescent="0.25">
      <c r="A2685" s="3">
        <f t="shared" si="542"/>
        <v>49871</v>
      </c>
      <c r="B2685" s="21">
        <f t="shared" si="533"/>
        <v>36722</v>
      </c>
      <c r="C2685" s="21">
        <f t="shared" si="534"/>
        <v>36789</v>
      </c>
      <c r="D2685" s="1">
        <f t="shared" si="543"/>
        <v>0</v>
      </c>
      <c r="E2685" s="3">
        <f t="array" ref="E2685">INDEX($A$9:A2684, MAX(IF($D$9:D2684=1, ROW(D$9:$D2684)-ROW($D$9)+1, 0)))</f>
        <v>49846</v>
      </c>
      <c r="F2685" s="23">
        <f t="shared" si="535"/>
        <v>10.255989048596852</v>
      </c>
      <c r="G2685" s="5">
        <f>INDEX('Default Prob'!$P$5:$P$14,MIN(1+_xlfn.IFNA(MATCH(F2685,'Default Prob'!$F$5:$F$14,1),0),COUNT('Default Prob'!$P$5:$P$14)))</f>
        <v>8.0322462664562722E-2</v>
      </c>
      <c r="H2685" s="5">
        <f t="shared" si="544"/>
        <v>0.68787296042156387</v>
      </c>
      <c r="I2685" s="24">
        <f t="shared" si="545"/>
        <v>1.5128740820624653E-4</v>
      </c>
      <c r="J2685" s="25">
        <f>INDEX('Default Prob'!$C$3:$C$13, _xlfn.IFNA(MATCH(F2685, 'Default Prob'!$B$3:$B$13, 1), 1))</f>
        <v>2.5600000000000001E-2</v>
      </c>
      <c r="K2685" s="26">
        <f t="shared" si="536"/>
        <v>0.77163092966281077</v>
      </c>
      <c r="L2685" s="27">
        <f t="shared" ca="1" si="537"/>
        <v>0</v>
      </c>
      <c r="M2685" s="27">
        <f t="shared" ca="1" si="538"/>
        <v>0</v>
      </c>
      <c r="N2685" s="28">
        <f t="shared" ca="1" si="539"/>
        <v>0</v>
      </c>
      <c r="O2685" s="29">
        <f t="shared" ca="1" si="540"/>
        <v>0</v>
      </c>
      <c r="P2685" s="30">
        <f t="shared" ca="1" si="541"/>
        <v>0</v>
      </c>
    </row>
    <row r="2686" spans="1:16" x14ac:dyDescent="0.25">
      <c r="A2686" s="3">
        <f t="shared" si="542"/>
        <v>49872</v>
      </c>
      <c r="B2686" s="21">
        <f t="shared" si="533"/>
        <v>36723</v>
      </c>
      <c r="C2686" s="21">
        <f t="shared" si="534"/>
        <v>36789</v>
      </c>
      <c r="D2686" s="1">
        <f t="shared" si="543"/>
        <v>0</v>
      </c>
      <c r="E2686" s="3">
        <f t="array" ref="E2686">INDEX($A$9:A2685, MAX(IF($D$9:D2685=1, ROW(D$9:$D2685)-ROW($D$9)+1, 0)))</f>
        <v>49846</v>
      </c>
      <c r="F2686" s="23">
        <f t="shared" si="535"/>
        <v>10.258726899383984</v>
      </c>
      <c r="G2686" s="5">
        <f>INDEX('Default Prob'!$P$5:$P$14,MIN(1+_xlfn.IFNA(MATCH(F2686,'Default Prob'!$F$5:$F$14,1),0),COUNT('Default Prob'!$P$5:$P$14)))</f>
        <v>8.0322462664562722E-2</v>
      </c>
      <c r="H2686" s="5">
        <f t="shared" si="544"/>
        <v>0.6877217062794525</v>
      </c>
      <c r="I2686" s="24">
        <f t="shared" si="545"/>
        <v>1.5125414211136778E-4</v>
      </c>
      <c r="J2686" s="25">
        <f>INDEX('Default Prob'!$C$3:$C$13, _xlfn.IFNA(MATCH(F2686, 'Default Prob'!$B$3:$B$13, 1), 1))</f>
        <v>2.5600000000000001E-2</v>
      </c>
      <c r="K2686" s="26">
        <f t="shared" si="536"/>
        <v>0.77157752935363</v>
      </c>
      <c r="L2686" s="27">
        <f t="shared" ca="1" si="537"/>
        <v>0</v>
      </c>
      <c r="M2686" s="27">
        <f t="shared" ca="1" si="538"/>
        <v>0</v>
      </c>
      <c r="N2686" s="28">
        <f t="shared" ca="1" si="539"/>
        <v>0</v>
      </c>
      <c r="O2686" s="29">
        <f t="shared" ca="1" si="540"/>
        <v>0</v>
      </c>
      <c r="P2686" s="30">
        <f t="shared" ca="1" si="541"/>
        <v>0</v>
      </c>
    </row>
    <row r="2687" spans="1:16" x14ac:dyDescent="0.25">
      <c r="A2687" s="3">
        <f t="shared" si="542"/>
        <v>49873</v>
      </c>
      <c r="B2687" s="21">
        <f t="shared" si="533"/>
        <v>36724</v>
      </c>
      <c r="C2687" s="21">
        <f t="shared" si="534"/>
        <v>36789</v>
      </c>
      <c r="D2687" s="1">
        <f t="shared" si="543"/>
        <v>0</v>
      </c>
      <c r="E2687" s="3">
        <f t="array" ref="E2687">INDEX($A$9:A2686, MAX(IF($D$9:D2686=1, ROW(D$9:$D2686)-ROW($D$9)+1, 0)))</f>
        <v>49846</v>
      </c>
      <c r="F2687" s="23">
        <f t="shared" si="535"/>
        <v>10.261464750171116</v>
      </c>
      <c r="G2687" s="5">
        <f>INDEX('Default Prob'!$P$5:$P$14,MIN(1+_xlfn.IFNA(MATCH(F2687,'Default Prob'!$F$5:$F$14,1),0),COUNT('Default Prob'!$P$5:$P$14)))</f>
        <v>8.0322462664562722E-2</v>
      </c>
      <c r="H2687" s="5">
        <f t="shared" si="544"/>
        <v>0.68757048539612109</v>
      </c>
      <c r="I2687" s="24">
        <f t="shared" si="545"/>
        <v>1.5122088333141548E-4</v>
      </c>
      <c r="J2687" s="25">
        <f>INDEX('Default Prob'!$C$3:$C$13, _xlfn.IFNA(MATCH(F2687, 'Default Prob'!$B$3:$B$13, 1), 1))</f>
        <v>2.5600000000000001E-2</v>
      </c>
      <c r="K2687" s="26">
        <f t="shared" si="536"/>
        <v>0.77152413273998921</v>
      </c>
      <c r="L2687" s="27">
        <f t="shared" ca="1" si="537"/>
        <v>0</v>
      </c>
      <c r="M2687" s="27">
        <f t="shared" ca="1" si="538"/>
        <v>0</v>
      </c>
      <c r="N2687" s="28">
        <f t="shared" ca="1" si="539"/>
        <v>0</v>
      </c>
      <c r="O2687" s="29">
        <f t="shared" ca="1" si="540"/>
        <v>0</v>
      </c>
      <c r="P2687" s="30">
        <f t="shared" ca="1" si="541"/>
        <v>0</v>
      </c>
    </row>
    <row r="2688" spans="1:16" x14ac:dyDescent="0.25">
      <c r="A2688" s="3">
        <f t="shared" si="542"/>
        <v>49874</v>
      </c>
      <c r="B2688" s="21">
        <f t="shared" si="533"/>
        <v>36725</v>
      </c>
      <c r="C2688" s="21">
        <f t="shared" si="534"/>
        <v>36789</v>
      </c>
      <c r="D2688" s="1">
        <f t="shared" si="543"/>
        <v>0</v>
      </c>
      <c r="E2688" s="3">
        <f t="array" ref="E2688">INDEX($A$9:A2687, MAX(IF($D$9:D2687=1, ROW(D$9:$D2687)-ROW($D$9)+1, 0)))</f>
        <v>49846</v>
      </c>
      <c r="F2688" s="23">
        <f t="shared" si="535"/>
        <v>10.264202600958248</v>
      </c>
      <c r="G2688" s="5">
        <f>INDEX('Default Prob'!$P$5:$P$14,MIN(1+_xlfn.IFNA(MATCH(F2688,'Default Prob'!$F$5:$F$14,1),0),COUNT('Default Prob'!$P$5:$P$14)))</f>
        <v>8.0322462664562722E-2</v>
      </c>
      <c r="H2688" s="5">
        <f t="shared" si="544"/>
        <v>0.6874192977642567</v>
      </c>
      <c r="I2688" s="24">
        <f t="shared" si="545"/>
        <v>1.5118763186439121E-4</v>
      </c>
      <c r="J2688" s="25">
        <f>INDEX('Default Prob'!$C$3:$C$13, _xlfn.IFNA(MATCH(F2688, 'Default Prob'!$B$3:$B$13, 1), 1))</f>
        <v>2.5600000000000001E-2</v>
      </c>
      <c r="K2688" s="26">
        <f t="shared" si="536"/>
        <v>0.77147073982163294</v>
      </c>
      <c r="L2688" s="27">
        <f t="shared" ca="1" si="537"/>
        <v>0</v>
      </c>
      <c r="M2688" s="27">
        <f t="shared" ca="1" si="538"/>
        <v>0</v>
      </c>
      <c r="N2688" s="28">
        <f t="shared" ca="1" si="539"/>
        <v>0</v>
      </c>
      <c r="O2688" s="29">
        <f t="shared" ca="1" si="540"/>
        <v>0</v>
      </c>
      <c r="P2688" s="30">
        <f t="shared" ca="1" si="541"/>
        <v>0</v>
      </c>
    </row>
    <row r="2689" spans="1:16" x14ac:dyDescent="0.25">
      <c r="A2689" s="3">
        <f t="shared" si="542"/>
        <v>49877</v>
      </c>
      <c r="B2689" s="21">
        <f t="shared" si="533"/>
        <v>36728</v>
      </c>
      <c r="C2689" s="21">
        <f t="shared" si="534"/>
        <v>36789</v>
      </c>
      <c r="D2689" s="1">
        <f t="shared" si="543"/>
        <v>0</v>
      </c>
      <c r="E2689" s="3">
        <f t="array" ref="E2689">INDEX($A$9:A2688, MAX(IF($D$9:D2688=1, ROW(D$9:$D2688)-ROW($D$9)+1, 0)))</f>
        <v>49846</v>
      </c>
      <c r="F2689" s="23">
        <f t="shared" si="535"/>
        <v>10.272416153319645</v>
      </c>
      <c r="G2689" s="5">
        <f>INDEX('Default Prob'!$P$5:$P$14,MIN(1+_xlfn.IFNA(MATCH(F2689,'Default Prob'!$F$5:$F$14,1),0),COUNT('Default Prob'!$P$5:$P$14)))</f>
        <v>8.0322462664562722E-2</v>
      </c>
      <c r="H2689" s="5">
        <f t="shared" si="544"/>
        <v>0.68696593430435726</v>
      </c>
      <c r="I2689" s="24">
        <f t="shared" si="545"/>
        <v>4.5336345989943627E-4</v>
      </c>
      <c r="J2689" s="25">
        <f>INDEX('Default Prob'!$C$3:$C$13, _xlfn.IFNA(MATCH(F2689, 'Default Prob'!$B$3:$B$13, 1), 1))</f>
        <v>2.5600000000000001E-2</v>
      </c>
      <c r="K2689" s="26">
        <f t="shared" si="536"/>
        <v>0.77131058323571233</v>
      </c>
      <c r="L2689" s="27">
        <f t="shared" ca="1" si="537"/>
        <v>0</v>
      </c>
      <c r="M2689" s="27">
        <f t="shared" ca="1" si="538"/>
        <v>0</v>
      </c>
      <c r="N2689" s="28">
        <f t="shared" ca="1" si="539"/>
        <v>0</v>
      </c>
      <c r="O2689" s="29">
        <f t="shared" ca="1" si="540"/>
        <v>0</v>
      </c>
      <c r="P2689" s="30">
        <f t="shared" ca="1" si="541"/>
        <v>0</v>
      </c>
    </row>
    <row r="2690" spans="1:16" x14ac:dyDescent="0.25">
      <c r="A2690" s="3">
        <f t="shared" si="542"/>
        <v>49878</v>
      </c>
      <c r="B2690" s="21">
        <f t="shared" si="533"/>
        <v>36729</v>
      </c>
      <c r="C2690" s="21">
        <f t="shared" si="534"/>
        <v>36789</v>
      </c>
      <c r="D2690" s="1">
        <f t="shared" si="543"/>
        <v>0</v>
      </c>
      <c r="E2690" s="3">
        <f t="array" ref="E2690">INDEX($A$9:A2689, MAX(IF($D$9:D2689=1, ROW(D$9:$D2689)-ROW($D$9)+1, 0)))</f>
        <v>49846</v>
      </c>
      <c r="F2690" s="23">
        <f t="shared" si="535"/>
        <v>10.275154004106776</v>
      </c>
      <c r="G2690" s="5">
        <f>INDEX('Default Prob'!$P$5:$P$14,MIN(1+_xlfn.IFNA(MATCH(F2690,'Default Prob'!$F$5:$F$14,1),0),COUNT('Default Prob'!$P$5:$P$14)))</f>
        <v>8.0322462664562722E-2</v>
      </c>
      <c r="H2690" s="5">
        <f t="shared" si="544"/>
        <v>0.686814879605261</v>
      </c>
      <c r="I2690" s="24">
        <f t="shared" si="545"/>
        <v>1.5105469909626468E-4</v>
      </c>
      <c r="J2690" s="25">
        <f>INDEX('Default Prob'!$C$3:$C$13, _xlfn.IFNA(MATCH(F2690, 'Default Prob'!$B$3:$B$13, 1), 1))</f>
        <v>2.5600000000000001E-2</v>
      </c>
      <c r="K2690" s="26">
        <f t="shared" si="536"/>
        <v>0.7712572050959362</v>
      </c>
      <c r="L2690" s="27">
        <f t="shared" ca="1" si="537"/>
        <v>0</v>
      </c>
      <c r="M2690" s="27">
        <f t="shared" ca="1" si="538"/>
        <v>0</v>
      </c>
      <c r="N2690" s="28">
        <f t="shared" ca="1" si="539"/>
        <v>0</v>
      </c>
      <c r="O2690" s="29">
        <f t="shared" ca="1" si="540"/>
        <v>0</v>
      </c>
      <c r="P2690" s="30">
        <f t="shared" ca="1" si="541"/>
        <v>0</v>
      </c>
    </row>
    <row r="2691" spans="1:16" x14ac:dyDescent="0.25">
      <c r="A2691" s="3">
        <f t="shared" si="542"/>
        <v>49879</v>
      </c>
      <c r="B2691" s="21">
        <f t="shared" si="533"/>
        <v>36730</v>
      </c>
      <c r="C2691" s="21">
        <f t="shared" si="534"/>
        <v>36789</v>
      </c>
      <c r="D2691" s="1">
        <f t="shared" si="543"/>
        <v>0</v>
      </c>
      <c r="E2691" s="3">
        <f t="array" ref="E2691">INDEX($A$9:A2690, MAX(IF($D$9:D2690=1, ROW(D$9:$D2690)-ROW($D$9)+1, 0)))</f>
        <v>49846</v>
      </c>
      <c r="F2691" s="23">
        <f t="shared" si="535"/>
        <v>10.277891854893909</v>
      </c>
      <c r="G2691" s="5">
        <f>INDEX('Default Prob'!$P$5:$P$14,MIN(1+_xlfn.IFNA(MATCH(F2691,'Default Prob'!$F$5:$F$14,1),0),COUNT('Default Prob'!$P$5:$P$14)))</f>
        <v>8.0322462664562722E-2</v>
      </c>
      <c r="H2691" s="5">
        <f t="shared" si="544"/>
        <v>0.68666385812108988</v>
      </c>
      <c r="I2691" s="24">
        <f t="shared" si="545"/>
        <v>1.5102148417112105E-4</v>
      </c>
      <c r="J2691" s="25">
        <f>INDEX('Default Prob'!$C$3:$C$13, _xlfn.IFNA(MATCH(F2691, 'Default Prob'!$B$3:$B$13, 1), 1))</f>
        <v>2.5600000000000001E-2</v>
      </c>
      <c r="K2691" s="26">
        <f t="shared" si="536"/>
        <v>0.77120383065016573</v>
      </c>
      <c r="L2691" s="27">
        <f t="shared" ca="1" si="537"/>
        <v>0</v>
      </c>
      <c r="M2691" s="27">
        <f t="shared" ca="1" si="538"/>
        <v>0</v>
      </c>
      <c r="N2691" s="28">
        <f t="shared" ca="1" si="539"/>
        <v>0</v>
      </c>
      <c r="O2691" s="29">
        <f t="shared" ca="1" si="540"/>
        <v>0</v>
      </c>
      <c r="P2691" s="30">
        <f t="shared" ca="1" si="541"/>
        <v>0</v>
      </c>
    </row>
    <row r="2692" spans="1:16" x14ac:dyDescent="0.25">
      <c r="A2692" s="3">
        <f t="shared" si="542"/>
        <v>49880</v>
      </c>
      <c r="B2692" s="21">
        <f t="shared" si="533"/>
        <v>36731</v>
      </c>
      <c r="C2692" s="21">
        <f t="shared" si="534"/>
        <v>36789</v>
      </c>
      <c r="D2692" s="1">
        <f t="shared" si="543"/>
        <v>0</v>
      </c>
      <c r="E2692" s="3">
        <f t="array" ref="E2692">INDEX($A$9:A2691, MAX(IF($D$9:D2691=1, ROW(D$9:$D2691)-ROW($D$9)+1, 0)))</f>
        <v>49846</v>
      </c>
      <c r="F2692" s="23">
        <f t="shared" si="535"/>
        <v>10.28062970568104</v>
      </c>
      <c r="G2692" s="5">
        <f>INDEX('Default Prob'!$P$5:$P$14,MIN(1+_xlfn.IFNA(MATCH(F2692,'Default Prob'!$F$5:$F$14,1),0),COUNT('Default Prob'!$P$5:$P$14)))</f>
        <v>8.0322462664562722E-2</v>
      </c>
      <c r="H2692" s="5">
        <f t="shared" si="544"/>
        <v>0.68651286984454052</v>
      </c>
      <c r="I2692" s="24">
        <f t="shared" si="545"/>
        <v>1.5098827654935754E-4</v>
      </c>
      <c r="J2692" s="25">
        <f>INDEX('Default Prob'!$C$3:$C$13, _xlfn.IFNA(MATCH(F2692, 'Default Prob'!$B$3:$B$13, 1), 1))</f>
        <v>2.5600000000000001E-2</v>
      </c>
      <c r="K2692" s="26">
        <f t="shared" si="536"/>
        <v>0.77115045989814557</v>
      </c>
      <c r="L2692" s="27">
        <f t="shared" ca="1" si="537"/>
        <v>0</v>
      </c>
      <c r="M2692" s="27">
        <f t="shared" ca="1" si="538"/>
        <v>0</v>
      </c>
      <c r="N2692" s="28">
        <f t="shared" ca="1" si="539"/>
        <v>0</v>
      </c>
      <c r="O2692" s="29">
        <f t="shared" ca="1" si="540"/>
        <v>0</v>
      </c>
      <c r="P2692" s="30">
        <f t="shared" ca="1" si="541"/>
        <v>0</v>
      </c>
    </row>
    <row r="2693" spans="1:16" x14ac:dyDescent="0.25">
      <c r="A2693" s="3">
        <f t="shared" si="542"/>
        <v>49881</v>
      </c>
      <c r="B2693" s="21">
        <f t="shared" si="533"/>
        <v>36732</v>
      </c>
      <c r="C2693" s="21">
        <f t="shared" si="534"/>
        <v>36789</v>
      </c>
      <c r="D2693" s="1">
        <f t="shared" si="543"/>
        <v>0</v>
      </c>
      <c r="E2693" s="3">
        <f t="array" ref="E2693">INDEX($A$9:A2692, MAX(IF($D$9:D2692=1, ROW(D$9:$D2692)-ROW($D$9)+1, 0)))</f>
        <v>49846</v>
      </c>
      <c r="F2693" s="23">
        <f t="shared" si="535"/>
        <v>10.283367556468173</v>
      </c>
      <c r="G2693" s="5">
        <f>INDEX('Default Prob'!$P$5:$P$14,MIN(1+_xlfn.IFNA(MATCH(F2693,'Default Prob'!$F$5:$F$14,1),0),COUNT('Default Prob'!$P$5:$P$14)))</f>
        <v>8.0322462664562722E-2</v>
      </c>
      <c r="H2693" s="5">
        <f t="shared" si="544"/>
        <v>0.68636191476831077</v>
      </c>
      <c r="I2693" s="24">
        <f t="shared" si="545"/>
        <v>1.509550762297529E-4</v>
      </c>
      <c r="J2693" s="25">
        <f>INDEX('Default Prob'!$C$3:$C$13, _xlfn.IFNA(MATCH(F2693, 'Default Prob'!$B$3:$B$13, 1), 1))</f>
        <v>2.5600000000000001E-2</v>
      </c>
      <c r="K2693" s="26">
        <f t="shared" si="536"/>
        <v>0.77109709283961991</v>
      </c>
      <c r="L2693" s="27">
        <f t="shared" ca="1" si="537"/>
        <v>0</v>
      </c>
      <c r="M2693" s="27">
        <f t="shared" ca="1" si="538"/>
        <v>0</v>
      </c>
      <c r="N2693" s="28">
        <f t="shared" ca="1" si="539"/>
        <v>0</v>
      </c>
      <c r="O2693" s="29">
        <f t="shared" ca="1" si="540"/>
        <v>0</v>
      </c>
      <c r="P2693" s="30">
        <f t="shared" ca="1" si="541"/>
        <v>0</v>
      </c>
    </row>
    <row r="2694" spans="1:16" x14ac:dyDescent="0.25">
      <c r="A2694" s="3">
        <f t="shared" si="542"/>
        <v>49884</v>
      </c>
      <c r="B2694" s="21">
        <f t="shared" si="533"/>
        <v>36735</v>
      </c>
      <c r="C2694" s="21">
        <f t="shared" si="534"/>
        <v>36789</v>
      </c>
      <c r="D2694" s="1">
        <f t="shared" si="543"/>
        <v>0</v>
      </c>
      <c r="E2694" s="3">
        <f t="array" ref="E2694">INDEX($A$9:A2693, MAX(IF($D$9:D2693=1, ROW(D$9:$D2693)-ROW($D$9)+1, 0)))</f>
        <v>49846</v>
      </c>
      <c r="F2694" s="23">
        <f t="shared" si="535"/>
        <v>10.291581108829568</v>
      </c>
      <c r="G2694" s="5">
        <f>INDEX('Default Prob'!$P$5:$P$14,MIN(1+_xlfn.IFNA(MATCH(F2694,'Default Prob'!$F$5:$F$14,1),0),COUNT('Default Prob'!$P$5:$P$14)))</f>
        <v>8.0322462664562722E-2</v>
      </c>
      <c r="H2694" s="5">
        <f t="shared" si="544"/>
        <v>0.68590924866854519</v>
      </c>
      <c r="I2694" s="24">
        <f t="shared" si="545"/>
        <v>4.5266609976557515E-4</v>
      </c>
      <c r="J2694" s="25">
        <f>INDEX('Default Prob'!$C$3:$C$13, _xlfn.IFNA(MATCH(F2694, 'Default Prob'!$B$3:$B$13, 1), 1))</f>
        <v>2.5600000000000001E-2</v>
      </c>
      <c r="K2694" s="26">
        <f t="shared" si="536"/>
        <v>0.77093701382245461</v>
      </c>
      <c r="L2694" s="27">
        <f t="shared" ca="1" si="537"/>
        <v>0</v>
      </c>
      <c r="M2694" s="27">
        <f t="shared" ca="1" si="538"/>
        <v>0</v>
      </c>
      <c r="N2694" s="28">
        <f t="shared" ca="1" si="539"/>
        <v>0</v>
      </c>
      <c r="O2694" s="29">
        <f t="shared" ca="1" si="540"/>
        <v>0</v>
      </c>
      <c r="P2694" s="30">
        <f t="shared" ca="1" si="541"/>
        <v>0</v>
      </c>
    </row>
    <row r="2695" spans="1:16" x14ac:dyDescent="0.25">
      <c r="A2695" s="3">
        <f t="shared" si="542"/>
        <v>49885</v>
      </c>
      <c r="B2695" s="21">
        <f t="shared" si="533"/>
        <v>36736</v>
      </c>
      <c r="C2695" s="21">
        <f t="shared" si="534"/>
        <v>36789</v>
      </c>
      <c r="D2695" s="1">
        <f t="shared" si="543"/>
        <v>0</v>
      </c>
      <c r="E2695" s="3">
        <f t="array" ref="E2695">INDEX($A$9:A2694, MAX(IF($D$9:D2694=1, ROW(D$9:$D2694)-ROW($D$9)+1, 0)))</f>
        <v>49846</v>
      </c>
      <c r="F2695" s="23">
        <f t="shared" si="535"/>
        <v>10.294318959616701</v>
      </c>
      <c r="G2695" s="5">
        <f>INDEX('Default Prob'!$P$5:$P$14,MIN(1+_xlfn.IFNA(MATCH(F2695,'Default Prob'!$F$5:$F$14,1),0),COUNT('Default Prob'!$P$5:$P$14)))</f>
        <v>8.0322462664562722E-2</v>
      </c>
      <c r="H2695" s="5">
        <f t="shared" si="544"/>
        <v>0.68575842632060746</v>
      </c>
      <c r="I2695" s="24">
        <f t="shared" si="545"/>
        <v>1.5082234793772908E-4</v>
      </c>
      <c r="J2695" s="25">
        <f>INDEX('Default Prob'!$C$3:$C$13, _xlfn.IFNA(MATCH(F2695, 'Default Prob'!$B$3:$B$13, 1), 1))</f>
        <v>2.5600000000000001E-2</v>
      </c>
      <c r="K2695" s="26">
        <f t="shared" si="536"/>
        <v>0.77088366153535159</v>
      </c>
      <c r="L2695" s="27">
        <f t="shared" ca="1" si="537"/>
        <v>0</v>
      </c>
      <c r="M2695" s="27">
        <f t="shared" ca="1" si="538"/>
        <v>0</v>
      </c>
      <c r="N2695" s="28">
        <f t="shared" ca="1" si="539"/>
        <v>0</v>
      </c>
      <c r="O2695" s="29">
        <f t="shared" ca="1" si="540"/>
        <v>0</v>
      </c>
      <c r="P2695" s="30">
        <f t="shared" ca="1" si="541"/>
        <v>0</v>
      </c>
    </row>
    <row r="2696" spans="1:16" x14ac:dyDescent="0.25">
      <c r="A2696" s="3">
        <f t="shared" si="542"/>
        <v>49886</v>
      </c>
      <c r="B2696" s="21">
        <f t="shared" si="533"/>
        <v>36737</v>
      </c>
      <c r="C2696" s="21">
        <f t="shared" si="534"/>
        <v>36789</v>
      </c>
      <c r="D2696" s="1">
        <f t="shared" si="543"/>
        <v>0</v>
      </c>
      <c r="E2696" s="3">
        <f t="array" ref="E2696">INDEX($A$9:A2695, MAX(IF($D$9:D2695=1, ROW(D$9:$D2695)-ROW($D$9)+1, 0)))</f>
        <v>49846</v>
      </c>
      <c r="F2696" s="23">
        <f t="shared" si="535"/>
        <v>10.297056810403832</v>
      </c>
      <c r="G2696" s="5">
        <f>INDEX('Default Prob'!$P$5:$P$14,MIN(1+_xlfn.IFNA(MATCH(F2696,'Default Prob'!$F$5:$F$14,1),0),COUNT('Default Prob'!$P$5:$P$14)))</f>
        <v>8.0322462664562722E-2</v>
      </c>
      <c r="H2696" s="5">
        <f t="shared" si="544"/>
        <v>0.68560763713650408</v>
      </c>
      <c r="I2696" s="24">
        <f t="shared" si="545"/>
        <v>1.5078918410338371E-4</v>
      </c>
      <c r="J2696" s="25">
        <f>INDEX('Default Prob'!$C$3:$C$13, _xlfn.IFNA(MATCH(F2696, 'Default Prob'!$B$3:$B$13, 1), 1))</f>
        <v>2.5600000000000001E-2</v>
      </c>
      <c r="K2696" s="26">
        <f t="shared" si="536"/>
        <v>0.77083031294046511</v>
      </c>
      <c r="L2696" s="27">
        <f t="shared" ca="1" si="537"/>
        <v>0</v>
      </c>
      <c r="M2696" s="27">
        <f t="shared" ca="1" si="538"/>
        <v>0</v>
      </c>
      <c r="N2696" s="28">
        <f t="shared" ca="1" si="539"/>
        <v>0</v>
      </c>
      <c r="O2696" s="29">
        <f t="shared" ca="1" si="540"/>
        <v>0</v>
      </c>
      <c r="P2696" s="30">
        <f t="shared" ca="1" si="541"/>
        <v>0</v>
      </c>
    </row>
    <row r="2697" spans="1:16" x14ac:dyDescent="0.25">
      <c r="A2697" s="3">
        <f t="shared" si="542"/>
        <v>49887</v>
      </c>
      <c r="B2697" s="21">
        <f t="shared" ref="B2697:B2760" si="546">DATE(2000, MONTH(A2697), DAY(A2697))</f>
        <v>36738</v>
      </c>
      <c r="C2697" s="21">
        <f t="shared" ref="C2697:C2760" si="547">VLOOKUP(B2697, $R$9:$S$13, 2)</f>
        <v>36789</v>
      </c>
      <c r="D2697" s="1">
        <f t="shared" si="543"/>
        <v>0</v>
      </c>
      <c r="E2697" s="3">
        <f t="array" ref="E2697">INDEX($A$9:A2696, MAX(IF($D$9:D2696=1, ROW(D$9:$D2696)-ROW($D$9)+1, 0)))</f>
        <v>49846</v>
      </c>
      <c r="F2697" s="23">
        <f t="shared" ref="F2697:F2760" si="548">(A2697-$A$2)/365.25</f>
        <v>10.299794661190965</v>
      </c>
      <c r="G2697" s="5">
        <f>INDEX('Default Prob'!$P$5:$P$14,MIN(1+_xlfn.IFNA(MATCH(F2697,'Default Prob'!$F$5:$F$14,1),0),COUNT('Default Prob'!$P$5:$P$14)))</f>
        <v>8.0322462664562722E-2</v>
      </c>
      <c r="H2697" s="5">
        <f t="shared" si="544"/>
        <v>0.68545688110894254</v>
      </c>
      <c r="I2697" s="24">
        <f t="shared" si="545"/>
        <v>1.5075602756153827E-4</v>
      </c>
      <c r="J2697" s="25">
        <f>INDEX('Default Prob'!$C$3:$C$13, _xlfn.IFNA(MATCH(F2697, 'Default Prob'!$B$3:$B$13, 1), 1))</f>
        <v>2.5600000000000001E-2</v>
      </c>
      <c r="K2697" s="26">
        <f t="shared" ref="K2697:K2760" si="549">1/((1+J2697)^F2697)</f>
        <v>0.77077696803753981</v>
      </c>
      <c r="L2697" s="27">
        <f t="shared" ref="L2697:L2760" ca="1" si="550">IF(AND(D2697, A2697 &lt;= $G$2), $D$5*$D$2*(A2697-E2697)/365.25, 0)</f>
        <v>0</v>
      </c>
      <c r="M2697" s="27">
        <f t="shared" ref="M2697:M2760" ca="1" si="551">IF(A2697&lt;=$G$2, $D$5*$D$2*(A2697-E2697)/365.25, 0)</f>
        <v>0</v>
      </c>
      <c r="N2697" s="28">
        <f t="shared" ref="N2697:N2760" ca="1" si="552">(L2697*H2697 + M2697*I2697) * K2697</f>
        <v>0</v>
      </c>
      <c r="O2697" s="29">
        <f t="shared" ref="O2697:O2760" ca="1" si="553">IF(A2697&lt;=$G$2, $D$2*(1-$D$3), 0)</f>
        <v>0</v>
      </c>
      <c r="P2697" s="30">
        <f t="shared" ref="P2697:P2760" ca="1" si="554">O2697*I2697*K2697</f>
        <v>0</v>
      </c>
    </row>
    <row r="2698" spans="1:16" x14ac:dyDescent="0.25">
      <c r="A2698" s="3">
        <f t="shared" ref="A2698:A2761" si="555">WORKDAY(A2697, 1)</f>
        <v>49888</v>
      </c>
      <c r="B2698" s="21">
        <f t="shared" si="546"/>
        <v>36739</v>
      </c>
      <c r="C2698" s="21">
        <f t="shared" si="547"/>
        <v>36789</v>
      </c>
      <c r="D2698" s="1">
        <f t="shared" ref="D2698:D2761" si="556">IF(OR(C2698=B2698, AND(C2698&lt;&gt;C2697, C2697&gt;B2697)), 1, 0)</f>
        <v>0</v>
      </c>
      <c r="E2698" s="3">
        <f t="array" ref="E2698">INDEX($A$9:A2697, MAX(IF($D$9:D2697=1, ROW(D$9:$D2697)-ROW($D$9)+1, 0)))</f>
        <v>49846</v>
      </c>
      <c r="F2698" s="23">
        <f t="shared" si="548"/>
        <v>10.302532511978097</v>
      </c>
      <c r="G2698" s="5">
        <f>INDEX('Default Prob'!$P$5:$P$14,MIN(1+_xlfn.IFNA(MATCH(F2698,'Default Prob'!$F$5:$F$14,1),0),COUNT('Default Prob'!$P$5:$P$14)))</f>
        <v>8.0322462664562722E-2</v>
      </c>
      <c r="H2698" s="5">
        <f t="shared" ref="H2698:H2761" si="557">H2697*EXP(-G2697*(F2698-F2697))</f>
        <v>0.68530615823063235</v>
      </c>
      <c r="I2698" s="24">
        <f t="shared" ref="I2698:I2761" si="558">H2697-H2698</f>
        <v>1.5072287831019437E-4</v>
      </c>
      <c r="J2698" s="25">
        <f>INDEX('Default Prob'!$C$3:$C$13, _xlfn.IFNA(MATCH(F2698, 'Default Prob'!$B$3:$B$13, 1), 1))</f>
        <v>2.5600000000000001E-2</v>
      </c>
      <c r="K2698" s="26">
        <f t="shared" si="549"/>
        <v>0.77072362682632034</v>
      </c>
      <c r="L2698" s="27">
        <f t="shared" ca="1" si="550"/>
        <v>0</v>
      </c>
      <c r="M2698" s="27">
        <f t="shared" ca="1" si="551"/>
        <v>0</v>
      </c>
      <c r="N2698" s="28">
        <f t="shared" ca="1" si="552"/>
        <v>0</v>
      </c>
      <c r="O2698" s="29">
        <f t="shared" ca="1" si="553"/>
        <v>0</v>
      </c>
      <c r="P2698" s="30">
        <f t="shared" ca="1" si="554"/>
        <v>0</v>
      </c>
    </row>
    <row r="2699" spans="1:16" x14ac:dyDescent="0.25">
      <c r="A2699" s="3">
        <f t="shared" si="555"/>
        <v>49891</v>
      </c>
      <c r="B2699" s="21">
        <f t="shared" si="546"/>
        <v>36742</v>
      </c>
      <c r="C2699" s="21">
        <f t="shared" si="547"/>
        <v>36789</v>
      </c>
      <c r="D2699" s="1">
        <f t="shared" si="556"/>
        <v>0</v>
      </c>
      <c r="E2699" s="3">
        <f t="array" ref="E2699">INDEX($A$9:A2698, MAX(IF($D$9:D2698=1, ROW(D$9:$D2698)-ROW($D$9)+1, 0)))</f>
        <v>49846</v>
      </c>
      <c r="F2699" s="23">
        <f t="shared" si="548"/>
        <v>10.310746064339494</v>
      </c>
      <c r="G2699" s="5">
        <f>INDEX('Default Prob'!$P$5:$P$14,MIN(1+_xlfn.IFNA(MATCH(F2699,'Default Prob'!$F$5:$F$14,1),0),COUNT('Default Prob'!$P$5:$P$14)))</f>
        <v>8.0322462664562722E-2</v>
      </c>
      <c r="H2699" s="5">
        <f t="shared" si="557"/>
        <v>0.68485418841832668</v>
      </c>
      <c r="I2699" s="24">
        <f t="shared" si="558"/>
        <v>4.5196981230566369E-4</v>
      </c>
      <c r="J2699" s="25">
        <f>INDEX('Default Prob'!$C$3:$C$13, _xlfn.IFNA(MATCH(F2699, 'Default Prob'!$B$3:$B$13, 1), 1))</f>
        <v>2.5600000000000001E-2</v>
      </c>
      <c r="K2699" s="26">
        <f t="shared" si="549"/>
        <v>0.7705636253403414</v>
      </c>
      <c r="L2699" s="27">
        <f t="shared" ca="1" si="550"/>
        <v>0</v>
      </c>
      <c r="M2699" s="27">
        <f t="shared" ca="1" si="551"/>
        <v>0</v>
      </c>
      <c r="N2699" s="28">
        <f t="shared" ca="1" si="552"/>
        <v>0</v>
      </c>
      <c r="O2699" s="29">
        <f t="shared" ca="1" si="553"/>
        <v>0</v>
      </c>
      <c r="P2699" s="30">
        <f t="shared" ca="1" si="554"/>
        <v>0</v>
      </c>
    </row>
    <row r="2700" spans="1:16" x14ac:dyDescent="0.25">
      <c r="A2700" s="3">
        <f t="shared" si="555"/>
        <v>49892</v>
      </c>
      <c r="B2700" s="21">
        <f t="shared" si="546"/>
        <v>36743</v>
      </c>
      <c r="C2700" s="21">
        <f t="shared" si="547"/>
        <v>36789</v>
      </c>
      <c r="D2700" s="1">
        <f t="shared" si="556"/>
        <v>0</v>
      </c>
      <c r="E2700" s="3">
        <f t="array" ref="E2700">INDEX($A$9:A2699, MAX(IF($D$9:D2699=1, ROW(D$9:$D2699)-ROW($D$9)+1, 0)))</f>
        <v>49846</v>
      </c>
      <c r="F2700" s="23">
        <f t="shared" si="548"/>
        <v>10.313483915126625</v>
      </c>
      <c r="G2700" s="5">
        <f>INDEX('Default Prob'!$P$5:$P$14,MIN(1+_xlfn.IFNA(MATCH(F2700,'Default Prob'!$F$5:$F$14,1),0),COUNT('Default Prob'!$P$5:$P$14)))</f>
        <v>8.0322462664562722E-2</v>
      </c>
      <c r="H2700" s="5">
        <f t="shared" si="557"/>
        <v>0.68470359806414682</v>
      </c>
      <c r="I2700" s="24">
        <f t="shared" si="558"/>
        <v>1.5059035417985811E-4</v>
      </c>
      <c r="J2700" s="25">
        <f>INDEX('Default Prob'!$C$3:$C$13, _xlfn.IFNA(MATCH(F2700, 'Default Prob'!$B$3:$B$13, 1), 1))</f>
        <v>2.5600000000000001E-2</v>
      </c>
      <c r="K2700" s="26">
        <f t="shared" si="549"/>
        <v>0.77051029889338996</v>
      </c>
      <c r="L2700" s="27">
        <f t="shared" ca="1" si="550"/>
        <v>0</v>
      </c>
      <c r="M2700" s="27">
        <f t="shared" ca="1" si="551"/>
        <v>0</v>
      </c>
      <c r="N2700" s="28">
        <f t="shared" ca="1" si="552"/>
        <v>0</v>
      </c>
      <c r="O2700" s="29">
        <f t="shared" ca="1" si="553"/>
        <v>0</v>
      </c>
      <c r="P2700" s="30">
        <f t="shared" ca="1" si="554"/>
        <v>0</v>
      </c>
    </row>
    <row r="2701" spans="1:16" x14ac:dyDescent="0.25">
      <c r="A2701" s="3">
        <f t="shared" si="555"/>
        <v>49893</v>
      </c>
      <c r="B2701" s="21">
        <f t="shared" si="546"/>
        <v>36744</v>
      </c>
      <c r="C2701" s="21">
        <f t="shared" si="547"/>
        <v>36789</v>
      </c>
      <c r="D2701" s="1">
        <f t="shared" si="556"/>
        <v>0</v>
      </c>
      <c r="E2701" s="3">
        <f t="array" ref="E2701">INDEX($A$9:A2700, MAX(IF($D$9:D2700=1, ROW(D$9:$D2700)-ROW($D$9)+1, 0)))</f>
        <v>49846</v>
      </c>
      <c r="F2701" s="23">
        <f t="shared" si="548"/>
        <v>10.316221765913758</v>
      </c>
      <c r="G2701" s="5">
        <f>INDEX('Default Prob'!$P$5:$P$14,MIN(1+_xlfn.IFNA(MATCH(F2701,'Default Prob'!$F$5:$F$14,1),0),COUNT('Default Prob'!$P$5:$P$14)))</f>
        <v>8.0322462664562722E-2</v>
      </c>
      <c r="H2701" s="5">
        <f t="shared" si="557"/>
        <v>0.68455304082278889</v>
      </c>
      <c r="I2701" s="24">
        <f t="shared" si="558"/>
        <v>1.5055724135792925E-4</v>
      </c>
      <c r="J2701" s="25">
        <f>INDEX('Default Prob'!$C$3:$C$13, _xlfn.IFNA(MATCH(F2701, 'Default Prob'!$B$3:$B$13, 1), 1))</f>
        <v>2.5600000000000001E-2</v>
      </c>
      <c r="K2701" s="26">
        <f t="shared" si="549"/>
        <v>0.77045697613686726</v>
      </c>
      <c r="L2701" s="27">
        <f t="shared" ca="1" si="550"/>
        <v>0</v>
      </c>
      <c r="M2701" s="27">
        <f t="shared" ca="1" si="551"/>
        <v>0</v>
      </c>
      <c r="N2701" s="28">
        <f t="shared" ca="1" si="552"/>
        <v>0</v>
      </c>
      <c r="O2701" s="29">
        <f t="shared" ca="1" si="553"/>
        <v>0</v>
      </c>
      <c r="P2701" s="30">
        <f t="shared" ca="1" si="554"/>
        <v>0</v>
      </c>
    </row>
    <row r="2702" spans="1:16" x14ac:dyDescent="0.25">
      <c r="A2702" s="3">
        <f t="shared" si="555"/>
        <v>49894</v>
      </c>
      <c r="B2702" s="21">
        <f t="shared" si="546"/>
        <v>36745</v>
      </c>
      <c r="C2702" s="21">
        <f t="shared" si="547"/>
        <v>36789</v>
      </c>
      <c r="D2702" s="1">
        <f t="shared" si="556"/>
        <v>0</v>
      </c>
      <c r="E2702" s="3">
        <f t="array" ref="E2702">INDEX($A$9:A2701, MAX(IF($D$9:D2701=1, ROW(D$9:$D2701)-ROW($D$9)+1, 0)))</f>
        <v>49846</v>
      </c>
      <c r="F2702" s="23">
        <f t="shared" si="548"/>
        <v>10.318959616700889</v>
      </c>
      <c r="G2702" s="5">
        <f>INDEX('Default Prob'!$P$5:$P$14,MIN(1+_xlfn.IFNA(MATCH(F2702,'Default Prob'!$F$5:$F$14,1),0),COUNT('Default Prob'!$P$5:$P$14)))</f>
        <v>8.0322462664562722E-2</v>
      </c>
      <c r="H2702" s="5">
        <f t="shared" si="557"/>
        <v>0.68440251668697183</v>
      </c>
      <c r="I2702" s="24">
        <f t="shared" si="558"/>
        <v>1.5052413581706503E-4</v>
      </c>
      <c r="J2702" s="25">
        <f>INDEX('Default Prob'!$C$3:$C$13, _xlfn.IFNA(MATCH(F2702, 'Default Prob'!$B$3:$B$13, 1), 1))</f>
        <v>2.5600000000000001E-2</v>
      </c>
      <c r="K2702" s="26">
        <f t="shared" si="549"/>
        <v>0.77040365707051739</v>
      </c>
      <c r="L2702" s="27">
        <f t="shared" ca="1" si="550"/>
        <v>0</v>
      </c>
      <c r="M2702" s="27">
        <f t="shared" ca="1" si="551"/>
        <v>0</v>
      </c>
      <c r="N2702" s="28">
        <f t="shared" ca="1" si="552"/>
        <v>0</v>
      </c>
      <c r="O2702" s="29">
        <f t="shared" ca="1" si="553"/>
        <v>0</v>
      </c>
      <c r="P2702" s="30">
        <f t="shared" ca="1" si="554"/>
        <v>0</v>
      </c>
    </row>
    <row r="2703" spans="1:16" x14ac:dyDescent="0.25">
      <c r="A2703" s="3">
        <f t="shared" si="555"/>
        <v>49895</v>
      </c>
      <c r="B2703" s="21">
        <f t="shared" si="546"/>
        <v>36746</v>
      </c>
      <c r="C2703" s="21">
        <f t="shared" si="547"/>
        <v>36789</v>
      </c>
      <c r="D2703" s="1">
        <f t="shared" si="556"/>
        <v>0</v>
      </c>
      <c r="E2703" s="3">
        <f t="array" ref="E2703">INDEX($A$9:A2702, MAX(IF($D$9:D2702=1, ROW(D$9:$D2702)-ROW($D$9)+1, 0)))</f>
        <v>49846</v>
      </c>
      <c r="F2703" s="23">
        <f t="shared" si="548"/>
        <v>10.321697467488022</v>
      </c>
      <c r="G2703" s="5">
        <f>INDEX('Default Prob'!$P$5:$P$14,MIN(1+_xlfn.IFNA(MATCH(F2703,'Default Prob'!$F$5:$F$14,1),0),COUNT('Default Prob'!$P$5:$P$14)))</f>
        <v>8.0322462664562722E-2</v>
      </c>
      <c r="H2703" s="5">
        <f t="shared" si="557"/>
        <v>0.68425202564941601</v>
      </c>
      <c r="I2703" s="24">
        <f t="shared" si="558"/>
        <v>1.5049103755582216E-4</v>
      </c>
      <c r="J2703" s="25">
        <f>INDEX('Default Prob'!$C$3:$C$13, _xlfn.IFNA(MATCH(F2703, 'Default Prob'!$B$3:$B$13, 1), 1))</f>
        <v>2.5600000000000001E-2</v>
      </c>
      <c r="K2703" s="26">
        <f t="shared" si="549"/>
        <v>0.77035034169408534</v>
      </c>
      <c r="L2703" s="27">
        <f t="shared" ca="1" si="550"/>
        <v>0</v>
      </c>
      <c r="M2703" s="27">
        <f t="shared" ca="1" si="551"/>
        <v>0</v>
      </c>
      <c r="N2703" s="28">
        <f t="shared" ca="1" si="552"/>
        <v>0</v>
      </c>
      <c r="O2703" s="29">
        <f t="shared" ca="1" si="553"/>
        <v>0</v>
      </c>
      <c r="P2703" s="30">
        <f t="shared" ca="1" si="554"/>
        <v>0</v>
      </c>
    </row>
    <row r="2704" spans="1:16" x14ac:dyDescent="0.25">
      <c r="A2704" s="3">
        <f t="shared" si="555"/>
        <v>49898</v>
      </c>
      <c r="B2704" s="21">
        <f t="shared" si="546"/>
        <v>36749</v>
      </c>
      <c r="C2704" s="21">
        <f t="shared" si="547"/>
        <v>36789</v>
      </c>
      <c r="D2704" s="1">
        <f t="shared" si="556"/>
        <v>0</v>
      </c>
      <c r="E2704" s="3">
        <f t="array" ref="E2704">INDEX($A$9:A2703, MAX(IF($D$9:D2703=1, ROW(D$9:$D2703)-ROW($D$9)+1, 0)))</f>
        <v>49846</v>
      </c>
      <c r="F2704" s="23">
        <f t="shared" si="548"/>
        <v>10.329911019849419</v>
      </c>
      <c r="G2704" s="5">
        <f>INDEX('Default Prob'!$P$5:$P$14,MIN(1+_xlfn.IFNA(MATCH(F2704,'Default Prob'!$F$5:$F$14,1),0),COUNT('Default Prob'!$P$5:$P$14)))</f>
        <v>8.0322462664562722E-2</v>
      </c>
      <c r="H2704" s="5">
        <f t="shared" si="557"/>
        <v>0.68380075105354632</v>
      </c>
      <c r="I2704" s="24">
        <f t="shared" si="558"/>
        <v>4.5127459586968843E-4</v>
      </c>
      <c r="J2704" s="25">
        <f>INDEX('Default Prob'!$C$3:$C$13, _xlfn.IFNA(MATCH(F2704, 'Default Prob'!$B$3:$B$13, 1), 1))</f>
        <v>2.5600000000000001E-2</v>
      </c>
      <c r="K2704" s="26">
        <f t="shared" si="549"/>
        <v>0.7701904177017419</v>
      </c>
      <c r="L2704" s="27">
        <f t="shared" ca="1" si="550"/>
        <v>0</v>
      </c>
      <c r="M2704" s="27">
        <f t="shared" ca="1" si="551"/>
        <v>0</v>
      </c>
      <c r="N2704" s="28">
        <f t="shared" ca="1" si="552"/>
        <v>0</v>
      </c>
      <c r="O2704" s="29">
        <f t="shared" ca="1" si="553"/>
        <v>0</v>
      </c>
      <c r="P2704" s="30">
        <f t="shared" ca="1" si="554"/>
        <v>0</v>
      </c>
    </row>
    <row r="2705" spans="1:16" x14ac:dyDescent="0.25">
      <c r="A2705" s="3">
        <f t="shared" si="555"/>
        <v>49899</v>
      </c>
      <c r="B2705" s="21">
        <f t="shared" si="546"/>
        <v>36750</v>
      </c>
      <c r="C2705" s="21">
        <f t="shared" si="547"/>
        <v>36789</v>
      </c>
      <c r="D2705" s="1">
        <f t="shared" si="556"/>
        <v>0</v>
      </c>
      <c r="E2705" s="3">
        <f t="array" ref="E2705">INDEX($A$9:A2704, MAX(IF($D$9:D2704=1, ROW(D$9:$D2704)-ROW($D$9)+1, 0)))</f>
        <v>49846</v>
      </c>
      <c r="F2705" s="23">
        <f t="shared" si="548"/>
        <v>10.33264887063655</v>
      </c>
      <c r="G2705" s="5">
        <f>INDEX('Default Prob'!$P$5:$P$14,MIN(1+_xlfn.IFNA(MATCH(F2705,'Default Prob'!$F$5:$F$14,1),0),COUNT('Default Prob'!$P$5:$P$14)))</f>
        <v>8.0322462664562722E-2</v>
      </c>
      <c r="H2705" s="5">
        <f t="shared" si="557"/>
        <v>0.68365039233627345</v>
      </c>
      <c r="I2705" s="24">
        <f t="shared" si="558"/>
        <v>1.5035871727286931E-4</v>
      </c>
      <c r="J2705" s="25">
        <f>INDEX('Default Prob'!$C$3:$C$13, _xlfn.IFNA(MATCH(F2705, 'Default Prob'!$B$3:$B$13, 1), 1))</f>
        <v>2.5600000000000001E-2</v>
      </c>
      <c r="K2705" s="26">
        <f t="shared" si="549"/>
        <v>0.77013711708242727</v>
      </c>
      <c r="L2705" s="27">
        <f t="shared" ca="1" si="550"/>
        <v>0</v>
      </c>
      <c r="M2705" s="27">
        <f t="shared" ca="1" si="551"/>
        <v>0</v>
      </c>
      <c r="N2705" s="28">
        <f t="shared" ca="1" si="552"/>
        <v>0</v>
      </c>
      <c r="O2705" s="29">
        <f t="shared" ca="1" si="553"/>
        <v>0</v>
      </c>
      <c r="P2705" s="30">
        <f t="shared" ca="1" si="554"/>
        <v>0</v>
      </c>
    </row>
    <row r="2706" spans="1:16" x14ac:dyDescent="0.25">
      <c r="A2706" s="3">
        <f t="shared" si="555"/>
        <v>49900</v>
      </c>
      <c r="B2706" s="21">
        <f t="shared" si="546"/>
        <v>36751</v>
      </c>
      <c r="C2706" s="21">
        <f t="shared" si="547"/>
        <v>36789</v>
      </c>
      <c r="D2706" s="1">
        <f t="shared" si="556"/>
        <v>0</v>
      </c>
      <c r="E2706" s="3">
        <f t="array" ref="E2706">INDEX($A$9:A2705, MAX(IF($D$9:D2705=1, ROW(D$9:$D2705)-ROW($D$9)+1, 0)))</f>
        <v>49846</v>
      </c>
      <c r="F2706" s="23">
        <f t="shared" si="548"/>
        <v>10.335386721423683</v>
      </c>
      <c r="G2706" s="5">
        <f>INDEX('Default Prob'!$P$5:$P$14,MIN(1+_xlfn.IFNA(MATCH(F2706,'Default Prob'!$F$5:$F$14,1),0),COUNT('Default Prob'!$P$5:$P$14)))</f>
        <v>8.0322462664562722E-2</v>
      </c>
      <c r="H2706" s="5">
        <f t="shared" si="557"/>
        <v>0.68350006668088847</v>
      </c>
      <c r="I2706" s="24">
        <f t="shared" si="558"/>
        <v>1.5032565538497522E-4</v>
      </c>
      <c r="J2706" s="25">
        <f>INDEX('Default Prob'!$C$3:$C$13, _xlfn.IFNA(MATCH(F2706, 'Default Prob'!$B$3:$B$13, 1), 1))</f>
        <v>2.5600000000000001E-2</v>
      </c>
      <c r="K2706" s="26">
        <f t="shared" si="549"/>
        <v>0.7700838201517537</v>
      </c>
      <c r="L2706" s="27">
        <f t="shared" ca="1" si="550"/>
        <v>0</v>
      </c>
      <c r="M2706" s="27">
        <f t="shared" ca="1" si="551"/>
        <v>0</v>
      </c>
      <c r="N2706" s="28">
        <f t="shared" ca="1" si="552"/>
        <v>0</v>
      </c>
      <c r="O2706" s="29">
        <f t="shared" ca="1" si="553"/>
        <v>0</v>
      </c>
      <c r="P2706" s="30">
        <f t="shared" ca="1" si="554"/>
        <v>0</v>
      </c>
    </row>
    <row r="2707" spans="1:16" x14ac:dyDescent="0.25">
      <c r="A2707" s="3">
        <f t="shared" si="555"/>
        <v>49901</v>
      </c>
      <c r="B2707" s="21">
        <f t="shared" si="546"/>
        <v>36752</v>
      </c>
      <c r="C2707" s="21">
        <f t="shared" si="547"/>
        <v>36789</v>
      </c>
      <c r="D2707" s="1">
        <f t="shared" si="556"/>
        <v>0</v>
      </c>
      <c r="E2707" s="3">
        <f t="array" ref="E2707">INDEX($A$9:A2706, MAX(IF($D$9:D2706=1, ROW(D$9:$D2706)-ROW($D$9)+1, 0)))</f>
        <v>49846</v>
      </c>
      <c r="F2707" s="23">
        <f t="shared" si="548"/>
        <v>10.338124572210814</v>
      </c>
      <c r="G2707" s="5">
        <f>INDEX('Default Prob'!$P$5:$P$14,MIN(1+_xlfn.IFNA(MATCH(F2707,'Default Prob'!$F$5:$F$14,1),0),COUNT('Default Prob'!$P$5:$P$14)))</f>
        <v>8.0322462664562722E-2</v>
      </c>
      <c r="H2707" s="5">
        <f t="shared" si="557"/>
        <v>0.68334977408012176</v>
      </c>
      <c r="I2707" s="24">
        <f t="shared" si="558"/>
        <v>1.5029260076671047E-4</v>
      </c>
      <c r="J2707" s="25">
        <f>INDEX('Default Prob'!$C$3:$C$13, _xlfn.IFNA(MATCH(F2707, 'Default Prob'!$B$3:$B$13, 1), 1))</f>
        <v>2.5600000000000001E-2</v>
      </c>
      <c r="K2707" s="26">
        <f t="shared" si="549"/>
        <v>0.77003052690946594</v>
      </c>
      <c r="L2707" s="27">
        <f t="shared" ca="1" si="550"/>
        <v>0</v>
      </c>
      <c r="M2707" s="27">
        <f t="shared" ca="1" si="551"/>
        <v>0</v>
      </c>
      <c r="N2707" s="28">
        <f t="shared" ca="1" si="552"/>
        <v>0</v>
      </c>
      <c r="O2707" s="29">
        <f t="shared" ca="1" si="553"/>
        <v>0</v>
      </c>
      <c r="P2707" s="30">
        <f t="shared" ca="1" si="554"/>
        <v>0</v>
      </c>
    </row>
    <row r="2708" spans="1:16" x14ac:dyDescent="0.25">
      <c r="A2708" s="3">
        <f t="shared" si="555"/>
        <v>49902</v>
      </c>
      <c r="B2708" s="21">
        <f t="shared" si="546"/>
        <v>36753</v>
      </c>
      <c r="C2708" s="21">
        <f t="shared" si="547"/>
        <v>36789</v>
      </c>
      <c r="D2708" s="1">
        <f t="shared" si="556"/>
        <v>0</v>
      </c>
      <c r="E2708" s="3">
        <f t="array" ref="E2708">INDEX($A$9:A2707, MAX(IF($D$9:D2707=1, ROW(D$9:$D2707)-ROW($D$9)+1, 0)))</f>
        <v>49846</v>
      </c>
      <c r="F2708" s="23">
        <f t="shared" si="548"/>
        <v>10.340862422997947</v>
      </c>
      <c r="G2708" s="5">
        <f>INDEX('Default Prob'!$P$5:$P$14,MIN(1+_xlfn.IFNA(MATCH(F2708,'Default Prob'!$F$5:$F$14,1),0),COUNT('Default Prob'!$P$5:$P$14)))</f>
        <v>8.0322462664562722E-2</v>
      </c>
      <c r="H2708" s="5">
        <f t="shared" si="557"/>
        <v>0.6831995145267048</v>
      </c>
      <c r="I2708" s="24">
        <f t="shared" si="558"/>
        <v>1.5025955341696484E-4</v>
      </c>
      <c r="J2708" s="25">
        <f>INDEX('Default Prob'!$C$3:$C$13, _xlfn.IFNA(MATCH(F2708, 'Default Prob'!$B$3:$B$13, 1), 1))</f>
        <v>2.5600000000000001E-2</v>
      </c>
      <c r="K2708" s="26">
        <f t="shared" si="549"/>
        <v>0.76997723735530865</v>
      </c>
      <c r="L2708" s="27">
        <f t="shared" ca="1" si="550"/>
        <v>0</v>
      </c>
      <c r="M2708" s="27">
        <f t="shared" ca="1" si="551"/>
        <v>0</v>
      </c>
      <c r="N2708" s="28">
        <f t="shared" ca="1" si="552"/>
        <v>0</v>
      </c>
      <c r="O2708" s="29">
        <f t="shared" ca="1" si="553"/>
        <v>0</v>
      </c>
      <c r="P2708" s="30">
        <f t="shared" ca="1" si="554"/>
        <v>0</v>
      </c>
    </row>
    <row r="2709" spans="1:16" x14ac:dyDescent="0.25">
      <c r="A2709" s="3">
        <f t="shared" si="555"/>
        <v>49905</v>
      </c>
      <c r="B2709" s="21">
        <f t="shared" si="546"/>
        <v>36756</v>
      </c>
      <c r="C2709" s="21">
        <f t="shared" si="547"/>
        <v>36789</v>
      </c>
      <c r="D2709" s="1">
        <f t="shared" si="556"/>
        <v>0</v>
      </c>
      <c r="E2709" s="3">
        <f t="array" ref="E2709">INDEX($A$9:A2708, MAX(IF($D$9:D2708=1, ROW(D$9:$D2708)-ROW($D$9)+1, 0)))</f>
        <v>49846</v>
      </c>
      <c r="F2709" s="23">
        <f t="shared" si="548"/>
        <v>10.349075975359343</v>
      </c>
      <c r="G2709" s="5">
        <f>INDEX('Default Prob'!$P$5:$P$14,MIN(1+_xlfn.IFNA(MATCH(F2709,'Default Prob'!$F$5:$F$14,1),0),COUNT('Default Prob'!$P$5:$P$14)))</f>
        <v>8.0322462664562722E-2</v>
      </c>
      <c r="H2709" s="5">
        <f t="shared" si="557"/>
        <v>0.68274893407789461</v>
      </c>
      <c r="I2709" s="24">
        <f t="shared" si="558"/>
        <v>4.5058044881018944E-4</v>
      </c>
      <c r="J2709" s="25">
        <f>INDEX('Default Prob'!$C$3:$C$13, _xlfn.IFNA(MATCH(F2709, 'Default Prob'!$B$3:$B$13, 1), 1))</f>
        <v>2.5600000000000001E-2</v>
      </c>
      <c r="K2709" s="26">
        <f t="shared" si="549"/>
        <v>0.7698173908190683</v>
      </c>
      <c r="L2709" s="27">
        <f t="shared" ca="1" si="550"/>
        <v>0</v>
      </c>
      <c r="M2709" s="27">
        <f t="shared" ca="1" si="551"/>
        <v>0</v>
      </c>
      <c r="N2709" s="28">
        <f t="shared" ca="1" si="552"/>
        <v>0</v>
      </c>
      <c r="O2709" s="29">
        <f t="shared" ca="1" si="553"/>
        <v>0</v>
      </c>
      <c r="P2709" s="30">
        <f t="shared" ca="1" si="554"/>
        <v>0</v>
      </c>
    </row>
    <row r="2710" spans="1:16" x14ac:dyDescent="0.25">
      <c r="A2710" s="3">
        <f t="shared" si="555"/>
        <v>49906</v>
      </c>
      <c r="B2710" s="21">
        <f t="shared" si="546"/>
        <v>36757</v>
      </c>
      <c r="C2710" s="21">
        <f t="shared" si="547"/>
        <v>36789</v>
      </c>
      <c r="D2710" s="1">
        <f t="shared" si="556"/>
        <v>0</v>
      </c>
      <c r="E2710" s="3">
        <f t="array" ref="E2710">INDEX($A$9:A2709, MAX(IF($D$9:D2709=1, ROW(D$9:$D2709)-ROW($D$9)+1, 0)))</f>
        <v>49846</v>
      </c>
      <c r="F2710" s="23">
        <f t="shared" si="548"/>
        <v>10.351813826146476</v>
      </c>
      <c r="G2710" s="5">
        <f>INDEX('Default Prob'!$P$5:$P$14,MIN(1+_xlfn.IFNA(MATCH(F2710,'Default Prob'!$F$5:$F$14,1),0),COUNT('Default Prob'!$P$5:$P$14)))</f>
        <v>8.0322462664562722E-2</v>
      </c>
      <c r="H2710" s="5">
        <f t="shared" si="557"/>
        <v>0.68259880664122641</v>
      </c>
      <c r="I2710" s="24">
        <f t="shared" si="558"/>
        <v>1.501274366682015E-4</v>
      </c>
      <c r="J2710" s="25">
        <f>INDEX('Default Prob'!$C$3:$C$13, _xlfn.IFNA(MATCH(F2710, 'Default Prob'!$B$3:$B$13, 1), 1))</f>
        <v>2.5600000000000001E-2</v>
      </c>
      <c r="K2710" s="26">
        <f t="shared" si="549"/>
        <v>0.76976411601488126</v>
      </c>
      <c r="L2710" s="27">
        <f t="shared" ca="1" si="550"/>
        <v>0</v>
      </c>
      <c r="M2710" s="27">
        <f t="shared" ca="1" si="551"/>
        <v>0</v>
      </c>
      <c r="N2710" s="28">
        <f t="shared" ca="1" si="552"/>
        <v>0</v>
      </c>
      <c r="O2710" s="29">
        <f t="shared" ca="1" si="553"/>
        <v>0</v>
      </c>
      <c r="P2710" s="30">
        <f t="shared" ca="1" si="554"/>
        <v>0</v>
      </c>
    </row>
    <row r="2711" spans="1:16" x14ac:dyDescent="0.25">
      <c r="A2711" s="3">
        <f t="shared" si="555"/>
        <v>49907</v>
      </c>
      <c r="B2711" s="21">
        <f t="shared" si="546"/>
        <v>36758</v>
      </c>
      <c r="C2711" s="21">
        <f t="shared" si="547"/>
        <v>36789</v>
      </c>
      <c r="D2711" s="1">
        <f t="shared" si="556"/>
        <v>0</v>
      </c>
      <c r="E2711" s="3">
        <f t="array" ref="E2711">INDEX($A$9:A2710, MAX(IF($D$9:D2710=1, ROW(D$9:$D2710)-ROW($D$9)+1, 0)))</f>
        <v>49846</v>
      </c>
      <c r="F2711" s="23">
        <f t="shared" si="548"/>
        <v>10.354551676933607</v>
      </c>
      <c r="G2711" s="5">
        <f>INDEX('Default Prob'!$P$5:$P$14,MIN(1+_xlfn.IFNA(MATCH(F2711,'Default Prob'!$F$5:$F$14,1),0),COUNT('Default Prob'!$P$5:$P$14)))</f>
        <v>8.0322462664562722E-2</v>
      </c>
      <c r="H2711" s="5">
        <f t="shared" si="557"/>
        <v>0.68244871221559078</v>
      </c>
      <c r="I2711" s="24">
        <f t="shared" si="558"/>
        <v>1.5009442563562736E-4</v>
      </c>
      <c r="J2711" s="25">
        <f>INDEX('Default Prob'!$C$3:$C$13, _xlfn.IFNA(MATCH(F2711, 'Default Prob'!$B$3:$B$13, 1), 1))</f>
        <v>2.5600000000000001E-2</v>
      </c>
      <c r="K2711" s="26">
        <f t="shared" si="549"/>
        <v>0.76971084489754871</v>
      </c>
      <c r="L2711" s="27">
        <f t="shared" ca="1" si="550"/>
        <v>0</v>
      </c>
      <c r="M2711" s="27">
        <f t="shared" ca="1" si="551"/>
        <v>0</v>
      </c>
      <c r="N2711" s="28">
        <f t="shared" ca="1" si="552"/>
        <v>0</v>
      </c>
      <c r="O2711" s="29">
        <f t="shared" ca="1" si="553"/>
        <v>0</v>
      </c>
      <c r="P2711" s="30">
        <f t="shared" ca="1" si="554"/>
        <v>0</v>
      </c>
    </row>
    <row r="2712" spans="1:16" x14ac:dyDescent="0.25">
      <c r="A2712" s="3">
        <f t="shared" si="555"/>
        <v>49908</v>
      </c>
      <c r="B2712" s="21">
        <f t="shared" si="546"/>
        <v>36759</v>
      </c>
      <c r="C2712" s="21">
        <f t="shared" si="547"/>
        <v>36789</v>
      </c>
      <c r="D2712" s="1">
        <f t="shared" si="556"/>
        <v>0</v>
      </c>
      <c r="E2712" s="3">
        <f t="array" ref="E2712">INDEX($A$9:A2711, MAX(IF($D$9:D2711=1, ROW(D$9:$D2711)-ROW($D$9)+1, 0)))</f>
        <v>49846</v>
      </c>
      <c r="F2712" s="23">
        <f t="shared" si="548"/>
        <v>10.35728952772074</v>
      </c>
      <c r="G2712" s="5">
        <f>INDEX('Default Prob'!$P$5:$P$14,MIN(1+_xlfn.IFNA(MATCH(F2712,'Default Prob'!$F$5:$F$14,1),0),COUNT('Default Prob'!$P$5:$P$14)))</f>
        <v>8.0322462664562722E-2</v>
      </c>
      <c r="H2712" s="5">
        <f t="shared" si="557"/>
        <v>0.68229865079372887</v>
      </c>
      <c r="I2712" s="24">
        <f t="shared" si="558"/>
        <v>1.500614218619134E-4</v>
      </c>
      <c r="J2712" s="25">
        <f>INDEX('Default Prob'!$C$3:$C$13, _xlfn.IFNA(MATCH(F2712, 'Default Prob'!$B$3:$B$13, 1), 1))</f>
        <v>2.5600000000000001E-2</v>
      </c>
      <c r="K2712" s="26">
        <f t="shared" si="549"/>
        <v>0.76965757746681551</v>
      </c>
      <c r="L2712" s="27">
        <f t="shared" ca="1" si="550"/>
        <v>0</v>
      </c>
      <c r="M2712" s="27">
        <f t="shared" ca="1" si="551"/>
        <v>0</v>
      </c>
      <c r="N2712" s="28">
        <f t="shared" ca="1" si="552"/>
        <v>0</v>
      </c>
      <c r="O2712" s="29">
        <f t="shared" ca="1" si="553"/>
        <v>0</v>
      </c>
      <c r="P2712" s="30">
        <f t="shared" ca="1" si="554"/>
        <v>0</v>
      </c>
    </row>
    <row r="2713" spans="1:16" x14ac:dyDescent="0.25">
      <c r="A2713" s="3">
        <f t="shared" si="555"/>
        <v>49909</v>
      </c>
      <c r="B2713" s="21">
        <f t="shared" si="546"/>
        <v>36760</v>
      </c>
      <c r="C2713" s="21">
        <f t="shared" si="547"/>
        <v>36789</v>
      </c>
      <c r="D2713" s="1">
        <f t="shared" si="556"/>
        <v>0</v>
      </c>
      <c r="E2713" s="3">
        <f t="array" ref="E2713">INDEX($A$9:A2712, MAX(IF($D$9:D2712=1, ROW(D$9:$D2712)-ROW($D$9)+1, 0)))</f>
        <v>49846</v>
      </c>
      <c r="F2713" s="23">
        <f t="shared" si="548"/>
        <v>10.360027378507871</v>
      </c>
      <c r="G2713" s="5">
        <f>INDEX('Default Prob'!$P$5:$P$14,MIN(1+_xlfn.IFNA(MATCH(F2713,'Default Prob'!$F$5:$F$14,1),0),COUNT('Default Prob'!$P$5:$P$14)))</f>
        <v>8.0322462664562722E-2</v>
      </c>
      <c r="H2713" s="5">
        <f t="shared" si="557"/>
        <v>0.68214862236838369</v>
      </c>
      <c r="I2713" s="24">
        <f t="shared" si="558"/>
        <v>1.5002842534517224E-4</v>
      </c>
      <c r="J2713" s="25">
        <f>INDEX('Default Prob'!$C$3:$C$13, _xlfn.IFNA(MATCH(F2713, 'Default Prob'!$B$3:$B$13, 1), 1))</f>
        <v>2.5600000000000001E-2</v>
      </c>
      <c r="K2713" s="26">
        <f t="shared" si="549"/>
        <v>0.76960431372242677</v>
      </c>
      <c r="L2713" s="27">
        <f t="shared" ca="1" si="550"/>
        <v>0</v>
      </c>
      <c r="M2713" s="27">
        <f t="shared" ca="1" si="551"/>
        <v>0</v>
      </c>
      <c r="N2713" s="28">
        <f t="shared" ca="1" si="552"/>
        <v>0</v>
      </c>
      <c r="O2713" s="29">
        <f t="shared" ca="1" si="553"/>
        <v>0</v>
      </c>
      <c r="P2713" s="30">
        <f t="shared" ca="1" si="554"/>
        <v>0</v>
      </c>
    </row>
    <row r="2714" spans="1:16" x14ac:dyDescent="0.25">
      <c r="A2714" s="3">
        <f t="shared" si="555"/>
        <v>49912</v>
      </c>
      <c r="B2714" s="21">
        <f t="shared" si="546"/>
        <v>36763</v>
      </c>
      <c r="C2714" s="21">
        <f t="shared" si="547"/>
        <v>36789</v>
      </c>
      <c r="D2714" s="1">
        <f t="shared" si="556"/>
        <v>0</v>
      </c>
      <c r="E2714" s="3">
        <f t="array" ref="E2714">INDEX($A$9:A2713, MAX(IF($D$9:D2713=1, ROW(D$9:$D2713)-ROW($D$9)+1, 0)))</f>
        <v>49846</v>
      </c>
      <c r="F2714" s="23">
        <f t="shared" si="548"/>
        <v>10.368240930869268</v>
      </c>
      <c r="G2714" s="5">
        <f>INDEX('Default Prob'!$P$5:$P$14,MIN(1+_xlfn.IFNA(MATCH(F2714,'Default Prob'!$F$5:$F$14,1),0),COUNT('Default Prob'!$P$5:$P$14)))</f>
        <v>8.0322462664562722E-2</v>
      </c>
      <c r="H2714" s="5">
        <f t="shared" si="557"/>
        <v>0.68169873499890132</v>
      </c>
      <c r="I2714" s="24">
        <f t="shared" si="558"/>
        <v>4.4988736948237129E-4</v>
      </c>
      <c r="J2714" s="25">
        <f>INDEX('Default Prob'!$C$3:$C$13, _xlfn.IFNA(MATCH(F2714, 'Default Prob'!$B$3:$B$13, 1), 1))</f>
        <v>2.5600000000000001E-2</v>
      </c>
      <c r="K2714" s="26">
        <f t="shared" si="549"/>
        <v>0.76944454460477485</v>
      </c>
      <c r="L2714" s="27">
        <f t="shared" ca="1" si="550"/>
        <v>0</v>
      </c>
      <c r="M2714" s="27">
        <f t="shared" ca="1" si="551"/>
        <v>0</v>
      </c>
      <c r="N2714" s="28">
        <f t="shared" ca="1" si="552"/>
        <v>0</v>
      </c>
      <c r="O2714" s="29">
        <f t="shared" ca="1" si="553"/>
        <v>0</v>
      </c>
      <c r="P2714" s="30">
        <f t="shared" ca="1" si="554"/>
        <v>0</v>
      </c>
    </row>
    <row r="2715" spans="1:16" x14ac:dyDescent="0.25">
      <c r="A2715" s="3">
        <f t="shared" si="555"/>
        <v>49913</v>
      </c>
      <c r="B2715" s="21">
        <f t="shared" si="546"/>
        <v>36764</v>
      </c>
      <c r="C2715" s="21">
        <f t="shared" si="547"/>
        <v>36789</v>
      </c>
      <c r="D2715" s="1">
        <f t="shared" si="556"/>
        <v>0</v>
      </c>
      <c r="E2715" s="3">
        <f t="array" ref="E2715">INDEX($A$9:A2714, MAX(IF($D$9:D2714=1, ROW(D$9:$D2714)-ROW($D$9)+1, 0)))</f>
        <v>49846</v>
      </c>
      <c r="F2715" s="23">
        <f t="shared" si="548"/>
        <v>10.370978781656399</v>
      </c>
      <c r="G2715" s="5">
        <f>INDEX('Default Prob'!$P$5:$P$14,MIN(1+_xlfn.IFNA(MATCH(F2715,'Default Prob'!$F$5:$F$14,1),0),COUNT('Default Prob'!$P$5:$P$14)))</f>
        <v>8.0322462664562722E-2</v>
      </c>
      <c r="H2715" s="5">
        <f t="shared" si="557"/>
        <v>0.68154883848708403</v>
      </c>
      <c r="I2715" s="24">
        <f t="shared" si="558"/>
        <v>1.4989651181729347E-4</v>
      </c>
      <c r="J2715" s="25">
        <f>INDEX('Default Prob'!$C$3:$C$13, _xlfn.IFNA(MATCH(F2715, 'Default Prob'!$B$3:$B$13, 1), 1))</f>
        <v>2.5600000000000001E-2</v>
      </c>
      <c r="K2715" s="26">
        <f t="shared" si="549"/>
        <v>0.76939129560321229</v>
      </c>
      <c r="L2715" s="27">
        <f t="shared" ca="1" si="550"/>
        <v>0</v>
      </c>
      <c r="M2715" s="27">
        <f t="shared" ca="1" si="551"/>
        <v>0</v>
      </c>
      <c r="N2715" s="28">
        <f t="shared" ca="1" si="552"/>
        <v>0</v>
      </c>
      <c r="O2715" s="29">
        <f t="shared" ca="1" si="553"/>
        <v>0</v>
      </c>
      <c r="P2715" s="30">
        <f t="shared" ca="1" si="554"/>
        <v>0</v>
      </c>
    </row>
    <row r="2716" spans="1:16" x14ac:dyDescent="0.25">
      <c r="A2716" s="3">
        <f t="shared" si="555"/>
        <v>49914</v>
      </c>
      <c r="B2716" s="21">
        <f t="shared" si="546"/>
        <v>36765</v>
      </c>
      <c r="C2716" s="21">
        <f t="shared" si="547"/>
        <v>36789</v>
      </c>
      <c r="D2716" s="1">
        <f t="shared" si="556"/>
        <v>0</v>
      </c>
      <c r="E2716" s="3">
        <f t="array" ref="E2716">INDEX($A$9:A2715, MAX(IF($D$9:D2715=1, ROW(D$9:$D2715)-ROW($D$9)+1, 0)))</f>
        <v>49846</v>
      </c>
      <c r="F2716" s="23">
        <f t="shared" si="548"/>
        <v>10.373716632443532</v>
      </c>
      <c r="G2716" s="5">
        <f>INDEX('Default Prob'!$P$5:$P$14,MIN(1+_xlfn.IFNA(MATCH(F2716,'Default Prob'!$F$5:$F$14,1),0),COUNT('Default Prob'!$P$5:$P$14)))</f>
        <v>8.0322462664562722E-2</v>
      </c>
      <c r="H2716" s="5">
        <f t="shared" si="557"/>
        <v>0.68139897493552182</v>
      </c>
      <c r="I2716" s="24">
        <f t="shared" si="558"/>
        <v>1.4986355156221265E-4</v>
      </c>
      <c r="J2716" s="25">
        <f>INDEX('Default Prob'!$C$3:$C$13, _xlfn.IFNA(MATCH(F2716, 'Default Prob'!$B$3:$B$13, 1), 1))</f>
        <v>2.5600000000000001E-2</v>
      </c>
      <c r="K2716" s="26">
        <f t="shared" si="549"/>
        <v>0.76933805028671864</v>
      </c>
      <c r="L2716" s="27">
        <f t="shared" ca="1" si="550"/>
        <v>0</v>
      </c>
      <c r="M2716" s="27">
        <f t="shared" ca="1" si="551"/>
        <v>0</v>
      </c>
      <c r="N2716" s="28">
        <f t="shared" ca="1" si="552"/>
        <v>0</v>
      </c>
      <c r="O2716" s="29">
        <f t="shared" ca="1" si="553"/>
        <v>0</v>
      </c>
      <c r="P2716" s="30">
        <f t="shared" ca="1" si="554"/>
        <v>0</v>
      </c>
    </row>
    <row r="2717" spans="1:16" x14ac:dyDescent="0.25">
      <c r="A2717" s="3">
        <f t="shared" si="555"/>
        <v>49915</v>
      </c>
      <c r="B2717" s="21">
        <f t="shared" si="546"/>
        <v>36766</v>
      </c>
      <c r="C2717" s="21">
        <f t="shared" si="547"/>
        <v>36789</v>
      </c>
      <c r="D2717" s="1">
        <f t="shared" si="556"/>
        <v>0</v>
      </c>
      <c r="E2717" s="3">
        <f t="array" ref="E2717">INDEX($A$9:A2716, MAX(IF($D$9:D2716=1, ROW(D$9:$D2716)-ROW($D$9)+1, 0)))</f>
        <v>49846</v>
      </c>
      <c r="F2717" s="23">
        <f t="shared" si="548"/>
        <v>10.376454483230663</v>
      </c>
      <c r="G2717" s="5">
        <f>INDEX('Default Prob'!$P$5:$P$14,MIN(1+_xlfn.IFNA(MATCH(F2717,'Default Prob'!$F$5:$F$14,1),0),COUNT('Default Prob'!$P$5:$P$14)))</f>
        <v>8.0322462664562722E-2</v>
      </c>
      <c r="H2717" s="5">
        <f t="shared" si="557"/>
        <v>0.68124914433696726</v>
      </c>
      <c r="I2717" s="24">
        <f t="shared" si="558"/>
        <v>1.4983059855455672E-4</v>
      </c>
      <c r="J2717" s="25">
        <f>INDEX('Default Prob'!$C$3:$C$13, _xlfn.IFNA(MATCH(F2717, 'Default Prob'!$B$3:$B$13, 1), 1))</f>
        <v>2.5600000000000001E-2</v>
      </c>
      <c r="K2717" s="26">
        <f t="shared" si="549"/>
        <v>0.76928480865503879</v>
      </c>
      <c r="L2717" s="27">
        <f t="shared" ca="1" si="550"/>
        <v>0</v>
      </c>
      <c r="M2717" s="27">
        <f t="shared" ca="1" si="551"/>
        <v>0</v>
      </c>
      <c r="N2717" s="28">
        <f t="shared" ca="1" si="552"/>
        <v>0</v>
      </c>
      <c r="O2717" s="29">
        <f t="shared" ca="1" si="553"/>
        <v>0</v>
      </c>
      <c r="P2717" s="30">
        <f t="shared" ca="1" si="554"/>
        <v>0</v>
      </c>
    </row>
    <row r="2718" spans="1:16" x14ac:dyDescent="0.25">
      <c r="A2718" s="3">
        <f t="shared" si="555"/>
        <v>49916</v>
      </c>
      <c r="B2718" s="21">
        <f t="shared" si="546"/>
        <v>36767</v>
      </c>
      <c r="C2718" s="21">
        <f t="shared" si="547"/>
        <v>36789</v>
      </c>
      <c r="D2718" s="1">
        <f t="shared" si="556"/>
        <v>0</v>
      </c>
      <c r="E2718" s="3">
        <f t="array" ref="E2718">INDEX($A$9:A2717, MAX(IF($D$9:D2717=1, ROW(D$9:$D2717)-ROW($D$9)+1, 0)))</f>
        <v>49846</v>
      </c>
      <c r="F2718" s="23">
        <f t="shared" si="548"/>
        <v>10.379192334017796</v>
      </c>
      <c r="G2718" s="5">
        <f>INDEX('Default Prob'!$P$5:$P$14,MIN(1+_xlfn.IFNA(MATCH(F2718,'Default Prob'!$F$5:$F$14,1),0),COUNT('Default Prob'!$P$5:$P$14)))</f>
        <v>8.0322462664562722E-2</v>
      </c>
      <c r="H2718" s="5">
        <f t="shared" si="557"/>
        <v>0.68109934668417438</v>
      </c>
      <c r="I2718" s="24">
        <f t="shared" si="558"/>
        <v>1.4979765279288237E-4</v>
      </c>
      <c r="J2718" s="25">
        <f>INDEX('Default Prob'!$C$3:$C$13, _xlfn.IFNA(MATCH(F2718, 'Default Prob'!$B$3:$B$13, 1), 1))</f>
        <v>2.5600000000000001E-2</v>
      </c>
      <c r="K2718" s="26">
        <f t="shared" si="549"/>
        <v>0.76923157070791781</v>
      </c>
      <c r="L2718" s="27">
        <f t="shared" ca="1" si="550"/>
        <v>0</v>
      </c>
      <c r="M2718" s="27">
        <f t="shared" ca="1" si="551"/>
        <v>0</v>
      </c>
      <c r="N2718" s="28">
        <f t="shared" ca="1" si="552"/>
        <v>0</v>
      </c>
      <c r="O2718" s="29">
        <f t="shared" ca="1" si="553"/>
        <v>0</v>
      </c>
      <c r="P2718" s="30">
        <f t="shared" ca="1" si="554"/>
        <v>0</v>
      </c>
    </row>
    <row r="2719" spans="1:16" x14ac:dyDescent="0.25">
      <c r="A2719" s="3">
        <f t="shared" si="555"/>
        <v>49919</v>
      </c>
      <c r="B2719" s="21">
        <f t="shared" si="546"/>
        <v>36770</v>
      </c>
      <c r="C2719" s="21">
        <f t="shared" si="547"/>
        <v>36789</v>
      </c>
      <c r="D2719" s="1">
        <f t="shared" si="556"/>
        <v>0</v>
      </c>
      <c r="E2719" s="3">
        <f t="array" ref="E2719">INDEX($A$9:A2718, MAX(IF($D$9:D2718=1, ROW(D$9:$D2718)-ROW($D$9)+1, 0)))</f>
        <v>49846</v>
      </c>
      <c r="F2719" s="23">
        <f t="shared" si="548"/>
        <v>10.387405886379192</v>
      </c>
      <c r="G2719" s="5">
        <f>INDEX('Default Prob'!$P$5:$P$14,MIN(1+_xlfn.IFNA(MATCH(F2719,'Default Prob'!$F$5:$F$14,1),0),COUNT('Default Prob'!$P$5:$P$14)))</f>
        <v>8.0322462664562722E-2</v>
      </c>
      <c r="H2719" s="5">
        <f t="shared" si="557"/>
        <v>0.68065015132793083</v>
      </c>
      <c r="I2719" s="24">
        <f t="shared" si="558"/>
        <v>4.4919535624354801E-4</v>
      </c>
      <c r="J2719" s="25">
        <f>INDEX('Default Prob'!$C$3:$C$13, _xlfn.IFNA(MATCH(F2719, 'Default Prob'!$B$3:$B$13, 1), 1))</f>
        <v>2.5600000000000001E-2</v>
      </c>
      <c r="K2719" s="26">
        <f t="shared" si="549"/>
        <v>0.76907187897135842</v>
      </c>
      <c r="L2719" s="27">
        <f t="shared" ca="1" si="550"/>
        <v>0</v>
      </c>
      <c r="M2719" s="27">
        <f t="shared" ca="1" si="551"/>
        <v>0</v>
      </c>
      <c r="N2719" s="28">
        <f t="shared" ca="1" si="552"/>
        <v>0</v>
      </c>
      <c r="O2719" s="29">
        <f t="shared" ca="1" si="553"/>
        <v>0</v>
      </c>
      <c r="P2719" s="30">
        <f t="shared" ca="1" si="554"/>
        <v>0</v>
      </c>
    </row>
    <row r="2720" spans="1:16" x14ac:dyDescent="0.25">
      <c r="A2720" s="3">
        <f t="shared" si="555"/>
        <v>49920</v>
      </c>
      <c r="B2720" s="21">
        <f t="shared" si="546"/>
        <v>36771</v>
      </c>
      <c r="C2720" s="21">
        <f t="shared" si="547"/>
        <v>36789</v>
      </c>
      <c r="D2720" s="1">
        <f t="shared" si="556"/>
        <v>0</v>
      </c>
      <c r="E2720" s="3">
        <f t="array" ref="E2720">INDEX($A$9:A2719, MAX(IF($D$9:D2719=1, ROW(D$9:$D2719)-ROW($D$9)+1, 0)))</f>
        <v>49846</v>
      </c>
      <c r="F2720" s="23">
        <f t="shared" si="548"/>
        <v>10.390143737166325</v>
      </c>
      <c r="G2720" s="5">
        <f>INDEX('Default Prob'!$P$5:$P$14,MIN(1+_xlfn.IFNA(MATCH(F2720,'Default Prob'!$F$5:$F$14,1),0),COUNT('Default Prob'!$P$5:$P$14)))</f>
        <v>8.0322462664562722E-2</v>
      </c>
      <c r="H2720" s="5">
        <f t="shared" si="557"/>
        <v>0.68050048538575736</v>
      </c>
      <c r="I2720" s="24">
        <f t="shared" si="558"/>
        <v>1.496659421734714E-4</v>
      </c>
      <c r="J2720" s="25">
        <f>INDEX('Default Prob'!$C$3:$C$13, _xlfn.IFNA(MATCH(F2720, 'Default Prob'!$B$3:$B$13, 1), 1))</f>
        <v>2.5600000000000001E-2</v>
      </c>
      <c r="K2720" s="26">
        <f t="shared" si="549"/>
        <v>0.76901865575992334</v>
      </c>
      <c r="L2720" s="27">
        <f t="shared" ca="1" si="550"/>
        <v>0</v>
      </c>
      <c r="M2720" s="27">
        <f t="shared" ca="1" si="551"/>
        <v>0</v>
      </c>
      <c r="N2720" s="28">
        <f t="shared" ca="1" si="552"/>
        <v>0</v>
      </c>
      <c r="O2720" s="29">
        <f t="shared" ca="1" si="553"/>
        <v>0</v>
      </c>
      <c r="P2720" s="30">
        <f t="shared" ca="1" si="554"/>
        <v>0</v>
      </c>
    </row>
    <row r="2721" spans="1:16" x14ac:dyDescent="0.25">
      <c r="A2721" s="3">
        <f t="shared" si="555"/>
        <v>49921</v>
      </c>
      <c r="B2721" s="21">
        <f t="shared" si="546"/>
        <v>36772</v>
      </c>
      <c r="C2721" s="21">
        <f t="shared" si="547"/>
        <v>36789</v>
      </c>
      <c r="D2721" s="1">
        <f t="shared" si="556"/>
        <v>0</v>
      </c>
      <c r="E2721" s="3">
        <f t="array" ref="E2721">INDEX($A$9:A2720, MAX(IF($D$9:D2720=1, ROW(D$9:$D2720)-ROW($D$9)+1, 0)))</f>
        <v>49846</v>
      </c>
      <c r="F2721" s="23">
        <f t="shared" si="548"/>
        <v>10.392881587953456</v>
      </c>
      <c r="G2721" s="5">
        <f>INDEX('Default Prob'!$P$5:$P$14,MIN(1+_xlfn.IFNA(MATCH(F2721,'Default Prob'!$F$5:$F$14,1),0),COUNT('Default Prob'!$P$5:$P$14)))</f>
        <v>8.0322462664562722E-2</v>
      </c>
      <c r="H2721" s="5">
        <f t="shared" si="557"/>
        <v>0.68035085235313997</v>
      </c>
      <c r="I2721" s="24">
        <f t="shared" si="558"/>
        <v>1.4963303261739114E-4</v>
      </c>
      <c r="J2721" s="25">
        <f>INDEX('Default Prob'!$C$3:$C$13, _xlfn.IFNA(MATCH(F2721, 'Default Prob'!$B$3:$B$13, 1), 1))</f>
        <v>2.5600000000000001E-2</v>
      </c>
      <c r="K2721" s="26">
        <f t="shared" si="549"/>
        <v>0.76896543623177227</v>
      </c>
      <c r="L2721" s="27">
        <f t="shared" ca="1" si="550"/>
        <v>0</v>
      </c>
      <c r="M2721" s="27">
        <f t="shared" ca="1" si="551"/>
        <v>0</v>
      </c>
      <c r="N2721" s="28">
        <f t="shared" ca="1" si="552"/>
        <v>0</v>
      </c>
      <c r="O2721" s="29">
        <f t="shared" ca="1" si="553"/>
        <v>0</v>
      </c>
      <c r="P2721" s="30">
        <f t="shared" ca="1" si="554"/>
        <v>0</v>
      </c>
    </row>
    <row r="2722" spans="1:16" x14ac:dyDescent="0.25">
      <c r="A2722" s="3">
        <f t="shared" si="555"/>
        <v>49922</v>
      </c>
      <c r="B2722" s="21">
        <f t="shared" si="546"/>
        <v>36773</v>
      </c>
      <c r="C2722" s="21">
        <f t="shared" si="547"/>
        <v>36789</v>
      </c>
      <c r="D2722" s="1">
        <f t="shared" si="556"/>
        <v>0</v>
      </c>
      <c r="E2722" s="3">
        <f t="array" ref="E2722">INDEX($A$9:A2721, MAX(IF($D$9:D2721=1, ROW(D$9:$D2721)-ROW($D$9)+1, 0)))</f>
        <v>49846</v>
      </c>
      <c r="F2722" s="23">
        <f t="shared" si="548"/>
        <v>10.395619438740589</v>
      </c>
      <c r="G2722" s="5">
        <f>INDEX('Default Prob'!$P$5:$P$14,MIN(1+_xlfn.IFNA(MATCH(F2722,'Default Prob'!$F$5:$F$14,1),0),COUNT('Default Prob'!$P$5:$P$14)))</f>
        <v>8.0322462664562722E-2</v>
      </c>
      <c r="H2722" s="5">
        <f t="shared" si="557"/>
        <v>0.68020125222284211</v>
      </c>
      <c r="I2722" s="24">
        <f t="shared" si="558"/>
        <v>1.4960013029785557E-4</v>
      </c>
      <c r="J2722" s="25">
        <f>INDEX('Default Prob'!$C$3:$C$13, _xlfn.IFNA(MATCH(F2722, 'Default Prob'!$B$3:$B$13, 1), 1))</f>
        <v>2.5600000000000001E-2</v>
      </c>
      <c r="K2722" s="26">
        <f t="shared" si="549"/>
        <v>0.76891222038665052</v>
      </c>
      <c r="L2722" s="27">
        <f t="shared" ca="1" si="550"/>
        <v>0</v>
      </c>
      <c r="M2722" s="27">
        <f t="shared" ca="1" si="551"/>
        <v>0</v>
      </c>
      <c r="N2722" s="28">
        <f t="shared" ca="1" si="552"/>
        <v>0</v>
      </c>
      <c r="O2722" s="29">
        <f t="shared" ca="1" si="553"/>
        <v>0</v>
      </c>
      <c r="P2722" s="30">
        <f t="shared" ca="1" si="554"/>
        <v>0</v>
      </c>
    </row>
    <row r="2723" spans="1:16" x14ac:dyDescent="0.25">
      <c r="A2723" s="3">
        <f t="shared" si="555"/>
        <v>49923</v>
      </c>
      <c r="B2723" s="21">
        <f t="shared" si="546"/>
        <v>36774</v>
      </c>
      <c r="C2723" s="21">
        <f t="shared" si="547"/>
        <v>36789</v>
      </c>
      <c r="D2723" s="1">
        <f t="shared" si="556"/>
        <v>0</v>
      </c>
      <c r="E2723" s="3">
        <f t="array" ref="E2723">INDEX($A$9:A2722, MAX(IF($D$9:D2722=1, ROW(D$9:$D2722)-ROW($D$9)+1, 0)))</f>
        <v>49846</v>
      </c>
      <c r="F2723" s="23">
        <f t="shared" si="548"/>
        <v>10.39835728952772</v>
      </c>
      <c r="G2723" s="5">
        <f>INDEX('Default Prob'!$P$5:$P$14,MIN(1+_xlfn.IFNA(MATCH(F2723,'Default Prob'!$F$5:$F$14,1),0),COUNT('Default Prob'!$P$5:$P$14)))</f>
        <v>8.0322462664562722E-2</v>
      </c>
      <c r="H2723" s="5">
        <f t="shared" si="557"/>
        <v>0.68005168498762913</v>
      </c>
      <c r="I2723" s="24">
        <f t="shared" si="558"/>
        <v>1.4956723521297732E-4</v>
      </c>
      <c r="J2723" s="25">
        <f>INDEX('Default Prob'!$C$3:$C$13, _xlfn.IFNA(MATCH(F2723, 'Default Prob'!$B$3:$B$13, 1), 1))</f>
        <v>2.5600000000000001E-2</v>
      </c>
      <c r="K2723" s="26">
        <f t="shared" si="549"/>
        <v>0.76885900822430309</v>
      </c>
      <c r="L2723" s="27">
        <f t="shared" ca="1" si="550"/>
        <v>0</v>
      </c>
      <c r="M2723" s="27">
        <f t="shared" ca="1" si="551"/>
        <v>0</v>
      </c>
      <c r="N2723" s="28">
        <f t="shared" ca="1" si="552"/>
        <v>0</v>
      </c>
      <c r="O2723" s="29">
        <f t="shared" ca="1" si="553"/>
        <v>0</v>
      </c>
      <c r="P2723" s="30">
        <f t="shared" ca="1" si="554"/>
        <v>0</v>
      </c>
    </row>
    <row r="2724" spans="1:16" x14ac:dyDescent="0.25">
      <c r="A2724" s="3">
        <f t="shared" si="555"/>
        <v>49926</v>
      </c>
      <c r="B2724" s="21">
        <f t="shared" si="546"/>
        <v>36777</v>
      </c>
      <c r="C2724" s="21">
        <f t="shared" si="547"/>
        <v>36789</v>
      </c>
      <c r="D2724" s="1">
        <f t="shared" si="556"/>
        <v>0</v>
      </c>
      <c r="E2724" s="3">
        <f t="array" ref="E2724">INDEX($A$9:A2723, MAX(IF($D$9:D2723=1, ROW(D$9:$D2723)-ROW($D$9)+1, 0)))</f>
        <v>49846</v>
      </c>
      <c r="F2724" s="23">
        <f t="shared" si="548"/>
        <v>10.406570841889117</v>
      </c>
      <c r="G2724" s="5">
        <f>INDEX('Default Prob'!$P$5:$P$14,MIN(1+_xlfn.IFNA(MATCH(F2724,'Default Prob'!$F$5:$F$14,1),0),COUNT('Default Prob'!$P$5:$P$14)))</f>
        <v>8.0322462664562722E-2</v>
      </c>
      <c r="H2724" s="5">
        <f t="shared" si="557"/>
        <v>0.67960318058017477</v>
      </c>
      <c r="I2724" s="24">
        <f t="shared" si="558"/>
        <v>4.4850440745436426E-4</v>
      </c>
      <c r="J2724" s="25">
        <f>INDEX('Default Prob'!$C$3:$C$13, _xlfn.IFNA(MATCH(F2724, 'Default Prob'!$B$3:$B$13, 1), 1))</f>
        <v>2.5600000000000001E-2</v>
      </c>
      <c r="K2724" s="26">
        <f t="shared" si="549"/>
        <v>0.76869939383135799</v>
      </c>
      <c r="L2724" s="27">
        <f t="shared" ca="1" si="550"/>
        <v>0</v>
      </c>
      <c r="M2724" s="27">
        <f t="shared" ca="1" si="551"/>
        <v>0</v>
      </c>
      <c r="N2724" s="28">
        <f t="shared" ca="1" si="552"/>
        <v>0</v>
      </c>
      <c r="O2724" s="29">
        <f t="shared" ca="1" si="553"/>
        <v>0</v>
      </c>
      <c r="P2724" s="30">
        <f t="shared" ca="1" si="554"/>
        <v>0</v>
      </c>
    </row>
    <row r="2725" spans="1:16" x14ac:dyDescent="0.25">
      <c r="A2725" s="3">
        <f t="shared" si="555"/>
        <v>49927</v>
      </c>
      <c r="B2725" s="21">
        <f t="shared" si="546"/>
        <v>36778</v>
      </c>
      <c r="C2725" s="21">
        <f t="shared" si="547"/>
        <v>36789</v>
      </c>
      <c r="D2725" s="1">
        <f t="shared" si="556"/>
        <v>0</v>
      </c>
      <c r="E2725" s="3">
        <f t="array" ref="E2725">INDEX($A$9:A2724, MAX(IF($D$9:D2724=1, ROW(D$9:$D2724)-ROW($D$9)+1, 0)))</f>
        <v>49846</v>
      </c>
      <c r="F2725" s="23">
        <f t="shared" si="548"/>
        <v>10.40930869267625</v>
      </c>
      <c r="G2725" s="5">
        <f>INDEX('Default Prob'!$P$5:$P$14,MIN(1+_xlfn.IFNA(MATCH(F2725,'Default Prob'!$F$5:$F$14,1),0),COUNT('Default Prob'!$P$5:$P$14)))</f>
        <v>8.0322462664562722E-2</v>
      </c>
      <c r="H2725" s="5">
        <f t="shared" si="557"/>
        <v>0.67945374485298482</v>
      </c>
      <c r="I2725" s="24">
        <f t="shared" si="558"/>
        <v>1.4943572718995046E-4</v>
      </c>
      <c r="J2725" s="25">
        <f>INDEX('Default Prob'!$C$3:$C$13, _xlfn.IFNA(MATCH(F2725, 'Default Prob'!$B$3:$B$13, 1), 1))</f>
        <v>2.5600000000000001E-2</v>
      </c>
      <c r="K2725" s="26">
        <f t="shared" si="549"/>
        <v>0.76864619639755938</v>
      </c>
      <c r="L2725" s="27">
        <f t="shared" ca="1" si="550"/>
        <v>0</v>
      </c>
      <c r="M2725" s="27">
        <f t="shared" ca="1" si="551"/>
        <v>0</v>
      </c>
      <c r="N2725" s="28">
        <f t="shared" ca="1" si="552"/>
        <v>0</v>
      </c>
      <c r="O2725" s="29">
        <f t="shared" ca="1" si="553"/>
        <v>0</v>
      </c>
      <c r="P2725" s="30">
        <f t="shared" ca="1" si="554"/>
        <v>0</v>
      </c>
    </row>
    <row r="2726" spans="1:16" x14ac:dyDescent="0.25">
      <c r="A2726" s="3">
        <f t="shared" si="555"/>
        <v>49928</v>
      </c>
      <c r="B2726" s="21">
        <f t="shared" si="546"/>
        <v>36779</v>
      </c>
      <c r="C2726" s="21">
        <f t="shared" si="547"/>
        <v>36789</v>
      </c>
      <c r="D2726" s="1">
        <f t="shared" si="556"/>
        <v>0</v>
      </c>
      <c r="E2726" s="3">
        <f t="array" ref="E2726">INDEX($A$9:A2725, MAX(IF($D$9:D2725=1, ROW(D$9:$D2725)-ROW($D$9)+1, 0)))</f>
        <v>49846</v>
      </c>
      <c r="F2726" s="23">
        <f t="shared" si="548"/>
        <v>10.412046543463381</v>
      </c>
      <c r="G2726" s="5">
        <f>INDEX('Default Prob'!$P$5:$P$14,MIN(1+_xlfn.IFNA(MATCH(F2726,'Default Prob'!$F$5:$F$14,1),0),COUNT('Default Prob'!$P$5:$P$14)))</f>
        <v>8.0322462664562722E-2</v>
      </c>
      <c r="H2726" s="5">
        <f t="shared" si="557"/>
        <v>0.67930434198472978</v>
      </c>
      <c r="I2726" s="24">
        <f t="shared" si="558"/>
        <v>1.4940286825504412E-4</v>
      </c>
      <c r="J2726" s="25">
        <f>INDEX('Default Prob'!$C$3:$C$13, _xlfn.IFNA(MATCH(F2726, 'Default Prob'!$B$3:$B$13, 1), 1))</f>
        <v>2.5600000000000001E-2</v>
      </c>
      <c r="K2726" s="26">
        <f t="shared" si="549"/>
        <v>0.76859300264526098</v>
      </c>
      <c r="L2726" s="27">
        <f t="shared" ca="1" si="550"/>
        <v>0</v>
      </c>
      <c r="M2726" s="27">
        <f t="shared" ca="1" si="551"/>
        <v>0</v>
      </c>
      <c r="N2726" s="28">
        <f t="shared" ca="1" si="552"/>
        <v>0</v>
      </c>
      <c r="O2726" s="29">
        <f t="shared" ca="1" si="553"/>
        <v>0</v>
      </c>
      <c r="P2726" s="30">
        <f t="shared" ca="1" si="554"/>
        <v>0</v>
      </c>
    </row>
    <row r="2727" spans="1:16" x14ac:dyDescent="0.25">
      <c r="A2727" s="3">
        <f t="shared" si="555"/>
        <v>49929</v>
      </c>
      <c r="B2727" s="21">
        <f t="shared" si="546"/>
        <v>36780</v>
      </c>
      <c r="C2727" s="21">
        <f t="shared" si="547"/>
        <v>36789</v>
      </c>
      <c r="D2727" s="1">
        <f t="shared" si="556"/>
        <v>0</v>
      </c>
      <c r="E2727" s="3">
        <f t="array" ref="E2727">INDEX($A$9:A2726, MAX(IF($D$9:D2726=1, ROW(D$9:$D2726)-ROW($D$9)+1, 0)))</f>
        <v>49846</v>
      </c>
      <c r="F2727" s="23">
        <f t="shared" si="548"/>
        <v>10.414784394250514</v>
      </c>
      <c r="G2727" s="5">
        <f>INDEX('Default Prob'!$P$5:$P$14,MIN(1+_xlfn.IFNA(MATCH(F2727,'Default Prob'!$F$5:$F$14,1),0),COUNT('Default Prob'!$P$5:$P$14)))</f>
        <v>8.0322462664562722E-2</v>
      </c>
      <c r="H2727" s="5">
        <f t="shared" si="557"/>
        <v>0.67915497196818408</v>
      </c>
      <c r="I2727" s="24">
        <f t="shared" si="558"/>
        <v>1.4937001654569126E-4</v>
      </c>
      <c r="J2727" s="25">
        <f>INDEX('Default Prob'!$C$3:$C$13, _xlfn.IFNA(MATCH(F2727, 'Default Prob'!$B$3:$B$13, 1), 1))</f>
        <v>2.5600000000000001E-2</v>
      </c>
      <c r="K2727" s="26">
        <f t="shared" si="549"/>
        <v>0.768539812574208</v>
      </c>
      <c r="L2727" s="27">
        <f t="shared" ca="1" si="550"/>
        <v>0</v>
      </c>
      <c r="M2727" s="27">
        <f t="shared" ca="1" si="551"/>
        <v>0</v>
      </c>
      <c r="N2727" s="28">
        <f t="shared" ca="1" si="552"/>
        <v>0</v>
      </c>
      <c r="O2727" s="29">
        <f t="shared" ca="1" si="553"/>
        <v>0</v>
      </c>
      <c r="P2727" s="30">
        <f t="shared" ca="1" si="554"/>
        <v>0</v>
      </c>
    </row>
    <row r="2728" spans="1:16" x14ac:dyDescent="0.25">
      <c r="A2728" s="3">
        <f t="shared" si="555"/>
        <v>49930</v>
      </c>
      <c r="B2728" s="21">
        <f t="shared" si="546"/>
        <v>36781</v>
      </c>
      <c r="C2728" s="21">
        <f t="shared" si="547"/>
        <v>36789</v>
      </c>
      <c r="D2728" s="1">
        <f t="shared" si="556"/>
        <v>0</v>
      </c>
      <c r="E2728" s="3">
        <f t="array" ref="E2728">INDEX($A$9:A2727, MAX(IF($D$9:D2727=1, ROW(D$9:$D2727)-ROW($D$9)+1, 0)))</f>
        <v>49846</v>
      </c>
      <c r="F2728" s="23">
        <f t="shared" si="548"/>
        <v>10.417522245037645</v>
      </c>
      <c r="G2728" s="5">
        <f>INDEX('Default Prob'!$P$5:$P$14,MIN(1+_xlfn.IFNA(MATCH(F2728,'Default Prob'!$F$5:$F$14,1),0),COUNT('Default Prob'!$P$5:$P$14)))</f>
        <v>8.0322462664562722E-2</v>
      </c>
      <c r="H2728" s="5">
        <f t="shared" si="557"/>
        <v>0.6790056347961243</v>
      </c>
      <c r="I2728" s="24">
        <f t="shared" si="558"/>
        <v>1.4933717205978247E-4</v>
      </c>
      <c r="J2728" s="25">
        <f>INDEX('Default Prob'!$C$3:$C$13, _xlfn.IFNA(MATCH(F2728, 'Default Prob'!$B$3:$B$13, 1), 1))</f>
        <v>2.5600000000000001E-2</v>
      </c>
      <c r="K2728" s="26">
        <f t="shared" si="549"/>
        <v>0.76848662618414565</v>
      </c>
      <c r="L2728" s="27">
        <f t="shared" ca="1" si="550"/>
        <v>0</v>
      </c>
      <c r="M2728" s="27">
        <f t="shared" ca="1" si="551"/>
        <v>0</v>
      </c>
      <c r="N2728" s="28">
        <f t="shared" ca="1" si="552"/>
        <v>0</v>
      </c>
      <c r="O2728" s="29">
        <f t="shared" ca="1" si="553"/>
        <v>0</v>
      </c>
      <c r="P2728" s="30">
        <f t="shared" ca="1" si="554"/>
        <v>0</v>
      </c>
    </row>
    <row r="2729" spans="1:16" x14ac:dyDescent="0.25">
      <c r="A2729" s="3">
        <f t="shared" si="555"/>
        <v>49933</v>
      </c>
      <c r="B2729" s="21">
        <f t="shared" si="546"/>
        <v>36784</v>
      </c>
      <c r="C2729" s="21">
        <f t="shared" si="547"/>
        <v>36789</v>
      </c>
      <c r="D2729" s="1">
        <f t="shared" si="556"/>
        <v>0</v>
      </c>
      <c r="E2729" s="3">
        <f t="array" ref="E2729">INDEX($A$9:A2728, MAX(IF($D$9:D2728=1, ROW(D$9:$D2728)-ROW($D$9)+1, 0)))</f>
        <v>49846</v>
      </c>
      <c r="F2729" s="23">
        <f t="shared" si="548"/>
        <v>10.425735797399042</v>
      </c>
      <c r="G2729" s="5">
        <f>INDEX('Default Prob'!$P$5:$P$14,MIN(1+_xlfn.IFNA(MATCH(F2729,'Default Prob'!$F$5:$F$14,1),0),COUNT('Default Prob'!$P$5:$P$14)))</f>
        <v>8.0322462664562722E-2</v>
      </c>
      <c r="H2729" s="5">
        <f t="shared" si="557"/>
        <v>0.67855782027464728</v>
      </c>
      <c r="I2729" s="24">
        <f t="shared" si="558"/>
        <v>4.4781452147701906E-4</v>
      </c>
      <c r="J2729" s="25">
        <f>INDEX('Default Prob'!$C$3:$C$13, _xlfn.IFNA(MATCH(F2729, 'Default Prob'!$B$3:$B$13, 1), 1))</f>
        <v>2.5600000000000001E-2</v>
      </c>
      <c r="K2729" s="26">
        <f t="shared" si="549"/>
        <v>0.76832708909735525</v>
      </c>
      <c r="L2729" s="27">
        <f t="shared" ca="1" si="550"/>
        <v>0</v>
      </c>
      <c r="M2729" s="27">
        <f t="shared" ca="1" si="551"/>
        <v>0</v>
      </c>
      <c r="N2729" s="28">
        <f t="shared" ca="1" si="552"/>
        <v>0</v>
      </c>
      <c r="O2729" s="29">
        <f t="shared" ca="1" si="553"/>
        <v>0</v>
      </c>
      <c r="P2729" s="30">
        <f t="shared" ca="1" si="554"/>
        <v>0</v>
      </c>
    </row>
    <row r="2730" spans="1:16" x14ac:dyDescent="0.25">
      <c r="A2730" s="3">
        <f t="shared" si="555"/>
        <v>49934</v>
      </c>
      <c r="B2730" s="21">
        <f t="shared" si="546"/>
        <v>36785</v>
      </c>
      <c r="C2730" s="21">
        <f t="shared" si="547"/>
        <v>36789</v>
      </c>
      <c r="D2730" s="1">
        <f t="shared" si="556"/>
        <v>0</v>
      </c>
      <c r="E2730" s="3">
        <f t="array" ref="E2730">INDEX($A$9:A2729, MAX(IF($D$9:D2729=1, ROW(D$9:$D2729)-ROW($D$9)+1, 0)))</f>
        <v>49846</v>
      </c>
      <c r="F2730" s="23">
        <f t="shared" si="548"/>
        <v>10.428473648186174</v>
      </c>
      <c r="G2730" s="5">
        <f>INDEX('Default Prob'!$P$5:$P$14,MIN(1+_xlfn.IFNA(MATCH(F2730,'Default Prob'!$F$5:$F$14,1),0),COUNT('Default Prob'!$P$5:$P$14)))</f>
        <v>8.0322462664562722E-2</v>
      </c>
      <c r="H2730" s="5">
        <f t="shared" si="557"/>
        <v>0.67840861440832612</v>
      </c>
      <c r="I2730" s="24">
        <f t="shared" si="558"/>
        <v>1.4920586632116706E-4</v>
      </c>
      <c r="J2730" s="25">
        <f>INDEX('Default Prob'!$C$3:$C$13, _xlfn.IFNA(MATCH(F2730, 'Default Prob'!$B$3:$B$13, 1), 1))</f>
        <v>2.5600000000000001E-2</v>
      </c>
      <c r="K2730" s="26">
        <f t="shared" si="549"/>
        <v>0.76827391742870821</v>
      </c>
      <c r="L2730" s="27">
        <f t="shared" ca="1" si="550"/>
        <v>0</v>
      </c>
      <c r="M2730" s="27">
        <f t="shared" ca="1" si="551"/>
        <v>0</v>
      </c>
      <c r="N2730" s="28">
        <f t="shared" ca="1" si="552"/>
        <v>0</v>
      </c>
      <c r="O2730" s="29">
        <f t="shared" ca="1" si="553"/>
        <v>0</v>
      </c>
      <c r="P2730" s="30">
        <f t="shared" ca="1" si="554"/>
        <v>0</v>
      </c>
    </row>
    <row r="2731" spans="1:16" x14ac:dyDescent="0.25">
      <c r="A2731" s="3">
        <f t="shared" si="555"/>
        <v>49935</v>
      </c>
      <c r="B2731" s="21">
        <f t="shared" si="546"/>
        <v>36786</v>
      </c>
      <c r="C2731" s="21">
        <f t="shared" si="547"/>
        <v>36789</v>
      </c>
      <c r="D2731" s="1">
        <f t="shared" si="556"/>
        <v>0</v>
      </c>
      <c r="E2731" s="3">
        <f t="array" ref="E2731">INDEX($A$9:A2730, MAX(IF($D$9:D2730=1, ROW(D$9:$D2730)-ROW($D$9)+1, 0)))</f>
        <v>49846</v>
      </c>
      <c r="F2731" s="23">
        <f t="shared" si="548"/>
        <v>10.431211498973306</v>
      </c>
      <c r="G2731" s="5">
        <f>INDEX('Default Prob'!$P$5:$P$14,MIN(1+_xlfn.IFNA(MATCH(F2731,'Default Prob'!$F$5:$F$14,1),0),COUNT('Default Prob'!$P$5:$P$14)))</f>
        <v>8.0322462664562722E-2</v>
      </c>
      <c r="H2731" s="5">
        <f t="shared" si="557"/>
        <v>0.67825944135039629</v>
      </c>
      <c r="I2731" s="24">
        <f t="shared" si="558"/>
        <v>1.4917305792983004E-4</v>
      </c>
      <c r="J2731" s="25">
        <f>INDEX('Default Prob'!$C$3:$C$13, _xlfn.IFNA(MATCH(F2731, 'Default Prob'!$B$3:$B$13, 1), 1))</f>
        <v>2.5600000000000001E-2</v>
      </c>
      <c r="K2731" s="26">
        <f t="shared" si="549"/>
        <v>0.76822074943977836</v>
      </c>
      <c r="L2731" s="27">
        <f t="shared" ca="1" si="550"/>
        <v>0</v>
      </c>
      <c r="M2731" s="27">
        <f t="shared" ca="1" si="551"/>
        <v>0</v>
      </c>
      <c r="N2731" s="28">
        <f t="shared" ca="1" si="552"/>
        <v>0</v>
      </c>
      <c r="O2731" s="29">
        <f t="shared" ca="1" si="553"/>
        <v>0</v>
      </c>
      <c r="P2731" s="30">
        <f t="shared" ca="1" si="554"/>
        <v>0</v>
      </c>
    </row>
    <row r="2732" spans="1:16" x14ac:dyDescent="0.25">
      <c r="A2732" s="3">
        <f t="shared" si="555"/>
        <v>49936</v>
      </c>
      <c r="B2732" s="21">
        <f t="shared" si="546"/>
        <v>36787</v>
      </c>
      <c r="C2732" s="21">
        <f t="shared" si="547"/>
        <v>36789</v>
      </c>
      <c r="D2732" s="1">
        <f t="shared" si="556"/>
        <v>0</v>
      </c>
      <c r="E2732" s="3">
        <f t="array" ref="E2732">INDEX($A$9:A2731, MAX(IF($D$9:D2731=1, ROW(D$9:$D2731)-ROW($D$9)+1, 0)))</f>
        <v>49846</v>
      </c>
      <c r="F2732" s="23">
        <f t="shared" si="548"/>
        <v>10.433949349760438</v>
      </c>
      <c r="G2732" s="5">
        <f>INDEX('Default Prob'!$P$5:$P$14,MIN(1+_xlfn.IFNA(MATCH(F2732,'Default Prob'!$F$5:$F$14,1),0),COUNT('Default Prob'!$P$5:$P$14)))</f>
        <v>8.0322462664562722E-2</v>
      </c>
      <c r="H2732" s="5">
        <f t="shared" si="557"/>
        <v>0.67811030109364379</v>
      </c>
      <c r="I2732" s="24">
        <f t="shared" si="558"/>
        <v>1.491402567525002E-4</v>
      </c>
      <c r="J2732" s="25">
        <f>INDEX('Default Prob'!$C$3:$C$13, _xlfn.IFNA(MATCH(F2732, 'Default Prob'!$B$3:$B$13, 1), 1))</f>
        <v>2.5600000000000001E-2</v>
      </c>
      <c r="K2732" s="26">
        <f t="shared" si="549"/>
        <v>0.76816758513031103</v>
      </c>
      <c r="L2732" s="27">
        <f t="shared" ca="1" si="550"/>
        <v>0</v>
      </c>
      <c r="M2732" s="27">
        <f t="shared" ca="1" si="551"/>
        <v>0</v>
      </c>
      <c r="N2732" s="28">
        <f t="shared" ca="1" si="552"/>
        <v>0</v>
      </c>
      <c r="O2732" s="29">
        <f t="shared" ca="1" si="553"/>
        <v>0</v>
      </c>
      <c r="P2732" s="30">
        <f t="shared" ca="1" si="554"/>
        <v>0</v>
      </c>
    </row>
    <row r="2733" spans="1:16" x14ac:dyDescent="0.25">
      <c r="A2733" s="3">
        <f t="shared" si="555"/>
        <v>49937</v>
      </c>
      <c r="B2733" s="21">
        <f t="shared" si="546"/>
        <v>36788</v>
      </c>
      <c r="C2733" s="21">
        <f t="shared" si="547"/>
        <v>36789</v>
      </c>
      <c r="D2733" s="1">
        <f t="shared" si="556"/>
        <v>0</v>
      </c>
      <c r="E2733" s="3">
        <f t="array" ref="E2733">INDEX($A$9:A2732, MAX(IF($D$9:D2732=1, ROW(D$9:$D2732)-ROW($D$9)+1, 0)))</f>
        <v>49846</v>
      </c>
      <c r="F2733" s="23">
        <f t="shared" si="548"/>
        <v>10.436687200547571</v>
      </c>
      <c r="G2733" s="5">
        <f>INDEX('Default Prob'!$P$5:$P$14,MIN(1+_xlfn.IFNA(MATCH(F2733,'Default Prob'!$F$5:$F$14,1),0),COUNT('Default Prob'!$P$5:$P$14)))</f>
        <v>8.0322462664562722E-2</v>
      </c>
      <c r="H2733" s="5">
        <f t="shared" si="557"/>
        <v>0.67796119363085594</v>
      </c>
      <c r="I2733" s="24">
        <f t="shared" si="558"/>
        <v>1.4910746278784526E-4</v>
      </c>
      <c r="J2733" s="25">
        <f>INDEX('Default Prob'!$C$3:$C$13, _xlfn.IFNA(MATCH(F2733, 'Default Prob'!$B$3:$B$13, 1), 1))</f>
        <v>2.5600000000000001E-2</v>
      </c>
      <c r="K2733" s="26">
        <f t="shared" si="549"/>
        <v>0.76811442450005141</v>
      </c>
      <c r="L2733" s="27">
        <f t="shared" ca="1" si="550"/>
        <v>0</v>
      </c>
      <c r="M2733" s="27">
        <f t="shared" ca="1" si="551"/>
        <v>0</v>
      </c>
      <c r="N2733" s="28">
        <f t="shared" ca="1" si="552"/>
        <v>0</v>
      </c>
      <c r="O2733" s="29">
        <f t="shared" ca="1" si="553"/>
        <v>0</v>
      </c>
      <c r="P2733" s="30">
        <f t="shared" ca="1" si="554"/>
        <v>0</v>
      </c>
    </row>
    <row r="2734" spans="1:16" x14ac:dyDescent="0.25">
      <c r="A2734" s="3">
        <f t="shared" si="555"/>
        <v>49940</v>
      </c>
      <c r="B2734" s="21">
        <f t="shared" si="546"/>
        <v>36791</v>
      </c>
      <c r="C2734" s="21">
        <f t="shared" si="547"/>
        <v>36880</v>
      </c>
      <c r="D2734" s="1">
        <f t="shared" si="556"/>
        <v>1</v>
      </c>
      <c r="E2734" s="3">
        <f t="array" ref="E2734">INDEX($A$9:A2733, MAX(IF($D$9:D2733=1, ROW(D$9:$D2733)-ROW($D$9)+1, 0)))</f>
        <v>49846</v>
      </c>
      <c r="F2734" s="23">
        <f t="shared" si="548"/>
        <v>10.444900752908966</v>
      </c>
      <c r="G2734" s="5">
        <f>INDEX('Default Prob'!$P$5:$P$14,MIN(1+_xlfn.IFNA(MATCH(F2734,'Default Prob'!$F$5:$F$14,1),0),COUNT('Default Prob'!$P$5:$P$14)))</f>
        <v>8.0322462664562722E-2</v>
      </c>
      <c r="H2734" s="5">
        <f t="shared" si="557"/>
        <v>0.67751406793417901</v>
      </c>
      <c r="I2734" s="24">
        <f t="shared" si="558"/>
        <v>4.4712569667693103E-4</v>
      </c>
      <c r="J2734" s="25">
        <f>INDEX('Default Prob'!$C$3:$C$13, _xlfn.IFNA(MATCH(F2734, 'Default Prob'!$B$3:$B$13, 1), 1))</f>
        <v>2.5600000000000001E-2</v>
      </c>
      <c r="K2734" s="26">
        <f t="shared" si="549"/>
        <v>0.76795496468197366</v>
      </c>
      <c r="L2734" s="27">
        <f t="shared" ca="1" si="550"/>
        <v>0</v>
      </c>
      <c r="M2734" s="27">
        <f t="shared" ca="1" si="551"/>
        <v>0</v>
      </c>
      <c r="N2734" s="28">
        <f t="shared" ca="1" si="552"/>
        <v>0</v>
      </c>
      <c r="O2734" s="29">
        <f t="shared" ca="1" si="553"/>
        <v>0</v>
      </c>
      <c r="P2734" s="30">
        <f t="shared" ca="1" si="554"/>
        <v>0</v>
      </c>
    </row>
    <row r="2735" spans="1:16" x14ac:dyDescent="0.25">
      <c r="A2735" s="3">
        <f t="shared" si="555"/>
        <v>49941</v>
      </c>
      <c r="B2735" s="21">
        <f t="shared" si="546"/>
        <v>36792</v>
      </c>
      <c r="C2735" s="21">
        <f t="shared" si="547"/>
        <v>36880</v>
      </c>
      <c r="D2735" s="1">
        <f t="shared" si="556"/>
        <v>0</v>
      </c>
      <c r="E2735" s="3">
        <f t="array" ref="E2735">INDEX($A$9:A2734, MAX(IF($D$9:D2734=1, ROW(D$9:$D2734)-ROW($D$9)+1, 0)))</f>
        <v>49940</v>
      </c>
      <c r="F2735" s="23">
        <f t="shared" si="548"/>
        <v>10.447638603696099</v>
      </c>
      <c r="G2735" s="5">
        <f>INDEX('Default Prob'!$P$5:$P$14,MIN(1+_xlfn.IFNA(MATCH(F2735,'Default Prob'!$F$5:$F$14,1),0),COUNT('Default Prob'!$P$5:$P$14)))</f>
        <v>8.0322462664562722E-2</v>
      </c>
      <c r="H2735" s="5">
        <f t="shared" si="557"/>
        <v>0.67736509157515623</v>
      </c>
      <c r="I2735" s="24">
        <f t="shared" si="558"/>
        <v>1.4897635902277884E-4</v>
      </c>
      <c r="J2735" s="25">
        <f>INDEX('Default Prob'!$C$3:$C$13, _xlfn.IFNA(MATCH(F2735, 'Default Prob'!$B$3:$B$13, 1), 1))</f>
        <v>2.5600000000000001E-2</v>
      </c>
      <c r="K2735" s="26">
        <f t="shared" si="549"/>
        <v>0.76790181876599961</v>
      </c>
      <c r="L2735" s="27">
        <f t="shared" ca="1" si="550"/>
        <v>0</v>
      </c>
      <c r="M2735" s="27">
        <f t="shared" ca="1" si="551"/>
        <v>0</v>
      </c>
      <c r="N2735" s="28">
        <f t="shared" ca="1" si="552"/>
        <v>0</v>
      </c>
      <c r="O2735" s="29">
        <f t="shared" ca="1" si="553"/>
        <v>0</v>
      </c>
      <c r="P2735" s="30">
        <f t="shared" ca="1" si="554"/>
        <v>0</v>
      </c>
    </row>
    <row r="2736" spans="1:16" x14ac:dyDescent="0.25">
      <c r="A2736" s="3">
        <f t="shared" si="555"/>
        <v>49942</v>
      </c>
      <c r="B2736" s="21">
        <f t="shared" si="546"/>
        <v>36793</v>
      </c>
      <c r="C2736" s="21">
        <f t="shared" si="547"/>
        <v>36880</v>
      </c>
      <c r="D2736" s="1">
        <f t="shared" si="556"/>
        <v>0</v>
      </c>
      <c r="E2736" s="3">
        <f t="array" ref="E2736">INDEX($A$9:A2735, MAX(IF($D$9:D2735=1, ROW(D$9:$D2735)-ROW($D$9)+1, 0)))</f>
        <v>49940</v>
      </c>
      <c r="F2736" s="23">
        <f t="shared" si="548"/>
        <v>10.45037645448323</v>
      </c>
      <c r="G2736" s="5">
        <f>INDEX('Default Prob'!$P$5:$P$14,MIN(1+_xlfn.IFNA(MATCH(F2736,'Default Prob'!$F$5:$F$14,1),0),COUNT('Default Prob'!$P$5:$P$14)))</f>
        <v>8.0322462664562722E-2</v>
      </c>
      <c r="H2736" s="5">
        <f t="shared" si="557"/>
        <v>0.67721614797405927</v>
      </c>
      <c r="I2736" s="24">
        <f t="shared" si="558"/>
        <v>1.4894360109696247E-4</v>
      </c>
      <c r="J2736" s="25">
        <f>INDEX('Default Prob'!$C$3:$C$13, _xlfn.IFNA(MATCH(F2736, 'Default Prob'!$B$3:$B$13, 1), 1))</f>
        <v>2.5600000000000001E-2</v>
      </c>
      <c r="K2736" s="26">
        <f t="shared" si="549"/>
        <v>0.76784867652796029</v>
      </c>
      <c r="L2736" s="27">
        <f t="shared" ca="1" si="550"/>
        <v>0</v>
      </c>
      <c r="M2736" s="27">
        <f t="shared" ca="1" si="551"/>
        <v>0</v>
      </c>
      <c r="N2736" s="28">
        <f t="shared" ca="1" si="552"/>
        <v>0</v>
      </c>
      <c r="O2736" s="29">
        <f t="shared" ca="1" si="553"/>
        <v>0</v>
      </c>
      <c r="P2736" s="30">
        <f t="shared" ca="1" si="554"/>
        <v>0</v>
      </c>
    </row>
    <row r="2737" spans="1:16" x14ac:dyDescent="0.25">
      <c r="A2737" s="3">
        <f t="shared" si="555"/>
        <v>49943</v>
      </c>
      <c r="B2737" s="21">
        <f t="shared" si="546"/>
        <v>36794</v>
      </c>
      <c r="C2737" s="21">
        <f t="shared" si="547"/>
        <v>36880</v>
      </c>
      <c r="D2737" s="1">
        <f t="shared" si="556"/>
        <v>0</v>
      </c>
      <c r="E2737" s="3">
        <f t="array" ref="E2737">INDEX($A$9:A2736, MAX(IF($D$9:D2736=1, ROW(D$9:$D2736)-ROW($D$9)+1, 0)))</f>
        <v>49940</v>
      </c>
      <c r="F2737" s="23">
        <f t="shared" si="548"/>
        <v>10.453114305270363</v>
      </c>
      <c r="G2737" s="5">
        <f>INDEX('Default Prob'!$P$5:$P$14,MIN(1+_xlfn.IFNA(MATCH(F2737,'Default Prob'!$F$5:$F$14,1),0),COUNT('Default Prob'!$P$5:$P$14)))</f>
        <v>8.0322462664562722E-2</v>
      </c>
      <c r="H2737" s="5">
        <f t="shared" si="557"/>
        <v>0.677067237123685</v>
      </c>
      <c r="I2737" s="24">
        <f t="shared" si="558"/>
        <v>1.489108503742731E-4</v>
      </c>
      <c r="J2737" s="25">
        <f>INDEX('Default Prob'!$C$3:$C$13, _xlfn.IFNA(MATCH(F2737, 'Default Prob'!$B$3:$B$13, 1), 1))</f>
        <v>2.5600000000000001E-2</v>
      </c>
      <c r="K2737" s="26">
        <f t="shared" si="549"/>
        <v>0.76779553796760136</v>
      </c>
      <c r="L2737" s="27">
        <f t="shared" ca="1" si="550"/>
        <v>0</v>
      </c>
      <c r="M2737" s="27">
        <f t="shared" ca="1" si="551"/>
        <v>0</v>
      </c>
      <c r="N2737" s="28">
        <f t="shared" ca="1" si="552"/>
        <v>0</v>
      </c>
      <c r="O2737" s="29">
        <f t="shared" ca="1" si="553"/>
        <v>0</v>
      </c>
      <c r="P2737" s="30">
        <f t="shared" ca="1" si="554"/>
        <v>0</v>
      </c>
    </row>
    <row r="2738" spans="1:16" x14ac:dyDescent="0.25">
      <c r="A2738" s="3">
        <f t="shared" si="555"/>
        <v>49944</v>
      </c>
      <c r="B2738" s="21">
        <f t="shared" si="546"/>
        <v>36795</v>
      </c>
      <c r="C2738" s="21">
        <f t="shared" si="547"/>
        <v>36880</v>
      </c>
      <c r="D2738" s="1">
        <f t="shared" si="556"/>
        <v>0</v>
      </c>
      <c r="E2738" s="3">
        <f t="array" ref="E2738">INDEX($A$9:A2737, MAX(IF($D$9:D2737=1, ROW(D$9:$D2737)-ROW($D$9)+1, 0)))</f>
        <v>49940</v>
      </c>
      <c r="F2738" s="23">
        <f t="shared" si="548"/>
        <v>10.455852156057494</v>
      </c>
      <c r="G2738" s="5">
        <f>INDEX('Default Prob'!$P$5:$P$14,MIN(1+_xlfn.IFNA(MATCH(F2738,'Default Prob'!$F$5:$F$14,1),0),COUNT('Default Prob'!$P$5:$P$14)))</f>
        <v>8.0322462664562722E-2</v>
      </c>
      <c r="H2738" s="5">
        <f t="shared" si="557"/>
        <v>0.67691835901683206</v>
      </c>
      <c r="I2738" s="24">
        <f t="shared" si="558"/>
        <v>1.4887810685293434E-4</v>
      </c>
      <c r="J2738" s="25">
        <f>INDEX('Default Prob'!$C$3:$C$13, _xlfn.IFNA(MATCH(F2738, 'Default Prob'!$B$3:$B$13, 1), 1))</f>
        <v>2.5600000000000001E-2</v>
      </c>
      <c r="K2738" s="26">
        <f t="shared" si="549"/>
        <v>0.76774240308466846</v>
      </c>
      <c r="L2738" s="27">
        <f t="shared" ca="1" si="550"/>
        <v>0</v>
      </c>
      <c r="M2738" s="27">
        <f t="shared" ca="1" si="551"/>
        <v>0</v>
      </c>
      <c r="N2738" s="28">
        <f t="shared" ca="1" si="552"/>
        <v>0</v>
      </c>
      <c r="O2738" s="29">
        <f t="shared" ca="1" si="553"/>
        <v>0</v>
      </c>
      <c r="P2738" s="30">
        <f t="shared" ca="1" si="554"/>
        <v>0</v>
      </c>
    </row>
    <row r="2739" spans="1:16" x14ac:dyDescent="0.25">
      <c r="A2739" s="3">
        <f t="shared" si="555"/>
        <v>49947</v>
      </c>
      <c r="B2739" s="21">
        <f t="shared" si="546"/>
        <v>36798</v>
      </c>
      <c r="C2739" s="21">
        <f t="shared" si="547"/>
        <v>36880</v>
      </c>
      <c r="D2739" s="1">
        <f t="shared" si="556"/>
        <v>0</v>
      </c>
      <c r="E2739" s="3">
        <f t="array" ref="E2739">INDEX($A$9:A2738, MAX(IF($D$9:D2738=1, ROW(D$9:$D2738)-ROW($D$9)+1, 0)))</f>
        <v>49940</v>
      </c>
      <c r="F2739" s="23">
        <f t="shared" si="548"/>
        <v>10.464065708418891</v>
      </c>
      <c r="G2739" s="5">
        <f>INDEX('Default Prob'!$P$5:$P$14,MIN(1+_xlfn.IFNA(MATCH(F2739,'Default Prob'!$F$5:$F$14,1),0),COUNT('Default Prob'!$P$5:$P$14)))</f>
        <v>8.0322462664562722E-2</v>
      </c>
      <c r="H2739" s="5">
        <f t="shared" si="557"/>
        <v>0.67647192108541021</v>
      </c>
      <c r="I2739" s="24">
        <f t="shared" si="558"/>
        <v>4.4643793142185029E-4</v>
      </c>
      <c r="J2739" s="25">
        <f>INDEX('Default Prob'!$C$3:$C$13, _xlfn.IFNA(MATCH(F2739, 'Default Prob'!$B$3:$B$13, 1), 1))</f>
        <v>2.5600000000000001E-2</v>
      </c>
      <c r="K2739" s="26">
        <f t="shared" si="549"/>
        <v>0.76758302049787985</v>
      </c>
      <c r="L2739" s="27">
        <f t="shared" ca="1" si="550"/>
        <v>0</v>
      </c>
      <c r="M2739" s="27">
        <f t="shared" ca="1" si="551"/>
        <v>0</v>
      </c>
      <c r="N2739" s="28">
        <f t="shared" ca="1" si="552"/>
        <v>0</v>
      </c>
      <c r="O2739" s="29">
        <f t="shared" ca="1" si="553"/>
        <v>0</v>
      </c>
      <c r="P2739" s="30">
        <f t="shared" ca="1" si="554"/>
        <v>0</v>
      </c>
    </row>
    <row r="2740" spans="1:16" x14ac:dyDescent="0.25">
      <c r="A2740" s="3">
        <f t="shared" si="555"/>
        <v>49948</v>
      </c>
      <c r="B2740" s="21">
        <f t="shared" si="546"/>
        <v>36799</v>
      </c>
      <c r="C2740" s="21">
        <f t="shared" si="547"/>
        <v>36880</v>
      </c>
      <c r="D2740" s="1">
        <f t="shared" si="556"/>
        <v>0</v>
      </c>
      <c r="E2740" s="3">
        <f t="array" ref="E2740">INDEX($A$9:A2739, MAX(IF($D$9:D2739=1, ROW(D$9:$D2739)-ROW($D$9)+1, 0)))</f>
        <v>49940</v>
      </c>
      <c r="F2740" s="23">
        <f t="shared" si="548"/>
        <v>10.466803559206022</v>
      </c>
      <c r="G2740" s="5">
        <f>INDEX('Default Prob'!$P$5:$P$14,MIN(1+_xlfn.IFNA(MATCH(F2740,'Default Prob'!$F$5:$F$14,1),0),COUNT('Default Prob'!$P$5:$P$14)))</f>
        <v>8.0322462664562722E-2</v>
      </c>
      <c r="H2740" s="5">
        <f t="shared" si="557"/>
        <v>0.67632317388065966</v>
      </c>
      <c r="I2740" s="24">
        <f t="shared" si="558"/>
        <v>1.4874720475055447E-4</v>
      </c>
      <c r="J2740" s="25">
        <f>INDEX('Default Prob'!$C$3:$C$13, _xlfn.IFNA(MATCH(F2740, 'Default Prob'!$B$3:$B$13, 1), 1))</f>
        <v>2.5600000000000001E-2</v>
      </c>
      <c r="K2740" s="26">
        <f t="shared" si="549"/>
        <v>0.76752990032210555</v>
      </c>
      <c r="L2740" s="27">
        <f t="shared" ca="1" si="550"/>
        <v>0</v>
      </c>
      <c r="M2740" s="27">
        <f t="shared" ca="1" si="551"/>
        <v>0</v>
      </c>
      <c r="N2740" s="28">
        <f t="shared" ca="1" si="552"/>
        <v>0</v>
      </c>
      <c r="O2740" s="29">
        <f t="shared" ca="1" si="553"/>
        <v>0</v>
      </c>
      <c r="P2740" s="30">
        <f t="shared" ca="1" si="554"/>
        <v>0</v>
      </c>
    </row>
    <row r="2741" spans="1:16" x14ac:dyDescent="0.25">
      <c r="A2741" s="3">
        <f t="shared" si="555"/>
        <v>49949</v>
      </c>
      <c r="B2741" s="21">
        <f t="shared" si="546"/>
        <v>36800</v>
      </c>
      <c r="C2741" s="21">
        <f t="shared" si="547"/>
        <v>36880</v>
      </c>
      <c r="D2741" s="1">
        <f t="shared" si="556"/>
        <v>0</v>
      </c>
      <c r="E2741" s="3">
        <f t="array" ref="E2741">INDEX($A$9:A2740, MAX(IF($D$9:D2740=1, ROW(D$9:$D2740)-ROW($D$9)+1, 0)))</f>
        <v>49940</v>
      </c>
      <c r="F2741" s="23">
        <f t="shared" si="548"/>
        <v>10.469541409993155</v>
      </c>
      <c r="G2741" s="5">
        <f>INDEX('Default Prob'!$P$5:$P$14,MIN(1+_xlfn.IFNA(MATCH(F2741,'Default Prob'!$F$5:$F$14,1),0),COUNT('Default Prob'!$P$5:$P$14)))</f>
        <v>8.0322462664562722E-2</v>
      </c>
      <c r="H2741" s="5">
        <f t="shared" si="557"/>
        <v>0.67617445938344678</v>
      </c>
      <c r="I2741" s="24">
        <f t="shared" si="558"/>
        <v>1.4871449721287622E-4</v>
      </c>
      <c r="J2741" s="25">
        <f>INDEX('Default Prob'!$C$3:$C$13, _xlfn.IFNA(MATCH(F2741, 'Default Prob'!$B$3:$B$13, 1), 1))</f>
        <v>2.5600000000000001E-2</v>
      </c>
      <c r="K2741" s="26">
        <f t="shared" si="549"/>
        <v>0.76747678382248485</v>
      </c>
      <c r="L2741" s="27">
        <f t="shared" ca="1" si="550"/>
        <v>0</v>
      </c>
      <c r="M2741" s="27">
        <f t="shared" ca="1" si="551"/>
        <v>0</v>
      </c>
      <c r="N2741" s="28">
        <f t="shared" ca="1" si="552"/>
        <v>0</v>
      </c>
      <c r="O2741" s="29">
        <f t="shared" ca="1" si="553"/>
        <v>0</v>
      </c>
      <c r="P2741" s="30">
        <f t="shared" ca="1" si="554"/>
        <v>0</v>
      </c>
    </row>
    <row r="2742" spans="1:16" x14ac:dyDescent="0.25">
      <c r="A2742" s="3">
        <f t="shared" si="555"/>
        <v>49950</v>
      </c>
      <c r="B2742" s="21">
        <f t="shared" si="546"/>
        <v>36801</v>
      </c>
      <c r="C2742" s="21">
        <f t="shared" si="547"/>
        <v>36880</v>
      </c>
      <c r="D2742" s="1">
        <f t="shared" si="556"/>
        <v>0</v>
      </c>
      <c r="E2742" s="3">
        <f t="array" ref="E2742">INDEX($A$9:A2741, MAX(IF($D$9:D2741=1, ROW(D$9:$D2741)-ROW($D$9)+1, 0)))</f>
        <v>49940</v>
      </c>
      <c r="F2742" s="23">
        <f t="shared" si="548"/>
        <v>10.472279260780287</v>
      </c>
      <c r="G2742" s="5">
        <f>INDEX('Default Prob'!$P$5:$P$14,MIN(1+_xlfn.IFNA(MATCH(F2742,'Default Prob'!$F$5:$F$14,1),0),COUNT('Default Prob'!$P$5:$P$14)))</f>
        <v>8.0322462664562722E-2</v>
      </c>
      <c r="H2742" s="5">
        <f t="shared" si="557"/>
        <v>0.67602577758657978</v>
      </c>
      <c r="I2742" s="24">
        <f t="shared" si="558"/>
        <v>1.4868179686700067E-4</v>
      </c>
      <c r="J2742" s="25">
        <f>INDEX('Default Prob'!$C$3:$C$13, _xlfn.IFNA(MATCH(F2742, 'Default Prob'!$B$3:$B$13, 1), 1))</f>
        <v>2.5600000000000001E-2</v>
      </c>
      <c r="K2742" s="26">
        <f t="shared" si="549"/>
        <v>0.76742367099876341</v>
      </c>
      <c r="L2742" s="27">
        <f t="shared" ca="1" si="550"/>
        <v>0</v>
      </c>
      <c r="M2742" s="27">
        <f t="shared" ca="1" si="551"/>
        <v>0</v>
      </c>
      <c r="N2742" s="28">
        <f t="shared" ca="1" si="552"/>
        <v>0</v>
      </c>
      <c r="O2742" s="29">
        <f t="shared" ca="1" si="553"/>
        <v>0</v>
      </c>
      <c r="P2742" s="30">
        <f t="shared" ca="1" si="554"/>
        <v>0</v>
      </c>
    </row>
    <row r="2743" spans="1:16" x14ac:dyDescent="0.25">
      <c r="A2743" s="3">
        <f t="shared" si="555"/>
        <v>49951</v>
      </c>
      <c r="B2743" s="21">
        <f t="shared" si="546"/>
        <v>36802</v>
      </c>
      <c r="C2743" s="21">
        <f t="shared" si="547"/>
        <v>36880</v>
      </c>
      <c r="D2743" s="1">
        <f t="shared" si="556"/>
        <v>0</v>
      </c>
      <c r="E2743" s="3">
        <f t="array" ref="E2743">INDEX($A$9:A2742, MAX(IF($D$9:D2742=1, ROW(D$9:$D2742)-ROW($D$9)+1, 0)))</f>
        <v>49940</v>
      </c>
      <c r="F2743" s="23">
        <f t="shared" si="548"/>
        <v>10.47501711156742</v>
      </c>
      <c r="G2743" s="5">
        <f>INDEX('Default Prob'!$P$5:$P$14,MIN(1+_xlfn.IFNA(MATCH(F2743,'Default Prob'!$F$5:$F$14,1),0),COUNT('Default Prob'!$P$5:$P$14)))</f>
        <v>8.0322462664562722E-2</v>
      </c>
      <c r="H2743" s="5">
        <f t="shared" si="557"/>
        <v>0.67587712848286818</v>
      </c>
      <c r="I2743" s="24">
        <f t="shared" si="558"/>
        <v>1.4864910371159556E-4</v>
      </c>
      <c r="J2743" s="25">
        <f>INDEX('Default Prob'!$C$3:$C$13, _xlfn.IFNA(MATCH(F2743, 'Default Prob'!$B$3:$B$13, 1), 1))</f>
        <v>2.5600000000000001E-2</v>
      </c>
      <c r="K2743" s="26">
        <f t="shared" si="549"/>
        <v>0.76737056185068675</v>
      </c>
      <c r="L2743" s="27">
        <f t="shared" ca="1" si="550"/>
        <v>0</v>
      </c>
      <c r="M2743" s="27">
        <f t="shared" ca="1" si="551"/>
        <v>0</v>
      </c>
      <c r="N2743" s="28">
        <f t="shared" ca="1" si="552"/>
        <v>0</v>
      </c>
      <c r="O2743" s="29">
        <f t="shared" ca="1" si="553"/>
        <v>0</v>
      </c>
      <c r="P2743" s="30">
        <f t="shared" ca="1" si="554"/>
        <v>0</v>
      </c>
    </row>
    <row r="2744" spans="1:16" x14ac:dyDescent="0.25">
      <c r="A2744" s="3">
        <f t="shared" si="555"/>
        <v>49954</v>
      </c>
      <c r="B2744" s="21">
        <f t="shared" si="546"/>
        <v>36805</v>
      </c>
      <c r="C2744" s="21">
        <f t="shared" si="547"/>
        <v>36880</v>
      </c>
      <c r="D2744" s="1">
        <f t="shared" si="556"/>
        <v>0</v>
      </c>
      <c r="E2744" s="3">
        <f t="array" ref="E2744">INDEX($A$9:A2743, MAX(IF($D$9:D2743=1, ROW(D$9:$D2743)-ROW($D$9)+1, 0)))</f>
        <v>49940</v>
      </c>
      <c r="F2744" s="23">
        <f t="shared" si="548"/>
        <v>10.483230663928817</v>
      </c>
      <c r="G2744" s="5">
        <f>INDEX('Default Prob'!$P$5:$P$14,MIN(1+_xlfn.IFNA(MATCH(F2744,'Default Prob'!$F$5:$F$14,1),0),COUNT('Default Prob'!$P$5:$P$14)))</f>
        <v>8.0322462664562722E-2</v>
      </c>
      <c r="H2744" s="5">
        <f t="shared" si="557"/>
        <v>0.67543137725878633</v>
      </c>
      <c r="I2744" s="24">
        <f t="shared" si="558"/>
        <v>4.4575122408185841E-4</v>
      </c>
      <c r="J2744" s="25">
        <f>INDEX('Default Prob'!$C$3:$C$13, _xlfn.IFNA(MATCH(F2744, 'Default Prob'!$B$3:$B$13, 1), 1))</f>
        <v>2.5600000000000001E-2</v>
      </c>
      <c r="K2744" s="26">
        <f t="shared" si="549"/>
        <v>0.76721125645778177</v>
      </c>
      <c r="L2744" s="27">
        <f t="shared" ca="1" si="550"/>
        <v>0</v>
      </c>
      <c r="M2744" s="27">
        <f t="shared" ca="1" si="551"/>
        <v>0</v>
      </c>
      <c r="N2744" s="28">
        <f t="shared" ca="1" si="552"/>
        <v>0</v>
      </c>
      <c r="O2744" s="29">
        <f t="shared" ca="1" si="553"/>
        <v>0</v>
      </c>
      <c r="P2744" s="30">
        <f t="shared" ca="1" si="554"/>
        <v>0</v>
      </c>
    </row>
    <row r="2745" spans="1:16" x14ac:dyDescent="0.25">
      <c r="A2745" s="3">
        <f t="shared" si="555"/>
        <v>49955</v>
      </c>
      <c r="B2745" s="21">
        <f t="shared" si="546"/>
        <v>36806</v>
      </c>
      <c r="C2745" s="21">
        <f t="shared" si="547"/>
        <v>36880</v>
      </c>
      <c r="D2745" s="1">
        <f t="shared" si="556"/>
        <v>0</v>
      </c>
      <c r="E2745" s="3">
        <f t="array" ref="E2745">INDEX($A$9:A2744, MAX(IF($D$9:D2744=1, ROW(D$9:$D2744)-ROW($D$9)+1, 0)))</f>
        <v>49940</v>
      </c>
      <c r="F2745" s="23">
        <f t="shared" si="548"/>
        <v>10.485968514715948</v>
      </c>
      <c r="G2745" s="5">
        <f>INDEX('Default Prob'!$P$5:$P$14,MIN(1+_xlfn.IFNA(MATCH(F2745,'Default Prob'!$F$5:$F$14,1),0),COUNT('Default Prob'!$P$5:$P$14)))</f>
        <v>8.0322462664562722E-2</v>
      </c>
      <c r="H2745" s="5">
        <f t="shared" si="557"/>
        <v>0.67528285885582462</v>
      </c>
      <c r="I2745" s="24">
        <f t="shared" si="558"/>
        <v>1.4851840296170593E-4</v>
      </c>
      <c r="J2745" s="25">
        <f>INDEX('Default Prob'!$C$3:$C$13, _xlfn.IFNA(MATCH(F2745, 'Default Prob'!$B$3:$B$13, 1), 1))</f>
        <v>2.5600000000000001E-2</v>
      </c>
      <c r="K2745" s="26">
        <f t="shared" si="549"/>
        <v>0.76715816200974096</v>
      </c>
      <c r="L2745" s="27">
        <f t="shared" ca="1" si="550"/>
        <v>0</v>
      </c>
      <c r="M2745" s="27">
        <f t="shared" ca="1" si="551"/>
        <v>0</v>
      </c>
      <c r="N2745" s="28">
        <f t="shared" ca="1" si="552"/>
        <v>0</v>
      </c>
      <c r="O2745" s="29">
        <f t="shared" ca="1" si="553"/>
        <v>0</v>
      </c>
      <c r="P2745" s="30">
        <f t="shared" ca="1" si="554"/>
        <v>0</v>
      </c>
    </row>
    <row r="2746" spans="1:16" x14ac:dyDescent="0.25">
      <c r="A2746" s="3">
        <f t="shared" si="555"/>
        <v>49956</v>
      </c>
      <c r="B2746" s="21">
        <f t="shared" si="546"/>
        <v>36807</v>
      </c>
      <c r="C2746" s="21">
        <f t="shared" si="547"/>
        <v>36880</v>
      </c>
      <c r="D2746" s="1">
        <f t="shared" si="556"/>
        <v>0</v>
      </c>
      <c r="E2746" s="3">
        <f t="array" ref="E2746">INDEX($A$9:A2745, MAX(IF($D$9:D2745=1, ROW(D$9:$D2745)-ROW($D$9)+1, 0)))</f>
        <v>49940</v>
      </c>
      <c r="F2746" s="23">
        <f t="shared" si="548"/>
        <v>10.488706365503081</v>
      </c>
      <c r="G2746" s="5">
        <f>INDEX('Default Prob'!$P$5:$P$14,MIN(1+_xlfn.IFNA(MATCH(F2746,'Default Prob'!$F$5:$F$14,1),0),COUNT('Default Prob'!$P$5:$P$14)))</f>
        <v>8.0322462664562722E-2</v>
      </c>
      <c r="H2746" s="5">
        <f t="shared" si="557"/>
        <v>0.67513437311009006</v>
      </c>
      <c r="I2746" s="24">
        <f t="shared" si="558"/>
        <v>1.4848574573456119E-4</v>
      </c>
      <c r="J2746" s="25">
        <f>INDEX('Default Prob'!$C$3:$C$13, _xlfn.IFNA(MATCH(F2746, 'Default Prob'!$B$3:$B$13, 1), 1))</f>
        <v>2.5600000000000001E-2</v>
      </c>
      <c r="K2746" s="26">
        <f t="shared" si="549"/>
        <v>0.76710507123607297</v>
      </c>
      <c r="L2746" s="27">
        <f t="shared" ca="1" si="550"/>
        <v>0</v>
      </c>
      <c r="M2746" s="27">
        <f t="shared" ca="1" si="551"/>
        <v>0</v>
      </c>
      <c r="N2746" s="28">
        <f t="shared" ca="1" si="552"/>
        <v>0</v>
      </c>
      <c r="O2746" s="29">
        <f t="shared" ca="1" si="553"/>
        <v>0</v>
      </c>
      <c r="P2746" s="30">
        <f t="shared" ca="1" si="554"/>
        <v>0</v>
      </c>
    </row>
    <row r="2747" spans="1:16" x14ac:dyDescent="0.25">
      <c r="A2747" s="3">
        <f t="shared" si="555"/>
        <v>49957</v>
      </c>
      <c r="B2747" s="21">
        <f t="shared" si="546"/>
        <v>36808</v>
      </c>
      <c r="C2747" s="21">
        <f t="shared" si="547"/>
        <v>36880</v>
      </c>
      <c r="D2747" s="1">
        <f t="shared" si="556"/>
        <v>0</v>
      </c>
      <c r="E2747" s="3">
        <f t="array" ref="E2747">INDEX($A$9:A2746, MAX(IF($D$9:D2746=1, ROW(D$9:$D2746)-ROW($D$9)+1, 0)))</f>
        <v>49940</v>
      </c>
      <c r="F2747" s="23">
        <f t="shared" si="548"/>
        <v>10.491444216290212</v>
      </c>
      <c r="G2747" s="5">
        <f>INDEX('Default Prob'!$P$5:$P$14,MIN(1+_xlfn.IFNA(MATCH(F2747,'Default Prob'!$F$5:$F$14,1),0),COUNT('Default Prob'!$P$5:$P$14)))</f>
        <v>8.0322462664562722E-2</v>
      </c>
      <c r="H2747" s="5">
        <f t="shared" si="557"/>
        <v>0.67498592001440205</v>
      </c>
      <c r="I2747" s="24">
        <f t="shared" si="558"/>
        <v>1.4845309568800591E-4</v>
      </c>
      <c r="J2747" s="25">
        <f>INDEX('Default Prob'!$C$3:$C$13, _xlfn.IFNA(MATCH(F2747, 'Default Prob'!$B$3:$B$13, 1), 1))</f>
        <v>2.5600000000000001E-2</v>
      </c>
      <c r="K2747" s="26">
        <f t="shared" si="549"/>
        <v>0.76705198413652376</v>
      </c>
      <c r="L2747" s="27">
        <f t="shared" ca="1" si="550"/>
        <v>0</v>
      </c>
      <c r="M2747" s="27">
        <f t="shared" ca="1" si="551"/>
        <v>0</v>
      </c>
      <c r="N2747" s="28">
        <f t="shared" ca="1" si="552"/>
        <v>0</v>
      </c>
      <c r="O2747" s="29">
        <f t="shared" ca="1" si="553"/>
        <v>0</v>
      </c>
      <c r="P2747" s="30">
        <f t="shared" ca="1" si="554"/>
        <v>0</v>
      </c>
    </row>
    <row r="2748" spans="1:16" x14ac:dyDescent="0.25">
      <c r="A2748" s="3">
        <f t="shared" si="555"/>
        <v>49958</v>
      </c>
      <c r="B2748" s="21">
        <f t="shared" si="546"/>
        <v>36809</v>
      </c>
      <c r="C2748" s="21">
        <f t="shared" si="547"/>
        <v>36880</v>
      </c>
      <c r="D2748" s="1">
        <f t="shared" si="556"/>
        <v>0</v>
      </c>
      <c r="E2748" s="3">
        <f t="array" ref="E2748">INDEX($A$9:A2747, MAX(IF($D$9:D2747=1, ROW(D$9:$D2747)-ROW($D$9)+1, 0)))</f>
        <v>49940</v>
      </c>
      <c r="F2748" s="23">
        <f t="shared" si="548"/>
        <v>10.494182067077345</v>
      </c>
      <c r="G2748" s="5">
        <f>INDEX('Default Prob'!$P$5:$P$14,MIN(1+_xlfn.IFNA(MATCH(F2748,'Default Prob'!$F$5:$F$14,1),0),COUNT('Default Prob'!$P$5:$P$14)))</f>
        <v>8.0322462664562722E-2</v>
      </c>
      <c r="H2748" s="5">
        <f t="shared" si="557"/>
        <v>0.67483749956158101</v>
      </c>
      <c r="I2748" s="24">
        <f t="shared" si="558"/>
        <v>1.4842045282104088E-4</v>
      </c>
      <c r="J2748" s="25">
        <f>INDEX('Default Prob'!$C$3:$C$13, _xlfn.IFNA(MATCH(F2748, 'Default Prob'!$B$3:$B$13, 1), 1))</f>
        <v>2.5600000000000001E-2</v>
      </c>
      <c r="K2748" s="26">
        <f t="shared" si="549"/>
        <v>0.76699890071083932</v>
      </c>
      <c r="L2748" s="27">
        <f t="shared" ca="1" si="550"/>
        <v>0</v>
      </c>
      <c r="M2748" s="27">
        <f t="shared" ca="1" si="551"/>
        <v>0</v>
      </c>
      <c r="N2748" s="28">
        <f t="shared" ca="1" si="552"/>
        <v>0</v>
      </c>
      <c r="O2748" s="29">
        <f t="shared" ca="1" si="553"/>
        <v>0</v>
      </c>
      <c r="P2748" s="30">
        <f t="shared" ca="1" si="554"/>
        <v>0</v>
      </c>
    </row>
    <row r="2749" spans="1:16" x14ac:dyDescent="0.25">
      <c r="A2749" s="3">
        <f t="shared" si="555"/>
        <v>49961</v>
      </c>
      <c r="B2749" s="21">
        <f t="shared" si="546"/>
        <v>36812</v>
      </c>
      <c r="C2749" s="21">
        <f t="shared" si="547"/>
        <v>36880</v>
      </c>
      <c r="D2749" s="1">
        <f t="shared" si="556"/>
        <v>0</v>
      </c>
      <c r="E2749" s="3">
        <f t="array" ref="E2749">INDEX($A$9:A2748, MAX(IF($D$9:D2748=1, ROW(D$9:$D2748)-ROW($D$9)+1, 0)))</f>
        <v>49940</v>
      </c>
      <c r="F2749" s="23">
        <f t="shared" si="548"/>
        <v>10.50239561943874</v>
      </c>
      <c r="G2749" s="5">
        <f>INDEX('Default Prob'!$P$5:$P$14,MIN(1+_xlfn.IFNA(MATCH(F2749,'Default Prob'!$F$5:$F$14,1),0),COUNT('Default Prob'!$P$5:$P$14)))</f>
        <v>8.0322462664562722E-2</v>
      </c>
      <c r="H2749" s="5">
        <f t="shared" si="557"/>
        <v>0.67439243398855142</v>
      </c>
      <c r="I2749" s="24">
        <f t="shared" si="558"/>
        <v>4.4506557302959049E-4</v>
      </c>
      <c r="J2749" s="25">
        <f>INDEX('Default Prob'!$C$3:$C$13, _xlfn.IFNA(MATCH(F2749, 'Default Prob'!$B$3:$B$13, 1), 1))</f>
        <v>2.5600000000000001E-2</v>
      </c>
      <c r="K2749" s="26">
        <f t="shared" si="549"/>
        <v>0.76683967247443074</v>
      </c>
      <c r="L2749" s="27">
        <f t="shared" ca="1" si="550"/>
        <v>0</v>
      </c>
      <c r="M2749" s="27">
        <f t="shared" ca="1" si="551"/>
        <v>0</v>
      </c>
      <c r="N2749" s="28">
        <f t="shared" ca="1" si="552"/>
        <v>0</v>
      </c>
      <c r="O2749" s="29">
        <f t="shared" ca="1" si="553"/>
        <v>0</v>
      </c>
      <c r="P2749" s="30">
        <f t="shared" ca="1" si="554"/>
        <v>0</v>
      </c>
    </row>
    <row r="2750" spans="1:16" x14ac:dyDescent="0.25">
      <c r="A2750" s="3">
        <f t="shared" si="555"/>
        <v>49962</v>
      </c>
      <c r="B2750" s="21">
        <f t="shared" si="546"/>
        <v>36813</v>
      </c>
      <c r="C2750" s="21">
        <f t="shared" si="547"/>
        <v>36880</v>
      </c>
      <c r="D2750" s="1">
        <f t="shared" si="556"/>
        <v>0</v>
      </c>
      <c r="E2750" s="3">
        <f t="array" ref="E2750">INDEX($A$9:A2749, MAX(IF($D$9:D2749=1, ROW(D$9:$D2749)-ROW($D$9)+1, 0)))</f>
        <v>49940</v>
      </c>
      <c r="F2750" s="23">
        <f t="shared" si="548"/>
        <v>10.505133470225873</v>
      </c>
      <c r="G2750" s="5">
        <f>INDEX('Default Prob'!$P$5:$P$14,MIN(1+_xlfn.IFNA(MATCH(F2750,'Default Prob'!$F$5:$F$14,1),0),COUNT('Default Prob'!$P$5:$P$14)))</f>
        <v>8.0322462664562722E-2</v>
      </c>
      <c r="H2750" s="5">
        <f t="shared" si="557"/>
        <v>0.67424414403543731</v>
      </c>
      <c r="I2750" s="24">
        <f t="shared" si="558"/>
        <v>1.4828995311411131E-4</v>
      </c>
      <c r="J2750" s="25">
        <f>INDEX('Default Prob'!$C$3:$C$13, _xlfn.IFNA(MATCH(F2750, 'Default Prob'!$B$3:$B$13, 1), 1))</f>
        <v>2.5600000000000001E-2</v>
      </c>
      <c r="K2750" s="26">
        <f t="shared" si="549"/>
        <v>0.76678660374166208</v>
      </c>
      <c r="L2750" s="27">
        <f t="shared" ca="1" si="550"/>
        <v>0</v>
      </c>
      <c r="M2750" s="27">
        <f t="shared" ca="1" si="551"/>
        <v>0</v>
      </c>
      <c r="N2750" s="28">
        <f t="shared" ca="1" si="552"/>
        <v>0</v>
      </c>
      <c r="O2750" s="29">
        <f t="shared" ca="1" si="553"/>
        <v>0</v>
      </c>
      <c r="P2750" s="30">
        <f t="shared" ca="1" si="554"/>
        <v>0</v>
      </c>
    </row>
    <row r="2751" spans="1:16" x14ac:dyDescent="0.25">
      <c r="A2751" s="3">
        <f t="shared" si="555"/>
        <v>49963</v>
      </c>
      <c r="B2751" s="21">
        <f t="shared" si="546"/>
        <v>36814</v>
      </c>
      <c r="C2751" s="21">
        <f t="shared" si="547"/>
        <v>36880</v>
      </c>
      <c r="D2751" s="1">
        <f t="shared" si="556"/>
        <v>0</v>
      </c>
      <c r="E2751" s="3">
        <f t="array" ref="E2751">INDEX($A$9:A2750, MAX(IF($D$9:D2750=1, ROW(D$9:$D2750)-ROW($D$9)+1, 0)))</f>
        <v>49940</v>
      </c>
      <c r="F2751" s="23">
        <f t="shared" si="548"/>
        <v>10.507871321013004</v>
      </c>
      <c r="G2751" s="5">
        <f>INDEX('Default Prob'!$P$5:$P$14,MIN(1+_xlfn.IFNA(MATCH(F2751,'Default Prob'!$F$5:$F$14,1),0),COUNT('Default Prob'!$P$5:$P$14)))</f>
        <v>8.0322462664562722E-2</v>
      </c>
      <c r="H2751" s="5">
        <f t="shared" si="557"/>
        <v>0.67409588668931752</v>
      </c>
      <c r="I2751" s="24">
        <f t="shared" si="558"/>
        <v>1.4825734611978447E-4</v>
      </c>
      <c r="J2751" s="25">
        <f>INDEX('Default Prob'!$C$3:$C$13, _xlfn.IFNA(MATCH(F2751, 'Default Prob'!$B$3:$B$13, 1), 1))</f>
        <v>2.5600000000000001E-2</v>
      </c>
      <c r="K2751" s="26">
        <f t="shared" si="549"/>
        <v>0.76673353868148708</v>
      </c>
      <c r="L2751" s="27">
        <f t="shared" ca="1" si="550"/>
        <v>0</v>
      </c>
      <c r="M2751" s="27">
        <f t="shared" ca="1" si="551"/>
        <v>0</v>
      </c>
      <c r="N2751" s="28">
        <f t="shared" ca="1" si="552"/>
        <v>0</v>
      </c>
      <c r="O2751" s="29">
        <f t="shared" ca="1" si="553"/>
        <v>0</v>
      </c>
      <c r="P2751" s="30">
        <f t="shared" ca="1" si="554"/>
        <v>0</v>
      </c>
    </row>
    <row r="2752" spans="1:16" x14ac:dyDescent="0.25">
      <c r="A2752" s="3">
        <f t="shared" si="555"/>
        <v>49964</v>
      </c>
      <c r="B2752" s="21">
        <f t="shared" si="546"/>
        <v>36815</v>
      </c>
      <c r="C2752" s="21">
        <f t="shared" si="547"/>
        <v>36880</v>
      </c>
      <c r="D2752" s="1">
        <f t="shared" si="556"/>
        <v>0</v>
      </c>
      <c r="E2752" s="3">
        <f t="array" ref="E2752">INDEX($A$9:A2751, MAX(IF($D$9:D2751=1, ROW(D$9:$D2751)-ROW($D$9)+1, 0)))</f>
        <v>49940</v>
      </c>
      <c r="F2752" s="23">
        <f t="shared" si="548"/>
        <v>10.510609171800137</v>
      </c>
      <c r="G2752" s="5">
        <f>INDEX('Default Prob'!$P$5:$P$14,MIN(1+_xlfn.IFNA(MATCH(F2752,'Default Prob'!$F$5:$F$14,1),0),COUNT('Default Prob'!$P$5:$P$14)))</f>
        <v>8.0322462664562722E-2</v>
      </c>
      <c r="H2752" s="5">
        <f t="shared" si="557"/>
        <v>0.67394766194302202</v>
      </c>
      <c r="I2752" s="24">
        <f t="shared" si="558"/>
        <v>1.4822474629549998E-4</v>
      </c>
      <c r="J2752" s="25">
        <f>INDEX('Default Prob'!$C$3:$C$13, _xlfn.IFNA(MATCH(F2752, 'Default Prob'!$B$3:$B$13, 1), 1))</f>
        <v>2.5600000000000001E-2</v>
      </c>
      <c r="K2752" s="26">
        <f t="shared" si="549"/>
        <v>0.7666804772936513</v>
      </c>
      <c r="L2752" s="27">
        <f t="shared" ca="1" si="550"/>
        <v>0</v>
      </c>
      <c r="M2752" s="27">
        <f t="shared" ca="1" si="551"/>
        <v>0</v>
      </c>
      <c r="N2752" s="28">
        <f t="shared" ca="1" si="552"/>
        <v>0</v>
      </c>
      <c r="O2752" s="29">
        <f t="shared" ca="1" si="553"/>
        <v>0</v>
      </c>
      <c r="P2752" s="30">
        <f t="shared" ca="1" si="554"/>
        <v>0</v>
      </c>
    </row>
    <row r="2753" spans="1:16" x14ac:dyDescent="0.25">
      <c r="A2753" s="3">
        <f t="shared" si="555"/>
        <v>49965</v>
      </c>
      <c r="B2753" s="21">
        <f t="shared" si="546"/>
        <v>36816</v>
      </c>
      <c r="C2753" s="21">
        <f t="shared" si="547"/>
        <v>36880</v>
      </c>
      <c r="D2753" s="1">
        <f t="shared" si="556"/>
        <v>0</v>
      </c>
      <c r="E2753" s="3">
        <f t="array" ref="E2753">INDEX($A$9:A2752, MAX(IF($D$9:D2752=1, ROW(D$9:$D2752)-ROW($D$9)+1, 0)))</f>
        <v>49940</v>
      </c>
      <c r="F2753" s="23">
        <f t="shared" si="548"/>
        <v>10.513347022587268</v>
      </c>
      <c r="G2753" s="5">
        <f>INDEX('Default Prob'!$P$5:$P$14,MIN(1+_xlfn.IFNA(MATCH(F2753,'Default Prob'!$F$5:$F$14,1),0),COUNT('Default Prob'!$P$5:$P$14)))</f>
        <v>8.0322462664562722E-2</v>
      </c>
      <c r="H2753" s="5">
        <f t="shared" si="557"/>
        <v>0.67379946978938265</v>
      </c>
      <c r="I2753" s="24">
        <f t="shared" si="558"/>
        <v>1.4819215363937044E-4</v>
      </c>
      <c r="J2753" s="25">
        <f>INDEX('Default Prob'!$C$3:$C$13, _xlfn.IFNA(MATCH(F2753, 'Default Prob'!$B$3:$B$13, 1), 1))</f>
        <v>2.5600000000000001E-2</v>
      </c>
      <c r="K2753" s="26">
        <f t="shared" si="549"/>
        <v>0.76662741957790081</v>
      </c>
      <c r="L2753" s="27">
        <f t="shared" ca="1" si="550"/>
        <v>0</v>
      </c>
      <c r="M2753" s="27">
        <f t="shared" ca="1" si="551"/>
        <v>0</v>
      </c>
      <c r="N2753" s="28">
        <f t="shared" ca="1" si="552"/>
        <v>0</v>
      </c>
      <c r="O2753" s="29">
        <f t="shared" ca="1" si="553"/>
        <v>0</v>
      </c>
      <c r="P2753" s="30">
        <f t="shared" ca="1" si="554"/>
        <v>0</v>
      </c>
    </row>
    <row r="2754" spans="1:16" x14ac:dyDescent="0.25">
      <c r="A2754" s="3">
        <f t="shared" si="555"/>
        <v>49968</v>
      </c>
      <c r="B2754" s="21">
        <f t="shared" si="546"/>
        <v>36819</v>
      </c>
      <c r="C2754" s="21">
        <f t="shared" si="547"/>
        <v>36880</v>
      </c>
      <c r="D2754" s="1">
        <f t="shared" si="556"/>
        <v>0</v>
      </c>
      <c r="E2754" s="3">
        <f t="array" ref="E2754">INDEX($A$9:A2753, MAX(IF($D$9:D2753=1, ROW(D$9:$D2753)-ROW($D$9)+1, 0)))</f>
        <v>49940</v>
      </c>
      <c r="F2754" s="23">
        <f t="shared" si="548"/>
        <v>10.521560574948666</v>
      </c>
      <c r="G2754" s="5">
        <f>INDEX('Default Prob'!$P$5:$P$14,MIN(1+_xlfn.IFNA(MATCH(F2754,'Default Prob'!$F$5:$F$14,1),0),COUNT('Default Prob'!$P$5:$P$14)))</f>
        <v>8.0322462664562722E-2</v>
      </c>
      <c r="H2754" s="5">
        <f t="shared" si="557"/>
        <v>0.67335508881274198</v>
      </c>
      <c r="I2754" s="24">
        <f t="shared" si="558"/>
        <v>4.4438097664067921E-4</v>
      </c>
      <c r="J2754" s="25">
        <f>INDEX('Default Prob'!$C$3:$C$13, _xlfn.IFNA(MATCH(F2754, 'Default Prob'!$B$3:$B$13, 1), 1))</f>
        <v>2.5600000000000001E-2</v>
      </c>
      <c r="K2754" s="26">
        <f t="shared" si="549"/>
        <v>0.76646826846061922</v>
      </c>
      <c r="L2754" s="27">
        <f t="shared" ca="1" si="550"/>
        <v>0</v>
      </c>
      <c r="M2754" s="27">
        <f t="shared" ca="1" si="551"/>
        <v>0</v>
      </c>
      <c r="N2754" s="28">
        <f t="shared" ca="1" si="552"/>
        <v>0</v>
      </c>
      <c r="O2754" s="29">
        <f t="shared" ca="1" si="553"/>
        <v>0</v>
      </c>
      <c r="P2754" s="30">
        <f t="shared" ca="1" si="554"/>
        <v>0</v>
      </c>
    </row>
    <row r="2755" spans="1:16" x14ac:dyDescent="0.25">
      <c r="A2755" s="3">
        <f t="shared" si="555"/>
        <v>49969</v>
      </c>
      <c r="B2755" s="21">
        <f t="shared" si="546"/>
        <v>36820</v>
      </c>
      <c r="C2755" s="21">
        <f t="shared" si="547"/>
        <v>36880</v>
      </c>
      <c r="D2755" s="1">
        <f t="shared" si="556"/>
        <v>0</v>
      </c>
      <c r="E2755" s="3">
        <f t="array" ref="E2755">INDEX($A$9:A2754, MAX(IF($D$9:D2754=1, ROW(D$9:$D2754)-ROW($D$9)+1, 0)))</f>
        <v>49940</v>
      </c>
      <c r="F2755" s="23">
        <f t="shared" si="548"/>
        <v>10.524298425735797</v>
      </c>
      <c r="G2755" s="5">
        <f>INDEX('Default Prob'!$P$5:$P$14,MIN(1+_xlfn.IFNA(MATCH(F2755,'Default Prob'!$F$5:$F$14,1),0),COUNT('Default Prob'!$P$5:$P$14)))</f>
        <v>8.0322462664562722E-2</v>
      </c>
      <c r="H2755" s="5">
        <f t="shared" si="557"/>
        <v>0.67320702695807588</v>
      </c>
      <c r="I2755" s="24">
        <f t="shared" si="558"/>
        <v>1.4806185466609278E-4</v>
      </c>
      <c r="J2755" s="25">
        <f>INDEX('Default Prob'!$C$3:$C$13, _xlfn.IFNA(MATCH(F2755, 'Default Prob'!$B$3:$B$13, 1), 1))</f>
        <v>2.5600000000000001E-2</v>
      </c>
      <c r="K2755" s="26">
        <f t="shared" si="549"/>
        <v>0.76641522543066853</v>
      </c>
      <c r="L2755" s="27">
        <f t="shared" ca="1" si="550"/>
        <v>0</v>
      </c>
      <c r="M2755" s="27">
        <f t="shared" ca="1" si="551"/>
        <v>0</v>
      </c>
      <c r="N2755" s="28">
        <f t="shared" ca="1" si="552"/>
        <v>0</v>
      </c>
      <c r="O2755" s="29">
        <f t="shared" ca="1" si="553"/>
        <v>0</v>
      </c>
      <c r="P2755" s="30">
        <f t="shared" ca="1" si="554"/>
        <v>0</v>
      </c>
    </row>
    <row r="2756" spans="1:16" x14ac:dyDescent="0.25">
      <c r="A2756" s="3">
        <f t="shared" si="555"/>
        <v>49970</v>
      </c>
      <c r="B2756" s="21">
        <f t="shared" si="546"/>
        <v>36821</v>
      </c>
      <c r="C2756" s="21">
        <f t="shared" si="547"/>
        <v>36880</v>
      </c>
      <c r="D2756" s="1">
        <f t="shared" si="556"/>
        <v>0</v>
      </c>
      <c r="E2756" s="3">
        <f t="array" ref="E2756">INDEX($A$9:A2755, MAX(IF($D$9:D2755=1, ROW(D$9:$D2755)-ROW($D$9)+1, 0)))</f>
        <v>49940</v>
      </c>
      <c r="F2756" s="23">
        <f t="shared" si="548"/>
        <v>10.52703627652293</v>
      </c>
      <c r="G2756" s="5">
        <f>INDEX('Default Prob'!$P$5:$P$14,MIN(1+_xlfn.IFNA(MATCH(F2756,'Default Prob'!$F$5:$F$14,1),0),COUNT('Default Prob'!$P$5:$P$14)))</f>
        <v>8.0322462664562722E-2</v>
      </c>
      <c r="H2756" s="5">
        <f t="shared" si="557"/>
        <v>0.67305899766024813</v>
      </c>
      <c r="I2756" s="24">
        <f t="shared" si="558"/>
        <v>1.4802929782775642E-4</v>
      </c>
      <c r="J2756" s="25">
        <f>INDEX('Default Prob'!$C$3:$C$13, _xlfn.IFNA(MATCH(F2756, 'Default Prob'!$B$3:$B$13, 1), 1))</f>
        <v>2.5600000000000001E-2</v>
      </c>
      <c r="K2756" s="26">
        <f t="shared" si="549"/>
        <v>0.76636218607153239</v>
      </c>
      <c r="L2756" s="27">
        <f t="shared" ca="1" si="550"/>
        <v>0</v>
      </c>
      <c r="M2756" s="27">
        <f t="shared" ca="1" si="551"/>
        <v>0</v>
      </c>
      <c r="N2756" s="28">
        <f t="shared" ca="1" si="552"/>
        <v>0</v>
      </c>
      <c r="O2756" s="29">
        <f t="shared" ca="1" si="553"/>
        <v>0</v>
      </c>
      <c r="P2756" s="30">
        <f t="shared" ca="1" si="554"/>
        <v>0</v>
      </c>
    </row>
    <row r="2757" spans="1:16" x14ac:dyDescent="0.25">
      <c r="A2757" s="3">
        <f t="shared" si="555"/>
        <v>49971</v>
      </c>
      <c r="B2757" s="21">
        <f t="shared" si="546"/>
        <v>36822</v>
      </c>
      <c r="C2757" s="21">
        <f t="shared" si="547"/>
        <v>36880</v>
      </c>
      <c r="D2757" s="1">
        <f t="shared" si="556"/>
        <v>0</v>
      </c>
      <c r="E2757" s="3">
        <f t="array" ref="E2757">INDEX($A$9:A2756, MAX(IF($D$9:D2756=1, ROW(D$9:$D2756)-ROW($D$9)+1, 0)))</f>
        <v>49940</v>
      </c>
      <c r="F2757" s="23">
        <f t="shared" si="548"/>
        <v>10.529774127310061</v>
      </c>
      <c r="G2757" s="5">
        <f>INDEX('Default Prob'!$P$5:$P$14,MIN(1+_xlfn.IFNA(MATCH(F2757,'Default Prob'!$F$5:$F$14,1),0),COUNT('Default Prob'!$P$5:$P$14)))</f>
        <v>8.0322462664562722E-2</v>
      </c>
      <c r="H2757" s="5">
        <f t="shared" si="557"/>
        <v>0.67291100091209999</v>
      </c>
      <c r="I2757" s="24">
        <f t="shared" si="558"/>
        <v>1.4799674814813812E-4</v>
      </c>
      <c r="J2757" s="25">
        <f>INDEX('Default Prob'!$C$3:$C$13, _xlfn.IFNA(MATCH(F2757, 'Default Prob'!$B$3:$B$13, 1), 1))</f>
        <v>2.5600000000000001E-2</v>
      </c>
      <c r="K2757" s="26">
        <f t="shared" si="549"/>
        <v>0.76630915038295699</v>
      </c>
      <c r="L2757" s="27">
        <f t="shared" ca="1" si="550"/>
        <v>0</v>
      </c>
      <c r="M2757" s="27">
        <f t="shared" ca="1" si="551"/>
        <v>0</v>
      </c>
      <c r="N2757" s="28">
        <f t="shared" ca="1" si="552"/>
        <v>0</v>
      </c>
      <c r="O2757" s="29">
        <f t="shared" ca="1" si="553"/>
        <v>0</v>
      </c>
      <c r="P2757" s="30">
        <f t="shared" ca="1" si="554"/>
        <v>0</v>
      </c>
    </row>
    <row r="2758" spans="1:16" x14ac:dyDescent="0.25">
      <c r="A2758" s="3">
        <f t="shared" si="555"/>
        <v>49972</v>
      </c>
      <c r="B2758" s="21">
        <f t="shared" si="546"/>
        <v>36823</v>
      </c>
      <c r="C2758" s="21">
        <f t="shared" si="547"/>
        <v>36880</v>
      </c>
      <c r="D2758" s="1">
        <f t="shared" si="556"/>
        <v>0</v>
      </c>
      <c r="E2758" s="3">
        <f t="array" ref="E2758">INDEX($A$9:A2757, MAX(IF($D$9:D2757=1, ROW(D$9:$D2757)-ROW($D$9)+1, 0)))</f>
        <v>49940</v>
      </c>
      <c r="F2758" s="23">
        <f t="shared" si="548"/>
        <v>10.532511978097194</v>
      </c>
      <c r="G2758" s="5">
        <f>INDEX('Default Prob'!$P$5:$P$14,MIN(1+_xlfn.IFNA(MATCH(F2758,'Default Prob'!$F$5:$F$14,1),0),COUNT('Default Prob'!$P$5:$P$14)))</f>
        <v>8.0322462664562722E-2</v>
      </c>
      <c r="H2758" s="5">
        <f t="shared" si="557"/>
        <v>0.67276303670647408</v>
      </c>
      <c r="I2758" s="24">
        <f t="shared" si="558"/>
        <v>1.4796420562590562E-4</v>
      </c>
      <c r="J2758" s="25">
        <f>INDEX('Default Prob'!$C$3:$C$13, _xlfn.IFNA(MATCH(F2758, 'Default Prob'!$B$3:$B$13, 1), 1))</f>
        <v>2.5600000000000001E-2</v>
      </c>
      <c r="K2758" s="26">
        <f t="shared" si="549"/>
        <v>0.76625611836468832</v>
      </c>
      <c r="L2758" s="27">
        <f t="shared" ca="1" si="550"/>
        <v>0</v>
      </c>
      <c r="M2758" s="27">
        <f t="shared" ca="1" si="551"/>
        <v>0</v>
      </c>
      <c r="N2758" s="28">
        <f t="shared" ca="1" si="552"/>
        <v>0</v>
      </c>
      <c r="O2758" s="29">
        <f t="shared" ca="1" si="553"/>
        <v>0</v>
      </c>
      <c r="P2758" s="30">
        <f t="shared" ca="1" si="554"/>
        <v>0</v>
      </c>
    </row>
    <row r="2759" spans="1:16" x14ac:dyDescent="0.25">
      <c r="A2759" s="3">
        <f t="shared" si="555"/>
        <v>49975</v>
      </c>
      <c r="B2759" s="21">
        <f t="shared" si="546"/>
        <v>36826</v>
      </c>
      <c r="C2759" s="21">
        <f t="shared" si="547"/>
        <v>36880</v>
      </c>
      <c r="D2759" s="1">
        <f t="shared" si="556"/>
        <v>0</v>
      </c>
      <c r="E2759" s="3">
        <f t="array" ref="E2759">INDEX($A$9:A2758, MAX(IF($D$9:D2758=1, ROW(D$9:$D2758)-ROW($D$9)+1, 0)))</f>
        <v>49940</v>
      </c>
      <c r="F2759" s="23">
        <f t="shared" si="548"/>
        <v>10.540725530458589</v>
      </c>
      <c r="G2759" s="5">
        <f>INDEX('Default Prob'!$P$5:$P$14,MIN(1+_xlfn.IFNA(MATCH(F2759,'Default Prob'!$F$5:$F$14,1),0),COUNT('Default Prob'!$P$5:$P$14)))</f>
        <v>8.0322462664562722E-2</v>
      </c>
      <c r="H2759" s="5">
        <f t="shared" si="557"/>
        <v>0.67231933927318166</v>
      </c>
      <c r="I2759" s="24">
        <f t="shared" si="558"/>
        <v>4.4369743329242262E-4</v>
      </c>
      <c r="J2759" s="25">
        <f>INDEX('Default Prob'!$C$3:$C$13, _xlfn.IFNA(MATCH(F2759, 'Default Prob'!$B$3:$B$13, 1), 1))</f>
        <v>2.5600000000000001E-2</v>
      </c>
      <c r="K2759" s="26">
        <f t="shared" si="549"/>
        <v>0.76609704432918257</v>
      </c>
      <c r="L2759" s="27">
        <f t="shared" ca="1" si="550"/>
        <v>0</v>
      </c>
      <c r="M2759" s="27">
        <f t="shared" ca="1" si="551"/>
        <v>0</v>
      </c>
      <c r="N2759" s="28">
        <f t="shared" ca="1" si="552"/>
        <v>0</v>
      </c>
      <c r="O2759" s="29">
        <f t="shared" ca="1" si="553"/>
        <v>0</v>
      </c>
      <c r="P2759" s="30">
        <f t="shared" ca="1" si="554"/>
        <v>0</v>
      </c>
    </row>
    <row r="2760" spans="1:16" x14ac:dyDescent="0.25">
      <c r="A2760" s="3">
        <f t="shared" si="555"/>
        <v>49976</v>
      </c>
      <c r="B2760" s="21">
        <f t="shared" si="546"/>
        <v>36827</v>
      </c>
      <c r="C2760" s="21">
        <f t="shared" si="547"/>
        <v>36880</v>
      </c>
      <c r="D2760" s="1">
        <f t="shared" si="556"/>
        <v>0</v>
      </c>
      <c r="E2760" s="3">
        <f t="array" ref="E2760">INDEX($A$9:A2759, MAX(IF($D$9:D2759=1, ROW(D$9:$D2759)-ROW($D$9)+1, 0)))</f>
        <v>49940</v>
      </c>
      <c r="F2760" s="23">
        <f t="shared" si="548"/>
        <v>10.543463381245722</v>
      </c>
      <c r="G2760" s="5">
        <f>INDEX('Default Prob'!$P$5:$P$14,MIN(1+_xlfn.IFNA(MATCH(F2760,'Default Prob'!$F$5:$F$14,1),0),COUNT('Default Prob'!$P$5:$P$14)))</f>
        <v>8.0322462664562722E-2</v>
      </c>
      <c r="H2760" s="5">
        <f t="shared" si="557"/>
        <v>0.67217150516610413</v>
      </c>
      <c r="I2760" s="24">
        <f t="shared" si="558"/>
        <v>1.4783410707752687E-4</v>
      </c>
      <c r="J2760" s="25">
        <f>INDEX('Default Prob'!$C$3:$C$13, _xlfn.IFNA(MATCH(F2760, 'Default Prob'!$B$3:$B$13, 1), 1))</f>
        <v>2.5600000000000001E-2</v>
      </c>
      <c r="K2760" s="26">
        <f t="shared" si="549"/>
        <v>0.76604402698960083</v>
      </c>
      <c r="L2760" s="27">
        <f t="shared" ca="1" si="550"/>
        <v>0</v>
      </c>
      <c r="M2760" s="27">
        <f t="shared" ca="1" si="551"/>
        <v>0</v>
      </c>
      <c r="N2760" s="28">
        <f t="shared" ca="1" si="552"/>
        <v>0</v>
      </c>
      <c r="O2760" s="29">
        <f t="shared" ca="1" si="553"/>
        <v>0</v>
      </c>
      <c r="P2760" s="30">
        <f t="shared" ca="1" si="554"/>
        <v>0</v>
      </c>
    </row>
    <row r="2761" spans="1:16" x14ac:dyDescent="0.25">
      <c r="A2761" s="3">
        <f t="shared" si="555"/>
        <v>49977</v>
      </c>
      <c r="B2761" s="21">
        <f t="shared" ref="B2761:B2824" si="559">DATE(2000, MONTH(A2761), DAY(A2761))</f>
        <v>36828</v>
      </c>
      <c r="C2761" s="21">
        <f t="shared" ref="C2761:C2824" si="560">VLOOKUP(B2761, $R$9:$S$13, 2)</f>
        <v>36880</v>
      </c>
      <c r="D2761" s="1">
        <f t="shared" si="556"/>
        <v>0</v>
      </c>
      <c r="E2761" s="3">
        <f t="array" ref="E2761">INDEX($A$9:A2760, MAX(IF($D$9:D2760=1, ROW(D$9:$D2760)-ROW($D$9)+1, 0)))</f>
        <v>49940</v>
      </c>
      <c r="F2761" s="23">
        <f t="shared" ref="F2761:F2824" si="561">(A2761-$A$2)/365.25</f>
        <v>10.546201232032855</v>
      </c>
      <c r="G2761" s="5">
        <f>INDEX('Default Prob'!$P$5:$P$14,MIN(1+_xlfn.IFNA(MATCH(F2761,'Default Prob'!$F$5:$F$14,1),0),COUNT('Default Prob'!$P$5:$P$14)))</f>
        <v>8.0322462664562722E-2</v>
      </c>
      <c r="H2761" s="5">
        <f t="shared" si="557"/>
        <v>0.67202370356578633</v>
      </c>
      <c r="I2761" s="24">
        <f t="shared" si="558"/>
        <v>1.4780160031779843E-4</v>
      </c>
      <c r="J2761" s="25">
        <f>INDEX('Default Prob'!$C$3:$C$13, _xlfn.IFNA(MATCH(F2761, 'Default Prob'!$B$3:$B$13, 1), 1))</f>
        <v>2.5600000000000001E-2</v>
      </c>
      <c r="K2761" s="26">
        <f t="shared" ref="K2761:K2824" si="562">1/((1+J2761)^F2761)</f>
        <v>0.76599101331905606</v>
      </c>
      <c r="L2761" s="27">
        <f t="shared" ref="L2761:L2824" ca="1" si="563">IF(AND(D2761, A2761 &lt;= $G$2), $D$5*$D$2*(A2761-E2761)/365.25, 0)</f>
        <v>0</v>
      </c>
      <c r="M2761" s="27">
        <f t="shared" ref="M2761:M2824" ca="1" si="564">IF(A2761&lt;=$G$2, $D$5*$D$2*(A2761-E2761)/365.25, 0)</f>
        <v>0</v>
      </c>
      <c r="N2761" s="28">
        <f t="shared" ref="N2761:N2824" ca="1" si="565">(L2761*H2761 + M2761*I2761) * K2761</f>
        <v>0</v>
      </c>
      <c r="O2761" s="29">
        <f t="shared" ref="O2761:O2824" ca="1" si="566">IF(A2761&lt;=$G$2, $D$2*(1-$D$3), 0)</f>
        <v>0</v>
      </c>
      <c r="P2761" s="30">
        <f t="shared" ref="P2761:P2824" ca="1" si="567">O2761*I2761*K2761</f>
        <v>0</v>
      </c>
    </row>
    <row r="2762" spans="1:16" x14ac:dyDescent="0.25">
      <c r="A2762" s="3">
        <f t="shared" ref="A2762:A2825" si="568">WORKDAY(A2761, 1)</f>
        <v>49978</v>
      </c>
      <c r="B2762" s="21">
        <f t="shared" si="559"/>
        <v>36829</v>
      </c>
      <c r="C2762" s="21">
        <f t="shared" si="560"/>
        <v>36880</v>
      </c>
      <c r="D2762" s="1">
        <f t="shared" ref="D2762:D2825" si="569">IF(OR(C2762=B2762, AND(C2762&lt;&gt;C2761, C2761&gt;B2761)), 1, 0)</f>
        <v>0</v>
      </c>
      <c r="E2762" s="3">
        <f t="array" ref="E2762">INDEX($A$9:A2761, MAX(IF($D$9:D2761=1, ROW(D$9:$D2761)-ROW($D$9)+1, 0)))</f>
        <v>49940</v>
      </c>
      <c r="F2762" s="23">
        <f t="shared" si="561"/>
        <v>10.548939082819986</v>
      </c>
      <c r="G2762" s="5">
        <f>INDEX('Default Prob'!$P$5:$P$14,MIN(1+_xlfn.IFNA(MATCH(F2762,'Default Prob'!$F$5:$F$14,1),0),COUNT('Default Prob'!$P$5:$P$14)))</f>
        <v>8.0322462664562722E-2</v>
      </c>
      <c r="H2762" s="5">
        <f t="shared" ref="H2762:H2825" si="570">H2761*EXP(-G2761*(F2762-F2761))</f>
        <v>0.67187593446508054</v>
      </c>
      <c r="I2762" s="24">
        <f t="shared" ref="I2762:I2825" si="571">H2761-H2762</f>
        <v>1.4776910070579685E-4</v>
      </c>
      <c r="J2762" s="25">
        <f>INDEX('Default Prob'!$C$3:$C$13, _xlfn.IFNA(MATCH(F2762, 'Default Prob'!$B$3:$B$13, 1), 1))</f>
        <v>2.5600000000000001E-2</v>
      </c>
      <c r="K2762" s="26">
        <f t="shared" si="562"/>
        <v>0.76593800331729422</v>
      </c>
      <c r="L2762" s="27">
        <f t="shared" ca="1" si="563"/>
        <v>0</v>
      </c>
      <c r="M2762" s="27">
        <f t="shared" ca="1" si="564"/>
        <v>0</v>
      </c>
      <c r="N2762" s="28">
        <f t="shared" ca="1" si="565"/>
        <v>0</v>
      </c>
      <c r="O2762" s="29">
        <f t="shared" ca="1" si="566"/>
        <v>0</v>
      </c>
      <c r="P2762" s="30">
        <f t="shared" ca="1" si="567"/>
        <v>0</v>
      </c>
    </row>
    <row r="2763" spans="1:16" x14ac:dyDescent="0.25">
      <c r="A2763" s="3">
        <f t="shared" si="568"/>
        <v>49979</v>
      </c>
      <c r="B2763" s="21">
        <f t="shared" si="559"/>
        <v>36830</v>
      </c>
      <c r="C2763" s="21">
        <f t="shared" si="560"/>
        <v>36880</v>
      </c>
      <c r="D2763" s="1">
        <f t="shared" si="569"/>
        <v>0</v>
      </c>
      <c r="E2763" s="3">
        <f t="array" ref="E2763">INDEX($A$9:A2762, MAX(IF($D$9:D2762=1, ROW(D$9:$D2762)-ROW($D$9)+1, 0)))</f>
        <v>49940</v>
      </c>
      <c r="F2763" s="23">
        <f t="shared" si="561"/>
        <v>10.551676933607119</v>
      </c>
      <c r="G2763" s="5">
        <f>INDEX('Default Prob'!$P$5:$P$14,MIN(1+_xlfn.IFNA(MATCH(F2763,'Default Prob'!$F$5:$F$14,1),0),COUNT('Default Prob'!$P$5:$P$14)))</f>
        <v>8.0322462664562722E-2</v>
      </c>
      <c r="H2763" s="5">
        <f t="shared" si="570"/>
        <v>0.67172819785684035</v>
      </c>
      <c r="I2763" s="24">
        <f t="shared" si="571"/>
        <v>1.4773660824018986E-4</v>
      </c>
      <c r="J2763" s="25">
        <f>INDEX('Default Prob'!$C$3:$C$13, _xlfn.IFNA(MATCH(F2763, 'Default Prob'!$B$3:$B$13, 1), 1))</f>
        <v>2.5600000000000001E-2</v>
      </c>
      <c r="K2763" s="26">
        <f t="shared" si="562"/>
        <v>0.76588499698406132</v>
      </c>
      <c r="L2763" s="27">
        <f t="shared" ca="1" si="563"/>
        <v>0</v>
      </c>
      <c r="M2763" s="27">
        <f t="shared" ca="1" si="564"/>
        <v>0</v>
      </c>
      <c r="N2763" s="28">
        <f t="shared" ca="1" si="565"/>
        <v>0</v>
      </c>
      <c r="O2763" s="29">
        <f t="shared" ca="1" si="566"/>
        <v>0</v>
      </c>
      <c r="P2763" s="30">
        <f t="shared" ca="1" si="567"/>
        <v>0</v>
      </c>
    </row>
    <row r="2764" spans="1:16" x14ac:dyDescent="0.25">
      <c r="A2764" s="3">
        <f t="shared" si="568"/>
        <v>49982</v>
      </c>
      <c r="B2764" s="21">
        <f t="shared" si="559"/>
        <v>36833</v>
      </c>
      <c r="C2764" s="21">
        <f t="shared" si="560"/>
        <v>36880</v>
      </c>
      <c r="D2764" s="1">
        <f t="shared" si="569"/>
        <v>0</v>
      </c>
      <c r="E2764" s="3">
        <f t="array" ref="E2764">INDEX($A$9:A2763, MAX(IF($D$9:D2763=1, ROW(D$9:$D2763)-ROW($D$9)+1, 0)))</f>
        <v>49940</v>
      </c>
      <c r="F2764" s="23">
        <f t="shared" si="561"/>
        <v>10.559890485968515</v>
      </c>
      <c r="G2764" s="5">
        <f>INDEX('Default Prob'!$P$5:$P$14,MIN(1+_xlfn.IFNA(MATCH(F2764,'Default Prob'!$F$5:$F$14,1),0),COUNT('Default Prob'!$P$5:$P$14)))</f>
        <v>8.0322462664562722E-2</v>
      </c>
      <c r="H2764" s="5">
        <f t="shared" si="570"/>
        <v>0.67128518291547512</v>
      </c>
      <c r="I2764" s="24">
        <f t="shared" si="571"/>
        <v>4.4301494136522734E-4</v>
      </c>
      <c r="J2764" s="25">
        <f>INDEX('Default Prob'!$C$3:$C$13, _xlfn.IFNA(MATCH(F2764, 'Default Prob'!$B$3:$B$13, 1), 1))</f>
        <v>2.5600000000000001E-2</v>
      </c>
      <c r="K2764" s="26">
        <f t="shared" si="562"/>
        <v>0.76572599999299851</v>
      </c>
      <c r="L2764" s="27">
        <f t="shared" ca="1" si="563"/>
        <v>0</v>
      </c>
      <c r="M2764" s="27">
        <f t="shared" ca="1" si="564"/>
        <v>0</v>
      </c>
      <c r="N2764" s="28">
        <f t="shared" ca="1" si="565"/>
        <v>0</v>
      </c>
      <c r="O2764" s="29">
        <f t="shared" ca="1" si="566"/>
        <v>0</v>
      </c>
      <c r="P2764" s="30">
        <f t="shared" ca="1" si="567"/>
        <v>0</v>
      </c>
    </row>
    <row r="2765" spans="1:16" x14ac:dyDescent="0.25">
      <c r="A2765" s="3">
        <f t="shared" si="568"/>
        <v>49983</v>
      </c>
      <c r="B2765" s="21">
        <f t="shared" si="559"/>
        <v>36834</v>
      </c>
      <c r="C2765" s="21">
        <f t="shared" si="560"/>
        <v>36880</v>
      </c>
      <c r="D2765" s="1">
        <f t="shared" si="569"/>
        <v>0</v>
      </c>
      <c r="E2765" s="3">
        <f t="array" ref="E2765">INDEX($A$9:A2764, MAX(IF($D$9:D2764=1, ROW(D$9:$D2764)-ROW($D$9)+1, 0)))</f>
        <v>49940</v>
      </c>
      <c r="F2765" s="23">
        <f t="shared" si="561"/>
        <v>10.562628336755647</v>
      </c>
      <c r="G2765" s="5">
        <f>INDEX('Default Prob'!$P$5:$P$14,MIN(1+_xlfn.IFNA(MATCH(F2765,'Default Prob'!$F$5:$F$14,1),0),COUNT('Default Prob'!$P$5:$P$14)))</f>
        <v>8.0322462664562722E-2</v>
      </c>
      <c r="H2765" s="5">
        <f t="shared" si="570"/>
        <v>0.67113757620566672</v>
      </c>
      <c r="I2765" s="24">
        <f t="shared" si="571"/>
        <v>1.4760670980840107E-4</v>
      </c>
      <c r="J2765" s="25">
        <f>INDEX('Default Prob'!$C$3:$C$13, _xlfn.IFNA(MATCH(F2765, 'Default Prob'!$B$3:$B$13, 1), 1))</f>
        <v>2.5600000000000001E-2</v>
      </c>
      <c r="K2765" s="26">
        <f t="shared" si="562"/>
        <v>0.76567300833134311</v>
      </c>
      <c r="L2765" s="27">
        <f t="shared" ca="1" si="563"/>
        <v>0</v>
      </c>
      <c r="M2765" s="27">
        <f t="shared" ca="1" si="564"/>
        <v>0</v>
      </c>
      <c r="N2765" s="28">
        <f t="shared" ca="1" si="565"/>
        <v>0</v>
      </c>
      <c r="O2765" s="29">
        <f t="shared" ca="1" si="566"/>
        <v>0</v>
      </c>
      <c r="P2765" s="30">
        <f t="shared" ca="1" si="567"/>
        <v>0</v>
      </c>
    </row>
    <row r="2766" spans="1:16" x14ac:dyDescent="0.25">
      <c r="A2766" s="3">
        <f t="shared" si="568"/>
        <v>49984</v>
      </c>
      <c r="B2766" s="21">
        <f t="shared" si="559"/>
        <v>36835</v>
      </c>
      <c r="C2766" s="21">
        <f t="shared" si="560"/>
        <v>36880</v>
      </c>
      <c r="D2766" s="1">
        <f t="shared" si="569"/>
        <v>0</v>
      </c>
      <c r="E2766" s="3">
        <f t="array" ref="E2766">INDEX($A$9:A2765, MAX(IF($D$9:D2765=1, ROW(D$9:$D2765)-ROW($D$9)+1, 0)))</f>
        <v>49940</v>
      </c>
      <c r="F2766" s="23">
        <f t="shared" si="561"/>
        <v>10.565366187542779</v>
      </c>
      <c r="G2766" s="5">
        <f>INDEX('Default Prob'!$P$5:$P$14,MIN(1+_xlfn.IFNA(MATCH(F2766,'Default Prob'!$F$5:$F$14,1),0),COUNT('Default Prob'!$P$5:$P$14)))</f>
        <v>8.0322462664562722E-2</v>
      </c>
      <c r="H2766" s="5">
        <f t="shared" si="570"/>
        <v>0.67099000195261649</v>
      </c>
      <c r="I2766" s="24">
        <f t="shared" si="571"/>
        <v>1.4757425305023109E-4</v>
      </c>
      <c r="J2766" s="25">
        <f>INDEX('Default Prob'!$C$3:$C$13, _xlfn.IFNA(MATCH(F2766, 'Default Prob'!$B$3:$B$13, 1), 1))</f>
        <v>2.5600000000000001E-2</v>
      </c>
      <c r="K2766" s="26">
        <f t="shared" si="562"/>
        <v>0.76562002033694787</v>
      </c>
      <c r="L2766" s="27">
        <f t="shared" ca="1" si="563"/>
        <v>0</v>
      </c>
      <c r="M2766" s="27">
        <f t="shared" ca="1" si="564"/>
        <v>0</v>
      </c>
      <c r="N2766" s="28">
        <f t="shared" ca="1" si="565"/>
        <v>0</v>
      </c>
      <c r="O2766" s="29">
        <f t="shared" ca="1" si="566"/>
        <v>0</v>
      </c>
      <c r="P2766" s="30">
        <f t="shared" ca="1" si="567"/>
        <v>0</v>
      </c>
    </row>
    <row r="2767" spans="1:16" x14ac:dyDescent="0.25">
      <c r="A2767" s="3">
        <f t="shared" si="568"/>
        <v>49985</v>
      </c>
      <c r="B2767" s="21">
        <f t="shared" si="559"/>
        <v>36836</v>
      </c>
      <c r="C2767" s="21">
        <f t="shared" si="560"/>
        <v>36880</v>
      </c>
      <c r="D2767" s="1">
        <f t="shared" si="569"/>
        <v>0</v>
      </c>
      <c r="E2767" s="3">
        <f t="array" ref="E2767">INDEX($A$9:A2766, MAX(IF($D$9:D2766=1, ROW(D$9:$D2766)-ROW($D$9)+1, 0)))</f>
        <v>49940</v>
      </c>
      <c r="F2767" s="23">
        <f t="shared" si="561"/>
        <v>10.568104038329912</v>
      </c>
      <c r="G2767" s="5">
        <f>INDEX('Default Prob'!$P$5:$P$14,MIN(1+_xlfn.IFNA(MATCH(F2767,'Default Prob'!$F$5:$F$14,1),0),COUNT('Default Prob'!$P$5:$P$14)))</f>
        <v>8.0322462664562722E-2</v>
      </c>
      <c r="H2767" s="5">
        <f t="shared" si="570"/>
        <v>0.67084246014918736</v>
      </c>
      <c r="I2767" s="24">
        <f t="shared" si="571"/>
        <v>1.4754180342912981E-4</v>
      </c>
      <c r="J2767" s="25">
        <f>INDEX('Default Prob'!$C$3:$C$13, _xlfn.IFNA(MATCH(F2767, 'Default Prob'!$B$3:$B$13, 1), 1))</f>
        <v>2.5600000000000001E-2</v>
      </c>
      <c r="K2767" s="26">
        <f t="shared" si="562"/>
        <v>0.76556703600955844</v>
      </c>
      <c r="L2767" s="27">
        <f t="shared" ca="1" si="563"/>
        <v>0</v>
      </c>
      <c r="M2767" s="27">
        <f t="shared" ca="1" si="564"/>
        <v>0</v>
      </c>
      <c r="N2767" s="28">
        <f t="shared" ca="1" si="565"/>
        <v>0</v>
      </c>
      <c r="O2767" s="29">
        <f t="shared" ca="1" si="566"/>
        <v>0</v>
      </c>
      <c r="P2767" s="30">
        <f t="shared" ca="1" si="567"/>
        <v>0</v>
      </c>
    </row>
    <row r="2768" spans="1:16" x14ac:dyDescent="0.25">
      <c r="A2768" s="3">
        <f t="shared" si="568"/>
        <v>49986</v>
      </c>
      <c r="B2768" s="21">
        <f t="shared" si="559"/>
        <v>36837</v>
      </c>
      <c r="C2768" s="21">
        <f t="shared" si="560"/>
        <v>36880</v>
      </c>
      <c r="D2768" s="1">
        <f t="shared" si="569"/>
        <v>0</v>
      </c>
      <c r="E2768" s="3">
        <f t="array" ref="E2768">INDEX($A$9:A2767, MAX(IF($D$9:D2767=1, ROW(D$9:$D2767)-ROW($D$9)+1, 0)))</f>
        <v>49940</v>
      </c>
      <c r="F2768" s="23">
        <f t="shared" si="561"/>
        <v>10.570841889117043</v>
      </c>
      <c r="G2768" s="5">
        <f>INDEX('Default Prob'!$P$5:$P$14,MIN(1+_xlfn.IFNA(MATCH(F2768,'Default Prob'!$F$5:$F$14,1),0),COUNT('Default Prob'!$P$5:$P$14)))</f>
        <v>8.0322462664562722E-2</v>
      </c>
      <c r="H2768" s="5">
        <f t="shared" si="570"/>
        <v>0.67069495078824437</v>
      </c>
      <c r="I2768" s="24">
        <f t="shared" si="571"/>
        <v>1.4750936094298783E-4</v>
      </c>
      <c r="J2768" s="25">
        <f>INDEX('Default Prob'!$C$3:$C$13, _xlfn.IFNA(MATCH(F2768, 'Default Prob'!$B$3:$B$13, 1), 1))</f>
        <v>2.5600000000000001E-2</v>
      </c>
      <c r="K2768" s="26">
        <f t="shared" si="562"/>
        <v>0.76551405534892136</v>
      </c>
      <c r="L2768" s="27">
        <f t="shared" ca="1" si="563"/>
        <v>0</v>
      </c>
      <c r="M2768" s="27">
        <f t="shared" ca="1" si="564"/>
        <v>0</v>
      </c>
      <c r="N2768" s="28">
        <f t="shared" ca="1" si="565"/>
        <v>0</v>
      </c>
      <c r="O2768" s="29">
        <f t="shared" ca="1" si="566"/>
        <v>0</v>
      </c>
      <c r="P2768" s="30">
        <f t="shared" ca="1" si="567"/>
        <v>0</v>
      </c>
    </row>
    <row r="2769" spans="1:16" x14ac:dyDescent="0.25">
      <c r="A2769" s="3">
        <f t="shared" si="568"/>
        <v>49989</v>
      </c>
      <c r="B2769" s="21">
        <f t="shared" si="559"/>
        <v>36840</v>
      </c>
      <c r="C2769" s="21">
        <f t="shared" si="560"/>
        <v>36880</v>
      </c>
      <c r="D2769" s="1">
        <f t="shared" si="569"/>
        <v>0</v>
      </c>
      <c r="E2769" s="3">
        <f t="array" ref="E2769">INDEX($A$9:A2768, MAX(IF($D$9:D2768=1, ROW(D$9:$D2768)-ROW($D$9)+1, 0)))</f>
        <v>49940</v>
      </c>
      <c r="F2769" s="23">
        <f t="shared" si="561"/>
        <v>10.57905544147844</v>
      </c>
      <c r="G2769" s="5">
        <f>INDEX('Default Prob'!$P$5:$P$14,MIN(1+_xlfn.IFNA(MATCH(F2769,'Default Prob'!$F$5:$F$14,1),0),COUNT('Default Prob'!$P$5:$P$14)))</f>
        <v>8.0322462664562722E-2</v>
      </c>
      <c r="H2769" s="5">
        <f t="shared" si="570"/>
        <v>0.67025261728900254</v>
      </c>
      <c r="I2769" s="24">
        <f t="shared" si="571"/>
        <v>4.4233349924183152E-4</v>
      </c>
      <c r="J2769" s="25">
        <f>INDEX('Default Prob'!$C$3:$C$13, _xlfn.IFNA(MATCH(F2769, 'Default Prob'!$B$3:$B$13, 1), 1))</f>
        <v>2.5600000000000001E-2</v>
      </c>
      <c r="K2769" s="26">
        <f t="shared" si="562"/>
        <v>0.76535513536498634</v>
      </c>
      <c r="L2769" s="27">
        <f t="shared" ca="1" si="563"/>
        <v>0</v>
      </c>
      <c r="M2769" s="27">
        <f t="shared" ca="1" si="564"/>
        <v>0</v>
      </c>
      <c r="N2769" s="28">
        <f t="shared" ca="1" si="565"/>
        <v>0</v>
      </c>
      <c r="O2769" s="29">
        <f t="shared" ca="1" si="566"/>
        <v>0</v>
      </c>
      <c r="P2769" s="30">
        <f t="shared" ca="1" si="567"/>
        <v>0</v>
      </c>
    </row>
    <row r="2770" spans="1:16" x14ac:dyDescent="0.25">
      <c r="A2770" s="3">
        <f t="shared" si="568"/>
        <v>49990</v>
      </c>
      <c r="B2770" s="21">
        <f t="shared" si="559"/>
        <v>36841</v>
      </c>
      <c r="C2770" s="21">
        <f t="shared" si="560"/>
        <v>36880</v>
      </c>
      <c r="D2770" s="1">
        <f t="shared" si="569"/>
        <v>0</v>
      </c>
      <c r="E2770" s="3">
        <f t="array" ref="E2770">INDEX($A$9:A2769, MAX(IF($D$9:D2769=1, ROW(D$9:$D2769)-ROW($D$9)+1, 0)))</f>
        <v>49940</v>
      </c>
      <c r="F2770" s="23">
        <f t="shared" si="561"/>
        <v>10.581793292265571</v>
      </c>
      <c r="G2770" s="5">
        <f>INDEX('Default Prob'!$P$5:$P$14,MIN(1+_xlfn.IFNA(MATCH(F2770,'Default Prob'!$F$5:$F$14,1),0),COUNT('Default Prob'!$P$5:$P$14)))</f>
        <v>8.0322462664562722E-2</v>
      </c>
      <c r="H2770" s="5">
        <f t="shared" si="570"/>
        <v>0.67010523762668261</v>
      </c>
      <c r="I2770" s="24">
        <f t="shared" si="571"/>
        <v>1.4737966231992417E-4</v>
      </c>
      <c r="J2770" s="25">
        <f>INDEX('Default Prob'!$C$3:$C$13, _xlfn.IFNA(MATCH(F2770, 'Default Prob'!$B$3:$B$13, 1), 1))</f>
        <v>2.5600000000000001E-2</v>
      </c>
      <c r="K2770" s="26">
        <f t="shared" si="562"/>
        <v>0.76530216936882089</v>
      </c>
      <c r="L2770" s="27">
        <f t="shared" ca="1" si="563"/>
        <v>0</v>
      </c>
      <c r="M2770" s="27">
        <f t="shared" ca="1" si="564"/>
        <v>0</v>
      </c>
      <c r="N2770" s="28">
        <f t="shared" ca="1" si="565"/>
        <v>0</v>
      </c>
      <c r="O2770" s="29">
        <f t="shared" ca="1" si="566"/>
        <v>0</v>
      </c>
      <c r="P2770" s="30">
        <f t="shared" ca="1" si="567"/>
        <v>0</v>
      </c>
    </row>
    <row r="2771" spans="1:16" x14ac:dyDescent="0.25">
      <c r="A2771" s="3">
        <f t="shared" si="568"/>
        <v>49991</v>
      </c>
      <c r="B2771" s="21">
        <f t="shared" si="559"/>
        <v>36842</v>
      </c>
      <c r="C2771" s="21">
        <f t="shared" si="560"/>
        <v>36880</v>
      </c>
      <c r="D2771" s="1">
        <f t="shared" si="569"/>
        <v>0</v>
      </c>
      <c r="E2771" s="3">
        <f t="array" ref="E2771">INDEX($A$9:A2770, MAX(IF($D$9:D2770=1, ROW(D$9:$D2770)-ROW($D$9)+1, 0)))</f>
        <v>49940</v>
      </c>
      <c r="F2771" s="23">
        <f t="shared" si="561"/>
        <v>10.584531143052704</v>
      </c>
      <c r="G2771" s="5">
        <f>INDEX('Default Prob'!$P$5:$P$14,MIN(1+_xlfn.IFNA(MATCH(F2771,'Default Prob'!$F$5:$F$14,1),0),COUNT('Default Prob'!$P$5:$P$14)))</f>
        <v>8.0322462664562722E-2</v>
      </c>
      <c r="H2771" s="5">
        <f t="shared" si="570"/>
        <v>0.66995789037119591</v>
      </c>
      <c r="I2771" s="24">
        <f t="shared" si="571"/>
        <v>1.4734725548670724E-4</v>
      </c>
      <c r="J2771" s="25">
        <f>INDEX('Default Prob'!$C$3:$C$13, _xlfn.IFNA(MATCH(F2771, 'Default Prob'!$B$3:$B$13, 1), 1))</f>
        <v>2.5600000000000001E-2</v>
      </c>
      <c r="K2771" s="26">
        <f t="shared" si="562"/>
        <v>0.76524920703813915</v>
      </c>
      <c r="L2771" s="27">
        <f t="shared" ca="1" si="563"/>
        <v>0</v>
      </c>
      <c r="M2771" s="27">
        <f t="shared" ca="1" si="564"/>
        <v>0</v>
      </c>
      <c r="N2771" s="28">
        <f t="shared" ca="1" si="565"/>
        <v>0</v>
      </c>
      <c r="O2771" s="29">
        <f t="shared" ca="1" si="566"/>
        <v>0</v>
      </c>
      <c r="P2771" s="30">
        <f t="shared" ca="1" si="567"/>
        <v>0</v>
      </c>
    </row>
    <row r="2772" spans="1:16" x14ac:dyDescent="0.25">
      <c r="A2772" s="3">
        <f t="shared" si="568"/>
        <v>49992</v>
      </c>
      <c r="B2772" s="21">
        <f t="shared" si="559"/>
        <v>36843</v>
      </c>
      <c r="C2772" s="21">
        <f t="shared" si="560"/>
        <v>36880</v>
      </c>
      <c r="D2772" s="1">
        <f t="shared" si="569"/>
        <v>0</v>
      </c>
      <c r="E2772" s="3">
        <f t="array" ref="E2772">INDEX($A$9:A2771, MAX(IF($D$9:D2771=1, ROW(D$9:$D2771)-ROW($D$9)+1, 0)))</f>
        <v>49940</v>
      </c>
      <c r="F2772" s="23">
        <f t="shared" si="561"/>
        <v>10.587268993839835</v>
      </c>
      <c r="G2772" s="5">
        <f>INDEX('Default Prob'!$P$5:$P$14,MIN(1+_xlfn.IFNA(MATCH(F2772,'Default Prob'!$F$5:$F$14,1),0),COUNT('Default Prob'!$P$5:$P$14)))</f>
        <v>8.0322462664562722E-2</v>
      </c>
      <c r="H2772" s="5">
        <f t="shared" si="570"/>
        <v>0.66981057551541678</v>
      </c>
      <c r="I2772" s="24">
        <f t="shared" si="571"/>
        <v>1.4731485577912373E-4</v>
      </c>
      <c r="J2772" s="25">
        <f>INDEX('Default Prob'!$C$3:$C$13, _xlfn.IFNA(MATCH(F2772, 'Default Prob'!$B$3:$B$13, 1), 1))</f>
        <v>2.5600000000000001E-2</v>
      </c>
      <c r="K2772" s="26">
        <f t="shared" si="562"/>
        <v>0.7651962483726874</v>
      </c>
      <c r="L2772" s="27">
        <f t="shared" ca="1" si="563"/>
        <v>0</v>
      </c>
      <c r="M2772" s="27">
        <f t="shared" ca="1" si="564"/>
        <v>0</v>
      </c>
      <c r="N2772" s="28">
        <f t="shared" ca="1" si="565"/>
        <v>0</v>
      </c>
      <c r="O2772" s="29">
        <f t="shared" ca="1" si="566"/>
        <v>0</v>
      </c>
      <c r="P2772" s="30">
        <f t="shared" ca="1" si="567"/>
        <v>0</v>
      </c>
    </row>
    <row r="2773" spans="1:16" x14ac:dyDescent="0.25">
      <c r="A2773" s="3">
        <f t="shared" si="568"/>
        <v>49993</v>
      </c>
      <c r="B2773" s="21">
        <f t="shared" si="559"/>
        <v>36844</v>
      </c>
      <c r="C2773" s="21">
        <f t="shared" si="560"/>
        <v>36880</v>
      </c>
      <c r="D2773" s="1">
        <f t="shared" si="569"/>
        <v>0</v>
      </c>
      <c r="E2773" s="3">
        <f t="array" ref="E2773">INDEX($A$9:A2772, MAX(IF($D$9:D2772=1, ROW(D$9:$D2772)-ROW($D$9)+1, 0)))</f>
        <v>49940</v>
      </c>
      <c r="F2773" s="23">
        <f t="shared" si="561"/>
        <v>10.590006844626968</v>
      </c>
      <c r="G2773" s="5">
        <f>INDEX('Default Prob'!$P$5:$P$14,MIN(1+_xlfn.IFNA(MATCH(F2773,'Default Prob'!$F$5:$F$14,1),0),COUNT('Default Prob'!$P$5:$P$14)))</f>
        <v>8.0322462664562722E-2</v>
      </c>
      <c r="H2773" s="5">
        <f t="shared" si="570"/>
        <v>0.66966329305222083</v>
      </c>
      <c r="I2773" s="24">
        <f t="shared" si="571"/>
        <v>1.472824631959524E-4</v>
      </c>
      <c r="J2773" s="25">
        <f>INDEX('Default Prob'!$C$3:$C$13, _xlfn.IFNA(MATCH(F2773, 'Default Prob'!$B$3:$B$13, 1), 1))</f>
        <v>2.5600000000000001E-2</v>
      </c>
      <c r="K2773" s="26">
        <f t="shared" si="562"/>
        <v>0.7651432933722121</v>
      </c>
      <c r="L2773" s="27">
        <f t="shared" ca="1" si="563"/>
        <v>0</v>
      </c>
      <c r="M2773" s="27">
        <f t="shared" ca="1" si="564"/>
        <v>0</v>
      </c>
      <c r="N2773" s="28">
        <f t="shared" ca="1" si="565"/>
        <v>0</v>
      </c>
      <c r="O2773" s="29">
        <f t="shared" ca="1" si="566"/>
        <v>0</v>
      </c>
      <c r="P2773" s="30">
        <f t="shared" ca="1" si="567"/>
        <v>0</v>
      </c>
    </row>
    <row r="2774" spans="1:16" x14ac:dyDescent="0.25">
      <c r="A2774" s="3">
        <f t="shared" si="568"/>
        <v>49996</v>
      </c>
      <c r="B2774" s="21">
        <f t="shared" si="559"/>
        <v>36847</v>
      </c>
      <c r="C2774" s="21">
        <f t="shared" si="560"/>
        <v>36880</v>
      </c>
      <c r="D2774" s="1">
        <f t="shared" si="569"/>
        <v>0</v>
      </c>
      <c r="E2774" s="3">
        <f t="array" ref="E2774">INDEX($A$9:A2773, MAX(IF($D$9:D2773=1, ROW(D$9:$D2773)-ROW($D$9)+1, 0)))</f>
        <v>49940</v>
      </c>
      <c r="F2774" s="23">
        <f t="shared" si="561"/>
        <v>10.598220396988363</v>
      </c>
      <c r="G2774" s="5">
        <f>INDEX('Default Prob'!$P$5:$P$14,MIN(1+_xlfn.IFNA(MATCH(F2774,'Default Prob'!$F$5:$F$14,1),0),COUNT('Default Prob'!$P$5:$P$14)))</f>
        <v>8.0322462664562722E-2</v>
      </c>
      <c r="H2774" s="5">
        <f t="shared" si="570"/>
        <v>0.66922163994691353</v>
      </c>
      <c r="I2774" s="24">
        <f t="shared" si="571"/>
        <v>4.4165310530730473E-4</v>
      </c>
      <c r="J2774" s="25">
        <f>INDEX('Default Prob'!$C$3:$C$13, _xlfn.IFNA(MATCH(F2774, 'Default Prob'!$B$3:$B$13, 1), 1))</f>
        <v>2.5600000000000001E-2</v>
      </c>
      <c r="K2774" s="26">
        <f t="shared" si="562"/>
        <v>0.76498445035810803</v>
      </c>
      <c r="L2774" s="27">
        <f t="shared" ca="1" si="563"/>
        <v>0</v>
      </c>
      <c r="M2774" s="27">
        <f t="shared" ca="1" si="564"/>
        <v>0</v>
      </c>
      <c r="N2774" s="28">
        <f t="shared" ca="1" si="565"/>
        <v>0</v>
      </c>
      <c r="O2774" s="29">
        <f t="shared" ca="1" si="566"/>
        <v>0</v>
      </c>
      <c r="P2774" s="30">
        <f t="shared" ca="1" si="567"/>
        <v>0</v>
      </c>
    </row>
    <row r="2775" spans="1:16" x14ac:dyDescent="0.25">
      <c r="A2775" s="3">
        <f t="shared" si="568"/>
        <v>49997</v>
      </c>
      <c r="B2775" s="21">
        <f t="shared" si="559"/>
        <v>36848</v>
      </c>
      <c r="C2775" s="21">
        <f t="shared" si="560"/>
        <v>36880</v>
      </c>
      <c r="D2775" s="1">
        <f t="shared" si="569"/>
        <v>0</v>
      </c>
      <c r="E2775" s="3">
        <f t="array" ref="E2775">INDEX($A$9:A2774, MAX(IF($D$9:D2774=1, ROW(D$9:$D2774)-ROW($D$9)+1, 0)))</f>
        <v>49940</v>
      </c>
      <c r="F2775" s="23">
        <f t="shared" si="561"/>
        <v>10.600958247775496</v>
      </c>
      <c r="G2775" s="5">
        <f>INDEX('Default Prob'!$P$5:$P$14,MIN(1+_xlfn.IFNA(MATCH(F2775,'Default Prob'!$F$5:$F$14,1),0),COUNT('Default Prob'!$P$5:$P$14)))</f>
        <v>8.0322462664562722E-2</v>
      </c>
      <c r="H2775" s="5">
        <f t="shared" si="570"/>
        <v>0.66907448698283922</v>
      </c>
      <c r="I2775" s="24">
        <f t="shared" si="571"/>
        <v>1.4715296407430412E-4</v>
      </c>
      <c r="J2775" s="25">
        <f>INDEX('Default Prob'!$C$3:$C$13, _xlfn.IFNA(MATCH(F2775, 'Default Prob'!$B$3:$B$13, 1), 1))</f>
        <v>2.5600000000000001E-2</v>
      </c>
      <c r="K2775" s="26">
        <f t="shared" si="562"/>
        <v>0.76493151001500181</v>
      </c>
      <c r="L2775" s="27">
        <f t="shared" ca="1" si="563"/>
        <v>0</v>
      </c>
      <c r="M2775" s="27">
        <f t="shared" ca="1" si="564"/>
        <v>0</v>
      </c>
      <c r="N2775" s="28">
        <f t="shared" ca="1" si="565"/>
        <v>0</v>
      </c>
      <c r="O2775" s="29">
        <f t="shared" ca="1" si="566"/>
        <v>0</v>
      </c>
      <c r="P2775" s="30">
        <f t="shared" ca="1" si="567"/>
        <v>0</v>
      </c>
    </row>
    <row r="2776" spans="1:16" x14ac:dyDescent="0.25">
      <c r="A2776" s="3">
        <f t="shared" si="568"/>
        <v>49998</v>
      </c>
      <c r="B2776" s="21">
        <f t="shared" si="559"/>
        <v>36849</v>
      </c>
      <c r="C2776" s="21">
        <f t="shared" si="560"/>
        <v>36880</v>
      </c>
      <c r="D2776" s="1">
        <f t="shared" si="569"/>
        <v>0</v>
      </c>
      <c r="E2776" s="3">
        <f t="array" ref="E2776">INDEX($A$9:A2775, MAX(IF($D$9:D2775=1, ROW(D$9:$D2775)-ROW($D$9)+1, 0)))</f>
        <v>49940</v>
      </c>
      <c r="F2776" s="23">
        <f t="shared" si="561"/>
        <v>10.603696098562628</v>
      </c>
      <c r="G2776" s="5">
        <f>INDEX('Default Prob'!$P$5:$P$14,MIN(1+_xlfn.IFNA(MATCH(F2776,'Default Prob'!$F$5:$F$14,1),0),COUNT('Default Prob'!$P$5:$P$14)))</f>
        <v>8.0322462664562722E-2</v>
      </c>
      <c r="H2776" s="5">
        <f t="shared" si="570"/>
        <v>0.66892736637575045</v>
      </c>
      <c r="I2776" s="24">
        <f t="shared" si="571"/>
        <v>1.4712060708876873E-4</v>
      </c>
      <c r="J2776" s="25">
        <f>INDEX('Default Prob'!$C$3:$C$13, _xlfn.IFNA(MATCH(F2776, 'Default Prob'!$B$3:$B$13, 1), 1))</f>
        <v>2.5600000000000001E-2</v>
      </c>
      <c r="K2776" s="26">
        <f t="shared" si="562"/>
        <v>0.76487857333560405</v>
      </c>
      <c r="L2776" s="27">
        <f t="shared" ca="1" si="563"/>
        <v>0</v>
      </c>
      <c r="M2776" s="27">
        <f t="shared" ca="1" si="564"/>
        <v>0</v>
      </c>
      <c r="N2776" s="28">
        <f t="shared" ca="1" si="565"/>
        <v>0</v>
      </c>
      <c r="O2776" s="29">
        <f t="shared" ca="1" si="566"/>
        <v>0</v>
      </c>
      <c r="P2776" s="30">
        <f t="shared" ca="1" si="567"/>
        <v>0</v>
      </c>
    </row>
    <row r="2777" spans="1:16" x14ac:dyDescent="0.25">
      <c r="A2777" s="3">
        <f t="shared" si="568"/>
        <v>49999</v>
      </c>
      <c r="B2777" s="21">
        <f t="shared" si="559"/>
        <v>36850</v>
      </c>
      <c r="C2777" s="21">
        <f t="shared" si="560"/>
        <v>36880</v>
      </c>
      <c r="D2777" s="1">
        <f t="shared" si="569"/>
        <v>0</v>
      </c>
      <c r="E2777" s="3">
        <f t="array" ref="E2777">INDEX($A$9:A2776, MAX(IF($D$9:D2776=1, ROW(D$9:$D2776)-ROW($D$9)+1, 0)))</f>
        <v>49940</v>
      </c>
      <c r="F2777" s="23">
        <f t="shared" si="561"/>
        <v>10.606433949349761</v>
      </c>
      <c r="G2777" s="5">
        <f>INDEX('Default Prob'!$P$5:$P$14,MIN(1+_xlfn.IFNA(MATCH(F2777,'Default Prob'!$F$5:$F$14,1),0),COUNT('Default Prob'!$P$5:$P$14)))</f>
        <v>8.0322462664562722E-2</v>
      </c>
      <c r="H2777" s="5">
        <f t="shared" si="570"/>
        <v>0.66878027811853213</v>
      </c>
      <c r="I2777" s="24">
        <f t="shared" si="571"/>
        <v>1.4708825721831964E-4</v>
      </c>
      <c r="J2777" s="25">
        <f>INDEX('Default Prob'!$C$3:$C$13, _xlfn.IFNA(MATCH(F2777, 'Default Prob'!$B$3:$B$13, 1), 1))</f>
        <v>2.5600000000000001E-2</v>
      </c>
      <c r="K2777" s="26">
        <f t="shared" si="562"/>
        <v>0.76482564031966105</v>
      </c>
      <c r="L2777" s="27">
        <f t="shared" ca="1" si="563"/>
        <v>0</v>
      </c>
      <c r="M2777" s="27">
        <f t="shared" ca="1" si="564"/>
        <v>0</v>
      </c>
      <c r="N2777" s="28">
        <f t="shared" ca="1" si="565"/>
        <v>0</v>
      </c>
      <c r="O2777" s="29">
        <f t="shared" ca="1" si="566"/>
        <v>0</v>
      </c>
      <c r="P2777" s="30">
        <f t="shared" ca="1" si="567"/>
        <v>0</v>
      </c>
    </row>
    <row r="2778" spans="1:16" x14ac:dyDescent="0.25">
      <c r="A2778" s="3">
        <f t="shared" si="568"/>
        <v>50000</v>
      </c>
      <c r="B2778" s="21">
        <f t="shared" si="559"/>
        <v>36851</v>
      </c>
      <c r="C2778" s="21">
        <f t="shared" si="560"/>
        <v>36880</v>
      </c>
      <c r="D2778" s="1">
        <f t="shared" si="569"/>
        <v>0</v>
      </c>
      <c r="E2778" s="3">
        <f t="array" ref="E2778">INDEX($A$9:A2777, MAX(IF($D$9:D2777=1, ROW(D$9:$D2777)-ROW($D$9)+1, 0)))</f>
        <v>49940</v>
      </c>
      <c r="F2778" s="23">
        <f t="shared" si="561"/>
        <v>10.609171800136892</v>
      </c>
      <c r="G2778" s="5">
        <f>INDEX('Default Prob'!$P$5:$P$14,MIN(1+_xlfn.IFNA(MATCH(F2778,'Default Prob'!$F$5:$F$14,1),0),COUNT('Default Prob'!$P$5:$P$14)))</f>
        <v>8.0322462664562722E-2</v>
      </c>
      <c r="H2778" s="5">
        <f t="shared" si="570"/>
        <v>0.66863322220407106</v>
      </c>
      <c r="I2778" s="24">
        <f t="shared" si="571"/>
        <v>1.4705591446106947E-4</v>
      </c>
      <c r="J2778" s="25">
        <f>INDEX('Default Prob'!$C$3:$C$13, _xlfn.IFNA(MATCH(F2778, 'Default Prob'!$B$3:$B$13, 1), 1))</f>
        <v>2.5600000000000001E-2</v>
      </c>
      <c r="K2778" s="26">
        <f t="shared" si="562"/>
        <v>0.76477271096691957</v>
      </c>
      <c r="L2778" s="27">
        <f t="shared" ca="1" si="563"/>
        <v>0</v>
      </c>
      <c r="M2778" s="27">
        <f t="shared" ca="1" si="564"/>
        <v>0</v>
      </c>
      <c r="N2778" s="28">
        <f t="shared" ca="1" si="565"/>
        <v>0</v>
      </c>
      <c r="O2778" s="29">
        <f t="shared" ca="1" si="566"/>
        <v>0</v>
      </c>
      <c r="P2778" s="30">
        <f t="shared" ca="1" si="567"/>
        <v>0</v>
      </c>
    </row>
    <row r="2779" spans="1:16" x14ac:dyDescent="0.25">
      <c r="A2779" s="3">
        <f t="shared" si="568"/>
        <v>50003</v>
      </c>
      <c r="B2779" s="21">
        <f t="shared" si="559"/>
        <v>36854</v>
      </c>
      <c r="C2779" s="21">
        <f t="shared" si="560"/>
        <v>36880</v>
      </c>
      <c r="D2779" s="1">
        <f t="shared" si="569"/>
        <v>0</v>
      </c>
      <c r="E2779" s="3">
        <f t="array" ref="E2779">INDEX($A$9:A2778, MAX(IF($D$9:D2778=1, ROW(D$9:$D2778)-ROW($D$9)+1, 0)))</f>
        <v>49940</v>
      </c>
      <c r="F2779" s="23">
        <f t="shared" si="561"/>
        <v>10.617385352498289</v>
      </c>
      <c r="G2779" s="5">
        <f>INDEX('Default Prob'!$P$5:$P$14,MIN(1+_xlfn.IFNA(MATCH(F2779,'Default Prob'!$F$5:$F$14,1),0),COUNT('Default Prob'!$P$5:$P$14)))</f>
        <v>8.0322462664562722E-2</v>
      </c>
      <c r="H2779" s="5">
        <f t="shared" si="570"/>
        <v>0.66819224844612146</v>
      </c>
      <c r="I2779" s="24">
        <f t="shared" si="571"/>
        <v>4.4097375794960314E-4</v>
      </c>
      <c r="J2779" s="25">
        <f>INDEX('Default Prob'!$C$3:$C$13, _xlfn.IFNA(MATCH(F2779, 'Default Prob'!$B$3:$B$13, 1), 1))</f>
        <v>2.5600000000000001E-2</v>
      </c>
      <c r="K2779" s="26">
        <f t="shared" si="562"/>
        <v>0.76461394488536727</v>
      </c>
      <c r="L2779" s="27">
        <f t="shared" ca="1" si="563"/>
        <v>0</v>
      </c>
      <c r="M2779" s="27">
        <f t="shared" ca="1" si="564"/>
        <v>0</v>
      </c>
      <c r="N2779" s="28">
        <f t="shared" ca="1" si="565"/>
        <v>0</v>
      </c>
      <c r="O2779" s="29">
        <f t="shared" ca="1" si="566"/>
        <v>0</v>
      </c>
      <c r="P2779" s="30">
        <f t="shared" ca="1" si="567"/>
        <v>0</v>
      </c>
    </row>
    <row r="2780" spans="1:16" x14ac:dyDescent="0.25">
      <c r="A2780" s="3">
        <f t="shared" si="568"/>
        <v>50004</v>
      </c>
      <c r="B2780" s="21">
        <f t="shared" si="559"/>
        <v>36855</v>
      </c>
      <c r="C2780" s="21">
        <f t="shared" si="560"/>
        <v>36880</v>
      </c>
      <c r="D2780" s="1">
        <f t="shared" si="569"/>
        <v>0</v>
      </c>
      <c r="E2780" s="3">
        <f t="array" ref="E2780">INDEX($A$9:A2779, MAX(IF($D$9:D2779=1, ROW(D$9:$D2779)-ROW($D$9)+1, 0)))</f>
        <v>49940</v>
      </c>
      <c r="F2780" s="23">
        <f t="shared" si="561"/>
        <v>10.620123203285422</v>
      </c>
      <c r="G2780" s="5">
        <f>INDEX('Default Prob'!$P$5:$P$14,MIN(1+_xlfn.IFNA(MATCH(F2780,'Default Prob'!$F$5:$F$14,1),0),COUNT('Default Prob'!$P$5:$P$14)))</f>
        <v>8.0322462664562722E-2</v>
      </c>
      <c r="H2780" s="5">
        <f t="shared" si="570"/>
        <v>0.66804532183158749</v>
      </c>
      <c r="I2780" s="24">
        <f t="shared" si="571"/>
        <v>1.4692661453397093E-4</v>
      </c>
      <c r="J2780" s="25">
        <f>INDEX('Default Prob'!$C$3:$C$13, _xlfn.IFNA(MATCH(F2780, 'Default Prob'!$B$3:$B$13, 1), 1))</f>
        <v>2.5600000000000001E-2</v>
      </c>
      <c r="K2780" s="26">
        <f t="shared" si="562"/>
        <v>0.7645610301828959</v>
      </c>
      <c r="L2780" s="27">
        <f t="shared" ca="1" si="563"/>
        <v>0</v>
      </c>
      <c r="M2780" s="27">
        <f t="shared" ca="1" si="564"/>
        <v>0</v>
      </c>
      <c r="N2780" s="28">
        <f t="shared" ca="1" si="565"/>
        <v>0</v>
      </c>
      <c r="O2780" s="29">
        <f t="shared" ca="1" si="566"/>
        <v>0</v>
      </c>
      <c r="P2780" s="30">
        <f t="shared" ca="1" si="567"/>
        <v>0</v>
      </c>
    </row>
    <row r="2781" spans="1:16" x14ac:dyDescent="0.25">
      <c r="A2781" s="3">
        <f t="shared" si="568"/>
        <v>50005</v>
      </c>
      <c r="B2781" s="21">
        <f t="shared" si="559"/>
        <v>36856</v>
      </c>
      <c r="C2781" s="21">
        <f t="shared" si="560"/>
        <v>36880</v>
      </c>
      <c r="D2781" s="1">
        <f t="shared" si="569"/>
        <v>0</v>
      </c>
      <c r="E2781" s="3">
        <f t="array" ref="E2781">INDEX($A$9:A2780, MAX(IF($D$9:D2780=1, ROW(D$9:$D2780)-ROW($D$9)+1, 0)))</f>
        <v>49940</v>
      </c>
      <c r="F2781" s="23">
        <f t="shared" si="561"/>
        <v>10.622861054072553</v>
      </c>
      <c r="G2781" s="5">
        <f>INDEX('Default Prob'!$P$5:$P$14,MIN(1+_xlfn.IFNA(MATCH(F2781,'Default Prob'!$F$5:$F$14,1),0),COUNT('Default Prob'!$P$5:$P$14)))</f>
        <v>8.0322462664562722E-2</v>
      </c>
      <c r="H2781" s="5">
        <f t="shared" si="570"/>
        <v>0.66789842752426765</v>
      </c>
      <c r="I2781" s="24">
        <f t="shared" si="571"/>
        <v>1.4689430731984476E-4</v>
      </c>
      <c r="J2781" s="25">
        <f>INDEX('Default Prob'!$C$3:$C$13, _xlfn.IFNA(MATCH(F2781, 'Default Prob'!$B$3:$B$13, 1), 1))</f>
        <v>2.5600000000000001E-2</v>
      </c>
      <c r="K2781" s="26">
        <f t="shared" si="562"/>
        <v>0.7645081191423585</v>
      </c>
      <c r="L2781" s="27">
        <f t="shared" ca="1" si="563"/>
        <v>0</v>
      </c>
      <c r="M2781" s="27">
        <f t="shared" ca="1" si="564"/>
        <v>0</v>
      </c>
      <c r="N2781" s="28">
        <f t="shared" ca="1" si="565"/>
        <v>0</v>
      </c>
      <c r="O2781" s="29">
        <f t="shared" ca="1" si="566"/>
        <v>0</v>
      </c>
      <c r="P2781" s="30">
        <f t="shared" ca="1" si="567"/>
        <v>0</v>
      </c>
    </row>
    <row r="2782" spans="1:16" x14ac:dyDescent="0.25">
      <c r="A2782" s="3">
        <f t="shared" si="568"/>
        <v>50006</v>
      </c>
      <c r="B2782" s="21">
        <f t="shared" si="559"/>
        <v>36857</v>
      </c>
      <c r="C2782" s="21">
        <f t="shared" si="560"/>
        <v>36880</v>
      </c>
      <c r="D2782" s="1">
        <f t="shared" si="569"/>
        <v>0</v>
      </c>
      <c r="E2782" s="3">
        <f t="array" ref="E2782">INDEX($A$9:A2781, MAX(IF($D$9:D2781=1, ROW(D$9:$D2781)-ROW($D$9)+1, 0)))</f>
        <v>49940</v>
      </c>
      <c r="F2782" s="23">
        <f t="shared" si="561"/>
        <v>10.625598904859686</v>
      </c>
      <c r="G2782" s="5">
        <f>INDEX('Default Prob'!$P$5:$P$14,MIN(1+_xlfn.IFNA(MATCH(F2782,'Default Prob'!$F$5:$F$14,1),0),COUNT('Default Prob'!$P$5:$P$14)))</f>
        <v>8.0322462664562722E-2</v>
      </c>
      <c r="H2782" s="5">
        <f t="shared" si="570"/>
        <v>0.66775156551705794</v>
      </c>
      <c r="I2782" s="24">
        <f t="shared" si="571"/>
        <v>1.4686200720970266E-4</v>
      </c>
      <c r="J2782" s="25">
        <f>INDEX('Default Prob'!$C$3:$C$13, _xlfn.IFNA(MATCH(F2782, 'Default Prob'!$B$3:$B$13, 1), 1))</f>
        <v>2.5600000000000001E-2</v>
      </c>
      <c r="K2782" s="26">
        <f t="shared" si="562"/>
        <v>0.76445521176350151</v>
      </c>
      <c r="L2782" s="27">
        <f t="shared" ca="1" si="563"/>
        <v>0</v>
      </c>
      <c r="M2782" s="27">
        <f t="shared" ca="1" si="564"/>
        <v>0</v>
      </c>
      <c r="N2782" s="28">
        <f t="shared" ca="1" si="565"/>
        <v>0</v>
      </c>
      <c r="O2782" s="29">
        <f t="shared" ca="1" si="566"/>
        <v>0</v>
      </c>
      <c r="P2782" s="30">
        <f t="shared" ca="1" si="567"/>
        <v>0</v>
      </c>
    </row>
    <row r="2783" spans="1:16" x14ac:dyDescent="0.25">
      <c r="A2783" s="3">
        <f t="shared" si="568"/>
        <v>50007</v>
      </c>
      <c r="B2783" s="21">
        <f t="shared" si="559"/>
        <v>36858</v>
      </c>
      <c r="C2783" s="21">
        <f t="shared" si="560"/>
        <v>36880</v>
      </c>
      <c r="D2783" s="1">
        <f t="shared" si="569"/>
        <v>0</v>
      </c>
      <c r="E2783" s="3">
        <f t="array" ref="E2783">INDEX($A$9:A2782, MAX(IF($D$9:D2782=1, ROW(D$9:$D2782)-ROW($D$9)+1, 0)))</f>
        <v>49940</v>
      </c>
      <c r="F2783" s="23">
        <f t="shared" si="561"/>
        <v>10.628336755646817</v>
      </c>
      <c r="G2783" s="5">
        <f>INDEX('Default Prob'!$P$5:$P$14,MIN(1+_xlfn.IFNA(MATCH(F2783,'Default Prob'!$F$5:$F$14,1),0),COUNT('Default Prob'!$P$5:$P$14)))</f>
        <v>8.0322462664562722E-2</v>
      </c>
      <c r="H2783" s="5">
        <f t="shared" si="570"/>
        <v>0.66760473580285618</v>
      </c>
      <c r="I2783" s="24">
        <f t="shared" si="571"/>
        <v>1.4682971420176827E-4</v>
      </c>
      <c r="J2783" s="25">
        <f>INDEX('Default Prob'!$C$3:$C$13, _xlfn.IFNA(MATCH(F2783, 'Default Prob'!$B$3:$B$13, 1), 1))</f>
        <v>2.5600000000000001E-2</v>
      </c>
      <c r="K2783" s="26">
        <f t="shared" si="562"/>
        <v>0.76440230804607157</v>
      </c>
      <c r="L2783" s="27">
        <f t="shared" ca="1" si="563"/>
        <v>0</v>
      </c>
      <c r="M2783" s="27">
        <f t="shared" ca="1" si="564"/>
        <v>0</v>
      </c>
      <c r="N2783" s="28">
        <f t="shared" ca="1" si="565"/>
        <v>0</v>
      </c>
      <c r="O2783" s="29">
        <f t="shared" ca="1" si="566"/>
        <v>0</v>
      </c>
      <c r="P2783" s="30">
        <f t="shared" ca="1" si="567"/>
        <v>0</v>
      </c>
    </row>
    <row r="2784" spans="1:16" x14ac:dyDescent="0.25">
      <c r="A2784" s="3">
        <f t="shared" si="568"/>
        <v>50010</v>
      </c>
      <c r="B2784" s="21">
        <f t="shared" si="559"/>
        <v>36861</v>
      </c>
      <c r="C2784" s="21">
        <f t="shared" si="560"/>
        <v>36880</v>
      </c>
      <c r="D2784" s="1">
        <f t="shared" si="569"/>
        <v>0</v>
      </c>
      <c r="E2784" s="3">
        <f t="array" ref="E2784">INDEX($A$9:A2783, MAX(IF($D$9:D2783=1, ROW(D$9:$D2783)-ROW($D$9)+1, 0)))</f>
        <v>49940</v>
      </c>
      <c r="F2784" s="23">
        <f t="shared" si="561"/>
        <v>10.636550308008214</v>
      </c>
      <c r="G2784" s="5">
        <f>INDEX('Default Prob'!$P$5:$P$14,MIN(1+_xlfn.IFNA(MATCH(F2784,'Default Prob'!$F$5:$F$14,1),0),COUNT('Default Prob'!$P$5:$P$14)))</f>
        <v>8.0322462664562722E-2</v>
      </c>
      <c r="H2784" s="5">
        <f t="shared" si="570"/>
        <v>0.6671644403472976</v>
      </c>
      <c r="I2784" s="24">
        <f t="shared" si="571"/>
        <v>4.402954555585703E-4</v>
      </c>
      <c r="J2784" s="25">
        <f>INDEX('Default Prob'!$C$3:$C$13, _xlfn.IFNA(MATCH(F2784, 'Default Prob'!$B$3:$B$13, 1), 1))</f>
        <v>2.5600000000000001E-2</v>
      </c>
      <c r="K2784" s="26">
        <f t="shared" si="562"/>
        <v>0.76424361885981063</v>
      </c>
      <c r="L2784" s="27">
        <f t="shared" ca="1" si="563"/>
        <v>0</v>
      </c>
      <c r="M2784" s="27">
        <f t="shared" ca="1" si="564"/>
        <v>0</v>
      </c>
      <c r="N2784" s="28">
        <f t="shared" ca="1" si="565"/>
        <v>0</v>
      </c>
      <c r="O2784" s="29">
        <f t="shared" ca="1" si="566"/>
        <v>0</v>
      </c>
      <c r="P2784" s="30">
        <f t="shared" ca="1" si="567"/>
        <v>0</v>
      </c>
    </row>
    <row r="2785" spans="1:16" x14ac:dyDescent="0.25">
      <c r="A2785" s="3">
        <f t="shared" si="568"/>
        <v>50011</v>
      </c>
      <c r="B2785" s="21">
        <f t="shared" si="559"/>
        <v>36862</v>
      </c>
      <c r="C2785" s="21">
        <f t="shared" si="560"/>
        <v>36880</v>
      </c>
      <c r="D2785" s="1">
        <f t="shared" si="569"/>
        <v>0</v>
      </c>
      <c r="E2785" s="3">
        <f t="array" ref="E2785">INDEX($A$9:A2784, MAX(IF($D$9:D2784=1, ROW(D$9:$D2784)-ROW($D$9)+1, 0)))</f>
        <v>49940</v>
      </c>
      <c r="F2785" s="23">
        <f t="shared" si="561"/>
        <v>10.639288158795345</v>
      </c>
      <c r="G2785" s="5">
        <f>INDEX('Default Prob'!$P$5:$P$14,MIN(1+_xlfn.IFNA(MATCH(F2785,'Default Prob'!$F$5:$F$14,1),0),COUNT('Default Prob'!$P$5:$P$14)))</f>
        <v>8.0322462664562722E-2</v>
      </c>
      <c r="H2785" s="5">
        <f t="shared" si="570"/>
        <v>0.66701773973413481</v>
      </c>
      <c r="I2785" s="24">
        <f t="shared" si="571"/>
        <v>1.4670061316279792E-4</v>
      </c>
      <c r="J2785" s="25">
        <f>INDEX('Default Prob'!$C$3:$C$13, _xlfn.IFNA(MATCH(F2785, 'Default Prob'!$B$3:$B$13, 1), 1))</f>
        <v>2.5600000000000001E-2</v>
      </c>
      <c r="K2785" s="26">
        <f t="shared" si="562"/>
        <v>0.76419072978555536</v>
      </c>
      <c r="L2785" s="27">
        <f t="shared" ca="1" si="563"/>
        <v>0</v>
      </c>
      <c r="M2785" s="27">
        <f t="shared" ca="1" si="564"/>
        <v>0</v>
      </c>
      <c r="N2785" s="28">
        <f t="shared" ca="1" si="565"/>
        <v>0</v>
      </c>
      <c r="O2785" s="29">
        <f t="shared" ca="1" si="566"/>
        <v>0</v>
      </c>
      <c r="P2785" s="30">
        <f t="shared" ca="1" si="567"/>
        <v>0</v>
      </c>
    </row>
    <row r="2786" spans="1:16" x14ac:dyDescent="0.25">
      <c r="A2786" s="3">
        <f t="shared" si="568"/>
        <v>50012</v>
      </c>
      <c r="B2786" s="21">
        <f t="shared" si="559"/>
        <v>36863</v>
      </c>
      <c r="C2786" s="21">
        <f t="shared" si="560"/>
        <v>36880</v>
      </c>
      <c r="D2786" s="1">
        <f t="shared" si="569"/>
        <v>0</v>
      </c>
      <c r="E2786" s="3">
        <f t="array" ref="E2786">INDEX($A$9:A2785, MAX(IF($D$9:D2785=1, ROW(D$9:$D2785)-ROW($D$9)+1, 0)))</f>
        <v>49940</v>
      </c>
      <c r="F2786" s="23">
        <f t="shared" si="561"/>
        <v>10.642026009582478</v>
      </c>
      <c r="G2786" s="5">
        <f>INDEX('Default Prob'!$P$5:$P$14,MIN(1+_xlfn.IFNA(MATCH(F2786,'Default Prob'!$F$5:$F$14,1),0),COUNT('Default Prob'!$P$5:$P$14)))</f>
        <v>8.0322462664562722E-2</v>
      </c>
      <c r="H2786" s="5">
        <f t="shared" si="570"/>
        <v>0.66687107137849133</v>
      </c>
      <c r="I2786" s="24">
        <f t="shared" si="571"/>
        <v>1.4666835564347558E-4</v>
      </c>
      <c r="J2786" s="25">
        <f>INDEX('Default Prob'!$C$3:$C$13, _xlfn.IFNA(MATCH(F2786, 'Default Prob'!$B$3:$B$13, 1), 1))</f>
        <v>2.5600000000000001E-2</v>
      </c>
      <c r="K2786" s="26">
        <f t="shared" si="562"/>
        <v>0.76413784437146037</v>
      </c>
      <c r="L2786" s="27">
        <f t="shared" ca="1" si="563"/>
        <v>0</v>
      </c>
      <c r="M2786" s="27">
        <f t="shared" ca="1" si="564"/>
        <v>0</v>
      </c>
      <c r="N2786" s="28">
        <f t="shared" ca="1" si="565"/>
        <v>0</v>
      </c>
      <c r="O2786" s="29">
        <f t="shared" ca="1" si="566"/>
        <v>0</v>
      </c>
      <c r="P2786" s="30">
        <f t="shared" ca="1" si="567"/>
        <v>0</v>
      </c>
    </row>
    <row r="2787" spans="1:16" x14ac:dyDescent="0.25">
      <c r="A2787" s="3">
        <f t="shared" si="568"/>
        <v>50013</v>
      </c>
      <c r="B2787" s="21">
        <f t="shared" si="559"/>
        <v>36864</v>
      </c>
      <c r="C2787" s="21">
        <f t="shared" si="560"/>
        <v>36880</v>
      </c>
      <c r="D2787" s="1">
        <f t="shared" si="569"/>
        <v>0</v>
      </c>
      <c r="E2787" s="3">
        <f t="array" ref="E2787">INDEX($A$9:A2786, MAX(IF($D$9:D2786=1, ROW(D$9:$D2786)-ROW($D$9)+1, 0)))</f>
        <v>49940</v>
      </c>
      <c r="F2787" s="23">
        <f t="shared" si="561"/>
        <v>10.64476386036961</v>
      </c>
      <c r="G2787" s="5">
        <f>INDEX('Default Prob'!$P$5:$P$14,MIN(1+_xlfn.IFNA(MATCH(F2787,'Default Prob'!$F$5:$F$14,1),0),COUNT('Default Prob'!$P$5:$P$14)))</f>
        <v>8.0322462664562722E-2</v>
      </c>
      <c r="H2787" s="5">
        <f t="shared" si="570"/>
        <v>0.66672443527327441</v>
      </c>
      <c r="I2787" s="24">
        <f t="shared" si="571"/>
        <v>1.4663610521692405E-4</v>
      </c>
      <c r="J2787" s="25">
        <f>INDEX('Default Prob'!$C$3:$C$13, _xlfn.IFNA(MATCH(F2787, 'Default Prob'!$B$3:$B$13, 1), 1))</f>
        <v>2.5600000000000001E-2</v>
      </c>
      <c r="K2787" s="26">
        <f t="shared" si="562"/>
        <v>0.76408496261727266</v>
      </c>
      <c r="L2787" s="27">
        <f t="shared" ca="1" si="563"/>
        <v>0</v>
      </c>
      <c r="M2787" s="27">
        <f t="shared" ca="1" si="564"/>
        <v>0</v>
      </c>
      <c r="N2787" s="28">
        <f t="shared" ca="1" si="565"/>
        <v>0</v>
      </c>
      <c r="O2787" s="29">
        <f t="shared" ca="1" si="566"/>
        <v>0</v>
      </c>
      <c r="P2787" s="30">
        <f t="shared" ca="1" si="567"/>
        <v>0</v>
      </c>
    </row>
    <row r="2788" spans="1:16" x14ac:dyDescent="0.25">
      <c r="A2788" s="3">
        <f t="shared" si="568"/>
        <v>50014</v>
      </c>
      <c r="B2788" s="21">
        <f t="shared" si="559"/>
        <v>36865</v>
      </c>
      <c r="C2788" s="21">
        <f t="shared" si="560"/>
        <v>36880</v>
      </c>
      <c r="D2788" s="1">
        <f t="shared" si="569"/>
        <v>0</v>
      </c>
      <c r="E2788" s="3">
        <f t="array" ref="E2788">INDEX($A$9:A2787, MAX(IF($D$9:D2787=1, ROW(D$9:$D2787)-ROW($D$9)+1, 0)))</f>
        <v>49940</v>
      </c>
      <c r="F2788" s="23">
        <f t="shared" si="561"/>
        <v>10.647501711156742</v>
      </c>
      <c r="G2788" s="5">
        <f>INDEX('Default Prob'!$P$5:$P$14,MIN(1+_xlfn.IFNA(MATCH(F2788,'Default Prob'!$F$5:$F$14,1),0),COUNT('Default Prob'!$P$5:$P$14)))</f>
        <v>8.0322462664562722E-2</v>
      </c>
      <c r="H2788" s="5">
        <f t="shared" si="570"/>
        <v>0.66657783141139237</v>
      </c>
      <c r="I2788" s="24">
        <f t="shared" si="571"/>
        <v>1.4660386188203312E-4</v>
      </c>
      <c r="J2788" s="25">
        <f>INDEX('Default Prob'!$C$3:$C$13, _xlfn.IFNA(MATCH(F2788, 'Default Prob'!$B$3:$B$13, 1), 1))</f>
        <v>2.5600000000000001E-2</v>
      </c>
      <c r="K2788" s="26">
        <f t="shared" si="562"/>
        <v>0.76403208452273841</v>
      </c>
      <c r="L2788" s="27">
        <f t="shared" ca="1" si="563"/>
        <v>0</v>
      </c>
      <c r="M2788" s="27">
        <f t="shared" ca="1" si="564"/>
        <v>0</v>
      </c>
      <c r="N2788" s="28">
        <f t="shared" ca="1" si="565"/>
        <v>0</v>
      </c>
      <c r="O2788" s="29">
        <f t="shared" ca="1" si="566"/>
        <v>0</v>
      </c>
      <c r="P2788" s="30">
        <f t="shared" ca="1" si="567"/>
        <v>0</v>
      </c>
    </row>
    <row r="2789" spans="1:16" x14ac:dyDescent="0.25">
      <c r="A2789" s="3">
        <f t="shared" si="568"/>
        <v>50017</v>
      </c>
      <c r="B2789" s="21">
        <f t="shared" si="559"/>
        <v>36868</v>
      </c>
      <c r="C2789" s="21">
        <f t="shared" si="560"/>
        <v>36880</v>
      </c>
      <c r="D2789" s="1">
        <f t="shared" si="569"/>
        <v>0</v>
      </c>
      <c r="E2789" s="3">
        <f t="array" ref="E2789">INDEX($A$9:A2788, MAX(IF($D$9:D2788=1, ROW(D$9:$D2788)-ROW($D$9)+1, 0)))</f>
        <v>49940</v>
      </c>
      <c r="F2789" s="23">
        <f t="shared" si="561"/>
        <v>10.655715263518138</v>
      </c>
      <c r="G2789" s="5">
        <f>INDEX('Default Prob'!$P$5:$P$14,MIN(1+_xlfn.IFNA(MATCH(F2789,'Default Prob'!$F$5:$F$14,1),0),COUNT('Default Prob'!$P$5:$P$14)))</f>
        <v>8.0322462664562722E-2</v>
      </c>
      <c r="H2789" s="5">
        <f t="shared" si="570"/>
        <v>0.66613821321486555</v>
      </c>
      <c r="I2789" s="24">
        <f t="shared" si="571"/>
        <v>4.3961819652682532E-4</v>
      </c>
      <c r="J2789" s="25">
        <f>INDEX('Default Prob'!$C$3:$C$13, _xlfn.IFNA(MATCH(F2789, 'Default Prob'!$B$3:$B$13, 1), 1))</f>
        <v>2.5600000000000001E-2</v>
      </c>
      <c r="K2789" s="26">
        <f t="shared" si="562"/>
        <v>0.76387347219452606</v>
      </c>
      <c r="L2789" s="27">
        <f t="shared" ca="1" si="563"/>
        <v>0</v>
      </c>
      <c r="M2789" s="27">
        <f t="shared" ca="1" si="564"/>
        <v>0</v>
      </c>
      <c r="N2789" s="28">
        <f t="shared" ca="1" si="565"/>
        <v>0</v>
      </c>
      <c r="O2789" s="29">
        <f t="shared" ca="1" si="566"/>
        <v>0</v>
      </c>
      <c r="P2789" s="30">
        <f t="shared" ca="1" si="567"/>
        <v>0</v>
      </c>
    </row>
    <row r="2790" spans="1:16" x14ac:dyDescent="0.25">
      <c r="A2790" s="3">
        <f t="shared" si="568"/>
        <v>50018</v>
      </c>
      <c r="B2790" s="21">
        <f t="shared" si="559"/>
        <v>36869</v>
      </c>
      <c r="C2790" s="21">
        <f t="shared" si="560"/>
        <v>36880</v>
      </c>
      <c r="D2790" s="1">
        <f t="shared" si="569"/>
        <v>0</v>
      </c>
      <c r="E2790" s="3">
        <f t="array" ref="E2790">INDEX($A$9:A2789, MAX(IF($D$9:D2789=1, ROW(D$9:$D2789)-ROW($D$9)+1, 0)))</f>
        <v>49940</v>
      </c>
      <c r="F2790" s="23">
        <f t="shared" si="561"/>
        <v>10.658453114305271</v>
      </c>
      <c r="G2790" s="5">
        <f>INDEX('Default Prob'!$P$5:$P$14,MIN(1+_xlfn.IFNA(MATCH(F2790,'Default Prob'!$F$5:$F$14,1),0),COUNT('Default Prob'!$P$5:$P$14)))</f>
        <v>8.0322462664562722E-2</v>
      </c>
      <c r="H2790" s="5">
        <f t="shared" si="570"/>
        <v>0.66599173825544034</v>
      </c>
      <c r="I2790" s="24">
        <f t="shared" si="571"/>
        <v>1.4647495942521349E-4</v>
      </c>
      <c r="J2790" s="25">
        <f>INDEX('Default Prob'!$C$3:$C$13, _xlfn.IFNA(MATCH(F2790, 'Default Prob'!$B$3:$B$13, 1), 1))</f>
        <v>2.5600000000000001E-2</v>
      </c>
      <c r="K2790" s="26">
        <f t="shared" si="562"/>
        <v>0.76382060873607438</v>
      </c>
      <c r="L2790" s="27">
        <f t="shared" ca="1" si="563"/>
        <v>0</v>
      </c>
      <c r="M2790" s="27">
        <f t="shared" ca="1" si="564"/>
        <v>0</v>
      </c>
      <c r="N2790" s="28">
        <f t="shared" ca="1" si="565"/>
        <v>0</v>
      </c>
      <c r="O2790" s="29">
        <f t="shared" ca="1" si="566"/>
        <v>0</v>
      </c>
      <c r="P2790" s="30">
        <f t="shared" ca="1" si="567"/>
        <v>0</v>
      </c>
    </row>
    <row r="2791" spans="1:16" x14ac:dyDescent="0.25">
      <c r="A2791" s="3">
        <f t="shared" si="568"/>
        <v>50019</v>
      </c>
      <c r="B2791" s="21">
        <f t="shared" si="559"/>
        <v>36870</v>
      </c>
      <c r="C2791" s="21">
        <f t="shared" si="560"/>
        <v>36880</v>
      </c>
      <c r="D2791" s="1">
        <f t="shared" si="569"/>
        <v>0</v>
      </c>
      <c r="E2791" s="3">
        <f t="array" ref="E2791">INDEX($A$9:A2790, MAX(IF($D$9:D2790=1, ROW(D$9:$D2790)-ROW($D$9)+1, 0)))</f>
        <v>49940</v>
      </c>
      <c r="F2791" s="23">
        <f t="shared" si="561"/>
        <v>10.661190965092402</v>
      </c>
      <c r="G2791" s="5">
        <f>INDEX('Default Prob'!$P$5:$P$14,MIN(1+_xlfn.IFNA(MATCH(F2791,'Default Prob'!$F$5:$F$14,1),0),COUNT('Default Prob'!$P$5:$P$14)))</f>
        <v>8.0322462664562722E-2</v>
      </c>
      <c r="H2791" s="5">
        <f t="shared" si="570"/>
        <v>0.66584529550391636</v>
      </c>
      <c r="I2791" s="24">
        <f t="shared" si="571"/>
        <v>1.4644275152397856E-4</v>
      </c>
      <c r="J2791" s="25">
        <f>INDEX('Default Prob'!$C$3:$C$13, _xlfn.IFNA(MATCH(F2791, 'Default Prob'!$B$3:$B$13, 1), 1))</f>
        <v>2.5600000000000001E-2</v>
      </c>
      <c r="K2791" s="26">
        <f t="shared" si="562"/>
        <v>0.7637677489360104</v>
      </c>
      <c r="L2791" s="27">
        <f t="shared" ca="1" si="563"/>
        <v>0</v>
      </c>
      <c r="M2791" s="27">
        <f t="shared" ca="1" si="564"/>
        <v>0</v>
      </c>
      <c r="N2791" s="28">
        <f t="shared" ca="1" si="565"/>
        <v>0</v>
      </c>
      <c r="O2791" s="29">
        <f t="shared" ca="1" si="566"/>
        <v>0</v>
      </c>
      <c r="P2791" s="30">
        <f t="shared" ca="1" si="567"/>
        <v>0</v>
      </c>
    </row>
    <row r="2792" spans="1:16" x14ac:dyDescent="0.25">
      <c r="A2792" s="3">
        <f t="shared" si="568"/>
        <v>50020</v>
      </c>
      <c r="B2792" s="21">
        <f t="shared" si="559"/>
        <v>36871</v>
      </c>
      <c r="C2792" s="21">
        <f t="shared" si="560"/>
        <v>36880</v>
      </c>
      <c r="D2792" s="1">
        <f t="shared" si="569"/>
        <v>0</v>
      </c>
      <c r="E2792" s="3">
        <f t="array" ref="E2792">INDEX($A$9:A2791, MAX(IF($D$9:D2791=1, ROW(D$9:$D2791)-ROW($D$9)+1, 0)))</f>
        <v>49940</v>
      </c>
      <c r="F2792" s="23">
        <f t="shared" si="561"/>
        <v>10.663928815879535</v>
      </c>
      <c r="G2792" s="5">
        <f>INDEX('Default Prob'!$P$5:$P$14,MIN(1+_xlfn.IFNA(MATCH(F2792,'Default Prob'!$F$5:$F$14,1),0),COUNT('Default Prob'!$P$5:$P$14)))</f>
        <v>8.0322462664562722E-2</v>
      </c>
      <c r="H2792" s="5">
        <f t="shared" si="570"/>
        <v>0.66569888495321139</v>
      </c>
      <c r="I2792" s="24">
        <f t="shared" si="571"/>
        <v>1.4641055070496733E-4</v>
      </c>
      <c r="J2792" s="25">
        <f>INDEX('Default Prob'!$C$3:$C$13, _xlfn.IFNA(MATCH(F2792, 'Default Prob'!$B$3:$B$13, 1), 1))</f>
        <v>2.5600000000000001E-2</v>
      </c>
      <c r="K2792" s="26">
        <f t="shared" si="562"/>
        <v>0.76371489279408078</v>
      </c>
      <c r="L2792" s="27">
        <f t="shared" ca="1" si="563"/>
        <v>0</v>
      </c>
      <c r="M2792" s="27">
        <f t="shared" ca="1" si="564"/>
        <v>0</v>
      </c>
      <c r="N2792" s="28">
        <f t="shared" ca="1" si="565"/>
        <v>0</v>
      </c>
      <c r="O2792" s="29">
        <f t="shared" ca="1" si="566"/>
        <v>0</v>
      </c>
      <c r="P2792" s="30">
        <f t="shared" ca="1" si="567"/>
        <v>0</v>
      </c>
    </row>
    <row r="2793" spans="1:16" x14ac:dyDescent="0.25">
      <c r="A2793" s="3">
        <f t="shared" si="568"/>
        <v>50021</v>
      </c>
      <c r="B2793" s="21">
        <f t="shared" si="559"/>
        <v>36872</v>
      </c>
      <c r="C2793" s="21">
        <f t="shared" si="560"/>
        <v>36880</v>
      </c>
      <c r="D2793" s="1">
        <f t="shared" si="569"/>
        <v>0</v>
      </c>
      <c r="E2793" s="3">
        <f t="array" ref="E2793">INDEX($A$9:A2792, MAX(IF($D$9:D2792=1, ROW(D$9:$D2792)-ROW($D$9)+1, 0)))</f>
        <v>49940</v>
      </c>
      <c r="F2793" s="23">
        <f t="shared" si="561"/>
        <v>10.666666666666666</v>
      </c>
      <c r="G2793" s="5">
        <f>INDEX('Default Prob'!$P$5:$P$14,MIN(1+_xlfn.IFNA(MATCH(F2793,'Default Prob'!$F$5:$F$14,1),0),COUNT('Default Prob'!$P$5:$P$14)))</f>
        <v>8.0322462664562722E-2</v>
      </c>
      <c r="H2793" s="5">
        <f t="shared" si="570"/>
        <v>0.66555250659624499</v>
      </c>
      <c r="I2793" s="24">
        <f t="shared" si="571"/>
        <v>1.4637835696640344E-4</v>
      </c>
      <c r="J2793" s="25">
        <f>INDEX('Default Prob'!$C$3:$C$13, _xlfn.IFNA(MATCH(F2793, 'Default Prob'!$B$3:$B$13, 1), 1))</f>
        <v>2.5600000000000001E-2</v>
      </c>
      <c r="K2793" s="26">
        <f t="shared" si="562"/>
        <v>0.76366204031003249</v>
      </c>
      <c r="L2793" s="27">
        <f t="shared" ca="1" si="563"/>
        <v>0</v>
      </c>
      <c r="M2793" s="27">
        <f t="shared" ca="1" si="564"/>
        <v>0</v>
      </c>
      <c r="N2793" s="28">
        <f t="shared" ca="1" si="565"/>
        <v>0</v>
      </c>
      <c r="O2793" s="29">
        <f t="shared" ca="1" si="566"/>
        <v>0</v>
      </c>
      <c r="P2793" s="30">
        <f t="shared" ca="1" si="567"/>
        <v>0</v>
      </c>
    </row>
    <row r="2794" spans="1:16" x14ac:dyDescent="0.25">
      <c r="A2794" s="3">
        <f t="shared" si="568"/>
        <v>50024</v>
      </c>
      <c r="B2794" s="21">
        <f t="shared" si="559"/>
        <v>36875</v>
      </c>
      <c r="C2794" s="21">
        <f t="shared" si="560"/>
        <v>36880</v>
      </c>
      <c r="D2794" s="1">
        <f t="shared" si="569"/>
        <v>0</v>
      </c>
      <c r="E2794" s="3">
        <f t="array" ref="E2794">INDEX($A$9:A2793, MAX(IF($D$9:D2793=1, ROW(D$9:$D2793)-ROW($D$9)+1, 0)))</f>
        <v>49940</v>
      </c>
      <c r="F2794" s="23">
        <f t="shared" si="561"/>
        <v>10.674880219028063</v>
      </c>
      <c r="G2794" s="5">
        <f>INDEX('Default Prob'!$P$5:$P$14,MIN(1+_xlfn.IFNA(MATCH(F2794,'Default Prob'!$F$5:$F$14,1),0),COUNT('Default Prob'!$P$5:$P$14)))</f>
        <v>8.0322462664562722E-2</v>
      </c>
      <c r="H2794" s="5">
        <f t="shared" si="570"/>
        <v>0.66511356461699511</v>
      </c>
      <c r="I2794" s="24">
        <f t="shared" si="571"/>
        <v>4.3894197924987388E-4</v>
      </c>
      <c r="J2794" s="25">
        <f>INDEX('Default Prob'!$C$3:$C$13, _xlfn.IFNA(MATCH(F2794, 'Default Prob'!$B$3:$B$13, 1), 1))</f>
        <v>2.5600000000000001E-2</v>
      </c>
      <c r="K2794" s="26">
        <f t="shared" si="562"/>
        <v>0.76350350480264373</v>
      </c>
      <c r="L2794" s="27">
        <f t="shared" ca="1" si="563"/>
        <v>0</v>
      </c>
      <c r="M2794" s="27">
        <f t="shared" ca="1" si="564"/>
        <v>0</v>
      </c>
      <c r="N2794" s="28">
        <f t="shared" ca="1" si="565"/>
        <v>0</v>
      </c>
      <c r="O2794" s="29">
        <f t="shared" ca="1" si="566"/>
        <v>0</v>
      </c>
      <c r="P2794" s="30">
        <f t="shared" ca="1" si="567"/>
        <v>0</v>
      </c>
    </row>
    <row r="2795" spans="1:16" x14ac:dyDescent="0.25">
      <c r="A2795" s="3">
        <f t="shared" si="568"/>
        <v>50025</v>
      </c>
      <c r="B2795" s="21">
        <f t="shared" si="559"/>
        <v>36876</v>
      </c>
      <c r="C2795" s="21">
        <f t="shared" si="560"/>
        <v>36880</v>
      </c>
      <c r="D2795" s="1">
        <f t="shared" si="569"/>
        <v>0</v>
      </c>
      <c r="E2795" s="3">
        <f t="array" ref="E2795">INDEX($A$9:A2794, MAX(IF($D$9:D2794=1, ROW(D$9:$D2794)-ROW($D$9)+1, 0)))</f>
        <v>49940</v>
      </c>
      <c r="F2795" s="23">
        <f t="shared" si="561"/>
        <v>10.677618069815194</v>
      </c>
      <c r="G2795" s="5">
        <f>INDEX('Default Prob'!$P$5:$P$14,MIN(1+_xlfn.IFNA(MATCH(F2795,'Default Prob'!$F$5:$F$14,1),0),COUNT('Default Prob'!$P$5:$P$14)))</f>
        <v>8.0322462664562722E-2</v>
      </c>
      <c r="H2795" s="5">
        <f t="shared" si="570"/>
        <v>0.6649673149642088</v>
      </c>
      <c r="I2795" s="24">
        <f t="shared" si="571"/>
        <v>1.4624965278631219E-4</v>
      </c>
      <c r="J2795" s="25">
        <f>INDEX('Default Prob'!$C$3:$C$13, _xlfn.IFNA(MATCH(F2795, 'Default Prob'!$B$3:$B$13, 1), 1))</f>
        <v>2.5600000000000001E-2</v>
      </c>
      <c r="K2795" s="26">
        <f t="shared" si="562"/>
        <v>0.76345066694758923</v>
      </c>
      <c r="L2795" s="27">
        <f t="shared" ca="1" si="563"/>
        <v>0</v>
      </c>
      <c r="M2795" s="27">
        <f t="shared" ca="1" si="564"/>
        <v>0</v>
      </c>
      <c r="N2795" s="28">
        <f t="shared" ca="1" si="565"/>
        <v>0</v>
      </c>
      <c r="O2795" s="29">
        <f t="shared" ca="1" si="566"/>
        <v>0</v>
      </c>
      <c r="P2795" s="30">
        <f t="shared" ca="1" si="567"/>
        <v>0</v>
      </c>
    </row>
    <row r="2796" spans="1:16" x14ac:dyDescent="0.25">
      <c r="A2796" s="3">
        <f t="shared" si="568"/>
        <v>50026</v>
      </c>
      <c r="B2796" s="21">
        <f t="shared" si="559"/>
        <v>36877</v>
      </c>
      <c r="C2796" s="21">
        <f t="shared" si="560"/>
        <v>36880</v>
      </c>
      <c r="D2796" s="1">
        <f t="shared" si="569"/>
        <v>0</v>
      </c>
      <c r="E2796" s="3">
        <f t="array" ref="E2796">INDEX($A$9:A2795, MAX(IF($D$9:D2795=1, ROW(D$9:$D2795)-ROW($D$9)+1, 0)))</f>
        <v>49940</v>
      </c>
      <c r="F2796" s="23">
        <f t="shared" si="561"/>
        <v>10.680355920602327</v>
      </c>
      <c r="G2796" s="5">
        <f>INDEX('Default Prob'!$P$5:$P$14,MIN(1+_xlfn.IFNA(MATCH(F2796,'Default Prob'!$F$5:$F$14,1),0),COUNT('Default Prob'!$P$5:$P$14)))</f>
        <v>8.0322462664562722E-2</v>
      </c>
      <c r="H2796" s="5">
        <f t="shared" si="570"/>
        <v>0.66482109746978157</v>
      </c>
      <c r="I2796" s="24">
        <f t="shared" si="571"/>
        <v>1.4621749442722543E-4</v>
      </c>
      <c r="J2796" s="25">
        <f>INDEX('Default Prob'!$C$3:$C$13, _xlfn.IFNA(MATCH(F2796, 'Default Prob'!$B$3:$B$13, 1), 1))</f>
        <v>2.5600000000000001E-2</v>
      </c>
      <c r="K2796" s="26">
        <f t="shared" si="562"/>
        <v>0.76339783274915052</v>
      </c>
      <c r="L2796" s="27">
        <f t="shared" ca="1" si="563"/>
        <v>0</v>
      </c>
      <c r="M2796" s="27">
        <f t="shared" ca="1" si="564"/>
        <v>0</v>
      </c>
      <c r="N2796" s="28">
        <f t="shared" ca="1" si="565"/>
        <v>0</v>
      </c>
      <c r="O2796" s="29">
        <f t="shared" ca="1" si="566"/>
        <v>0</v>
      </c>
      <c r="P2796" s="30">
        <f t="shared" ca="1" si="567"/>
        <v>0</v>
      </c>
    </row>
    <row r="2797" spans="1:16" x14ac:dyDescent="0.25">
      <c r="A2797" s="3">
        <f t="shared" si="568"/>
        <v>50027</v>
      </c>
      <c r="B2797" s="21">
        <f t="shared" si="559"/>
        <v>36878</v>
      </c>
      <c r="C2797" s="21">
        <f t="shared" si="560"/>
        <v>36880</v>
      </c>
      <c r="D2797" s="1">
        <f t="shared" si="569"/>
        <v>0</v>
      </c>
      <c r="E2797" s="3">
        <f t="array" ref="E2797">INDEX($A$9:A2796, MAX(IF($D$9:D2796=1, ROW(D$9:$D2796)-ROW($D$9)+1, 0)))</f>
        <v>49940</v>
      </c>
      <c r="F2797" s="23">
        <f t="shared" si="561"/>
        <v>10.683093771389458</v>
      </c>
      <c r="G2797" s="5">
        <f>INDEX('Default Prob'!$P$5:$P$14,MIN(1+_xlfn.IFNA(MATCH(F2797,'Default Prob'!$F$5:$F$14,1),0),COUNT('Default Prob'!$P$5:$P$14)))</f>
        <v>8.0322462664562722E-2</v>
      </c>
      <c r="H2797" s="5">
        <f t="shared" si="570"/>
        <v>0.66467491212664243</v>
      </c>
      <c r="I2797" s="24">
        <f t="shared" si="571"/>
        <v>1.461853431391491E-4</v>
      </c>
      <c r="J2797" s="25">
        <f>INDEX('Default Prob'!$C$3:$C$13, _xlfn.IFNA(MATCH(F2797, 'Default Prob'!$B$3:$B$13, 1), 1))</f>
        <v>2.5600000000000001E-2</v>
      </c>
      <c r="K2797" s="26">
        <f t="shared" si="562"/>
        <v>0.76334500220707446</v>
      </c>
      <c r="L2797" s="27">
        <f t="shared" ca="1" si="563"/>
        <v>0</v>
      </c>
      <c r="M2797" s="27">
        <f t="shared" ca="1" si="564"/>
        <v>0</v>
      </c>
      <c r="N2797" s="28">
        <f t="shared" ca="1" si="565"/>
        <v>0</v>
      </c>
      <c r="O2797" s="29">
        <f t="shared" ca="1" si="566"/>
        <v>0</v>
      </c>
      <c r="P2797" s="30">
        <f t="shared" ca="1" si="567"/>
        <v>0</v>
      </c>
    </row>
    <row r="2798" spans="1:16" x14ac:dyDescent="0.25">
      <c r="A2798" s="3">
        <f t="shared" si="568"/>
        <v>50028</v>
      </c>
      <c r="B2798" s="21">
        <f t="shared" si="559"/>
        <v>36879</v>
      </c>
      <c r="C2798" s="21">
        <f t="shared" si="560"/>
        <v>36880</v>
      </c>
      <c r="D2798" s="1">
        <f t="shared" si="569"/>
        <v>0</v>
      </c>
      <c r="E2798" s="3">
        <f t="array" ref="E2798">INDEX($A$9:A2797, MAX(IF($D$9:D2797=1, ROW(D$9:$D2797)-ROW($D$9)+1, 0)))</f>
        <v>49940</v>
      </c>
      <c r="F2798" s="23">
        <f t="shared" si="561"/>
        <v>10.685831622176591</v>
      </c>
      <c r="G2798" s="5">
        <f>INDEX('Default Prob'!$P$5:$P$14,MIN(1+_xlfn.IFNA(MATCH(F2798,'Default Prob'!$F$5:$F$14,1),0),COUNT('Default Prob'!$P$5:$P$14)))</f>
        <v>8.0322462664562722E-2</v>
      </c>
      <c r="H2798" s="5">
        <f t="shared" si="570"/>
        <v>0.66452875892772167</v>
      </c>
      <c r="I2798" s="24">
        <f t="shared" si="571"/>
        <v>1.4615319892075096E-4</v>
      </c>
      <c r="J2798" s="25">
        <f>INDEX('Default Prob'!$C$3:$C$13, _xlfn.IFNA(MATCH(F2798, 'Default Prob'!$B$3:$B$13, 1), 1))</f>
        <v>2.5600000000000001E-2</v>
      </c>
      <c r="K2798" s="26">
        <f t="shared" si="562"/>
        <v>0.76329217532110794</v>
      </c>
      <c r="L2798" s="27">
        <f t="shared" ca="1" si="563"/>
        <v>0</v>
      </c>
      <c r="M2798" s="27">
        <f t="shared" ca="1" si="564"/>
        <v>0</v>
      </c>
      <c r="N2798" s="28">
        <f t="shared" ca="1" si="565"/>
        <v>0</v>
      </c>
      <c r="O2798" s="29">
        <f t="shared" ca="1" si="566"/>
        <v>0</v>
      </c>
      <c r="P2798" s="30">
        <f t="shared" ca="1" si="567"/>
        <v>0</v>
      </c>
    </row>
    <row r="2799" spans="1:16" x14ac:dyDescent="0.25">
      <c r="A2799" s="3">
        <f t="shared" si="568"/>
        <v>50031</v>
      </c>
      <c r="B2799" s="21">
        <f t="shared" si="559"/>
        <v>36882</v>
      </c>
      <c r="C2799" s="21">
        <f t="shared" si="560"/>
        <v>36605</v>
      </c>
      <c r="D2799" s="1">
        <f t="shared" si="569"/>
        <v>1</v>
      </c>
      <c r="E2799" s="3">
        <f t="array" ref="E2799">INDEX($A$9:A2798, MAX(IF($D$9:D2798=1, ROW(D$9:$D2798)-ROW($D$9)+1, 0)))</f>
        <v>49940</v>
      </c>
      <c r="F2799" s="23">
        <f t="shared" si="561"/>
        <v>10.694045174537989</v>
      </c>
      <c r="G2799" s="5">
        <f>INDEX('Default Prob'!$P$5:$P$14,MIN(1+_xlfn.IFNA(MATCH(F2799,'Default Prob'!$F$5:$F$14,1),0),COUNT('Default Prob'!$P$5:$P$14)))</f>
        <v>8.0322462664562722E-2</v>
      </c>
      <c r="H2799" s="5">
        <f t="shared" si="570"/>
        <v>0.66409049212559668</v>
      </c>
      <c r="I2799" s="24">
        <f t="shared" si="571"/>
        <v>4.3826680212499802E-4</v>
      </c>
      <c r="J2799" s="25">
        <f>INDEX('Default Prob'!$C$3:$C$13, _xlfn.IFNA(MATCH(F2799, 'Default Prob'!$B$3:$B$13, 1), 1))</f>
        <v>2.5600000000000001E-2</v>
      </c>
      <c r="K2799" s="26">
        <f t="shared" si="562"/>
        <v>0.76313371659733642</v>
      </c>
      <c r="L2799" s="27">
        <f t="shared" ca="1" si="563"/>
        <v>0</v>
      </c>
      <c r="M2799" s="27">
        <f t="shared" ca="1" si="564"/>
        <v>0</v>
      </c>
      <c r="N2799" s="28">
        <f t="shared" ca="1" si="565"/>
        <v>0</v>
      </c>
      <c r="O2799" s="29">
        <f t="shared" ca="1" si="566"/>
        <v>0</v>
      </c>
      <c r="P2799" s="30">
        <f t="shared" ca="1" si="567"/>
        <v>0</v>
      </c>
    </row>
    <row r="2800" spans="1:16" x14ac:dyDescent="0.25">
      <c r="A2800" s="3">
        <f t="shared" si="568"/>
        <v>50032</v>
      </c>
      <c r="B2800" s="21">
        <f t="shared" si="559"/>
        <v>36883</v>
      </c>
      <c r="C2800" s="21">
        <f t="shared" si="560"/>
        <v>36605</v>
      </c>
      <c r="D2800" s="1">
        <f t="shared" si="569"/>
        <v>0</v>
      </c>
      <c r="E2800" s="3">
        <f t="array" ref="E2800">INDEX($A$9:A2799, MAX(IF($D$9:D2799=1, ROW(D$9:$D2799)-ROW($D$9)+1, 0)))</f>
        <v>50031</v>
      </c>
      <c r="F2800" s="23">
        <f t="shared" si="561"/>
        <v>10.69678302532512</v>
      </c>
      <c r="G2800" s="5">
        <f>INDEX('Default Prob'!$P$5:$P$14,MIN(1+_xlfn.IFNA(MATCH(F2800,'Default Prob'!$F$5:$F$14,1),0),COUNT('Default Prob'!$P$5:$P$14)))</f>
        <v>8.0322462664562722E-2</v>
      </c>
      <c r="H2800" s="5">
        <f t="shared" si="570"/>
        <v>0.66394446743288416</v>
      </c>
      <c r="I2800" s="24">
        <f t="shared" si="571"/>
        <v>1.4602469271252083E-4</v>
      </c>
      <c r="J2800" s="25">
        <f>INDEX('Default Prob'!$C$3:$C$13, _xlfn.IFNA(MATCH(F2800, 'Default Prob'!$B$3:$B$13, 1), 1))</f>
        <v>2.5600000000000001E-2</v>
      </c>
      <c r="K2800" s="26">
        <f t="shared" si="562"/>
        <v>0.76308090433327858</v>
      </c>
      <c r="L2800" s="27">
        <f t="shared" ca="1" si="563"/>
        <v>0</v>
      </c>
      <c r="M2800" s="27">
        <f t="shared" ca="1" si="564"/>
        <v>0</v>
      </c>
      <c r="N2800" s="28">
        <f t="shared" ca="1" si="565"/>
        <v>0</v>
      </c>
      <c r="O2800" s="29">
        <f t="shared" ca="1" si="566"/>
        <v>0</v>
      </c>
      <c r="P2800" s="30">
        <f t="shared" ca="1" si="567"/>
        <v>0</v>
      </c>
    </row>
    <row r="2801" spans="1:16" x14ac:dyDescent="0.25">
      <c r="A2801" s="3">
        <f t="shared" si="568"/>
        <v>50033</v>
      </c>
      <c r="B2801" s="21">
        <f t="shared" si="559"/>
        <v>36884</v>
      </c>
      <c r="C2801" s="21">
        <f t="shared" si="560"/>
        <v>36605</v>
      </c>
      <c r="D2801" s="1">
        <f t="shared" si="569"/>
        <v>0</v>
      </c>
      <c r="E2801" s="3">
        <f t="array" ref="E2801">INDEX($A$9:A2800, MAX(IF($D$9:D2800=1, ROW(D$9:$D2800)-ROW($D$9)+1, 0)))</f>
        <v>50031</v>
      </c>
      <c r="F2801" s="23">
        <f t="shared" si="561"/>
        <v>10.699520876112253</v>
      </c>
      <c r="G2801" s="5">
        <f>INDEX('Default Prob'!$P$5:$P$14,MIN(1+_xlfn.IFNA(MATCH(F2801,'Default Prob'!$F$5:$F$14,1),0),COUNT('Default Prob'!$P$5:$P$14)))</f>
        <v>8.0322462664562722E-2</v>
      </c>
      <c r="H2801" s="5">
        <f t="shared" si="570"/>
        <v>0.66379847484906507</v>
      </c>
      <c r="I2801" s="24">
        <f t="shared" si="571"/>
        <v>1.4599258381908786E-4</v>
      </c>
      <c r="J2801" s="25">
        <f>INDEX('Default Prob'!$C$3:$C$13, _xlfn.IFNA(MATCH(F2801, 'Default Prob'!$B$3:$B$13, 1), 1))</f>
        <v>2.5600000000000001E-2</v>
      </c>
      <c r="K2801" s="26">
        <f t="shared" si="562"/>
        <v>0.76302809572406538</v>
      </c>
      <c r="L2801" s="27">
        <f t="shared" ca="1" si="563"/>
        <v>0</v>
      </c>
      <c r="M2801" s="27">
        <f t="shared" ca="1" si="564"/>
        <v>0</v>
      </c>
      <c r="N2801" s="28">
        <f t="shared" ca="1" si="565"/>
        <v>0</v>
      </c>
      <c r="O2801" s="29">
        <f t="shared" ca="1" si="566"/>
        <v>0</v>
      </c>
      <c r="P2801" s="30">
        <f t="shared" ca="1" si="567"/>
        <v>0</v>
      </c>
    </row>
    <row r="2802" spans="1:16" x14ac:dyDescent="0.25">
      <c r="A2802" s="3">
        <f t="shared" si="568"/>
        <v>50034</v>
      </c>
      <c r="B2802" s="21">
        <f t="shared" si="559"/>
        <v>36885</v>
      </c>
      <c r="C2802" s="21">
        <f t="shared" si="560"/>
        <v>36605</v>
      </c>
      <c r="D2802" s="1">
        <f t="shared" si="569"/>
        <v>0</v>
      </c>
      <c r="E2802" s="3">
        <f t="array" ref="E2802">INDEX($A$9:A2801, MAX(IF($D$9:D2801=1, ROW(D$9:$D2801)-ROW($D$9)+1, 0)))</f>
        <v>50031</v>
      </c>
      <c r="F2802" s="23">
        <f t="shared" si="561"/>
        <v>10.702258726899384</v>
      </c>
      <c r="G2802" s="5">
        <f>INDEX('Default Prob'!$P$5:$P$14,MIN(1+_xlfn.IFNA(MATCH(F2802,'Default Prob'!$F$5:$F$14,1),0),COUNT('Default Prob'!$P$5:$P$14)))</f>
        <v>8.0322462664562722E-2</v>
      </c>
      <c r="H2802" s="5">
        <f t="shared" si="570"/>
        <v>0.66365251436707928</v>
      </c>
      <c r="I2802" s="24">
        <f t="shared" si="571"/>
        <v>1.4596048198578515E-4</v>
      </c>
      <c r="J2802" s="25">
        <f>INDEX('Default Prob'!$C$3:$C$13, _xlfn.IFNA(MATCH(F2802, 'Default Prob'!$B$3:$B$13, 1), 1))</f>
        <v>2.5600000000000001E-2</v>
      </c>
      <c r="K2802" s="26">
        <f t="shared" si="562"/>
        <v>0.76297529076944393</v>
      </c>
      <c r="L2802" s="27">
        <f t="shared" ca="1" si="563"/>
        <v>0</v>
      </c>
      <c r="M2802" s="27">
        <f t="shared" ca="1" si="564"/>
        <v>0</v>
      </c>
      <c r="N2802" s="28">
        <f t="shared" ca="1" si="565"/>
        <v>0</v>
      </c>
      <c r="O2802" s="29">
        <f t="shared" ca="1" si="566"/>
        <v>0</v>
      </c>
      <c r="P2802" s="30">
        <f t="shared" ca="1" si="567"/>
        <v>0</v>
      </c>
    </row>
    <row r="2803" spans="1:16" x14ac:dyDescent="0.25">
      <c r="A2803" s="3">
        <f t="shared" si="568"/>
        <v>50035</v>
      </c>
      <c r="B2803" s="21">
        <f t="shared" si="559"/>
        <v>36886</v>
      </c>
      <c r="C2803" s="21">
        <f t="shared" si="560"/>
        <v>36605</v>
      </c>
      <c r="D2803" s="1">
        <f t="shared" si="569"/>
        <v>0</v>
      </c>
      <c r="E2803" s="3">
        <f t="array" ref="E2803">INDEX($A$9:A2802, MAX(IF($D$9:D2802=1, ROW(D$9:$D2802)-ROW($D$9)+1, 0)))</f>
        <v>50031</v>
      </c>
      <c r="F2803" s="23">
        <f t="shared" si="561"/>
        <v>10.704996577686517</v>
      </c>
      <c r="G2803" s="5">
        <f>INDEX('Default Prob'!$P$5:$P$14,MIN(1+_xlfn.IFNA(MATCH(F2803,'Default Prob'!$F$5:$F$14,1),0),COUNT('Default Prob'!$P$5:$P$14)))</f>
        <v>8.0322462664562722E-2</v>
      </c>
      <c r="H2803" s="5">
        <f t="shared" si="570"/>
        <v>0.66350658597986778</v>
      </c>
      <c r="I2803" s="24">
        <f t="shared" si="571"/>
        <v>1.4592838721150247E-4</v>
      </c>
      <c r="J2803" s="25">
        <f>INDEX('Default Prob'!$C$3:$C$13, _xlfn.IFNA(MATCH(F2803, 'Default Prob'!$B$3:$B$13, 1), 1))</f>
        <v>2.5600000000000001E-2</v>
      </c>
      <c r="K2803" s="26">
        <f t="shared" si="562"/>
        <v>0.76292248946916141</v>
      </c>
      <c r="L2803" s="27">
        <f t="shared" ca="1" si="563"/>
        <v>0</v>
      </c>
      <c r="M2803" s="27">
        <f t="shared" ca="1" si="564"/>
        <v>0</v>
      </c>
      <c r="N2803" s="28">
        <f t="shared" ca="1" si="565"/>
        <v>0</v>
      </c>
      <c r="O2803" s="29">
        <f t="shared" ca="1" si="566"/>
        <v>0</v>
      </c>
      <c r="P2803" s="30">
        <f t="shared" ca="1" si="567"/>
        <v>0</v>
      </c>
    </row>
    <row r="2804" spans="1:16" x14ac:dyDescent="0.25">
      <c r="A2804" s="3">
        <f t="shared" si="568"/>
        <v>50038</v>
      </c>
      <c r="B2804" s="21">
        <f t="shared" si="559"/>
        <v>36889</v>
      </c>
      <c r="C2804" s="21">
        <f t="shared" si="560"/>
        <v>36605</v>
      </c>
      <c r="D2804" s="1">
        <f t="shared" si="569"/>
        <v>0</v>
      </c>
      <c r="E2804" s="3">
        <f t="array" ref="E2804">INDEX($A$9:A2803, MAX(IF($D$9:D2803=1, ROW(D$9:$D2803)-ROW($D$9)+1, 0)))</f>
        <v>50031</v>
      </c>
      <c r="F2804" s="23">
        <f t="shared" si="561"/>
        <v>10.713210130047912</v>
      </c>
      <c r="G2804" s="5">
        <f>INDEX('Default Prob'!$P$5:$P$14,MIN(1+_xlfn.IFNA(MATCH(F2804,'Default Prob'!$F$5:$F$14,1),0),COUNT('Default Prob'!$P$5:$P$14)))</f>
        <v>8.0322462664562722E-2</v>
      </c>
      <c r="H2804" s="5">
        <f t="shared" si="570"/>
        <v>0.66306899331631564</v>
      </c>
      <c r="I2804" s="24">
        <f t="shared" si="571"/>
        <v>4.3759266355214432E-4</v>
      </c>
      <c r="J2804" s="25">
        <f>INDEX('Default Prob'!$C$3:$C$13, _xlfn.IFNA(MATCH(F2804, 'Default Prob'!$B$3:$B$13, 1), 1))</f>
        <v>2.5600000000000001E-2</v>
      </c>
      <c r="K2804" s="26">
        <f t="shared" si="562"/>
        <v>0.76276410749181811</v>
      </c>
      <c r="L2804" s="27">
        <f t="shared" ca="1" si="563"/>
        <v>0</v>
      </c>
      <c r="M2804" s="27">
        <f t="shared" ca="1" si="564"/>
        <v>0</v>
      </c>
      <c r="N2804" s="28">
        <f t="shared" ca="1" si="565"/>
        <v>0</v>
      </c>
      <c r="O2804" s="29">
        <f t="shared" ca="1" si="566"/>
        <v>0</v>
      </c>
      <c r="P2804" s="30">
        <f t="shared" ca="1" si="567"/>
        <v>0</v>
      </c>
    </row>
    <row r="2805" spans="1:16" x14ac:dyDescent="0.25">
      <c r="A2805" s="3">
        <f t="shared" si="568"/>
        <v>50039</v>
      </c>
      <c r="B2805" s="21">
        <f t="shared" si="559"/>
        <v>36890</v>
      </c>
      <c r="C2805" s="21">
        <f t="shared" si="560"/>
        <v>36605</v>
      </c>
      <c r="D2805" s="1">
        <f t="shared" si="569"/>
        <v>0</v>
      </c>
      <c r="E2805" s="3">
        <f t="array" ref="E2805">INDEX($A$9:A2804, MAX(IF($D$9:D2804=1, ROW(D$9:$D2804)-ROW($D$9)+1, 0)))</f>
        <v>50031</v>
      </c>
      <c r="F2805" s="23">
        <f t="shared" si="561"/>
        <v>10.715947980835045</v>
      </c>
      <c r="G2805" s="5">
        <f>INDEX('Default Prob'!$P$5:$P$14,MIN(1+_xlfn.IFNA(MATCH(F2805,'Default Prob'!$F$5:$F$14,1),0),COUNT('Default Prob'!$P$5:$P$14)))</f>
        <v>8.0322462664562722E-2</v>
      </c>
      <c r="H2805" s="5">
        <f t="shared" si="570"/>
        <v>0.66292319323764515</v>
      </c>
      <c r="I2805" s="24">
        <f t="shared" si="571"/>
        <v>1.4580007867048828E-4</v>
      </c>
      <c r="J2805" s="25">
        <f>INDEX('Default Prob'!$C$3:$C$13, _xlfn.IFNA(MATCH(F2805, 'Default Prob'!$B$3:$B$13, 1), 1))</f>
        <v>2.5600000000000001E-2</v>
      </c>
      <c r="K2805" s="26">
        <f t="shared" si="562"/>
        <v>0.76271132080636239</v>
      </c>
      <c r="L2805" s="27">
        <f t="shared" ca="1" si="563"/>
        <v>0</v>
      </c>
      <c r="M2805" s="27">
        <f t="shared" ca="1" si="564"/>
        <v>0</v>
      </c>
      <c r="N2805" s="28">
        <f t="shared" ca="1" si="565"/>
        <v>0</v>
      </c>
      <c r="O2805" s="29">
        <f t="shared" ca="1" si="566"/>
        <v>0</v>
      </c>
      <c r="P2805" s="30">
        <f t="shared" ca="1" si="567"/>
        <v>0</v>
      </c>
    </row>
    <row r="2806" spans="1:16" x14ac:dyDescent="0.25">
      <c r="A2806" s="3">
        <f t="shared" si="568"/>
        <v>50040</v>
      </c>
      <c r="B2806" s="21">
        <f t="shared" si="559"/>
        <v>36891</v>
      </c>
      <c r="C2806" s="21">
        <f t="shared" si="560"/>
        <v>36605</v>
      </c>
      <c r="D2806" s="1">
        <f t="shared" si="569"/>
        <v>0</v>
      </c>
      <c r="E2806" s="3">
        <f t="array" ref="E2806">INDEX($A$9:A2805, MAX(IF($D$9:D2805=1, ROW(D$9:$D2805)-ROW($D$9)+1, 0)))</f>
        <v>50031</v>
      </c>
      <c r="F2806" s="23">
        <f t="shared" si="561"/>
        <v>10.718685831622176</v>
      </c>
      <c r="G2806" s="5">
        <f>INDEX('Default Prob'!$P$5:$P$14,MIN(1+_xlfn.IFNA(MATCH(F2806,'Default Prob'!$F$5:$F$14,1),0),COUNT('Default Prob'!$P$5:$P$14)))</f>
        <v>8.0322462664562722E-2</v>
      </c>
      <c r="H2806" s="5">
        <f t="shared" si="570"/>
        <v>0.6627774252184786</v>
      </c>
      <c r="I2806" s="24">
        <f t="shared" si="571"/>
        <v>1.457680191665478E-4</v>
      </c>
      <c r="J2806" s="25">
        <f>INDEX('Default Prob'!$C$3:$C$13, _xlfn.IFNA(MATCH(F2806, 'Default Prob'!$B$3:$B$13, 1), 1))</f>
        <v>2.5600000000000001E-2</v>
      </c>
      <c r="K2806" s="26">
        <f t="shared" si="562"/>
        <v>0.76265853777398118</v>
      </c>
      <c r="L2806" s="27">
        <f t="shared" ca="1" si="563"/>
        <v>0</v>
      </c>
      <c r="M2806" s="27">
        <f t="shared" ca="1" si="564"/>
        <v>0</v>
      </c>
      <c r="N2806" s="28">
        <f t="shared" ca="1" si="565"/>
        <v>0</v>
      </c>
      <c r="O2806" s="29">
        <f t="shared" ca="1" si="566"/>
        <v>0</v>
      </c>
      <c r="P2806" s="30">
        <f t="shared" ca="1" si="567"/>
        <v>0</v>
      </c>
    </row>
    <row r="2807" spans="1:16" x14ac:dyDescent="0.25">
      <c r="A2807" s="3">
        <f t="shared" si="568"/>
        <v>50041</v>
      </c>
      <c r="B2807" s="21">
        <f t="shared" si="559"/>
        <v>36526</v>
      </c>
      <c r="C2807" s="21">
        <f t="shared" si="560"/>
        <v>36605</v>
      </c>
      <c r="D2807" s="1">
        <f t="shared" si="569"/>
        <v>0</v>
      </c>
      <c r="E2807" s="3">
        <f t="array" ref="E2807">INDEX($A$9:A2806, MAX(IF($D$9:D2806=1, ROW(D$9:$D2806)-ROW($D$9)+1, 0)))</f>
        <v>50031</v>
      </c>
      <c r="F2807" s="23">
        <f t="shared" si="561"/>
        <v>10.721423682409309</v>
      </c>
      <c r="G2807" s="5">
        <f>INDEX('Default Prob'!$P$5:$P$14,MIN(1+_xlfn.IFNA(MATCH(F2807,'Default Prob'!$F$5:$F$14,1),0),COUNT('Default Prob'!$P$5:$P$14)))</f>
        <v>8.0322462664562722E-2</v>
      </c>
      <c r="H2807" s="5">
        <f t="shared" si="570"/>
        <v>0.6626316892517663</v>
      </c>
      <c r="I2807" s="24">
        <f t="shared" si="571"/>
        <v>1.4573596671230149E-4</v>
      </c>
      <c r="J2807" s="25">
        <f>INDEX('Default Prob'!$C$3:$C$13, _xlfn.IFNA(MATCH(F2807, 'Default Prob'!$B$3:$B$13, 1), 1))</f>
        <v>2.5600000000000001E-2</v>
      </c>
      <c r="K2807" s="26">
        <f t="shared" si="562"/>
        <v>0.76260575839442168</v>
      </c>
      <c r="L2807" s="27">
        <f t="shared" ca="1" si="563"/>
        <v>0</v>
      </c>
      <c r="M2807" s="27">
        <f t="shared" ca="1" si="564"/>
        <v>0</v>
      </c>
      <c r="N2807" s="28">
        <f t="shared" ca="1" si="565"/>
        <v>0</v>
      </c>
      <c r="O2807" s="29">
        <f t="shared" ca="1" si="566"/>
        <v>0</v>
      </c>
      <c r="P2807" s="30">
        <f t="shared" ca="1" si="567"/>
        <v>0</v>
      </c>
    </row>
    <row r="2808" spans="1:16" x14ac:dyDescent="0.25">
      <c r="A2808" s="3">
        <f t="shared" si="568"/>
        <v>50042</v>
      </c>
      <c r="B2808" s="21">
        <f t="shared" si="559"/>
        <v>36527</v>
      </c>
      <c r="C2808" s="21">
        <f t="shared" si="560"/>
        <v>36605</v>
      </c>
      <c r="D2808" s="1">
        <f t="shared" si="569"/>
        <v>0</v>
      </c>
      <c r="E2808" s="3">
        <f t="array" ref="E2808">INDEX($A$9:A2807, MAX(IF($D$9:D2807=1, ROW(D$9:$D2807)-ROW($D$9)+1, 0)))</f>
        <v>50031</v>
      </c>
      <c r="F2808" s="23">
        <f t="shared" si="561"/>
        <v>10.72416153319644</v>
      </c>
      <c r="G2808" s="5">
        <f>INDEX('Default Prob'!$P$5:$P$14,MIN(1+_xlfn.IFNA(MATCH(F2808,'Default Prob'!$F$5:$F$14,1),0),COUNT('Default Prob'!$P$5:$P$14)))</f>
        <v>8.0322462664562722E-2</v>
      </c>
      <c r="H2808" s="5">
        <f t="shared" si="570"/>
        <v>0.66248598533046055</v>
      </c>
      <c r="I2808" s="24">
        <f t="shared" si="571"/>
        <v>1.4570392130575094E-4</v>
      </c>
      <c r="J2808" s="25">
        <f>INDEX('Default Prob'!$C$3:$C$13, _xlfn.IFNA(MATCH(F2808, 'Default Prob'!$B$3:$B$13, 1), 1))</f>
        <v>2.5600000000000001E-2</v>
      </c>
      <c r="K2808" s="26">
        <f t="shared" si="562"/>
        <v>0.7625529826674311</v>
      </c>
      <c r="L2808" s="27">
        <f t="shared" ca="1" si="563"/>
        <v>0</v>
      </c>
      <c r="M2808" s="27">
        <f t="shared" ca="1" si="564"/>
        <v>0</v>
      </c>
      <c r="N2808" s="28">
        <f t="shared" ca="1" si="565"/>
        <v>0</v>
      </c>
      <c r="O2808" s="29">
        <f t="shared" ca="1" si="566"/>
        <v>0</v>
      </c>
      <c r="P2808" s="30">
        <f t="shared" ca="1" si="567"/>
        <v>0</v>
      </c>
    </row>
    <row r="2809" spans="1:16" x14ac:dyDescent="0.25">
      <c r="A2809" s="3">
        <f t="shared" si="568"/>
        <v>50045</v>
      </c>
      <c r="B2809" s="21">
        <f t="shared" si="559"/>
        <v>36530</v>
      </c>
      <c r="C2809" s="21">
        <f t="shared" si="560"/>
        <v>36605</v>
      </c>
      <c r="D2809" s="1">
        <f t="shared" si="569"/>
        <v>0</v>
      </c>
      <c r="E2809" s="3">
        <f t="array" ref="E2809">INDEX($A$9:A2808, MAX(IF($D$9:D2808=1, ROW(D$9:$D2808)-ROW($D$9)+1, 0)))</f>
        <v>50031</v>
      </c>
      <c r="F2809" s="23">
        <f t="shared" si="561"/>
        <v>10.732375085557837</v>
      </c>
      <c r="G2809" s="5">
        <f>INDEX('Default Prob'!$P$5:$P$14,MIN(1+_xlfn.IFNA(MATCH(F2809,'Default Prob'!$F$5:$F$14,1),0),COUNT('Default Prob'!$P$5:$P$14)))</f>
        <v>8.0322462664562722E-2</v>
      </c>
      <c r="H2809" s="5">
        <f t="shared" si="570"/>
        <v>0.66204906576852629</v>
      </c>
      <c r="I2809" s="24">
        <f t="shared" si="571"/>
        <v>4.3691956193425696E-4</v>
      </c>
      <c r="J2809" s="25">
        <f>INDEX('Default Prob'!$C$3:$C$13, _xlfn.IFNA(MATCH(F2809, 'Default Prob'!$B$3:$B$13, 1), 1))</f>
        <v>2.5600000000000001E-2</v>
      </c>
      <c r="K2809" s="26">
        <f t="shared" si="562"/>
        <v>0.76239467739934563</v>
      </c>
      <c r="L2809" s="27">
        <f t="shared" ca="1" si="563"/>
        <v>0</v>
      </c>
      <c r="M2809" s="27">
        <f t="shared" ca="1" si="564"/>
        <v>0</v>
      </c>
      <c r="N2809" s="28">
        <f t="shared" ca="1" si="565"/>
        <v>0</v>
      </c>
      <c r="O2809" s="29">
        <f t="shared" ca="1" si="566"/>
        <v>0</v>
      </c>
      <c r="P2809" s="30">
        <f t="shared" ca="1" si="567"/>
        <v>0</v>
      </c>
    </row>
    <row r="2810" spans="1:16" x14ac:dyDescent="0.25">
      <c r="A2810" s="3">
        <f t="shared" si="568"/>
        <v>50046</v>
      </c>
      <c r="B2810" s="21">
        <f t="shared" si="559"/>
        <v>36531</v>
      </c>
      <c r="C2810" s="21">
        <f t="shared" si="560"/>
        <v>36605</v>
      </c>
      <c r="D2810" s="1">
        <f t="shared" si="569"/>
        <v>0</v>
      </c>
      <c r="E2810" s="3">
        <f t="array" ref="E2810">INDEX($A$9:A2809, MAX(IF($D$9:D2809=1, ROW(D$9:$D2809)-ROW($D$9)+1, 0)))</f>
        <v>50031</v>
      </c>
      <c r="F2810" s="23">
        <f t="shared" si="561"/>
        <v>10.735112936344969</v>
      </c>
      <c r="G2810" s="5">
        <f>INDEX('Default Prob'!$P$5:$P$14,MIN(1+_xlfn.IFNA(MATCH(F2810,'Default Prob'!$F$5:$F$14,1),0),COUNT('Default Prob'!$P$5:$P$14)))</f>
        <v>8.0322462664562722E-2</v>
      </c>
      <c r="H2810" s="5">
        <f t="shared" si="570"/>
        <v>0.66190348995839843</v>
      </c>
      <c r="I2810" s="24">
        <f t="shared" si="571"/>
        <v>1.4557581012786258E-4</v>
      </c>
      <c r="J2810" s="25">
        <f>INDEX('Default Prob'!$C$3:$C$13, _xlfn.IFNA(MATCH(F2810, 'Default Prob'!$B$3:$B$13, 1), 1))</f>
        <v>2.5600000000000001E-2</v>
      </c>
      <c r="K2810" s="26">
        <f t="shared" si="562"/>
        <v>0.7623419162801035</v>
      </c>
      <c r="L2810" s="27">
        <f t="shared" ca="1" si="563"/>
        <v>0</v>
      </c>
      <c r="M2810" s="27">
        <f t="shared" ca="1" si="564"/>
        <v>0</v>
      </c>
      <c r="N2810" s="28">
        <f t="shared" ca="1" si="565"/>
        <v>0</v>
      </c>
      <c r="O2810" s="29">
        <f t="shared" ca="1" si="566"/>
        <v>0</v>
      </c>
      <c r="P2810" s="30">
        <f t="shared" ca="1" si="567"/>
        <v>0</v>
      </c>
    </row>
    <row r="2811" spans="1:16" x14ac:dyDescent="0.25">
      <c r="A2811" s="3">
        <f t="shared" si="568"/>
        <v>50047</v>
      </c>
      <c r="B2811" s="21">
        <f t="shared" si="559"/>
        <v>36532</v>
      </c>
      <c r="C2811" s="21">
        <f t="shared" si="560"/>
        <v>36605</v>
      </c>
      <c r="D2811" s="1">
        <f t="shared" si="569"/>
        <v>0</v>
      </c>
      <c r="E2811" s="3">
        <f t="array" ref="E2811">INDEX($A$9:A2810, MAX(IF($D$9:D2810=1, ROW(D$9:$D2810)-ROW($D$9)+1, 0)))</f>
        <v>50031</v>
      </c>
      <c r="F2811" s="23">
        <f t="shared" si="561"/>
        <v>10.737850787132102</v>
      </c>
      <c r="G2811" s="5">
        <f>INDEX('Default Prob'!$P$5:$P$14,MIN(1+_xlfn.IFNA(MATCH(F2811,'Default Prob'!$F$5:$F$14,1),0),COUNT('Default Prob'!$P$5:$P$14)))</f>
        <v>8.0322462664562722E-2</v>
      </c>
      <c r="H2811" s="5">
        <f t="shared" si="570"/>
        <v>0.66175794615846062</v>
      </c>
      <c r="I2811" s="24">
        <f t="shared" si="571"/>
        <v>1.4554379993780842E-4</v>
      </c>
      <c r="J2811" s="25">
        <f>INDEX('Default Prob'!$C$3:$C$13, _xlfn.IFNA(MATCH(F2811, 'Default Prob'!$B$3:$B$13, 1), 1))</f>
        <v>2.5600000000000001E-2</v>
      </c>
      <c r="K2811" s="26">
        <f t="shared" si="562"/>
        <v>0.76228915881216652</v>
      </c>
      <c r="L2811" s="27">
        <f t="shared" ca="1" si="563"/>
        <v>0</v>
      </c>
      <c r="M2811" s="27">
        <f t="shared" ca="1" si="564"/>
        <v>0</v>
      </c>
      <c r="N2811" s="28">
        <f t="shared" ca="1" si="565"/>
        <v>0</v>
      </c>
      <c r="O2811" s="29">
        <f t="shared" ca="1" si="566"/>
        <v>0</v>
      </c>
      <c r="P2811" s="30">
        <f t="shared" ca="1" si="567"/>
        <v>0</v>
      </c>
    </row>
    <row r="2812" spans="1:16" x14ac:dyDescent="0.25">
      <c r="A2812" s="3">
        <f t="shared" si="568"/>
        <v>50048</v>
      </c>
      <c r="B2812" s="21">
        <f t="shared" si="559"/>
        <v>36533</v>
      </c>
      <c r="C2812" s="21">
        <f t="shared" si="560"/>
        <v>36605</v>
      </c>
      <c r="D2812" s="1">
        <f t="shared" si="569"/>
        <v>0</v>
      </c>
      <c r="E2812" s="3">
        <f t="array" ref="E2812">INDEX($A$9:A2811, MAX(IF($D$9:D2811=1, ROW(D$9:$D2811)-ROW($D$9)+1, 0)))</f>
        <v>50031</v>
      </c>
      <c r="F2812" s="23">
        <f t="shared" si="561"/>
        <v>10.740588637919233</v>
      </c>
      <c r="G2812" s="5">
        <f>INDEX('Default Prob'!$P$5:$P$14,MIN(1+_xlfn.IFNA(MATCH(F2812,'Default Prob'!$F$5:$F$14,1),0),COUNT('Default Prob'!$P$5:$P$14)))</f>
        <v>8.0322462664562722E-2</v>
      </c>
      <c r="H2812" s="5">
        <f t="shared" si="570"/>
        <v>0.66161243436167438</v>
      </c>
      <c r="I2812" s="24">
        <f t="shared" si="571"/>
        <v>1.4551179678623516E-4</v>
      </c>
      <c r="J2812" s="25">
        <f>INDEX('Default Prob'!$C$3:$C$13, _xlfn.IFNA(MATCH(F2812, 'Default Prob'!$B$3:$B$13, 1), 1))</f>
        <v>2.5600000000000001E-2</v>
      </c>
      <c r="K2812" s="26">
        <f t="shared" si="562"/>
        <v>0.76223640499528211</v>
      </c>
      <c r="L2812" s="27">
        <f t="shared" ca="1" si="563"/>
        <v>0</v>
      </c>
      <c r="M2812" s="27">
        <f t="shared" ca="1" si="564"/>
        <v>0</v>
      </c>
      <c r="N2812" s="28">
        <f t="shared" ca="1" si="565"/>
        <v>0</v>
      </c>
      <c r="O2812" s="29">
        <f t="shared" ca="1" si="566"/>
        <v>0</v>
      </c>
      <c r="P2812" s="30">
        <f t="shared" ca="1" si="567"/>
        <v>0</v>
      </c>
    </row>
    <row r="2813" spans="1:16" x14ac:dyDescent="0.25">
      <c r="A2813" s="3">
        <f t="shared" si="568"/>
        <v>50049</v>
      </c>
      <c r="B2813" s="21">
        <f t="shared" si="559"/>
        <v>36534</v>
      </c>
      <c r="C2813" s="21">
        <f t="shared" si="560"/>
        <v>36605</v>
      </c>
      <c r="D2813" s="1">
        <f t="shared" si="569"/>
        <v>0</v>
      </c>
      <c r="E2813" s="3">
        <f t="array" ref="E2813">INDEX($A$9:A2812, MAX(IF($D$9:D2812=1, ROW(D$9:$D2812)-ROW($D$9)+1, 0)))</f>
        <v>50031</v>
      </c>
      <c r="F2813" s="23">
        <f t="shared" si="561"/>
        <v>10.743326488706366</v>
      </c>
      <c r="G2813" s="5">
        <f>INDEX('Default Prob'!$P$5:$P$14,MIN(1+_xlfn.IFNA(MATCH(F2813,'Default Prob'!$F$5:$F$14,1),0),COUNT('Default Prob'!$P$5:$P$14)))</f>
        <v>8.0322462664562722E-2</v>
      </c>
      <c r="H2813" s="5">
        <f t="shared" si="570"/>
        <v>0.66146695456100257</v>
      </c>
      <c r="I2813" s="24">
        <f t="shared" si="571"/>
        <v>1.4547980067181054E-4</v>
      </c>
      <c r="J2813" s="25">
        <f>INDEX('Default Prob'!$C$3:$C$13, _xlfn.IFNA(MATCH(F2813, 'Default Prob'!$B$3:$B$13, 1), 1))</f>
        <v>2.5600000000000001E-2</v>
      </c>
      <c r="K2813" s="26">
        <f t="shared" si="562"/>
        <v>0.7621836548291977</v>
      </c>
      <c r="L2813" s="27">
        <f t="shared" ca="1" si="563"/>
        <v>0</v>
      </c>
      <c r="M2813" s="27">
        <f t="shared" ca="1" si="564"/>
        <v>0</v>
      </c>
      <c r="N2813" s="28">
        <f t="shared" ca="1" si="565"/>
        <v>0</v>
      </c>
      <c r="O2813" s="29">
        <f t="shared" ca="1" si="566"/>
        <v>0</v>
      </c>
      <c r="P2813" s="30">
        <f t="shared" ca="1" si="567"/>
        <v>0</v>
      </c>
    </row>
    <row r="2814" spans="1:16" x14ac:dyDescent="0.25">
      <c r="A2814" s="3">
        <f t="shared" si="568"/>
        <v>50052</v>
      </c>
      <c r="B2814" s="21">
        <f t="shared" si="559"/>
        <v>36537</v>
      </c>
      <c r="C2814" s="21">
        <f t="shared" si="560"/>
        <v>36605</v>
      </c>
      <c r="D2814" s="1">
        <f t="shared" si="569"/>
        <v>0</v>
      </c>
      <c r="E2814" s="3">
        <f t="array" ref="E2814">INDEX($A$9:A2813, MAX(IF($D$9:D2813=1, ROW(D$9:$D2813)-ROW($D$9)+1, 0)))</f>
        <v>50031</v>
      </c>
      <c r="F2814" s="23">
        <f t="shared" si="561"/>
        <v>10.751540041067761</v>
      </c>
      <c r="G2814" s="5">
        <f>INDEX('Default Prob'!$P$5:$P$14,MIN(1+_xlfn.IFNA(MATCH(F2814,'Default Prob'!$F$5:$F$14,1),0),COUNT('Default Prob'!$P$5:$P$14)))</f>
        <v>8.0322462664562722E-2</v>
      </c>
      <c r="H2814" s="5">
        <f t="shared" si="570"/>
        <v>0.66103070706532674</v>
      </c>
      <c r="I2814" s="24">
        <f t="shared" si="571"/>
        <v>4.3624749567583443E-4</v>
      </c>
      <c r="J2814" s="25">
        <f>INDEX('Default Prob'!$C$3:$C$13, _xlfn.IFNA(MATCH(F2814, 'Default Prob'!$B$3:$B$13, 1), 1))</f>
        <v>2.5600000000000001E-2</v>
      </c>
      <c r="K2814" s="26">
        <f t="shared" si="562"/>
        <v>0.76202542623321745</v>
      </c>
      <c r="L2814" s="27">
        <f t="shared" ca="1" si="563"/>
        <v>0</v>
      </c>
      <c r="M2814" s="27">
        <f t="shared" ca="1" si="564"/>
        <v>0</v>
      </c>
      <c r="N2814" s="28">
        <f t="shared" ca="1" si="565"/>
        <v>0</v>
      </c>
      <c r="O2814" s="29">
        <f t="shared" ca="1" si="566"/>
        <v>0</v>
      </c>
      <c r="P2814" s="30">
        <f t="shared" ca="1" si="567"/>
        <v>0</v>
      </c>
    </row>
    <row r="2815" spans="1:16" x14ac:dyDescent="0.25">
      <c r="A2815" s="3">
        <f t="shared" si="568"/>
        <v>50053</v>
      </c>
      <c r="B2815" s="21">
        <f t="shared" si="559"/>
        <v>36538</v>
      </c>
      <c r="C2815" s="21">
        <f t="shared" si="560"/>
        <v>36605</v>
      </c>
      <c r="D2815" s="1">
        <f t="shared" si="569"/>
        <v>0</v>
      </c>
      <c r="E2815" s="3">
        <f t="array" ref="E2815">INDEX($A$9:A2814, MAX(IF($D$9:D2814=1, ROW(D$9:$D2814)-ROW($D$9)+1, 0)))</f>
        <v>50031</v>
      </c>
      <c r="F2815" s="23">
        <f t="shared" si="561"/>
        <v>10.754277891854894</v>
      </c>
      <c r="G2815" s="5">
        <f>INDEX('Default Prob'!$P$5:$P$14,MIN(1+_xlfn.IFNA(MATCH(F2815,'Default Prob'!$F$5:$F$14,1),0),COUNT('Default Prob'!$P$5:$P$14)))</f>
        <v>8.0322462664562722E-2</v>
      </c>
      <c r="H2815" s="5">
        <f t="shared" si="570"/>
        <v>0.66088535517877312</v>
      </c>
      <c r="I2815" s="24">
        <f t="shared" si="571"/>
        <v>1.4535188655362408E-4</v>
      </c>
      <c r="J2815" s="25">
        <f>INDEX('Default Prob'!$C$3:$C$13, _xlfn.IFNA(MATCH(F2815, 'Default Prob'!$B$3:$B$13, 1), 1))</f>
        <v>2.5600000000000001E-2</v>
      </c>
      <c r="K2815" s="26">
        <f t="shared" si="562"/>
        <v>0.76197269066780626</v>
      </c>
      <c r="L2815" s="27">
        <f t="shared" ca="1" si="563"/>
        <v>0</v>
      </c>
      <c r="M2815" s="27">
        <f t="shared" ca="1" si="564"/>
        <v>0</v>
      </c>
      <c r="N2815" s="28">
        <f t="shared" ca="1" si="565"/>
        <v>0</v>
      </c>
      <c r="O2815" s="29">
        <f t="shared" ca="1" si="566"/>
        <v>0</v>
      </c>
      <c r="P2815" s="30">
        <f t="shared" ca="1" si="567"/>
        <v>0</v>
      </c>
    </row>
    <row r="2816" spans="1:16" x14ac:dyDescent="0.25">
      <c r="A2816" s="3">
        <f t="shared" si="568"/>
        <v>50054</v>
      </c>
      <c r="B2816" s="21">
        <f t="shared" si="559"/>
        <v>36539</v>
      </c>
      <c r="C2816" s="21">
        <f t="shared" si="560"/>
        <v>36605</v>
      </c>
      <c r="D2816" s="1">
        <f t="shared" si="569"/>
        <v>0</v>
      </c>
      <c r="E2816" s="3">
        <f t="array" ref="E2816">INDEX($A$9:A2815, MAX(IF($D$9:D2815=1, ROW(D$9:$D2815)-ROW($D$9)+1, 0)))</f>
        <v>50031</v>
      </c>
      <c r="F2816" s="23">
        <f t="shared" si="561"/>
        <v>10.757015742642025</v>
      </c>
      <c r="G2816" s="5">
        <f>INDEX('Default Prob'!$P$5:$P$14,MIN(1+_xlfn.IFNA(MATCH(F2816,'Default Prob'!$F$5:$F$14,1),0),COUNT('Default Prob'!$P$5:$P$14)))</f>
        <v>8.0322462664562722E-2</v>
      </c>
      <c r="H2816" s="5">
        <f t="shared" si="570"/>
        <v>0.66074003525317193</v>
      </c>
      <c r="I2816" s="24">
        <f t="shared" si="571"/>
        <v>1.453199256011839E-4</v>
      </c>
      <c r="J2816" s="25">
        <f>INDEX('Default Prob'!$C$3:$C$13, _xlfn.IFNA(MATCH(F2816, 'Default Prob'!$B$3:$B$13, 1), 1))</f>
        <v>2.5600000000000001E-2</v>
      </c>
      <c r="K2816" s="26">
        <f t="shared" si="562"/>
        <v>0.76191995875193197</v>
      </c>
      <c r="L2816" s="27">
        <f t="shared" ca="1" si="563"/>
        <v>0</v>
      </c>
      <c r="M2816" s="27">
        <f t="shared" ca="1" si="564"/>
        <v>0</v>
      </c>
      <c r="N2816" s="28">
        <f t="shared" ca="1" si="565"/>
        <v>0</v>
      </c>
      <c r="O2816" s="29">
        <f t="shared" ca="1" si="566"/>
        <v>0</v>
      </c>
      <c r="P2816" s="30">
        <f t="shared" ca="1" si="567"/>
        <v>0</v>
      </c>
    </row>
    <row r="2817" spans="1:16" x14ac:dyDescent="0.25">
      <c r="A2817" s="3">
        <f t="shared" si="568"/>
        <v>50055</v>
      </c>
      <c r="B2817" s="21">
        <f t="shared" si="559"/>
        <v>36540</v>
      </c>
      <c r="C2817" s="21">
        <f t="shared" si="560"/>
        <v>36605</v>
      </c>
      <c r="D2817" s="1">
        <f t="shared" si="569"/>
        <v>0</v>
      </c>
      <c r="E2817" s="3">
        <f t="array" ref="E2817">INDEX($A$9:A2816, MAX(IF($D$9:D2816=1, ROW(D$9:$D2816)-ROW($D$9)+1, 0)))</f>
        <v>50031</v>
      </c>
      <c r="F2817" s="23">
        <f t="shared" si="561"/>
        <v>10.759753593429158</v>
      </c>
      <c r="G2817" s="5">
        <f>INDEX('Default Prob'!$P$5:$P$14,MIN(1+_xlfn.IFNA(MATCH(F2817,'Default Prob'!$F$5:$F$14,1),0),COUNT('Default Prob'!$P$5:$P$14)))</f>
        <v>8.0322462664562722E-2</v>
      </c>
      <c r="H2817" s="5">
        <f t="shared" si="570"/>
        <v>0.66059474728149525</v>
      </c>
      <c r="I2817" s="24">
        <f t="shared" si="571"/>
        <v>1.4528797167667751E-4</v>
      </c>
      <c r="J2817" s="25">
        <f>INDEX('Default Prob'!$C$3:$C$13, _xlfn.IFNA(MATCH(F2817, 'Default Prob'!$B$3:$B$13, 1), 1))</f>
        <v>2.5600000000000001E-2</v>
      </c>
      <c r="K2817" s="26">
        <f t="shared" si="562"/>
        <v>0.761867230485342</v>
      </c>
      <c r="L2817" s="27">
        <f t="shared" ca="1" si="563"/>
        <v>0</v>
      </c>
      <c r="M2817" s="27">
        <f t="shared" ca="1" si="564"/>
        <v>0</v>
      </c>
      <c r="N2817" s="28">
        <f t="shared" ca="1" si="565"/>
        <v>0</v>
      </c>
      <c r="O2817" s="29">
        <f t="shared" ca="1" si="566"/>
        <v>0</v>
      </c>
      <c r="P2817" s="30">
        <f t="shared" ca="1" si="567"/>
        <v>0</v>
      </c>
    </row>
    <row r="2818" spans="1:16" x14ac:dyDescent="0.25">
      <c r="A2818" s="3">
        <f t="shared" si="568"/>
        <v>50056</v>
      </c>
      <c r="B2818" s="21">
        <f t="shared" si="559"/>
        <v>36541</v>
      </c>
      <c r="C2818" s="21">
        <f t="shared" si="560"/>
        <v>36605</v>
      </c>
      <c r="D2818" s="1">
        <f t="shared" si="569"/>
        <v>0</v>
      </c>
      <c r="E2818" s="3">
        <f t="array" ref="E2818">INDEX($A$9:A2817, MAX(IF($D$9:D2817=1, ROW(D$9:$D2817)-ROW($D$9)+1, 0)))</f>
        <v>50031</v>
      </c>
      <c r="F2818" s="23">
        <f t="shared" si="561"/>
        <v>10.762491444216289</v>
      </c>
      <c r="G2818" s="5">
        <f>INDEX('Default Prob'!$P$5:$P$14,MIN(1+_xlfn.IFNA(MATCH(F2818,'Default Prob'!$F$5:$F$14,1),0),COUNT('Default Prob'!$P$5:$P$14)))</f>
        <v>8.0322462664562722E-2</v>
      </c>
      <c r="H2818" s="5">
        <f t="shared" si="570"/>
        <v>0.66044949125671693</v>
      </c>
      <c r="I2818" s="24">
        <f t="shared" si="571"/>
        <v>1.4525602477832855E-4</v>
      </c>
      <c r="J2818" s="25">
        <f>INDEX('Default Prob'!$C$3:$C$13, _xlfn.IFNA(MATCH(F2818, 'Default Prob'!$B$3:$B$13, 1), 1))</f>
        <v>2.5600000000000001E-2</v>
      </c>
      <c r="K2818" s="26">
        <f t="shared" si="562"/>
        <v>0.76181450586778354</v>
      </c>
      <c r="L2818" s="27">
        <f t="shared" ca="1" si="563"/>
        <v>0</v>
      </c>
      <c r="M2818" s="27">
        <f t="shared" ca="1" si="564"/>
        <v>0</v>
      </c>
      <c r="N2818" s="28">
        <f t="shared" ca="1" si="565"/>
        <v>0</v>
      </c>
      <c r="O2818" s="29">
        <f t="shared" ca="1" si="566"/>
        <v>0</v>
      </c>
      <c r="P2818" s="30">
        <f t="shared" ca="1" si="567"/>
        <v>0</v>
      </c>
    </row>
    <row r="2819" spans="1:16" x14ac:dyDescent="0.25">
      <c r="A2819" s="3">
        <f t="shared" si="568"/>
        <v>50059</v>
      </c>
      <c r="B2819" s="21">
        <f t="shared" si="559"/>
        <v>36544</v>
      </c>
      <c r="C2819" s="21">
        <f t="shared" si="560"/>
        <v>36605</v>
      </c>
      <c r="D2819" s="1">
        <f t="shared" si="569"/>
        <v>0</v>
      </c>
      <c r="E2819" s="3">
        <f t="array" ref="E2819">INDEX($A$9:A2818, MAX(IF($D$9:D2818=1, ROW(D$9:$D2818)-ROW($D$9)+1, 0)))</f>
        <v>50031</v>
      </c>
      <c r="F2819" s="23">
        <f t="shared" si="561"/>
        <v>10.770704996577686</v>
      </c>
      <c r="G2819" s="5">
        <f>INDEX('Default Prob'!$P$5:$P$14,MIN(1+_xlfn.IFNA(MATCH(F2819,'Default Prob'!$F$5:$F$14,1),0),COUNT('Default Prob'!$P$5:$P$14)))</f>
        <v>8.0322462664562722E-2</v>
      </c>
      <c r="H2819" s="5">
        <f t="shared" si="570"/>
        <v>0.66001391479353233</v>
      </c>
      <c r="I2819" s="24">
        <f t="shared" si="571"/>
        <v>4.3557646318459486E-4</v>
      </c>
      <c r="J2819" s="25">
        <f>INDEX('Default Prob'!$C$3:$C$13, _xlfn.IFNA(MATCH(F2819, 'Default Prob'!$B$3:$B$13, 1), 1))</f>
        <v>2.5600000000000001E-2</v>
      </c>
      <c r="K2819" s="26">
        <f t="shared" si="562"/>
        <v>0.76165635390677378</v>
      </c>
      <c r="L2819" s="27">
        <f t="shared" ca="1" si="563"/>
        <v>0</v>
      </c>
      <c r="M2819" s="27">
        <f t="shared" ca="1" si="564"/>
        <v>0</v>
      </c>
      <c r="N2819" s="28">
        <f t="shared" ca="1" si="565"/>
        <v>0</v>
      </c>
      <c r="O2819" s="29">
        <f t="shared" ca="1" si="566"/>
        <v>0</v>
      </c>
      <c r="P2819" s="30">
        <f t="shared" ca="1" si="567"/>
        <v>0</v>
      </c>
    </row>
    <row r="2820" spans="1:16" x14ac:dyDescent="0.25">
      <c r="A2820" s="3">
        <f t="shared" si="568"/>
        <v>50060</v>
      </c>
      <c r="B2820" s="21">
        <f t="shared" si="559"/>
        <v>36545</v>
      </c>
      <c r="C2820" s="21">
        <f t="shared" si="560"/>
        <v>36605</v>
      </c>
      <c r="D2820" s="1">
        <f t="shared" si="569"/>
        <v>0</v>
      </c>
      <c r="E2820" s="3">
        <f t="array" ref="E2820">INDEX($A$9:A2819, MAX(IF($D$9:D2819=1, ROW(D$9:$D2819)-ROW($D$9)+1, 0)))</f>
        <v>50031</v>
      </c>
      <c r="F2820" s="23">
        <f t="shared" si="561"/>
        <v>10.773442847364819</v>
      </c>
      <c r="G2820" s="5">
        <f>INDEX('Default Prob'!$P$5:$P$14,MIN(1+_xlfn.IFNA(MATCH(F2820,'Default Prob'!$F$5:$F$14,1),0),COUNT('Default Prob'!$P$5:$P$14)))</f>
        <v>8.0322462664562722E-2</v>
      </c>
      <c r="H2820" s="5">
        <f t="shared" si="570"/>
        <v>0.65986878648611558</v>
      </c>
      <c r="I2820" s="24">
        <f t="shared" si="571"/>
        <v>1.4512830741675309E-4</v>
      </c>
      <c r="J2820" s="25">
        <f>INDEX('Default Prob'!$C$3:$C$13, _xlfn.IFNA(MATCH(F2820, 'Default Prob'!$B$3:$B$13, 1), 1))</f>
        <v>2.5600000000000001E-2</v>
      </c>
      <c r="K2820" s="26">
        <f t="shared" si="562"/>
        <v>0.76160364388281721</v>
      </c>
      <c r="L2820" s="27">
        <f t="shared" ca="1" si="563"/>
        <v>0</v>
      </c>
      <c r="M2820" s="27">
        <f t="shared" ca="1" si="564"/>
        <v>0</v>
      </c>
      <c r="N2820" s="28">
        <f t="shared" ca="1" si="565"/>
        <v>0</v>
      </c>
      <c r="O2820" s="29">
        <f t="shared" ca="1" si="566"/>
        <v>0</v>
      </c>
      <c r="P2820" s="30">
        <f t="shared" ca="1" si="567"/>
        <v>0</v>
      </c>
    </row>
    <row r="2821" spans="1:16" x14ac:dyDescent="0.25">
      <c r="A2821" s="3">
        <f t="shared" si="568"/>
        <v>50061</v>
      </c>
      <c r="B2821" s="21">
        <f t="shared" si="559"/>
        <v>36546</v>
      </c>
      <c r="C2821" s="21">
        <f t="shared" si="560"/>
        <v>36605</v>
      </c>
      <c r="D2821" s="1">
        <f t="shared" si="569"/>
        <v>0</v>
      </c>
      <c r="E2821" s="3">
        <f t="array" ref="E2821">INDEX($A$9:A2820, MAX(IF($D$9:D2820=1, ROW(D$9:$D2820)-ROW($D$9)+1, 0)))</f>
        <v>50031</v>
      </c>
      <c r="F2821" s="23">
        <f t="shared" si="561"/>
        <v>10.776180698151951</v>
      </c>
      <c r="G2821" s="5">
        <f>INDEX('Default Prob'!$P$5:$P$14,MIN(1+_xlfn.IFNA(MATCH(F2821,'Default Prob'!$F$5:$F$14,1),0),COUNT('Default Prob'!$P$5:$P$14)))</f>
        <v>8.0322462664562722E-2</v>
      </c>
      <c r="H2821" s="5">
        <f t="shared" si="570"/>
        <v>0.65972369009048915</v>
      </c>
      <c r="I2821" s="24">
        <f t="shared" si="571"/>
        <v>1.4509639562643173E-4</v>
      </c>
      <c r="J2821" s="25">
        <f>INDEX('Default Prob'!$C$3:$C$13, _xlfn.IFNA(MATCH(F2821, 'Default Prob'!$B$3:$B$13, 1), 1))</f>
        <v>2.5600000000000001E-2</v>
      </c>
      <c r="K2821" s="26">
        <f t="shared" si="562"/>
        <v>0.76155093750662983</v>
      </c>
      <c r="L2821" s="27">
        <f t="shared" ca="1" si="563"/>
        <v>0</v>
      </c>
      <c r="M2821" s="27">
        <f t="shared" ca="1" si="564"/>
        <v>0</v>
      </c>
      <c r="N2821" s="28">
        <f t="shared" ca="1" si="565"/>
        <v>0</v>
      </c>
      <c r="O2821" s="29">
        <f t="shared" ca="1" si="566"/>
        <v>0</v>
      </c>
      <c r="P2821" s="30">
        <f t="shared" ca="1" si="567"/>
        <v>0</v>
      </c>
    </row>
    <row r="2822" spans="1:16" x14ac:dyDescent="0.25">
      <c r="A2822" s="3">
        <f t="shared" si="568"/>
        <v>50062</v>
      </c>
      <c r="B2822" s="21">
        <f t="shared" si="559"/>
        <v>36547</v>
      </c>
      <c r="C2822" s="21">
        <f t="shared" si="560"/>
        <v>36605</v>
      </c>
      <c r="D2822" s="1">
        <f t="shared" si="569"/>
        <v>0</v>
      </c>
      <c r="E2822" s="3">
        <f t="array" ref="E2822">INDEX($A$9:A2821, MAX(IF($D$9:D2821=1, ROW(D$9:$D2821)-ROW($D$9)+1, 0)))</f>
        <v>50031</v>
      </c>
      <c r="F2822" s="23">
        <f t="shared" si="561"/>
        <v>10.778918548939084</v>
      </c>
      <c r="G2822" s="5">
        <f>INDEX('Default Prob'!$P$5:$P$14,MIN(1+_xlfn.IFNA(MATCH(F2822,'Default Prob'!$F$5:$F$14,1),0),COUNT('Default Prob'!$P$5:$P$14)))</f>
        <v>8.0322462664562722E-2</v>
      </c>
      <c r="H2822" s="5">
        <f t="shared" si="570"/>
        <v>0.65957862559963598</v>
      </c>
      <c r="I2822" s="24">
        <f t="shared" si="571"/>
        <v>1.4506449085316397E-4</v>
      </c>
      <c r="J2822" s="25">
        <f>INDEX('Default Prob'!$C$3:$C$13, _xlfn.IFNA(MATCH(F2822, 'Default Prob'!$B$3:$B$13, 1), 1))</f>
        <v>2.5600000000000001E-2</v>
      </c>
      <c r="K2822" s="26">
        <f t="shared" si="562"/>
        <v>0.76149823477795942</v>
      </c>
      <c r="L2822" s="27">
        <f t="shared" ca="1" si="563"/>
        <v>0</v>
      </c>
      <c r="M2822" s="27">
        <f t="shared" ca="1" si="564"/>
        <v>0</v>
      </c>
      <c r="N2822" s="28">
        <f t="shared" ca="1" si="565"/>
        <v>0</v>
      </c>
      <c r="O2822" s="29">
        <f t="shared" ca="1" si="566"/>
        <v>0</v>
      </c>
      <c r="P2822" s="30">
        <f t="shared" ca="1" si="567"/>
        <v>0</v>
      </c>
    </row>
    <row r="2823" spans="1:16" x14ac:dyDescent="0.25">
      <c r="A2823" s="3">
        <f t="shared" si="568"/>
        <v>50063</v>
      </c>
      <c r="B2823" s="21">
        <f t="shared" si="559"/>
        <v>36548</v>
      </c>
      <c r="C2823" s="21">
        <f t="shared" si="560"/>
        <v>36605</v>
      </c>
      <c r="D2823" s="1">
        <f t="shared" si="569"/>
        <v>0</v>
      </c>
      <c r="E2823" s="3">
        <f t="array" ref="E2823">INDEX($A$9:A2822, MAX(IF($D$9:D2822=1, ROW(D$9:$D2822)-ROW($D$9)+1, 0)))</f>
        <v>50031</v>
      </c>
      <c r="F2823" s="23">
        <f t="shared" si="561"/>
        <v>10.781656399726215</v>
      </c>
      <c r="G2823" s="5">
        <f>INDEX('Default Prob'!$P$5:$P$14,MIN(1+_xlfn.IFNA(MATCH(F2823,'Default Prob'!$F$5:$F$14,1),0),COUNT('Default Prob'!$P$5:$P$14)))</f>
        <v>8.0322462664562722E-2</v>
      </c>
      <c r="H2823" s="5">
        <f t="shared" si="570"/>
        <v>0.6594335930065407</v>
      </c>
      <c r="I2823" s="24">
        <f t="shared" si="571"/>
        <v>1.4503259309528449E-4</v>
      </c>
      <c r="J2823" s="25">
        <f>INDEX('Default Prob'!$C$3:$C$13, _xlfn.IFNA(MATCH(F2823, 'Default Prob'!$B$3:$B$13, 1), 1))</f>
        <v>2.5600000000000001E-2</v>
      </c>
      <c r="K2823" s="26">
        <f t="shared" si="562"/>
        <v>0.76144553569655338</v>
      </c>
      <c r="L2823" s="27">
        <f t="shared" ca="1" si="563"/>
        <v>0</v>
      </c>
      <c r="M2823" s="27">
        <f t="shared" ca="1" si="564"/>
        <v>0</v>
      </c>
      <c r="N2823" s="28">
        <f t="shared" ca="1" si="565"/>
        <v>0</v>
      </c>
      <c r="O2823" s="29">
        <f t="shared" ca="1" si="566"/>
        <v>0</v>
      </c>
      <c r="P2823" s="30">
        <f t="shared" ca="1" si="567"/>
        <v>0</v>
      </c>
    </row>
    <row r="2824" spans="1:16" x14ac:dyDescent="0.25">
      <c r="A2824" s="3">
        <f t="shared" si="568"/>
        <v>50066</v>
      </c>
      <c r="B2824" s="21">
        <f t="shared" si="559"/>
        <v>36551</v>
      </c>
      <c r="C2824" s="21">
        <f t="shared" si="560"/>
        <v>36605</v>
      </c>
      <c r="D2824" s="1">
        <f t="shared" si="569"/>
        <v>0</v>
      </c>
      <c r="E2824" s="3">
        <f t="array" ref="E2824">INDEX($A$9:A2823, MAX(IF($D$9:D2823=1, ROW(D$9:$D2823)-ROW($D$9)+1, 0)))</f>
        <v>50031</v>
      </c>
      <c r="F2824" s="23">
        <f t="shared" si="561"/>
        <v>10.789869952087612</v>
      </c>
      <c r="G2824" s="5">
        <f>INDEX('Default Prob'!$P$5:$P$14,MIN(1+_xlfn.IFNA(MATCH(F2824,'Default Prob'!$F$5:$F$14,1),0),COUNT('Default Prob'!$P$5:$P$14)))</f>
        <v>8.0322462664562722E-2</v>
      </c>
      <c r="H2824" s="5">
        <f t="shared" si="570"/>
        <v>0.65899868654367055</v>
      </c>
      <c r="I2824" s="24">
        <f t="shared" si="571"/>
        <v>4.3490646287014378E-4</v>
      </c>
      <c r="J2824" s="25">
        <f>INDEX('Default Prob'!$C$3:$C$13, _xlfn.IFNA(MATCH(F2824, 'Default Prob'!$B$3:$B$13, 1), 1))</f>
        <v>2.5600000000000001E-2</v>
      </c>
      <c r="K2824" s="26">
        <f t="shared" si="562"/>
        <v>0.76128746033339723</v>
      </c>
      <c r="L2824" s="27">
        <f t="shared" ca="1" si="563"/>
        <v>0</v>
      </c>
      <c r="M2824" s="27">
        <f t="shared" ca="1" si="564"/>
        <v>0</v>
      </c>
      <c r="N2824" s="28">
        <f t="shared" ca="1" si="565"/>
        <v>0</v>
      </c>
      <c r="O2824" s="29">
        <f t="shared" ca="1" si="566"/>
        <v>0</v>
      </c>
      <c r="P2824" s="30">
        <f t="shared" ca="1" si="567"/>
        <v>0</v>
      </c>
    </row>
    <row r="2825" spans="1:16" x14ac:dyDescent="0.25">
      <c r="A2825" s="3">
        <f t="shared" si="568"/>
        <v>50067</v>
      </c>
      <c r="B2825" s="21">
        <f t="shared" ref="B2825:B2888" si="572">DATE(2000, MONTH(A2825), DAY(A2825))</f>
        <v>36552</v>
      </c>
      <c r="C2825" s="21">
        <f t="shared" ref="C2825:C2888" si="573">VLOOKUP(B2825, $R$9:$S$13, 2)</f>
        <v>36605</v>
      </c>
      <c r="D2825" s="1">
        <f t="shared" si="569"/>
        <v>0</v>
      </c>
      <c r="E2825" s="3">
        <f t="array" ref="E2825">INDEX($A$9:A2824, MAX(IF($D$9:D2824=1, ROW(D$9:$D2824)-ROW($D$9)+1, 0)))</f>
        <v>50031</v>
      </c>
      <c r="F2825" s="23">
        <f t="shared" ref="F2825:F2888" si="574">(A2825-$A$2)/365.25</f>
        <v>10.792607802874743</v>
      </c>
      <c r="G2825" s="5">
        <f>INDEX('Default Prob'!$P$5:$P$14,MIN(1+_xlfn.IFNA(MATCH(F2825,'Default Prob'!$F$5:$F$14,1),0),COUNT('Default Prob'!$P$5:$P$14)))</f>
        <v>8.0322462664562722E-2</v>
      </c>
      <c r="H2825" s="5">
        <f t="shared" si="570"/>
        <v>0.6588537814714831</v>
      </c>
      <c r="I2825" s="24">
        <f t="shared" si="571"/>
        <v>1.4490507218745119E-4</v>
      </c>
      <c r="J2825" s="25">
        <f>INDEX('Default Prob'!$C$3:$C$13, _xlfn.IFNA(MATCH(F2825, 'Default Prob'!$B$3:$B$13, 1), 1))</f>
        <v>2.5600000000000001E-2</v>
      </c>
      <c r="K2825" s="26">
        <f t="shared" ref="K2825:K2888" si="575">1/((1+J2825)^F2825)</f>
        <v>0.76123477583852472</v>
      </c>
      <c r="L2825" s="27">
        <f t="shared" ref="L2825:L2888" ca="1" si="576">IF(AND(D2825, A2825 &lt;= $G$2), $D$5*$D$2*(A2825-E2825)/365.25, 0)</f>
        <v>0</v>
      </c>
      <c r="M2825" s="27">
        <f t="shared" ref="M2825:M2888" ca="1" si="577">IF(A2825&lt;=$G$2, $D$5*$D$2*(A2825-E2825)/365.25, 0)</f>
        <v>0</v>
      </c>
      <c r="N2825" s="28">
        <f t="shared" ref="N2825:N2888" ca="1" si="578">(L2825*H2825 + M2825*I2825) * K2825</f>
        <v>0</v>
      </c>
      <c r="O2825" s="29">
        <f t="shared" ref="O2825:O2888" ca="1" si="579">IF(A2825&lt;=$G$2, $D$2*(1-$D$3), 0)</f>
        <v>0</v>
      </c>
      <c r="P2825" s="30">
        <f t="shared" ref="P2825:P2888" ca="1" si="580">O2825*I2825*K2825</f>
        <v>0</v>
      </c>
    </row>
    <row r="2826" spans="1:16" x14ac:dyDescent="0.25">
      <c r="A2826" s="3">
        <f t="shared" ref="A2826:A2889" si="581">WORKDAY(A2825, 1)</f>
        <v>50068</v>
      </c>
      <c r="B2826" s="21">
        <f t="shared" si="572"/>
        <v>36553</v>
      </c>
      <c r="C2826" s="21">
        <f t="shared" si="573"/>
        <v>36605</v>
      </c>
      <c r="D2826" s="1">
        <f t="shared" ref="D2826:D2889" si="582">IF(OR(C2826=B2826, AND(C2826&lt;&gt;C2825, C2825&gt;B2825)), 1, 0)</f>
        <v>0</v>
      </c>
      <c r="E2826" s="3">
        <f t="array" ref="E2826">INDEX($A$9:A2825, MAX(IF($D$9:D2825=1, ROW(D$9:$D2825)-ROW($D$9)+1, 0)))</f>
        <v>50031</v>
      </c>
      <c r="F2826" s="23">
        <f t="shared" si="574"/>
        <v>10.795345653661876</v>
      </c>
      <c r="G2826" s="5">
        <f>INDEX('Default Prob'!$P$5:$P$14,MIN(1+_xlfn.IFNA(MATCH(F2826,'Default Prob'!$F$5:$F$14,1),0),COUNT('Default Prob'!$P$5:$P$14)))</f>
        <v>8.0322462664562722E-2</v>
      </c>
      <c r="H2826" s="5">
        <f t="shared" ref="H2826:H2889" si="583">H2825*EXP(-G2825*(F2826-F2825))</f>
        <v>0.65870890826199935</v>
      </c>
      <c r="I2826" s="24">
        <f t="shared" ref="I2826:I2889" si="584">H2825-H2826</f>
        <v>1.4487320948375348E-4</v>
      </c>
      <c r="J2826" s="25">
        <f>INDEX('Default Prob'!$C$3:$C$13, _xlfn.IFNA(MATCH(F2826, 'Default Prob'!$B$3:$B$13, 1), 1))</f>
        <v>2.5600000000000001E-2</v>
      </c>
      <c r="K2826" s="26">
        <f t="shared" si="575"/>
        <v>0.76118209498965483</v>
      </c>
      <c r="L2826" s="27">
        <f t="shared" ca="1" si="576"/>
        <v>0</v>
      </c>
      <c r="M2826" s="27">
        <f t="shared" ca="1" si="577"/>
        <v>0</v>
      </c>
      <c r="N2826" s="28">
        <f t="shared" ca="1" si="578"/>
        <v>0</v>
      </c>
      <c r="O2826" s="29">
        <f t="shared" ca="1" si="579"/>
        <v>0</v>
      </c>
      <c r="P2826" s="30">
        <f t="shared" ca="1" si="580"/>
        <v>0</v>
      </c>
    </row>
    <row r="2827" spans="1:16" x14ac:dyDescent="0.25">
      <c r="A2827" s="3">
        <f t="shared" si="581"/>
        <v>50069</v>
      </c>
      <c r="B2827" s="21">
        <f t="shared" si="572"/>
        <v>36554</v>
      </c>
      <c r="C2827" s="21">
        <f t="shared" si="573"/>
        <v>36605</v>
      </c>
      <c r="D2827" s="1">
        <f t="shared" si="582"/>
        <v>0</v>
      </c>
      <c r="E2827" s="3">
        <f t="array" ref="E2827">INDEX($A$9:A2826, MAX(IF($D$9:D2826=1, ROW(D$9:$D2826)-ROW($D$9)+1, 0)))</f>
        <v>50031</v>
      </c>
      <c r="F2827" s="23">
        <f t="shared" si="574"/>
        <v>10.798083504449007</v>
      </c>
      <c r="G2827" s="5">
        <f>INDEX('Default Prob'!$P$5:$P$14,MIN(1+_xlfn.IFNA(MATCH(F2827,'Default Prob'!$F$5:$F$14,1),0),COUNT('Default Prob'!$P$5:$P$14)))</f>
        <v>8.0322462664562722E-2</v>
      </c>
      <c r="H2827" s="5">
        <f t="shared" si="583"/>
        <v>0.65856406690821323</v>
      </c>
      <c r="I2827" s="24">
        <f t="shared" si="584"/>
        <v>1.4484135378611818E-4</v>
      </c>
      <c r="J2827" s="25">
        <f>INDEX('Default Prob'!$C$3:$C$13, _xlfn.IFNA(MATCH(F2827, 'Default Prob'!$B$3:$B$13, 1), 1))</f>
        <v>2.5600000000000001E-2</v>
      </c>
      <c r="K2827" s="26">
        <f t="shared" si="575"/>
        <v>0.76112941778653498</v>
      </c>
      <c r="L2827" s="27">
        <f t="shared" ca="1" si="576"/>
        <v>0</v>
      </c>
      <c r="M2827" s="27">
        <f t="shared" ca="1" si="577"/>
        <v>0</v>
      </c>
      <c r="N2827" s="28">
        <f t="shared" ca="1" si="578"/>
        <v>0</v>
      </c>
      <c r="O2827" s="29">
        <f t="shared" ca="1" si="579"/>
        <v>0</v>
      </c>
      <c r="P2827" s="30">
        <f t="shared" ca="1" si="580"/>
        <v>0</v>
      </c>
    </row>
    <row r="2828" spans="1:16" x14ac:dyDescent="0.25">
      <c r="A2828" s="3">
        <f t="shared" si="581"/>
        <v>50070</v>
      </c>
      <c r="B2828" s="21">
        <f t="shared" si="572"/>
        <v>36555</v>
      </c>
      <c r="C2828" s="21">
        <f t="shared" si="573"/>
        <v>36605</v>
      </c>
      <c r="D2828" s="1">
        <f t="shared" si="582"/>
        <v>0</v>
      </c>
      <c r="E2828" s="3">
        <f t="array" ref="E2828">INDEX($A$9:A2827, MAX(IF($D$9:D2827=1, ROW(D$9:$D2827)-ROW($D$9)+1, 0)))</f>
        <v>50031</v>
      </c>
      <c r="F2828" s="23">
        <f t="shared" si="574"/>
        <v>10.80082135523614</v>
      </c>
      <c r="G2828" s="5">
        <f>INDEX('Default Prob'!$P$5:$P$14,MIN(1+_xlfn.IFNA(MATCH(F2828,'Default Prob'!$F$5:$F$14,1),0),COUNT('Default Prob'!$P$5:$P$14)))</f>
        <v>8.0322462664562722E-2</v>
      </c>
      <c r="H2828" s="5">
        <f t="shared" si="583"/>
        <v>0.65841925740312002</v>
      </c>
      <c r="I2828" s="24">
        <f t="shared" si="584"/>
        <v>1.44809505093213E-4</v>
      </c>
      <c r="J2828" s="25">
        <f>INDEX('Default Prob'!$C$3:$C$13, _xlfn.IFNA(MATCH(F2828, 'Default Prob'!$B$3:$B$13, 1), 1))</f>
        <v>2.5600000000000001E-2</v>
      </c>
      <c r="K2828" s="26">
        <f t="shared" si="575"/>
        <v>0.76107674422891314</v>
      </c>
      <c r="L2828" s="27">
        <f t="shared" ca="1" si="576"/>
        <v>0</v>
      </c>
      <c r="M2828" s="27">
        <f t="shared" ca="1" si="577"/>
        <v>0</v>
      </c>
      <c r="N2828" s="28">
        <f t="shared" ca="1" si="578"/>
        <v>0</v>
      </c>
      <c r="O2828" s="29">
        <f t="shared" ca="1" si="579"/>
        <v>0</v>
      </c>
      <c r="P2828" s="30">
        <f t="shared" ca="1" si="580"/>
        <v>0</v>
      </c>
    </row>
    <row r="2829" spans="1:16" x14ac:dyDescent="0.25">
      <c r="A2829" s="3">
        <f t="shared" si="581"/>
        <v>50073</v>
      </c>
      <c r="B2829" s="21">
        <f t="shared" si="572"/>
        <v>36558</v>
      </c>
      <c r="C2829" s="21">
        <f t="shared" si="573"/>
        <v>36605</v>
      </c>
      <c r="D2829" s="1">
        <f t="shared" si="582"/>
        <v>0</v>
      </c>
      <c r="E2829" s="3">
        <f t="array" ref="E2829">INDEX($A$9:A2828, MAX(IF($D$9:D2828=1, ROW(D$9:$D2828)-ROW($D$9)+1, 0)))</f>
        <v>50031</v>
      </c>
      <c r="F2829" s="23">
        <f t="shared" si="574"/>
        <v>10.809034907597535</v>
      </c>
      <c r="G2829" s="5">
        <f>INDEX('Default Prob'!$P$5:$P$14,MIN(1+_xlfn.IFNA(MATCH(F2829,'Default Prob'!$F$5:$F$14,1),0),COUNT('Default Prob'!$P$5:$P$14)))</f>
        <v>8.0322462664562722E-2</v>
      </c>
      <c r="H2829" s="5">
        <f t="shared" si="583"/>
        <v>0.65798501990997504</v>
      </c>
      <c r="I2829" s="24">
        <f t="shared" si="584"/>
        <v>4.3423749314497329E-4</v>
      </c>
      <c r="J2829" s="25">
        <f>INDEX('Default Prob'!$C$3:$C$13, _xlfn.IFNA(MATCH(F2829, 'Default Prob'!$B$3:$B$13, 1), 1))</f>
        <v>2.5600000000000001E-2</v>
      </c>
      <c r="K2829" s="26">
        <f t="shared" si="575"/>
        <v>0.76091874542651206</v>
      </c>
      <c r="L2829" s="27">
        <f t="shared" ca="1" si="576"/>
        <v>0</v>
      </c>
      <c r="M2829" s="27">
        <f t="shared" ca="1" si="577"/>
        <v>0</v>
      </c>
      <c r="N2829" s="28">
        <f t="shared" ca="1" si="578"/>
        <v>0</v>
      </c>
      <c r="O2829" s="29">
        <f t="shared" ca="1" si="579"/>
        <v>0</v>
      </c>
      <c r="P2829" s="30">
        <f t="shared" ca="1" si="580"/>
        <v>0</v>
      </c>
    </row>
    <row r="2830" spans="1:16" x14ac:dyDescent="0.25">
      <c r="A2830" s="3">
        <f t="shared" si="581"/>
        <v>50074</v>
      </c>
      <c r="B2830" s="21">
        <f t="shared" si="572"/>
        <v>36559</v>
      </c>
      <c r="C2830" s="21">
        <f t="shared" si="573"/>
        <v>36605</v>
      </c>
      <c r="D2830" s="1">
        <f t="shared" si="582"/>
        <v>0</v>
      </c>
      <c r="E2830" s="3">
        <f t="array" ref="E2830">INDEX($A$9:A2829, MAX(IF($D$9:D2829=1, ROW(D$9:$D2829)-ROW($D$9)+1, 0)))</f>
        <v>50031</v>
      </c>
      <c r="F2830" s="23">
        <f t="shared" si="574"/>
        <v>10.811772758384668</v>
      </c>
      <c r="G2830" s="5">
        <f>INDEX('Default Prob'!$P$5:$P$14,MIN(1+_xlfn.IFNA(MATCH(F2830,'Default Prob'!$F$5:$F$14,1),0),COUNT('Default Prob'!$P$5:$P$14)))</f>
        <v>8.0322462664562722E-2</v>
      </c>
      <c r="H2830" s="5">
        <f t="shared" si="583"/>
        <v>0.65784033772963801</v>
      </c>
      <c r="I2830" s="24">
        <f t="shared" si="584"/>
        <v>1.4468218033703018E-4</v>
      </c>
      <c r="J2830" s="25">
        <f>INDEX('Default Prob'!$C$3:$C$13, _xlfn.IFNA(MATCH(F2830, 'Default Prob'!$B$3:$B$13, 1), 1))</f>
        <v>2.5600000000000001E-2</v>
      </c>
      <c r="K2830" s="26">
        <f t="shared" si="575"/>
        <v>0.76086608644835918</v>
      </c>
      <c r="L2830" s="27">
        <f t="shared" ca="1" si="576"/>
        <v>0</v>
      </c>
      <c r="M2830" s="27">
        <f t="shared" ca="1" si="577"/>
        <v>0</v>
      </c>
      <c r="N2830" s="28">
        <f t="shared" ca="1" si="578"/>
        <v>0</v>
      </c>
      <c r="O2830" s="29">
        <f t="shared" ca="1" si="579"/>
        <v>0</v>
      </c>
      <c r="P2830" s="30">
        <f t="shared" ca="1" si="580"/>
        <v>0</v>
      </c>
    </row>
    <row r="2831" spans="1:16" x14ac:dyDescent="0.25">
      <c r="A2831" s="3">
        <f t="shared" si="581"/>
        <v>50075</v>
      </c>
      <c r="B2831" s="21">
        <f t="shared" si="572"/>
        <v>36560</v>
      </c>
      <c r="C2831" s="21">
        <f t="shared" si="573"/>
        <v>36605</v>
      </c>
      <c r="D2831" s="1">
        <f t="shared" si="582"/>
        <v>0</v>
      </c>
      <c r="E2831" s="3">
        <f t="array" ref="E2831">INDEX($A$9:A2830, MAX(IF($D$9:D2830=1, ROW(D$9:$D2830)-ROW($D$9)+1, 0)))</f>
        <v>50031</v>
      </c>
      <c r="F2831" s="23">
        <f t="shared" si="574"/>
        <v>10.8145106091718</v>
      </c>
      <c r="G2831" s="5">
        <f>INDEX('Default Prob'!$P$5:$P$14,MIN(1+_xlfn.IFNA(MATCH(F2831,'Default Prob'!$F$5:$F$14,1),0),COUNT('Default Prob'!$P$5:$P$14)))</f>
        <v>8.0322462664562722E-2</v>
      </c>
      <c r="H2831" s="5">
        <f t="shared" si="583"/>
        <v>0.65769568736299389</v>
      </c>
      <c r="I2831" s="24">
        <f t="shared" si="584"/>
        <v>1.4465036664412789E-4</v>
      </c>
      <c r="J2831" s="25">
        <f>INDEX('Default Prob'!$C$3:$C$13, _xlfn.IFNA(MATCH(F2831, 'Default Prob'!$B$3:$B$13, 1), 1))</f>
        <v>2.5600000000000001E-2</v>
      </c>
      <c r="K2831" s="26">
        <f t="shared" si="575"/>
        <v>0.760813431114443</v>
      </c>
      <c r="L2831" s="27">
        <f t="shared" ca="1" si="576"/>
        <v>0</v>
      </c>
      <c r="M2831" s="27">
        <f t="shared" ca="1" si="577"/>
        <v>0</v>
      </c>
      <c r="N2831" s="28">
        <f t="shared" ca="1" si="578"/>
        <v>0</v>
      </c>
      <c r="O2831" s="29">
        <f t="shared" ca="1" si="579"/>
        <v>0</v>
      </c>
      <c r="P2831" s="30">
        <f t="shared" ca="1" si="580"/>
        <v>0</v>
      </c>
    </row>
    <row r="2832" spans="1:16" x14ac:dyDescent="0.25">
      <c r="A2832" s="3">
        <f t="shared" si="581"/>
        <v>50076</v>
      </c>
      <c r="B2832" s="21">
        <f t="shared" si="572"/>
        <v>36561</v>
      </c>
      <c r="C2832" s="21">
        <f t="shared" si="573"/>
        <v>36605</v>
      </c>
      <c r="D2832" s="1">
        <f t="shared" si="582"/>
        <v>0</v>
      </c>
      <c r="E2832" s="3">
        <f t="array" ref="E2832">INDEX($A$9:A2831, MAX(IF($D$9:D2831=1, ROW(D$9:$D2831)-ROW($D$9)+1, 0)))</f>
        <v>50031</v>
      </c>
      <c r="F2832" s="23">
        <f t="shared" si="574"/>
        <v>10.817248459958932</v>
      </c>
      <c r="G2832" s="5">
        <f>INDEX('Default Prob'!$P$5:$P$14,MIN(1+_xlfn.IFNA(MATCH(F2832,'Default Prob'!$F$5:$F$14,1),0),COUNT('Default Prob'!$P$5:$P$14)))</f>
        <v>8.0322462664562722E-2</v>
      </c>
      <c r="H2832" s="5">
        <f t="shared" si="583"/>
        <v>0.65755106880304715</v>
      </c>
      <c r="I2832" s="24">
        <f t="shared" si="584"/>
        <v>1.4461855994674089E-4</v>
      </c>
      <c r="J2832" s="25">
        <f>INDEX('Default Prob'!$C$3:$C$13, _xlfn.IFNA(MATCH(F2832, 'Default Prob'!$B$3:$B$13, 1), 1))</f>
        <v>2.5600000000000001E-2</v>
      </c>
      <c r="K2832" s="26">
        <f t="shared" si="575"/>
        <v>0.76076077942451104</v>
      </c>
      <c r="L2832" s="27">
        <f t="shared" ca="1" si="576"/>
        <v>0</v>
      </c>
      <c r="M2832" s="27">
        <f t="shared" ca="1" si="577"/>
        <v>0</v>
      </c>
      <c r="N2832" s="28">
        <f t="shared" ca="1" si="578"/>
        <v>0</v>
      </c>
      <c r="O2832" s="29">
        <f t="shared" ca="1" si="579"/>
        <v>0</v>
      </c>
      <c r="P2832" s="30">
        <f t="shared" ca="1" si="580"/>
        <v>0</v>
      </c>
    </row>
    <row r="2833" spans="1:16" x14ac:dyDescent="0.25">
      <c r="A2833" s="3">
        <f t="shared" si="581"/>
        <v>50077</v>
      </c>
      <c r="B2833" s="21">
        <f t="shared" si="572"/>
        <v>36562</v>
      </c>
      <c r="C2833" s="21">
        <f t="shared" si="573"/>
        <v>36605</v>
      </c>
      <c r="D2833" s="1">
        <f t="shared" si="582"/>
        <v>0</v>
      </c>
      <c r="E2833" s="3">
        <f t="array" ref="E2833">INDEX($A$9:A2832, MAX(IF($D$9:D2832=1, ROW(D$9:$D2832)-ROW($D$9)+1, 0)))</f>
        <v>50031</v>
      </c>
      <c r="F2833" s="23">
        <f t="shared" si="574"/>
        <v>10.819986310746064</v>
      </c>
      <c r="G2833" s="5">
        <f>INDEX('Default Prob'!$P$5:$P$14,MIN(1+_xlfn.IFNA(MATCH(F2833,'Default Prob'!$F$5:$F$14,1),0),COUNT('Default Prob'!$P$5:$P$14)))</f>
        <v>8.0322462664562722E-2</v>
      </c>
      <c r="H2833" s="5">
        <f t="shared" si="583"/>
        <v>0.65740648204280394</v>
      </c>
      <c r="I2833" s="24">
        <f t="shared" si="584"/>
        <v>1.4458676024320383E-4</v>
      </c>
      <c r="J2833" s="25">
        <f>INDEX('Default Prob'!$C$3:$C$13, _xlfn.IFNA(MATCH(F2833, 'Default Prob'!$B$3:$B$13, 1), 1))</f>
        <v>2.5600000000000001E-2</v>
      </c>
      <c r="K2833" s="26">
        <f t="shared" si="575"/>
        <v>0.7607081313783115</v>
      </c>
      <c r="L2833" s="27">
        <f t="shared" ca="1" si="576"/>
        <v>0</v>
      </c>
      <c r="M2833" s="27">
        <f t="shared" ca="1" si="577"/>
        <v>0</v>
      </c>
      <c r="N2833" s="28">
        <f t="shared" ca="1" si="578"/>
        <v>0</v>
      </c>
      <c r="O2833" s="29">
        <f t="shared" ca="1" si="579"/>
        <v>0</v>
      </c>
      <c r="P2833" s="30">
        <f t="shared" ca="1" si="580"/>
        <v>0</v>
      </c>
    </row>
    <row r="2834" spans="1:16" x14ac:dyDescent="0.25">
      <c r="A2834" s="3">
        <f t="shared" si="581"/>
        <v>50080</v>
      </c>
      <c r="B2834" s="21">
        <f t="shared" si="572"/>
        <v>36565</v>
      </c>
      <c r="C2834" s="21">
        <f t="shared" si="573"/>
        <v>36605</v>
      </c>
      <c r="D2834" s="1">
        <f t="shared" si="582"/>
        <v>0</v>
      </c>
      <c r="E2834" s="3">
        <f t="array" ref="E2834">INDEX($A$9:A2833, MAX(IF($D$9:D2833=1, ROW(D$9:$D2833)-ROW($D$9)+1, 0)))</f>
        <v>50031</v>
      </c>
      <c r="F2834" s="23">
        <f t="shared" si="574"/>
        <v>10.828199863107461</v>
      </c>
      <c r="G2834" s="5">
        <f>INDEX('Default Prob'!$P$5:$P$14,MIN(1+_xlfn.IFNA(MATCH(F2834,'Default Prob'!$F$5:$F$14,1),0),COUNT('Default Prob'!$P$5:$P$14)))</f>
        <v>8.0322462664562722E-2</v>
      </c>
      <c r="H2834" s="5">
        <f t="shared" si="583"/>
        <v>0.65697291249038003</v>
      </c>
      <c r="I2834" s="24">
        <f t="shared" si="584"/>
        <v>4.3356955242390693E-4</v>
      </c>
      <c r="J2834" s="25">
        <f>INDEX('Default Prob'!$C$3:$C$13, _xlfn.IFNA(MATCH(F2834, 'Default Prob'!$B$3:$B$13, 1), 1))</f>
        <v>2.5600000000000001E-2</v>
      </c>
      <c r="K2834" s="26">
        <f t="shared" si="575"/>
        <v>0.76055020909958493</v>
      </c>
      <c r="L2834" s="27">
        <f t="shared" ca="1" si="576"/>
        <v>0</v>
      </c>
      <c r="M2834" s="27">
        <f t="shared" ca="1" si="577"/>
        <v>0</v>
      </c>
      <c r="N2834" s="28">
        <f t="shared" ca="1" si="578"/>
        <v>0</v>
      </c>
      <c r="O2834" s="29">
        <f t="shared" ca="1" si="579"/>
        <v>0</v>
      </c>
      <c r="P2834" s="30">
        <f t="shared" ca="1" si="580"/>
        <v>0</v>
      </c>
    </row>
    <row r="2835" spans="1:16" x14ac:dyDescent="0.25">
      <c r="A2835" s="3">
        <f t="shared" si="581"/>
        <v>50081</v>
      </c>
      <c r="B2835" s="21">
        <f t="shared" si="572"/>
        <v>36566</v>
      </c>
      <c r="C2835" s="21">
        <f t="shared" si="573"/>
        <v>36605</v>
      </c>
      <c r="D2835" s="1">
        <f t="shared" si="582"/>
        <v>0</v>
      </c>
      <c r="E2835" s="3">
        <f t="array" ref="E2835">INDEX($A$9:A2834, MAX(IF($D$9:D2834=1, ROW(D$9:$D2834)-ROW($D$9)+1, 0)))</f>
        <v>50031</v>
      </c>
      <c r="F2835" s="23">
        <f t="shared" si="574"/>
        <v>10.830937713894592</v>
      </c>
      <c r="G2835" s="5">
        <f>INDEX('Default Prob'!$P$5:$P$14,MIN(1+_xlfn.IFNA(MATCH(F2835,'Default Prob'!$F$5:$F$14,1),0),COUNT('Default Prob'!$P$5:$P$14)))</f>
        <v>8.0322462664562722E-2</v>
      </c>
      <c r="H2835" s="5">
        <f t="shared" si="583"/>
        <v>0.65682845285904312</v>
      </c>
      <c r="I2835" s="24">
        <f t="shared" si="584"/>
        <v>1.4445963133691286E-4</v>
      </c>
      <c r="J2835" s="25">
        <f>INDEX('Default Prob'!$C$3:$C$13, _xlfn.IFNA(MATCH(F2835, 'Default Prob'!$B$3:$B$13, 1), 1))</f>
        <v>2.5600000000000001E-2</v>
      </c>
      <c r="K2835" s="26">
        <f t="shared" si="575"/>
        <v>0.76049757562579301</v>
      </c>
      <c r="L2835" s="27">
        <f t="shared" ca="1" si="576"/>
        <v>0</v>
      </c>
      <c r="M2835" s="27">
        <f t="shared" ca="1" si="577"/>
        <v>0</v>
      </c>
      <c r="N2835" s="28">
        <f t="shared" ca="1" si="578"/>
        <v>0</v>
      </c>
      <c r="O2835" s="29">
        <f t="shared" ca="1" si="579"/>
        <v>0</v>
      </c>
      <c r="P2835" s="30">
        <f t="shared" ca="1" si="580"/>
        <v>0</v>
      </c>
    </row>
    <row r="2836" spans="1:16" x14ac:dyDescent="0.25">
      <c r="A2836" s="3">
        <f t="shared" si="581"/>
        <v>50082</v>
      </c>
      <c r="B2836" s="21">
        <f t="shared" si="572"/>
        <v>36567</v>
      </c>
      <c r="C2836" s="21">
        <f t="shared" si="573"/>
        <v>36605</v>
      </c>
      <c r="D2836" s="1">
        <f t="shared" si="582"/>
        <v>0</v>
      </c>
      <c r="E2836" s="3">
        <f t="array" ref="E2836">INDEX($A$9:A2835, MAX(IF($D$9:D2835=1, ROW(D$9:$D2835)-ROW($D$9)+1, 0)))</f>
        <v>50031</v>
      </c>
      <c r="F2836" s="23">
        <f t="shared" si="574"/>
        <v>10.833675564681725</v>
      </c>
      <c r="G2836" s="5">
        <f>INDEX('Default Prob'!$P$5:$P$14,MIN(1+_xlfn.IFNA(MATCH(F2836,'Default Prob'!$F$5:$F$14,1),0),COUNT('Default Prob'!$P$5:$P$14)))</f>
        <v>8.0322462664562722E-2</v>
      </c>
      <c r="H2836" s="5">
        <f t="shared" si="583"/>
        <v>0.65668402499246337</v>
      </c>
      <c r="I2836" s="24">
        <f t="shared" si="584"/>
        <v>1.4442786657975493E-4</v>
      </c>
      <c r="J2836" s="25">
        <f>INDEX('Default Prob'!$C$3:$C$13, _xlfn.IFNA(MATCH(F2836, 'Default Prob'!$B$3:$B$13, 1), 1))</f>
        <v>2.5600000000000001E-2</v>
      </c>
      <c r="K2836" s="26">
        <f t="shared" si="575"/>
        <v>0.76044494579447275</v>
      </c>
      <c r="L2836" s="27">
        <f t="shared" ca="1" si="576"/>
        <v>0</v>
      </c>
      <c r="M2836" s="27">
        <f t="shared" ca="1" si="577"/>
        <v>0</v>
      </c>
      <c r="N2836" s="28">
        <f t="shared" ca="1" si="578"/>
        <v>0</v>
      </c>
      <c r="O2836" s="29">
        <f t="shared" ca="1" si="579"/>
        <v>0</v>
      </c>
      <c r="P2836" s="30">
        <f t="shared" ca="1" si="580"/>
        <v>0</v>
      </c>
    </row>
    <row r="2837" spans="1:16" x14ac:dyDescent="0.25">
      <c r="A2837" s="3">
        <f t="shared" si="581"/>
        <v>50083</v>
      </c>
      <c r="B2837" s="21">
        <f t="shared" si="572"/>
        <v>36568</v>
      </c>
      <c r="C2837" s="21">
        <f t="shared" si="573"/>
        <v>36605</v>
      </c>
      <c r="D2837" s="1">
        <f t="shared" si="582"/>
        <v>0</v>
      </c>
      <c r="E2837" s="3">
        <f t="array" ref="E2837">INDEX($A$9:A2836, MAX(IF($D$9:D2836=1, ROW(D$9:$D2836)-ROW($D$9)+1, 0)))</f>
        <v>50031</v>
      </c>
      <c r="F2837" s="23">
        <f t="shared" si="574"/>
        <v>10.836413415468858</v>
      </c>
      <c r="G2837" s="5">
        <f>INDEX('Default Prob'!$P$5:$P$14,MIN(1+_xlfn.IFNA(MATCH(F2837,'Default Prob'!$F$5:$F$14,1),0),COUNT('Default Prob'!$P$5:$P$14)))</f>
        <v>8.0322462664562722E-2</v>
      </c>
      <c r="H2837" s="5">
        <f t="shared" si="583"/>
        <v>0.65653962888365625</v>
      </c>
      <c r="I2837" s="24">
        <f t="shared" si="584"/>
        <v>1.4439610880712106E-4</v>
      </c>
      <c r="J2837" s="25">
        <f>INDEX('Default Prob'!$C$3:$C$13, _xlfn.IFNA(MATCH(F2837, 'Default Prob'!$B$3:$B$13, 1), 1))</f>
        <v>2.5600000000000001E-2</v>
      </c>
      <c r="K2837" s="26">
        <f t="shared" si="575"/>
        <v>0.7603923196053719</v>
      </c>
      <c r="L2837" s="27">
        <f t="shared" ca="1" si="576"/>
        <v>0</v>
      </c>
      <c r="M2837" s="27">
        <f t="shared" ca="1" si="577"/>
        <v>0</v>
      </c>
      <c r="N2837" s="28">
        <f t="shared" ca="1" si="578"/>
        <v>0</v>
      </c>
      <c r="O2837" s="29">
        <f t="shared" ca="1" si="579"/>
        <v>0</v>
      </c>
      <c r="P2837" s="30">
        <f t="shared" ca="1" si="580"/>
        <v>0</v>
      </c>
    </row>
    <row r="2838" spans="1:16" x14ac:dyDescent="0.25">
      <c r="A2838" s="3">
        <f t="shared" si="581"/>
        <v>50084</v>
      </c>
      <c r="B2838" s="21">
        <f t="shared" si="572"/>
        <v>36569</v>
      </c>
      <c r="C2838" s="21">
        <f t="shared" si="573"/>
        <v>36605</v>
      </c>
      <c r="D2838" s="1">
        <f t="shared" si="582"/>
        <v>0</v>
      </c>
      <c r="E2838" s="3">
        <f t="array" ref="E2838">INDEX($A$9:A2837, MAX(IF($D$9:D2837=1, ROW(D$9:$D2837)-ROW($D$9)+1, 0)))</f>
        <v>50031</v>
      </c>
      <c r="F2838" s="23">
        <f t="shared" si="574"/>
        <v>10.839151266255989</v>
      </c>
      <c r="G2838" s="5">
        <f>INDEX('Default Prob'!$P$5:$P$14,MIN(1+_xlfn.IFNA(MATCH(F2838,'Default Prob'!$F$5:$F$14,1),0),COUNT('Default Prob'!$P$5:$P$14)))</f>
        <v>8.0322462664562722E-2</v>
      </c>
      <c r="H2838" s="5">
        <f t="shared" si="583"/>
        <v>0.65639526452563868</v>
      </c>
      <c r="I2838" s="24">
        <f t="shared" si="584"/>
        <v>1.4436435801756797E-4</v>
      </c>
      <c r="J2838" s="25">
        <f>INDEX('Default Prob'!$C$3:$C$13, _xlfn.IFNA(MATCH(F2838, 'Default Prob'!$B$3:$B$13, 1), 1))</f>
        <v>2.5600000000000001E-2</v>
      </c>
      <c r="K2838" s="26">
        <f t="shared" si="575"/>
        <v>0.76033969705823878</v>
      </c>
      <c r="L2838" s="27">
        <f t="shared" ca="1" si="576"/>
        <v>0</v>
      </c>
      <c r="M2838" s="27">
        <f t="shared" ca="1" si="577"/>
        <v>0</v>
      </c>
      <c r="N2838" s="28">
        <f t="shared" ca="1" si="578"/>
        <v>0</v>
      </c>
      <c r="O2838" s="29">
        <f t="shared" ca="1" si="579"/>
        <v>0</v>
      </c>
      <c r="P2838" s="30">
        <f t="shared" ca="1" si="580"/>
        <v>0</v>
      </c>
    </row>
    <row r="2839" spans="1:16" x14ac:dyDescent="0.25">
      <c r="A2839" s="3">
        <f t="shared" si="581"/>
        <v>50087</v>
      </c>
      <c r="B2839" s="21">
        <f t="shared" si="572"/>
        <v>36572</v>
      </c>
      <c r="C2839" s="21">
        <f t="shared" si="573"/>
        <v>36605</v>
      </c>
      <c r="D2839" s="1">
        <f t="shared" si="582"/>
        <v>0</v>
      </c>
      <c r="E2839" s="3">
        <f t="array" ref="E2839">INDEX($A$9:A2838, MAX(IF($D$9:D2838=1, ROW(D$9:$D2838)-ROW($D$9)+1, 0)))</f>
        <v>50031</v>
      </c>
      <c r="F2839" s="23">
        <f t="shared" si="574"/>
        <v>10.847364818617386</v>
      </c>
      <c r="G2839" s="5">
        <f>INDEX('Default Prob'!$P$5:$P$14,MIN(1+_xlfn.IFNA(MATCH(F2839,'Default Prob'!$F$5:$F$14,1),0),COUNT('Default Prob'!$P$5:$P$14)))</f>
        <v>8.0322462664562722E-2</v>
      </c>
      <c r="H2839" s="5">
        <f t="shared" si="583"/>
        <v>0.65596236188651458</v>
      </c>
      <c r="I2839" s="24">
        <f t="shared" si="584"/>
        <v>4.3290263912409976E-4</v>
      </c>
      <c r="J2839" s="25">
        <f>INDEX('Default Prob'!$C$3:$C$13, _xlfn.IFNA(MATCH(F2839, 'Default Prob'!$B$3:$B$13, 1), 1))</f>
        <v>2.5600000000000001E-2</v>
      </c>
      <c r="K2839" s="26">
        <f t="shared" si="575"/>
        <v>0.7601818512661237</v>
      </c>
      <c r="L2839" s="27">
        <f t="shared" ca="1" si="576"/>
        <v>0</v>
      </c>
      <c r="M2839" s="27">
        <f t="shared" ca="1" si="577"/>
        <v>0</v>
      </c>
      <c r="N2839" s="28">
        <f t="shared" ca="1" si="578"/>
        <v>0</v>
      </c>
      <c r="O2839" s="29">
        <f t="shared" ca="1" si="579"/>
        <v>0</v>
      </c>
      <c r="P2839" s="30">
        <f t="shared" ca="1" si="580"/>
        <v>0</v>
      </c>
    </row>
    <row r="2840" spans="1:16" x14ac:dyDescent="0.25">
      <c r="A2840" s="3">
        <f t="shared" si="581"/>
        <v>50088</v>
      </c>
      <c r="B2840" s="21">
        <f t="shared" si="572"/>
        <v>36573</v>
      </c>
      <c r="C2840" s="21">
        <f t="shared" si="573"/>
        <v>36605</v>
      </c>
      <c r="D2840" s="1">
        <f t="shared" si="582"/>
        <v>0</v>
      </c>
      <c r="E2840" s="3">
        <f t="array" ref="E2840">INDEX($A$9:A2839, MAX(IF($D$9:D2839=1, ROW(D$9:$D2839)-ROW($D$9)+1, 0)))</f>
        <v>50031</v>
      </c>
      <c r="F2840" s="23">
        <f t="shared" si="574"/>
        <v>10.850102669404517</v>
      </c>
      <c r="G2840" s="5">
        <f>INDEX('Default Prob'!$P$5:$P$14,MIN(1+_xlfn.IFNA(MATCH(F2840,'Default Prob'!$F$5:$F$14,1),0),COUNT('Default Prob'!$P$5:$P$14)))</f>
        <v>8.0322462664562722E-2</v>
      </c>
      <c r="H2840" s="5">
        <f t="shared" si="583"/>
        <v>0.6558181244618545</v>
      </c>
      <c r="I2840" s="24">
        <f t="shared" si="584"/>
        <v>1.4423742466007639E-4</v>
      </c>
      <c r="J2840" s="25">
        <f>INDEX('Default Prob'!$C$3:$C$13, _xlfn.IFNA(MATCH(F2840, 'Default Prob'!$B$3:$B$13, 1), 1))</f>
        <v>2.5600000000000001E-2</v>
      </c>
      <c r="K2840" s="26">
        <f t="shared" si="575"/>
        <v>0.76012924328434028</v>
      </c>
      <c r="L2840" s="27">
        <f t="shared" ca="1" si="576"/>
        <v>0</v>
      </c>
      <c r="M2840" s="27">
        <f t="shared" ca="1" si="577"/>
        <v>0</v>
      </c>
      <c r="N2840" s="28">
        <f t="shared" ca="1" si="578"/>
        <v>0</v>
      </c>
      <c r="O2840" s="29">
        <f t="shared" ca="1" si="579"/>
        <v>0</v>
      </c>
      <c r="P2840" s="30">
        <f t="shared" ca="1" si="580"/>
        <v>0</v>
      </c>
    </row>
    <row r="2841" spans="1:16" x14ac:dyDescent="0.25">
      <c r="A2841" s="3">
        <f t="shared" si="581"/>
        <v>50089</v>
      </c>
      <c r="B2841" s="21">
        <f t="shared" si="572"/>
        <v>36574</v>
      </c>
      <c r="C2841" s="21">
        <f t="shared" si="573"/>
        <v>36605</v>
      </c>
      <c r="D2841" s="1">
        <f t="shared" si="582"/>
        <v>0</v>
      </c>
      <c r="E2841" s="3">
        <f t="array" ref="E2841">INDEX($A$9:A2840, MAX(IF($D$9:D2840=1, ROW(D$9:$D2840)-ROW($D$9)+1, 0)))</f>
        <v>50031</v>
      </c>
      <c r="F2841" s="23">
        <f t="shared" si="574"/>
        <v>10.85284052019165</v>
      </c>
      <c r="G2841" s="5">
        <f>INDEX('Default Prob'!$P$5:$P$14,MIN(1+_xlfn.IFNA(MATCH(F2841,'Default Prob'!$F$5:$F$14,1),0),COUNT('Default Prob'!$P$5:$P$14)))</f>
        <v>8.0322462664562722E-2</v>
      </c>
      <c r="H2841" s="5">
        <f t="shared" si="583"/>
        <v>0.65567391875309133</v>
      </c>
      <c r="I2841" s="24">
        <f t="shared" si="584"/>
        <v>1.4420570876316763E-4</v>
      </c>
      <c r="J2841" s="25">
        <f>INDEX('Default Prob'!$C$3:$C$13, _xlfn.IFNA(MATCH(F2841, 'Default Prob'!$B$3:$B$13, 1), 1))</f>
        <v>2.5600000000000001E-2</v>
      </c>
      <c r="K2841" s="26">
        <f t="shared" si="575"/>
        <v>0.76007663894326438</v>
      </c>
      <c r="L2841" s="27">
        <f t="shared" ca="1" si="576"/>
        <v>0</v>
      </c>
      <c r="M2841" s="27">
        <f t="shared" ca="1" si="577"/>
        <v>0</v>
      </c>
      <c r="N2841" s="28">
        <f t="shared" ca="1" si="578"/>
        <v>0</v>
      </c>
      <c r="O2841" s="29">
        <f t="shared" ca="1" si="579"/>
        <v>0</v>
      </c>
      <c r="P2841" s="30">
        <f t="shared" ca="1" si="580"/>
        <v>0</v>
      </c>
    </row>
    <row r="2842" spans="1:16" x14ac:dyDescent="0.25">
      <c r="A2842" s="3">
        <f t="shared" si="581"/>
        <v>50090</v>
      </c>
      <c r="B2842" s="21">
        <f t="shared" si="572"/>
        <v>36575</v>
      </c>
      <c r="C2842" s="21">
        <f t="shared" si="573"/>
        <v>36605</v>
      </c>
      <c r="D2842" s="1">
        <f t="shared" si="582"/>
        <v>0</v>
      </c>
      <c r="E2842" s="3">
        <f t="array" ref="E2842">INDEX($A$9:A2841, MAX(IF($D$9:D2841=1, ROW(D$9:$D2841)-ROW($D$9)+1, 0)))</f>
        <v>50031</v>
      </c>
      <c r="F2842" s="23">
        <f t="shared" si="574"/>
        <v>10.855578370978781</v>
      </c>
      <c r="G2842" s="5">
        <f>INDEX('Default Prob'!$P$5:$P$14,MIN(1+_xlfn.IFNA(MATCH(F2842,'Default Prob'!$F$5:$F$14,1),0),COUNT('Default Prob'!$P$5:$P$14)))</f>
        <v>8.0322462664562722E-2</v>
      </c>
      <c r="H2842" s="5">
        <f t="shared" si="583"/>
        <v>0.65552974475325132</v>
      </c>
      <c r="I2842" s="24">
        <f t="shared" si="584"/>
        <v>1.4417399984001378E-4</v>
      </c>
      <c r="J2842" s="25">
        <f>INDEX('Default Prob'!$C$3:$C$13, _xlfn.IFNA(MATCH(F2842, 'Default Prob'!$B$3:$B$13, 1), 1))</f>
        <v>2.5600000000000001E-2</v>
      </c>
      <c r="K2842" s="26">
        <f t="shared" si="575"/>
        <v>0.76002403824264386</v>
      </c>
      <c r="L2842" s="27">
        <f t="shared" ca="1" si="576"/>
        <v>0</v>
      </c>
      <c r="M2842" s="27">
        <f t="shared" ca="1" si="577"/>
        <v>0</v>
      </c>
      <c r="N2842" s="28">
        <f t="shared" ca="1" si="578"/>
        <v>0</v>
      </c>
      <c r="O2842" s="29">
        <f t="shared" ca="1" si="579"/>
        <v>0</v>
      </c>
      <c r="P2842" s="30">
        <f t="shared" ca="1" si="580"/>
        <v>0</v>
      </c>
    </row>
    <row r="2843" spans="1:16" x14ac:dyDescent="0.25">
      <c r="A2843" s="3">
        <f t="shared" si="581"/>
        <v>50091</v>
      </c>
      <c r="B2843" s="21">
        <f t="shared" si="572"/>
        <v>36576</v>
      </c>
      <c r="C2843" s="21">
        <f t="shared" si="573"/>
        <v>36605</v>
      </c>
      <c r="D2843" s="1">
        <f t="shared" si="582"/>
        <v>0</v>
      </c>
      <c r="E2843" s="3">
        <f t="array" ref="E2843">INDEX($A$9:A2842, MAX(IF($D$9:D2842=1, ROW(D$9:$D2842)-ROW($D$9)+1, 0)))</f>
        <v>50031</v>
      </c>
      <c r="F2843" s="23">
        <f t="shared" si="574"/>
        <v>10.858316221765914</v>
      </c>
      <c r="G2843" s="5">
        <f>INDEX('Default Prob'!$P$5:$P$14,MIN(1+_xlfn.IFNA(MATCH(F2843,'Default Prob'!$F$5:$F$14,1),0),COUNT('Default Prob'!$P$5:$P$14)))</f>
        <v>8.0322462664562722E-2</v>
      </c>
      <c r="H2843" s="5">
        <f t="shared" si="583"/>
        <v>0.65538560245536182</v>
      </c>
      <c r="I2843" s="24">
        <f t="shared" si="584"/>
        <v>1.4414229788950461E-4</v>
      </c>
      <c r="J2843" s="25">
        <f>INDEX('Default Prob'!$C$3:$C$13, _xlfn.IFNA(MATCH(F2843, 'Default Prob'!$B$3:$B$13, 1), 1))</f>
        <v>2.5600000000000001E-2</v>
      </c>
      <c r="K2843" s="26">
        <f t="shared" si="575"/>
        <v>0.75997144118222693</v>
      </c>
      <c r="L2843" s="27">
        <f t="shared" ca="1" si="576"/>
        <v>0</v>
      </c>
      <c r="M2843" s="27">
        <f t="shared" ca="1" si="577"/>
        <v>0</v>
      </c>
      <c r="N2843" s="28">
        <f t="shared" ca="1" si="578"/>
        <v>0</v>
      </c>
      <c r="O2843" s="29">
        <f t="shared" ca="1" si="579"/>
        <v>0</v>
      </c>
      <c r="P2843" s="30">
        <f t="shared" ca="1" si="580"/>
        <v>0</v>
      </c>
    </row>
    <row r="2844" spans="1:16" x14ac:dyDescent="0.25">
      <c r="A2844" s="3">
        <f t="shared" si="581"/>
        <v>50094</v>
      </c>
      <c r="B2844" s="21">
        <f t="shared" si="572"/>
        <v>36579</v>
      </c>
      <c r="C2844" s="21">
        <f t="shared" si="573"/>
        <v>36605</v>
      </c>
      <c r="D2844" s="1">
        <f t="shared" si="582"/>
        <v>0</v>
      </c>
      <c r="E2844" s="3">
        <f t="array" ref="E2844">INDEX($A$9:A2843, MAX(IF($D$9:D2843=1, ROW(D$9:$D2843)-ROW($D$9)+1, 0)))</f>
        <v>50031</v>
      </c>
      <c r="F2844" s="23">
        <f t="shared" si="574"/>
        <v>10.86652977412731</v>
      </c>
      <c r="G2844" s="5">
        <f>INDEX('Default Prob'!$P$5:$P$14,MIN(1+_xlfn.IFNA(MATCH(F2844,'Default Prob'!$F$5:$F$14,1),0),COUNT('Default Prob'!$P$5:$P$14)))</f>
        <v>8.0322462664562722E-2</v>
      </c>
      <c r="H2844" s="5">
        <f t="shared" si="583"/>
        <v>0.65495336570369689</v>
      </c>
      <c r="I2844" s="24">
        <f t="shared" si="584"/>
        <v>4.3223675166492725E-4</v>
      </c>
      <c r="J2844" s="25">
        <f>INDEX('Default Prob'!$C$3:$C$13, _xlfn.IFNA(MATCH(F2844, 'Default Prob'!$B$3:$B$13, 1), 1))</f>
        <v>2.5600000000000001E-2</v>
      </c>
      <c r="K2844" s="26">
        <f t="shared" si="575"/>
        <v>0.75981367183967874</v>
      </c>
      <c r="L2844" s="27">
        <f t="shared" ca="1" si="576"/>
        <v>0</v>
      </c>
      <c r="M2844" s="27">
        <f t="shared" ca="1" si="577"/>
        <v>0</v>
      </c>
      <c r="N2844" s="28">
        <f t="shared" ca="1" si="578"/>
        <v>0</v>
      </c>
      <c r="O2844" s="29">
        <f t="shared" ca="1" si="579"/>
        <v>0</v>
      </c>
      <c r="P2844" s="30">
        <f t="shared" ca="1" si="580"/>
        <v>0</v>
      </c>
    </row>
    <row r="2845" spans="1:16" x14ac:dyDescent="0.25">
      <c r="A2845" s="3">
        <f t="shared" si="581"/>
        <v>50095</v>
      </c>
      <c r="B2845" s="21">
        <f t="shared" si="572"/>
        <v>36580</v>
      </c>
      <c r="C2845" s="21">
        <f t="shared" si="573"/>
        <v>36605</v>
      </c>
      <c r="D2845" s="1">
        <f t="shared" si="582"/>
        <v>0</v>
      </c>
      <c r="E2845" s="3">
        <f t="array" ref="E2845">INDEX($A$9:A2844, MAX(IF($D$9:D2844=1, ROW(D$9:$D2844)-ROW($D$9)+1, 0)))</f>
        <v>50031</v>
      </c>
      <c r="F2845" s="23">
        <f t="shared" si="574"/>
        <v>10.869267624914443</v>
      </c>
      <c r="G2845" s="5">
        <f>INDEX('Default Prob'!$P$5:$P$14,MIN(1+_xlfn.IFNA(MATCH(F2845,'Default Prob'!$F$5:$F$14,1),0),COUNT('Default Prob'!$P$5:$P$14)))</f>
        <v>8.0322462664562722E-2</v>
      </c>
      <c r="H2845" s="5">
        <f t="shared" si="583"/>
        <v>0.65480935014391706</v>
      </c>
      <c r="I2845" s="24">
        <f t="shared" si="584"/>
        <v>1.4401555977983094E-4</v>
      </c>
      <c r="J2845" s="25">
        <f>INDEX('Default Prob'!$C$3:$C$13, _xlfn.IFNA(MATCH(F2845, 'Default Prob'!$B$3:$B$13, 1), 1))</f>
        <v>2.5600000000000001E-2</v>
      </c>
      <c r="K2845" s="26">
        <f t="shared" si="575"/>
        <v>0.75976108933755726</v>
      </c>
      <c r="L2845" s="27">
        <f t="shared" ca="1" si="576"/>
        <v>0</v>
      </c>
      <c r="M2845" s="27">
        <f t="shared" ca="1" si="577"/>
        <v>0</v>
      </c>
      <c r="N2845" s="28">
        <f t="shared" ca="1" si="578"/>
        <v>0</v>
      </c>
      <c r="O2845" s="29">
        <f t="shared" ca="1" si="579"/>
        <v>0</v>
      </c>
      <c r="P2845" s="30">
        <f t="shared" ca="1" si="580"/>
        <v>0</v>
      </c>
    </row>
    <row r="2846" spans="1:16" x14ac:dyDescent="0.25">
      <c r="A2846" s="3">
        <f t="shared" si="581"/>
        <v>50096</v>
      </c>
      <c r="B2846" s="21">
        <f t="shared" si="572"/>
        <v>36581</v>
      </c>
      <c r="C2846" s="21">
        <f t="shared" si="573"/>
        <v>36605</v>
      </c>
      <c r="D2846" s="1">
        <f t="shared" si="582"/>
        <v>0</v>
      </c>
      <c r="E2846" s="3">
        <f t="array" ref="E2846">INDEX($A$9:A2845, MAX(IF($D$9:D2845=1, ROW(D$9:$D2845)-ROW($D$9)+1, 0)))</f>
        <v>50031</v>
      </c>
      <c r="F2846" s="23">
        <f t="shared" si="574"/>
        <v>10.872005475701574</v>
      </c>
      <c r="G2846" s="5">
        <f>INDEX('Default Prob'!$P$5:$P$14,MIN(1+_xlfn.IFNA(MATCH(F2846,'Default Prob'!$F$5:$F$14,1),0),COUNT('Default Prob'!$P$5:$P$14)))</f>
        <v>8.0322462664562722E-2</v>
      </c>
      <c r="H2846" s="5">
        <f t="shared" si="583"/>
        <v>0.65466536625124916</v>
      </c>
      <c r="I2846" s="24">
        <f t="shared" si="584"/>
        <v>1.4398389266789824E-4</v>
      </c>
      <c r="J2846" s="25">
        <f>INDEX('Default Prob'!$C$3:$C$13, _xlfn.IFNA(MATCH(F2846, 'Default Prob'!$B$3:$B$13, 1), 1))</f>
        <v>2.5600000000000001E-2</v>
      </c>
      <c r="K2846" s="26">
        <f t="shared" si="575"/>
        <v>0.75970851047437993</v>
      </c>
      <c r="L2846" s="27">
        <f t="shared" ca="1" si="576"/>
        <v>0</v>
      </c>
      <c r="M2846" s="27">
        <f t="shared" ca="1" si="577"/>
        <v>0</v>
      </c>
      <c r="N2846" s="28">
        <f t="shared" ca="1" si="578"/>
        <v>0</v>
      </c>
      <c r="O2846" s="29">
        <f t="shared" ca="1" si="579"/>
        <v>0</v>
      </c>
      <c r="P2846" s="30">
        <f t="shared" ca="1" si="580"/>
        <v>0</v>
      </c>
    </row>
    <row r="2847" spans="1:16" x14ac:dyDescent="0.25">
      <c r="A2847" s="3">
        <f t="shared" si="581"/>
        <v>50097</v>
      </c>
      <c r="B2847" s="21">
        <f t="shared" si="572"/>
        <v>36582</v>
      </c>
      <c r="C2847" s="21">
        <f t="shared" si="573"/>
        <v>36605</v>
      </c>
      <c r="D2847" s="1">
        <f t="shared" si="582"/>
        <v>0</v>
      </c>
      <c r="E2847" s="3">
        <f t="array" ref="E2847">INDEX($A$9:A2846, MAX(IF($D$9:D2846=1, ROW(D$9:$D2846)-ROW($D$9)+1, 0)))</f>
        <v>50031</v>
      </c>
      <c r="F2847" s="23">
        <f t="shared" si="574"/>
        <v>10.874743326488707</v>
      </c>
      <c r="G2847" s="5">
        <f>INDEX('Default Prob'!$P$5:$P$14,MIN(1+_xlfn.IFNA(MATCH(F2847,'Default Prob'!$F$5:$F$14,1),0),COUNT('Default Prob'!$P$5:$P$14)))</f>
        <v>8.0322462664562722E-2</v>
      </c>
      <c r="H2847" s="5">
        <f t="shared" si="583"/>
        <v>0.65452141401872976</v>
      </c>
      <c r="I2847" s="24">
        <f t="shared" si="584"/>
        <v>1.4395223251939537E-4</v>
      </c>
      <c r="J2847" s="25">
        <f>INDEX('Default Prob'!$C$3:$C$13, _xlfn.IFNA(MATCH(F2847, 'Default Prob'!$B$3:$B$13, 1), 1))</f>
        <v>2.5600000000000001E-2</v>
      </c>
      <c r="K2847" s="26">
        <f t="shared" si="575"/>
        <v>0.75965593524989483</v>
      </c>
      <c r="L2847" s="27">
        <f t="shared" ca="1" si="576"/>
        <v>0</v>
      </c>
      <c r="M2847" s="27">
        <f t="shared" ca="1" si="577"/>
        <v>0</v>
      </c>
      <c r="N2847" s="28">
        <f t="shared" ca="1" si="578"/>
        <v>0</v>
      </c>
      <c r="O2847" s="29">
        <f t="shared" ca="1" si="579"/>
        <v>0</v>
      </c>
      <c r="P2847" s="30">
        <f t="shared" ca="1" si="580"/>
        <v>0</v>
      </c>
    </row>
    <row r="2848" spans="1:16" x14ac:dyDescent="0.25">
      <c r="A2848" s="3">
        <f t="shared" si="581"/>
        <v>50098</v>
      </c>
      <c r="B2848" s="21">
        <f t="shared" si="572"/>
        <v>36583</v>
      </c>
      <c r="C2848" s="21">
        <f t="shared" si="573"/>
        <v>36605</v>
      </c>
      <c r="D2848" s="1">
        <f t="shared" si="582"/>
        <v>0</v>
      </c>
      <c r="E2848" s="3">
        <f t="array" ref="E2848">INDEX($A$9:A2847, MAX(IF($D$9:D2847=1, ROW(D$9:$D2847)-ROW($D$9)+1, 0)))</f>
        <v>50031</v>
      </c>
      <c r="F2848" s="23">
        <f t="shared" si="574"/>
        <v>10.877481177275838</v>
      </c>
      <c r="G2848" s="5">
        <f>INDEX('Default Prob'!$P$5:$P$14,MIN(1+_xlfn.IFNA(MATCH(F2848,'Default Prob'!$F$5:$F$14,1),0),COUNT('Default Prob'!$P$5:$P$14)))</f>
        <v>8.0322462664562722E-2</v>
      </c>
      <c r="H2848" s="5">
        <f t="shared" si="583"/>
        <v>0.65437749343939744</v>
      </c>
      <c r="I2848" s="24">
        <f t="shared" si="584"/>
        <v>1.4392057933232394E-4</v>
      </c>
      <c r="J2848" s="25">
        <f>INDEX('Default Prob'!$C$3:$C$13, _xlfn.IFNA(MATCH(F2848, 'Default Prob'!$B$3:$B$13, 1), 1))</f>
        <v>2.5600000000000001E-2</v>
      </c>
      <c r="K2848" s="26">
        <f t="shared" si="575"/>
        <v>0.75960336366385028</v>
      </c>
      <c r="L2848" s="27">
        <f t="shared" ca="1" si="576"/>
        <v>0</v>
      </c>
      <c r="M2848" s="27">
        <f t="shared" ca="1" si="577"/>
        <v>0</v>
      </c>
      <c r="N2848" s="28">
        <f t="shared" ca="1" si="578"/>
        <v>0</v>
      </c>
      <c r="O2848" s="29">
        <f t="shared" ca="1" si="579"/>
        <v>0</v>
      </c>
      <c r="P2848" s="30">
        <f t="shared" ca="1" si="580"/>
        <v>0</v>
      </c>
    </row>
    <row r="2849" spans="1:16" x14ac:dyDescent="0.25">
      <c r="A2849" s="3">
        <f t="shared" si="581"/>
        <v>50101</v>
      </c>
      <c r="B2849" s="21">
        <f t="shared" si="572"/>
        <v>36587</v>
      </c>
      <c r="C2849" s="21">
        <f t="shared" si="573"/>
        <v>36605</v>
      </c>
      <c r="D2849" s="1">
        <f t="shared" si="582"/>
        <v>0</v>
      </c>
      <c r="E2849" s="3">
        <f t="array" ref="E2849">INDEX($A$9:A2848, MAX(IF($D$9:D2848=1, ROW(D$9:$D2848)-ROW($D$9)+1, 0)))</f>
        <v>50031</v>
      </c>
      <c r="F2849" s="23">
        <f t="shared" si="574"/>
        <v>10.885694729637235</v>
      </c>
      <c r="G2849" s="5">
        <f>INDEX('Default Prob'!$P$5:$P$14,MIN(1+_xlfn.IFNA(MATCH(F2849,'Default Prob'!$F$5:$F$14,1),0),COUNT('Default Prob'!$P$5:$P$14)))</f>
        <v>8.0322462664562722E-2</v>
      </c>
      <c r="H2849" s="5">
        <f t="shared" si="583"/>
        <v>0.65394592155092868</v>
      </c>
      <c r="I2849" s="24">
        <f t="shared" si="584"/>
        <v>4.3157188846876249E-4</v>
      </c>
      <c r="J2849" s="25">
        <f>INDEX('Default Prob'!$C$3:$C$13, _xlfn.IFNA(MATCH(F2849, 'Default Prob'!$B$3:$B$13, 1), 1))</f>
        <v>2.5600000000000001E-2</v>
      </c>
      <c r="K2849" s="26">
        <f t="shared" si="575"/>
        <v>0.75944567073384206</v>
      </c>
      <c r="L2849" s="27">
        <f t="shared" ca="1" si="576"/>
        <v>0</v>
      </c>
      <c r="M2849" s="27">
        <f t="shared" ca="1" si="577"/>
        <v>0</v>
      </c>
      <c r="N2849" s="28">
        <f t="shared" ca="1" si="578"/>
        <v>0</v>
      </c>
      <c r="O2849" s="29">
        <f t="shared" ca="1" si="579"/>
        <v>0</v>
      </c>
      <c r="P2849" s="30">
        <f t="shared" ca="1" si="580"/>
        <v>0</v>
      </c>
    </row>
    <row r="2850" spans="1:16" x14ac:dyDescent="0.25">
      <c r="A2850" s="3">
        <f t="shared" si="581"/>
        <v>50102</v>
      </c>
      <c r="B2850" s="21">
        <f t="shared" si="572"/>
        <v>36588</v>
      </c>
      <c r="C2850" s="21">
        <f t="shared" si="573"/>
        <v>36605</v>
      </c>
      <c r="D2850" s="1">
        <f t="shared" si="582"/>
        <v>0</v>
      </c>
      <c r="E2850" s="3">
        <f t="array" ref="E2850">INDEX($A$9:A2849, MAX(IF($D$9:D2849=1, ROW(D$9:$D2849)-ROW($D$9)+1, 0)))</f>
        <v>50031</v>
      </c>
      <c r="F2850" s="23">
        <f t="shared" si="574"/>
        <v>10.888432580424366</v>
      </c>
      <c r="G2850" s="5">
        <f>INDEX('Default Prob'!$P$5:$P$14,MIN(1+_xlfn.IFNA(MATCH(F2850,'Default Prob'!$F$5:$F$14,1),0),COUNT('Default Prob'!$P$5:$P$14)))</f>
        <v>8.0322462664562722E-2</v>
      </c>
      <c r="H2850" s="5">
        <f t="shared" si="583"/>
        <v>0.65380212751475841</v>
      </c>
      <c r="I2850" s="24">
        <f t="shared" si="584"/>
        <v>1.4379403617026387E-4</v>
      </c>
      <c r="J2850" s="25">
        <f>INDEX('Default Prob'!$C$3:$C$13, _xlfn.IFNA(MATCH(F2850, 'Default Prob'!$B$3:$B$13, 1), 1))</f>
        <v>2.5600000000000001E-2</v>
      </c>
      <c r="K2850" s="26">
        <f t="shared" si="575"/>
        <v>0.75939311369904183</v>
      </c>
      <c r="L2850" s="27">
        <f t="shared" ca="1" si="576"/>
        <v>0</v>
      </c>
      <c r="M2850" s="27">
        <f t="shared" ca="1" si="577"/>
        <v>0</v>
      </c>
      <c r="N2850" s="28">
        <f t="shared" ca="1" si="578"/>
        <v>0</v>
      </c>
      <c r="O2850" s="29">
        <f t="shared" ca="1" si="579"/>
        <v>0</v>
      </c>
      <c r="P2850" s="30">
        <f t="shared" ca="1" si="580"/>
        <v>0</v>
      </c>
    </row>
    <row r="2851" spans="1:16" x14ac:dyDescent="0.25">
      <c r="A2851" s="3">
        <f t="shared" si="581"/>
        <v>50103</v>
      </c>
      <c r="B2851" s="21">
        <f t="shared" si="572"/>
        <v>36589</v>
      </c>
      <c r="C2851" s="21">
        <f t="shared" si="573"/>
        <v>36605</v>
      </c>
      <c r="D2851" s="1">
        <f t="shared" si="582"/>
        <v>0</v>
      </c>
      <c r="E2851" s="3">
        <f t="array" ref="E2851">INDEX($A$9:A2850, MAX(IF($D$9:D2850=1, ROW(D$9:$D2850)-ROW($D$9)+1, 0)))</f>
        <v>50031</v>
      </c>
      <c r="F2851" s="23">
        <f t="shared" si="574"/>
        <v>10.891170431211499</v>
      </c>
      <c r="G2851" s="5">
        <f>INDEX('Default Prob'!$P$5:$P$14,MIN(1+_xlfn.IFNA(MATCH(F2851,'Default Prob'!$F$5:$F$14,1),0),COUNT('Default Prob'!$P$5:$P$14)))</f>
        <v>8.0322462664562722E-2</v>
      </c>
      <c r="H2851" s="5">
        <f t="shared" si="583"/>
        <v>0.65365836509698971</v>
      </c>
      <c r="I2851" s="24">
        <f t="shared" si="584"/>
        <v>1.4376241776870025E-4</v>
      </c>
      <c r="J2851" s="25">
        <f>INDEX('Default Prob'!$C$3:$C$13, _xlfn.IFNA(MATCH(F2851, 'Default Prob'!$B$3:$B$13, 1), 1))</f>
        <v>2.5600000000000001E-2</v>
      </c>
      <c r="K2851" s="26">
        <f t="shared" si="575"/>
        <v>0.75934056030142327</v>
      </c>
      <c r="L2851" s="27">
        <f t="shared" ca="1" si="576"/>
        <v>0</v>
      </c>
      <c r="M2851" s="27">
        <f t="shared" ca="1" si="577"/>
        <v>0</v>
      </c>
      <c r="N2851" s="28">
        <f t="shared" ca="1" si="578"/>
        <v>0</v>
      </c>
      <c r="O2851" s="29">
        <f t="shared" ca="1" si="579"/>
        <v>0</v>
      </c>
      <c r="P2851" s="30">
        <f t="shared" ca="1" si="580"/>
        <v>0</v>
      </c>
    </row>
    <row r="2852" spans="1:16" x14ac:dyDescent="0.25">
      <c r="A2852" s="3">
        <f t="shared" si="581"/>
        <v>50104</v>
      </c>
      <c r="B2852" s="21">
        <f t="shared" si="572"/>
        <v>36590</v>
      </c>
      <c r="C2852" s="21">
        <f t="shared" si="573"/>
        <v>36605</v>
      </c>
      <c r="D2852" s="1">
        <f t="shared" si="582"/>
        <v>0</v>
      </c>
      <c r="E2852" s="3">
        <f t="array" ref="E2852">INDEX($A$9:A2851, MAX(IF($D$9:D2851=1, ROW(D$9:$D2851)-ROW($D$9)+1, 0)))</f>
        <v>50031</v>
      </c>
      <c r="F2852" s="23">
        <f t="shared" si="574"/>
        <v>10.89390828199863</v>
      </c>
      <c r="G2852" s="5">
        <f>INDEX('Default Prob'!$P$5:$P$14,MIN(1+_xlfn.IFNA(MATCH(F2852,'Default Prob'!$F$5:$F$14,1),0),COUNT('Default Prob'!$P$5:$P$14)))</f>
        <v>8.0322462664562722E-2</v>
      </c>
      <c r="H2852" s="5">
        <f t="shared" si="583"/>
        <v>0.65351463429067036</v>
      </c>
      <c r="I2852" s="24">
        <f t="shared" si="584"/>
        <v>1.437308063193532E-4</v>
      </c>
      <c r="J2852" s="25">
        <f>INDEX('Default Prob'!$C$3:$C$13, _xlfn.IFNA(MATCH(F2852, 'Default Prob'!$B$3:$B$13, 1), 1))</f>
        <v>2.5600000000000001E-2</v>
      </c>
      <c r="K2852" s="26">
        <f t="shared" si="575"/>
        <v>0.7592880105407348</v>
      </c>
      <c r="L2852" s="27">
        <f t="shared" ca="1" si="576"/>
        <v>0</v>
      </c>
      <c r="M2852" s="27">
        <f t="shared" ca="1" si="577"/>
        <v>0</v>
      </c>
      <c r="N2852" s="28">
        <f t="shared" ca="1" si="578"/>
        <v>0</v>
      </c>
      <c r="O2852" s="29">
        <f t="shared" ca="1" si="579"/>
        <v>0</v>
      </c>
      <c r="P2852" s="30">
        <f t="shared" ca="1" si="580"/>
        <v>0</v>
      </c>
    </row>
    <row r="2853" spans="1:16" x14ac:dyDescent="0.25">
      <c r="A2853" s="3">
        <f t="shared" si="581"/>
        <v>50105</v>
      </c>
      <c r="B2853" s="21">
        <f t="shared" si="572"/>
        <v>36591</v>
      </c>
      <c r="C2853" s="21">
        <f t="shared" si="573"/>
        <v>36605</v>
      </c>
      <c r="D2853" s="1">
        <f t="shared" si="582"/>
        <v>0</v>
      </c>
      <c r="E2853" s="3">
        <f t="array" ref="E2853">INDEX($A$9:A2852, MAX(IF($D$9:D2852=1, ROW(D$9:$D2852)-ROW($D$9)+1, 0)))</f>
        <v>50031</v>
      </c>
      <c r="F2853" s="23">
        <f t="shared" si="574"/>
        <v>10.896646132785763</v>
      </c>
      <c r="G2853" s="5">
        <f>INDEX('Default Prob'!$P$5:$P$14,MIN(1+_xlfn.IFNA(MATCH(F2853,'Default Prob'!$F$5:$F$14,1),0),COUNT('Default Prob'!$P$5:$P$14)))</f>
        <v>8.0322462664562722E-2</v>
      </c>
      <c r="H2853" s="5">
        <f t="shared" si="583"/>
        <v>0.65337093508884925</v>
      </c>
      <c r="I2853" s="24">
        <f t="shared" si="584"/>
        <v>1.4369920182111251E-4</v>
      </c>
      <c r="J2853" s="25">
        <f>INDEX('Default Prob'!$C$3:$C$13, _xlfn.IFNA(MATCH(F2853, 'Default Prob'!$B$3:$B$13, 1), 1))</f>
        <v>2.5600000000000001E-2</v>
      </c>
      <c r="K2853" s="26">
        <f t="shared" si="575"/>
        <v>0.75923546441672463</v>
      </c>
      <c r="L2853" s="27">
        <f t="shared" ca="1" si="576"/>
        <v>0</v>
      </c>
      <c r="M2853" s="27">
        <f t="shared" ca="1" si="577"/>
        <v>0</v>
      </c>
      <c r="N2853" s="28">
        <f t="shared" ca="1" si="578"/>
        <v>0</v>
      </c>
      <c r="O2853" s="29">
        <f t="shared" ca="1" si="579"/>
        <v>0</v>
      </c>
      <c r="P2853" s="30">
        <f t="shared" ca="1" si="580"/>
        <v>0</v>
      </c>
    </row>
    <row r="2854" spans="1:16" x14ac:dyDescent="0.25">
      <c r="A2854" s="3">
        <f t="shared" si="581"/>
        <v>50108</v>
      </c>
      <c r="B2854" s="21">
        <f t="shared" si="572"/>
        <v>36594</v>
      </c>
      <c r="C2854" s="21">
        <f t="shared" si="573"/>
        <v>36605</v>
      </c>
      <c r="D2854" s="1">
        <f t="shared" si="582"/>
        <v>0</v>
      </c>
      <c r="E2854" s="3">
        <f t="array" ref="E2854">INDEX($A$9:A2853, MAX(IF($D$9:D2853=1, ROW(D$9:$D2853)-ROW($D$9)+1, 0)))</f>
        <v>50031</v>
      </c>
      <c r="F2854" s="23">
        <f t="shared" si="574"/>
        <v>10.904859685147159</v>
      </c>
      <c r="G2854" s="5">
        <f>INDEX('Default Prob'!$P$5:$P$14,MIN(1+_xlfn.IFNA(MATCH(F2854,'Default Prob'!$F$5:$F$14,1),0),COUNT('Default Prob'!$P$5:$P$14)))</f>
        <v>8.0322462664562722E-2</v>
      </c>
      <c r="H2854" s="5">
        <f t="shared" si="583"/>
        <v>0.65294002704088938</v>
      </c>
      <c r="I2854" s="24">
        <f t="shared" si="584"/>
        <v>4.3090804795986593E-4</v>
      </c>
      <c r="J2854" s="25">
        <f>INDEX('Default Prob'!$C$3:$C$13, _xlfn.IFNA(MATCH(F2854, 'Default Prob'!$B$3:$B$13, 1), 1))</f>
        <v>2.5600000000000001E-2</v>
      </c>
      <c r="K2854" s="26">
        <f t="shared" si="575"/>
        <v>0.7590778478622473</v>
      </c>
      <c r="L2854" s="27">
        <f t="shared" ca="1" si="576"/>
        <v>0</v>
      </c>
      <c r="M2854" s="27">
        <f t="shared" ca="1" si="577"/>
        <v>0</v>
      </c>
      <c r="N2854" s="28">
        <f t="shared" ca="1" si="578"/>
        <v>0</v>
      </c>
      <c r="O2854" s="29">
        <f t="shared" ca="1" si="579"/>
        <v>0</v>
      </c>
      <c r="P2854" s="30">
        <f t="shared" ca="1" si="580"/>
        <v>0</v>
      </c>
    </row>
    <row r="2855" spans="1:16" x14ac:dyDescent="0.25">
      <c r="A2855" s="3">
        <f t="shared" si="581"/>
        <v>50109</v>
      </c>
      <c r="B2855" s="21">
        <f t="shared" si="572"/>
        <v>36595</v>
      </c>
      <c r="C2855" s="21">
        <f t="shared" si="573"/>
        <v>36605</v>
      </c>
      <c r="D2855" s="1">
        <f t="shared" si="582"/>
        <v>0</v>
      </c>
      <c r="E2855" s="3">
        <f t="array" ref="E2855">INDEX($A$9:A2854, MAX(IF($D$9:D2854=1, ROW(D$9:$D2854)-ROW($D$9)+1, 0)))</f>
        <v>50031</v>
      </c>
      <c r="F2855" s="23">
        <f t="shared" si="574"/>
        <v>10.907597535934292</v>
      </c>
      <c r="G2855" s="5">
        <f>INDEX('Default Prob'!$P$5:$P$14,MIN(1+_xlfn.IFNA(MATCH(F2855,'Default Prob'!$F$5:$F$14,1),0),COUNT('Default Prob'!$P$5:$P$14)))</f>
        <v>8.0322462664562722E-2</v>
      </c>
      <c r="H2855" s="5">
        <f t="shared" si="583"/>
        <v>0.65279645418758259</v>
      </c>
      <c r="I2855" s="24">
        <f t="shared" si="584"/>
        <v>1.4357285330679481E-4</v>
      </c>
      <c r="J2855" s="25">
        <f>INDEX('Default Prob'!$C$3:$C$13, _xlfn.IFNA(MATCH(F2855, 'Default Prob'!$B$3:$B$13, 1), 1))</f>
        <v>2.5600000000000001E-2</v>
      </c>
      <c r="K2855" s="26">
        <f t="shared" si="575"/>
        <v>0.75902531628243375</v>
      </c>
      <c r="L2855" s="27">
        <f t="shared" ca="1" si="576"/>
        <v>0</v>
      </c>
      <c r="M2855" s="27">
        <f t="shared" ca="1" si="577"/>
        <v>0</v>
      </c>
      <c r="N2855" s="28">
        <f t="shared" ca="1" si="578"/>
        <v>0</v>
      </c>
      <c r="O2855" s="29">
        <f t="shared" ca="1" si="579"/>
        <v>0</v>
      </c>
      <c r="P2855" s="30">
        <f t="shared" ca="1" si="580"/>
        <v>0</v>
      </c>
    </row>
    <row r="2856" spans="1:16" x14ac:dyDescent="0.25">
      <c r="A2856" s="3">
        <f t="shared" si="581"/>
        <v>50110</v>
      </c>
      <c r="B2856" s="21">
        <f t="shared" si="572"/>
        <v>36596</v>
      </c>
      <c r="C2856" s="21">
        <f t="shared" si="573"/>
        <v>36605</v>
      </c>
      <c r="D2856" s="1">
        <f t="shared" si="582"/>
        <v>0</v>
      </c>
      <c r="E2856" s="3">
        <f t="array" ref="E2856">INDEX($A$9:A2855, MAX(IF($D$9:D2855=1, ROW(D$9:$D2855)-ROW($D$9)+1, 0)))</f>
        <v>50031</v>
      </c>
      <c r="F2856" s="23">
        <f t="shared" si="574"/>
        <v>10.910335386721425</v>
      </c>
      <c r="G2856" s="5">
        <f>INDEX('Default Prob'!$P$5:$P$14,MIN(1+_xlfn.IFNA(MATCH(F2856,'Default Prob'!$F$5:$F$14,1),0),COUNT('Default Prob'!$P$5:$P$14)))</f>
        <v>8.0322462664562722E-2</v>
      </c>
      <c r="H2856" s="5">
        <f t="shared" si="583"/>
        <v>0.65265291290404237</v>
      </c>
      <c r="I2856" s="24">
        <f t="shared" si="584"/>
        <v>1.4354128354021611E-4</v>
      </c>
      <c r="J2856" s="25">
        <f>INDEX('Default Prob'!$C$3:$C$13, _xlfn.IFNA(MATCH(F2856, 'Default Prob'!$B$3:$B$13, 1), 1))</f>
        <v>2.5600000000000001E-2</v>
      </c>
      <c r="K2856" s="26">
        <f t="shared" si="575"/>
        <v>0.75897278833804027</v>
      </c>
      <c r="L2856" s="27">
        <f t="shared" ca="1" si="576"/>
        <v>0</v>
      </c>
      <c r="M2856" s="27">
        <f t="shared" ca="1" si="577"/>
        <v>0</v>
      </c>
      <c r="N2856" s="28">
        <f t="shared" ca="1" si="578"/>
        <v>0</v>
      </c>
      <c r="O2856" s="29">
        <f t="shared" ca="1" si="579"/>
        <v>0</v>
      </c>
      <c r="P2856" s="30">
        <f t="shared" ca="1" si="580"/>
        <v>0</v>
      </c>
    </row>
    <row r="2857" spans="1:16" x14ac:dyDescent="0.25">
      <c r="A2857" s="3">
        <f t="shared" si="581"/>
        <v>50111</v>
      </c>
      <c r="B2857" s="21">
        <f t="shared" si="572"/>
        <v>36597</v>
      </c>
      <c r="C2857" s="21">
        <f t="shared" si="573"/>
        <v>36605</v>
      </c>
      <c r="D2857" s="1">
        <f t="shared" si="582"/>
        <v>0</v>
      </c>
      <c r="E2857" s="3">
        <f t="array" ref="E2857">INDEX($A$9:A2856, MAX(IF($D$9:D2856=1, ROW(D$9:$D2856)-ROW($D$9)+1, 0)))</f>
        <v>50031</v>
      </c>
      <c r="F2857" s="23">
        <f t="shared" si="574"/>
        <v>10.913073237508556</v>
      </c>
      <c r="G2857" s="5">
        <f>INDEX('Default Prob'!$P$5:$P$14,MIN(1+_xlfn.IFNA(MATCH(F2857,'Default Prob'!$F$5:$F$14,1),0),COUNT('Default Prob'!$P$5:$P$14)))</f>
        <v>8.0322462664562722E-2</v>
      </c>
      <c r="H2857" s="5">
        <f t="shared" si="583"/>
        <v>0.65250940318332695</v>
      </c>
      <c r="I2857" s="24">
        <f t="shared" si="584"/>
        <v>1.435097207154179E-4</v>
      </c>
      <c r="J2857" s="25">
        <f>INDEX('Default Prob'!$C$3:$C$13, _xlfn.IFNA(MATCH(F2857, 'Default Prob'!$B$3:$B$13, 1), 1))</f>
        <v>2.5600000000000001E-2</v>
      </c>
      <c r="K2857" s="26">
        <f t="shared" si="575"/>
        <v>0.75892026402881552</v>
      </c>
      <c r="L2857" s="27">
        <f t="shared" ca="1" si="576"/>
        <v>0</v>
      </c>
      <c r="M2857" s="27">
        <f t="shared" ca="1" si="577"/>
        <v>0</v>
      </c>
      <c r="N2857" s="28">
        <f t="shared" ca="1" si="578"/>
        <v>0</v>
      </c>
      <c r="O2857" s="29">
        <f t="shared" ca="1" si="579"/>
        <v>0</v>
      </c>
      <c r="P2857" s="30">
        <f t="shared" ca="1" si="580"/>
        <v>0</v>
      </c>
    </row>
    <row r="2858" spans="1:16" x14ac:dyDescent="0.25">
      <c r="A2858" s="3">
        <f t="shared" si="581"/>
        <v>50112</v>
      </c>
      <c r="B2858" s="21">
        <f t="shared" si="572"/>
        <v>36598</v>
      </c>
      <c r="C2858" s="21">
        <f t="shared" si="573"/>
        <v>36605</v>
      </c>
      <c r="D2858" s="1">
        <f t="shared" si="582"/>
        <v>0</v>
      </c>
      <c r="E2858" s="3">
        <f t="array" ref="E2858">INDEX($A$9:A2857, MAX(IF($D$9:D2857=1, ROW(D$9:$D2857)-ROW($D$9)+1, 0)))</f>
        <v>50031</v>
      </c>
      <c r="F2858" s="23">
        <f t="shared" si="574"/>
        <v>10.915811088295689</v>
      </c>
      <c r="G2858" s="5">
        <f>INDEX('Default Prob'!$P$5:$P$14,MIN(1+_xlfn.IFNA(MATCH(F2858,'Default Prob'!$F$5:$F$14,1),0),COUNT('Default Prob'!$P$5:$P$14)))</f>
        <v>8.0322462664562722E-2</v>
      </c>
      <c r="H2858" s="5">
        <f t="shared" si="583"/>
        <v>0.652365925018496</v>
      </c>
      <c r="I2858" s="24">
        <f t="shared" si="584"/>
        <v>1.4347816483095688E-4</v>
      </c>
      <c r="J2858" s="25">
        <f>INDEX('Default Prob'!$C$3:$C$13, _xlfn.IFNA(MATCH(F2858, 'Default Prob'!$B$3:$B$13, 1), 1))</f>
        <v>2.5600000000000001E-2</v>
      </c>
      <c r="K2858" s="26">
        <f t="shared" si="575"/>
        <v>0.75886774335450757</v>
      </c>
      <c r="L2858" s="27">
        <f t="shared" ca="1" si="576"/>
        <v>0</v>
      </c>
      <c r="M2858" s="27">
        <f t="shared" ca="1" si="577"/>
        <v>0</v>
      </c>
      <c r="N2858" s="28">
        <f t="shared" ca="1" si="578"/>
        <v>0</v>
      </c>
      <c r="O2858" s="29">
        <f t="shared" ca="1" si="579"/>
        <v>0</v>
      </c>
      <c r="P2858" s="30">
        <f t="shared" ca="1" si="580"/>
        <v>0</v>
      </c>
    </row>
    <row r="2859" spans="1:16" x14ac:dyDescent="0.25">
      <c r="A2859" s="3">
        <f t="shared" si="581"/>
        <v>50115</v>
      </c>
      <c r="B2859" s="21">
        <f t="shared" si="572"/>
        <v>36601</v>
      </c>
      <c r="C2859" s="21">
        <f t="shared" si="573"/>
        <v>36605</v>
      </c>
      <c r="D2859" s="1">
        <f t="shared" si="582"/>
        <v>0</v>
      </c>
      <c r="E2859" s="3">
        <f t="array" ref="E2859">INDEX($A$9:A2858, MAX(IF($D$9:D2858=1, ROW(D$9:$D2858)-ROW($D$9)+1, 0)))</f>
        <v>50031</v>
      </c>
      <c r="F2859" s="23">
        <f t="shared" si="574"/>
        <v>10.924024640657084</v>
      </c>
      <c r="G2859" s="5">
        <f>INDEX('Default Prob'!$P$5:$P$14,MIN(1+_xlfn.IFNA(MATCH(F2859,'Default Prob'!$F$5:$F$14,1),0),COUNT('Default Prob'!$P$5:$P$14)))</f>
        <v>8.0322462664562722E-2</v>
      </c>
      <c r="H2859" s="5">
        <f t="shared" si="583"/>
        <v>0.65193567978993061</v>
      </c>
      <c r="I2859" s="24">
        <f t="shared" si="584"/>
        <v>4.3024522856538461E-4</v>
      </c>
      <c r="J2859" s="25">
        <f>INDEX('Default Prob'!$C$3:$C$13, _xlfn.IFNA(MATCH(F2859, 'Default Prob'!$B$3:$B$13, 1), 1))</f>
        <v>2.5600000000000001E-2</v>
      </c>
      <c r="K2859" s="26">
        <f t="shared" si="575"/>
        <v>0.75871020313857029</v>
      </c>
      <c r="L2859" s="27">
        <f t="shared" ca="1" si="576"/>
        <v>0</v>
      </c>
      <c r="M2859" s="27">
        <f t="shared" ca="1" si="577"/>
        <v>0</v>
      </c>
      <c r="N2859" s="28">
        <f t="shared" ca="1" si="578"/>
        <v>0</v>
      </c>
      <c r="O2859" s="29">
        <f t="shared" ca="1" si="579"/>
        <v>0</v>
      </c>
      <c r="P2859" s="30">
        <f t="shared" ca="1" si="580"/>
        <v>0</v>
      </c>
    </row>
    <row r="2860" spans="1:16" x14ac:dyDescent="0.25">
      <c r="A2860" s="3">
        <f t="shared" si="581"/>
        <v>50116</v>
      </c>
      <c r="B2860" s="21">
        <f t="shared" si="572"/>
        <v>36602</v>
      </c>
      <c r="C2860" s="21">
        <f t="shared" si="573"/>
        <v>36605</v>
      </c>
      <c r="D2860" s="1">
        <f t="shared" si="582"/>
        <v>0</v>
      </c>
      <c r="E2860" s="3">
        <f t="array" ref="E2860">INDEX($A$9:A2859, MAX(IF($D$9:D2859=1, ROW(D$9:$D2859)-ROW($D$9)+1, 0)))</f>
        <v>50031</v>
      </c>
      <c r="F2860" s="23">
        <f t="shared" si="574"/>
        <v>10.926762491444217</v>
      </c>
      <c r="G2860" s="5">
        <f>INDEX('Default Prob'!$P$5:$P$14,MIN(1+_xlfn.IFNA(MATCH(F2860,'Default Prob'!$F$5:$F$14,1),0),COUNT('Default Prob'!$P$5:$P$14)))</f>
        <v>8.0322462664562722E-2</v>
      </c>
      <c r="H2860" s="5">
        <f t="shared" si="583"/>
        <v>0.65179232777926566</v>
      </c>
      <c r="I2860" s="24">
        <f t="shared" si="584"/>
        <v>1.433520106649544E-4</v>
      </c>
      <c r="J2860" s="25">
        <f>INDEX('Default Prob'!$C$3:$C$13, _xlfn.IFNA(MATCH(F2860, 'Default Prob'!$B$3:$B$13, 1), 1))</f>
        <v>2.5600000000000001E-2</v>
      </c>
      <c r="K2860" s="26">
        <f t="shared" si="575"/>
        <v>0.75865769700141483</v>
      </c>
      <c r="L2860" s="27">
        <f t="shared" ca="1" si="576"/>
        <v>0</v>
      </c>
      <c r="M2860" s="27">
        <f t="shared" ca="1" si="577"/>
        <v>0</v>
      </c>
      <c r="N2860" s="28">
        <f t="shared" ca="1" si="578"/>
        <v>0</v>
      </c>
      <c r="O2860" s="29">
        <f t="shared" ca="1" si="579"/>
        <v>0</v>
      </c>
      <c r="P2860" s="30">
        <f t="shared" ca="1" si="580"/>
        <v>0</v>
      </c>
    </row>
    <row r="2861" spans="1:16" x14ac:dyDescent="0.25">
      <c r="A2861" s="3">
        <f t="shared" si="581"/>
        <v>50117</v>
      </c>
      <c r="B2861" s="21">
        <f t="shared" si="572"/>
        <v>36603</v>
      </c>
      <c r="C2861" s="21">
        <f t="shared" si="573"/>
        <v>36605</v>
      </c>
      <c r="D2861" s="1">
        <f t="shared" si="582"/>
        <v>0</v>
      </c>
      <c r="E2861" s="3">
        <f t="array" ref="E2861">INDEX($A$9:A2860, MAX(IF($D$9:D2860=1, ROW(D$9:$D2860)-ROW($D$9)+1, 0)))</f>
        <v>50031</v>
      </c>
      <c r="F2861" s="23">
        <f t="shared" si="574"/>
        <v>10.929500342231348</v>
      </c>
      <c r="G2861" s="5">
        <f>INDEX('Default Prob'!$P$5:$P$14,MIN(1+_xlfn.IFNA(MATCH(F2861,'Default Prob'!$F$5:$F$14,1),0),COUNT('Default Prob'!$P$5:$P$14)))</f>
        <v>8.0322462664562722E-2</v>
      </c>
      <c r="H2861" s="5">
        <f t="shared" si="583"/>
        <v>0.6516490072898069</v>
      </c>
      <c r="I2861" s="24">
        <f t="shared" si="584"/>
        <v>1.4332048945875364E-4</v>
      </c>
      <c r="J2861" s="25">
        <f>INDEX('Default Prob'!$C$3:$C$13, _xlfn.IFNA(MATCH(F2861, 'Default Prob'!$B$3:$B$13, 1), 1))</f>
        <v>2.5600000000000001E-2</v>
      </c>
      <c r="K2861" s="26">
        <f t="shared" si="575"/>
        <v>0.75860519449791874</v>
      </c>
      <c r="L2861" s="27">
        <f t="shared" ca="1" si="576"/>
        <v>0</v>
      </c>
      <c r="M2861" s="27">
        <f t="shared" ca="1" si="577"/>
        <v>0</v>
      </c>
      <c r="N2861" s="28">
        <f t="shared" ca="1" si="578"/>
        <v>0</v>
      </c>
      <c r="O2861" s="29">
        <f t="shared" ca="1" si="579"/>
        <v>0</v>
      </c>
      <c r="P2861" s="30">
        <f t="shared" ca="1" si="580"/>
        <v>0</v>
      </c>
    </row>
    <row r="2862" spans="1:16" x14ac:dyDescent="0.25">
      <c r="A2862" s="3">
        <f t="shared" si="581"/>
        <v>50118</v>
      </c>
      <c r="B2862" s="21">
        <f t="shared" si="572"/>
        <v>36604</v>
      </c>
      <c r="C2862" s="21">
        <f t="shared" si="573"/>
        <v>36605</v>
      </c>
      <c r="D2862" s="1">
        <f t="shared" si="582"/>
        <v>0</v>
      </c>
      <c r="E2862" s="3">
        <f t="array" ref="E2862">INDEX($A$9:A2861, MAX(IF($D$9:D2861=1, ROW(D$9:$D2861)-ROW($D$9)+1, 0)))</f>
        <v>50031</v>
      </c>
      <c r="F2862" s="23">
        <f t="shared" si="574"/>
        <v>10.932238193018481</v>
      </c>
      <c r="G2862" s="5">
        <f>INDEX('Default Prob'!$P$5:$P$14,MIN(1+_xlfn.IFNA(MATCH(F2862,'Default Prob'!$F$5:$F$14,1),0),COUNT('Default Prob'!$P$5:$P$14)))</f>
        <v>8.0322462664562722E-2</v>
      </c>
      <c r="H2862" s="5">
        <f t="shared" si="583"/>
        <v>0.65150571831462323</v>
      </c>
      <c r="I2862" s="24">
        <f t="shared" si="584"/>
        <v>1.4328897518367523E-4</v>
      </c>
      <c r="J2862" s="25">
        <f>INDEX('Default Prob'!$C$3:$C$13, _xlfn.IFNA(MATCH(F2862, 'Default Prob'!$B$3:$B$13, 1), 1))</f>
        <v>2.5600000000000001E-2</v>
      </c>
      <c r="K2862" s="26">
        <f t="shared" si="575"/>
        <v>0.75855269562783068</v>
      </c>
      <c r="L2862" s="27">
        <f t="shared" ca="1" si="576"/>
        <v>0</v>
      </c>
      <c r="M2862" s="27">
        <f t="shared" ca="1" si="577"/>
        <v>0</v>
      </c>
      <c r="N2862" s="28">
        <f t="shared" ca="1" si="578"/>
        <v>0</v>
      </c>
      <c r="O2862" s="29">
        <f t="shared" ca="1" si="579"/>
        <v>0</v>
      </c>
      <c r="P2862" s="30">
        <f t="shared" ca="1" si="580"/>
        <v>0</v>
      </c>
    </row>
    <row r="2863" spans="1:16" x14ac:dyDescent="0.25">
      <c r="A2863" s="3">
        <f t="shared" si="581"/>
        <v>50119</v>
      </c>
      <c r="B2863" s="21">
        <f t="shared" si="572"/>
        <v>36605</v>
      </c>
      <c r="C2863" s="21">
        <f t="shared" si="573"/>
        <v>36605</v>
      </c>
      <c r="D2863" s="1">
        <f t="shared" si="582"/>
        <v>1</v>
      </c>
      <c r="E2863" s="3">
        <f t="array" ref="E2863">INDEX($A$9:A2862, MAX(IF($D$9:D2862=1, ROW(D$9:$D2862)-ROW($D$9)+1, 0)))</f>
        <v>50031</v>
      </c>
      <c r="F2863" s="23">
        <f t="shared" si="574"/>
        <v>10.934976043805612</v>
      </c>
      <c r="G2863" s="5">
        <f>INDEX('Default Prob'!$P$5:$P$14,MIN(1+_xlfn.IFNA(MATCH(F2863,'Default Prob'!$F$5:$F$14,1),0),COUNT('Default Prob'!$P$5:$P$14)))</f>
        <v>8.0322462664562722E-2</v>
      </c>
      <c r="H2863" s="5">
        <f t="shared" si="583"/>
        <v>0.65136246084678506</v>
      </c>
      <c r="I2863" s="24">
        <f t="shared" si="584"/>
        <v>1.4325746783816484E-4</v>
      </c>
      <c r="J2863" s="25">
        <f>INDEX('Default Prob'!$C$3:$C$13, _xlfn.IFNA(MATCH(F2863, 'Default Prob'!$B$3:$B$13, 1), 1))</f>
        <v>2.5600000000000001E-2</v>
      </c>
      <c r="K2863" s="26">
        <f t="shared" si="575"/>
        <v>0.75850020039089894</v>
      </c>
      <c r="L2863" s="27">
        <f t="shared" ca="1" si="576"/>
        <v>0</v>
      </c>
      <c r="M2863" s="27">
        <f t="shared" ca="1" si="577"/>
        <v>0</v>
      </c>
      <c r="N2863" s="28">
        <f t="shared" ca="1" si="578"/>
        <v>0</v>
      </c>
      <c r="O2863" s="29">
        <f t="shared" ca="1" si="579"/>
        <v>0</v>
      </c>
      <c r="P2863" s="30">
        <f t="shared" ca="1" si="580"/>
        <v>0</v>
      </c>
    </row>
    <row r="2864" spans="1:16" x14ac:dyDescent="0.25">
      <c r="A2864" s="3">
        <f t="shared" si="581"/>
        <v>50122</v>
      </c>
      <c r="B2864" s="21">
        <f t="shared" si="572"/>
        <v>36608</v>
      </c>
      <c r="C2864" s="21">
        <f t="shared" si="573"/>
        <v>36697</v>
      </c>
      <c r="D2864" s="1">
        <f t="shared" si="582"/>
        <v>0</v>
      </c>
      <c r="E2864" s="3">
        <f t="array" ref="E2864">INDEX($A$9:A2863, MAX(IF($D$9:D2863=1, ROW(D$9:$D2863)-ROW($D$9)+1, 0)))</f>
        <v>50119</v>
      </c>
      <c r="F2864" s="23">
        <f t="shared" si="574"/>
        <v>10.943189596167009</v>
      </c>
      <c r="G2864" s="5">
        <f>INDEX('Default Prob'!$P$5:$P$14,MIN(1+_xlfn.IFNA(MATCH(F2864,'Default Prob'!$F$5:$F$14,1),0),COUNT('Default Prob'!$P$5:$P$14)))</f>
        <v>8.0322462664562722E-2</v>
      </c>
      <c r="H2864" s="5">
        <f t="shared" si="583"/>
        <v>0.65093287741807049</v>
      </c>
      <c r="I2864" s="24">
        <f t="shared" si="584"/>
        <v>4.29583428714575E-4</v>
      </c>
      <c r="J2864" s="25">
        <f>INDEX('Default Prob'!$C$3:$C$13, _xlfn.IFNA(MATCH(F2864, 'Default Prob'!$B$3:$B$13, 1), 1))</f>
        <v>2.5600000000000001E-2</v>
      </c>
      <c r="K2864" s="26">
        <f t="shared" si="575"/>
        <v>0.7583427364765285</v>
      </c>
      <c r="L2864" s="27">
        <f t="shared" ca="1" si="576"/>
        <v>0</v>
      </c>
      <c r="M2864" s="27">
        <f t="shared" ca="1" si="577"/>
        <v>0</v>
      </c>
      <c r="N2864" s="28">
        <f t="shared" ca="1" si="578"/>
        <v>0</v>
      </c>
      <c r="O2864" s="29">
        <f t="shared" ca="1" si="579"/>
        <v>0</v>
      </c>
      <c r="P2864" s="30">
        <f t="shared" ca="1" si="580"/>
        <v>0</v>
      </c>
    </row>
    <row r="2865" spans="1:16" x14ac:dyDescent="0.25">
      <c r="A2865" s="3">
        <f t="shared" si="581"/>
        <v>50123</v>
      </c>
      <c r="B2865" s="21">
        <f t="shared" si="572"/>
        <v>36609</v>
      </c>
      <c r="C2865" s="21">
        <f t="shared" si="573"/>
        <v>36697</v>
      </c>
      <c r="D2865" s="1">
        <f t="shared" si="582"/>
        <v>0</v>
      </c>
      <c r="E2865" s="3">
        <f t="array" ref="E2865">INDEX($A$9:A2864, MAX(IF($D$9:D2864=1, ROW(D$9:$D2864)-ROW($D$9)+1, 0)))</f>
        <v>50119</v>
      </c>
      <c r="F2865" s="23">
        <f t="shared" si="574"/>
        <v>10.945927446954141</v>
      </c>
      <c r="G2865" s="5">
        <f>INDEX('Default Prob'!$P$5:$P$14,MIN(1+_xlfn.IFNA(MATCH(F2865,'Default Prob'!$F$5:$F$14,1),0),COUNT('Default Prob'!$P$5:$P$14)))</f>
        <v>8.0322462664562722E-2</v>
      </c>
      <c r="H2865" s="5">
        <f t="shared" si="583"/>
        <v>0.65078974591034899</v>
      </c>
      <c r="I2865" s="24">
        <f t="shared" si="584"/>
        <v>1.4313150772149452E-4</v>
      </c>
      <c r="J2865" s="25">
        <f>INDEX('Default Prob'!$C$3:$C$13, _xlfn.IFNA(MATCH(F2865, 'Default Prob'!$B$3:$B$13, 1), 1))</f>
        <v>2.5600000000000001E-2</v>
      </c>
      <c r="K2865" s="26">
        <f t="shared" si="575"/>
        <v>0.75829025576970843</v>
      </c>
      <c r="L2865" s="27">
        <f t="shared" ca="1" si="576"/>
        <v>0</v>
      </c>
      <c r="M2865" s="27">
        <f t="shared" ca="1" si="577"/>
        <v>0</v>
      </c>
      <c r="N2865" s="28">
        <f t="shared" ca="1" si="578"/>
        <v>0</v>
      </c>
      <c r="O2865" s="29">
        <f t="shared" ca="1" si="579"/>
        <v>0</v>
      </c>
      <c r="P2865" s="30">
        <f t="shared" ca="1" si="580"/>
        <v>0</v>
      </c>
    </row>
    <row r="2866" spans="1:16" x14ac:dyDescent="0.25">
      <c r="A2866" s="3">
        <f t="shared" si="581"/>
        <v>50124</v>
      </c>
      <c r="B2866" s="21">
        <f t="shared" si="572"/>
        <v>36610</v>
      </c>
      <c r="C2866" s="21">
        <f t="shared" si="573"/>
        <v>36697</v>
      </c>
      <c r="D2866" s="1">
        <f t="shared" si="582"/>
        <v>0</v>
      </c>
      <c r="E2866" s="3">
        <f t="array" ref="E2866">INDEX($A$9:A2865, MAX(IF($D$9:D2865=1, ROW(D$9:$D2865)-ROW($D$9)+1, 0)))</f>
        <v>50119</v>
      </c>
      <c r="F2866" s="23">
        <f t="shared" si="574"/>
        <v>10.948665297741274</v>
      </c>
      <c r="G2866" s="5">
        <f>INDEX('Default Prob'!$P$5:$P$14,MIN(1+_xlfn.IFNA(MATCH(F2866,'Default Prob'!$F$5:$F$14,1),0),COUNT('Default Prob'!$P$5:$P$14)))</f>
        <v>8.0322462664562722E-2</v>
      </c>
      <c r="H2866" s="5">
        <f t="shared" si="583"/>
        <v>0.65064664587534793</v>
      </c>
      <c r="I2866" s="24">
        <f t="shared" si="584"/>
        <v>1.4310003500106472E-4</v>
      </c>
      <c r="J2866" s="25">
        <f>INDEX('Default Prob'!$C$3:$C$13, _xlfn.IFNA(MATCH(F2866, 'Default Prob'!$B$3:$B$13, 1), 1))</f>
        <v>2.5600000000000001E-2</v>
      </c>
      <c r="K2866" s="26">
        <f t="shared" si="575"/>
        <v>0.75823777869478803</v>
      </c>
      <c r="L2866" s="27">
        <f t="shared" ca="1" si="576"/>
        <v>0</v>
      </c>
      <c r="M2866" s="27">
        <f t="shared" ca="1" si="577"/>
        <v>0</v>
      </c>
      <c r="N2866" s="28">
        <f t="shared" ca="1" si="578"/>
        <v>0</v>
      </c>
      <c r="O2866" s="29">
        <f t="shared" ca="1" si="579"/>
        <v>0</v>
      </c>
      <c r="P2866" s="30">
        <f t="shared" ca="1" si="580"/>
        <v>0</v>
      </c>
    </row>
    <row r="2867" spans="1:16" x14ac:dyDescent="0.25">
      <c r="A2867" s="3">
        <f t="shared" si="581"/>
        <v>50125</v>
      </c>
      <c r="B2867" s="21">
        <f t="shared" si="572"/>
        <v>36611</v>
      </c>
      <c r="C2867" s="21">
        <f t="shared" si="573"/>
        <v>36697</v>
      </c>
      <c r="D2867" s="1">
        <f t="shared" si="582"/>
        <v>0</v>
      </c>
      <c r="E2867" s="3">
        <f t="array" ref="E2867">INDEX($A$9:A2866, MAX(IF($D$9:D2866=1, ROW(D$9:$D2866)-ROW($D$9)+1, 0)))</f>
        <v>50119</v>
      </c>
      <c r="F2867" s="23">
        <f t="shared" si="574"/>
        <v>10.951403148528405</v>
      </c>
      <c r="G2867" s="5">
        <f>INDEX('Default Prob'!$P$5:$P$14,MIN(1+_xlfn.IFNA(MATCH(F2867,'Default Prob'!$F$5:$F$14,1),0),COUNT('Default Prob'!$P$5:$P$14)))</f>
        <v>8.0322462664562722E-2</v>
      </c>
      <c r="H2867" s="5">
        <f t="shared" si="583"/>
        <v>0.65050357730614705</v>
      </c>
      <c r="I2867" s="24">
        <f t="shared" si="584"/>
        <v>1.4306856920087707E-4</v>
      </c>
      <c r="J2867" s="25">
        <f>INDEX('Default Prob'!$C$3:$C$13, _xlfn.IFNA(MATCH(F2867, 'Default Prob'!$B$3:$B$13, 1), 1))</f>
        <v>2.5600000000000001E-2</v>
      </c>
      <c r="K2867" s="26">
        <f t="shared" si="575"/>
        <v>0.75818530525151562</v>
      </c>
      <c r="L2867" s="27">
        <f t="shared" ca="1" si="576"/>
        <v>0</v>
      </c>
      <c r="M2867" s="27">
        <f t="shared" ca="1" si="577"/>
        <v>0</v>
      </c>
      <c r="N2867" s="28">
        <f t="shared" ca="1" si="578"/>
        <v>0</v>
      </c>
      <c r="O2867" s="29">
        <f t="shared" ca="1" si="579"/>
        <v>0</v>
      </c>
      <c r="P2867" s="30">
        <f t="shared" ca="1" si="580"/>
        <v>0</v>
      </c>
    </row>
    <row r="2868" spans="1:16" x14ac:dyDescent="0.25">
      <c r="A2868" s="3">
        <f t="shared" si="581"/>
        <v>50126</v>
      </c>
      <c r="B2868" s="21">
        <f t="shared" si="572"/>
        <v>36612</v>
      </c>
      <c r="C2868" s="21">
        <f t="shared" si="573"/>
        <v>36697</v>
      </c>
      <c r="D2868" s="1">
        <f t="shared" si="582"/>
        <v>0</v>
      </c>
      <c r="E2868" s="3">
        <f t="array" ref="E2868">INDEX($A$9:A2867, MAX(IF($D$9:D2867=1, ROW(D$9:$D2867)-ROW($D$9)+1, 0)))</f>
        <v>50119</v>
      </c>
      <c r="F2868" s="23">
        <f t="shared" si="574"/>
        <v>10.954140999315538</v>
      </c>
      <c r="G2868" s="5">
        <f>INDEX('Default Prob'!$P$5:$P$14,MIN(1+_xlfn.IFNA(MATCH(F2868,'Default Prob'!$F$5:$F$14,1),0),COUNT('Default Prob'!$P$5:$P$14)))</f>
        <v>8.0322462664562722E-2</v>
      </c>
      <c r="H2868" s="5">
        <f t="shared" si="583"/>
        <v>0.65036054019582723</v>
      </c>
      <c r="I2868" s="24">
        <f t="shared" si="584"/>
        <v>1.4303711031982136E-4</v>
      </c>
      <c r="J2868" s="25">
        <f>INDEX('Default Prob'!$C$3:$C$13, _xlfn.IFNA(MATCH(F2868, 'Default Prob'!$B$3:$B$13, 1), 1))</f>
        <v>2.5600000000000001E-2</v>
      </c>
      <c r="K2868" s="26">
        <f t="shared" si="575"/>
        <v>0.75813283543964005</v>
      </c>
      <c r="L2868" s="27">
        <f t="shared" ca="1" si="576"/>
        <v>0</v>
      </c>
      <c r="M2868" s="27">
        <f t="shared" ca="1" si="577"/>
        <v>0</v>
      </c>
      <c r="N2868" s="28">
        <f t="shared" ca="1" si="578"/>
        <v>0</v>
      </c>
      <c r="O2868" s="29">
        <f t="shared" ca="1" si="579"/>
        <v>0</v>
      </c>
      <c r="P2868" s="30">
        <f t="shared" ca="1" si="580"/>
        <v>0</v>
      </c>
    </row>
    <row r="2869" spans="1:16" x14ac:dyDescent="0.25">
      <c r="A2869" s="3">
        <f t="shared" si="581"/>
        <v>50129</v>
      </c>
      <c r="B2869" s="21">
        <f t="shared" si="572"/>
        <v>36615</v>
      </c>
      <c r="C2869" s="21">
        <f t="shared" si="573"/>
        <v>36697</v>
      </c>
      <c r="D2869" s="1">
        <f t="shared" si="582"/>
        <v>0</v>
      </c>
      <c r="E2869" s="3">
        <f t="array" ref="E2869">INDEX($A$9:A2868, MAX(IF($D$9:D2868=1, ROW(D$9:$D2868)-ROW($D$9)+1, 0)))</f>
        <v>50119</v>
      </c>
      <c r="F2869" s="23">
        <f t="shared" si="574"/>
        <v>10.962354551676933</v>
      </c>
      <c r="G2869" s="5">
        <f>INDEX('Default Prob'!$P$5:$P$14,MIN(1+_xlfn.IFNA(MATCH(F2869,'Default Prob'!$F$5:$F$14,1),0),COUNT('Default Prob'!$P$5:$P$14)))</f>
        <v>8.0322462664562722E-2</v>
      </c>
      <c r="H2869" s="5">
        <f t="shared" si="583"/>
        <v>0.64993161754898832</v>
      </c>
      <c r="I2869" s="24">
        <f t="shared" si="584"/>
        <v>4.2892264683891401E-4</v>
      </c>
      <c r="J2869" s="25">
        <f>INDEX('Default Prob'!$C$3:$C$13, _xlfn.IFNA(MATCH(F2869, 'Default Prob'!$B$3:$B$13, 1), 1))</f>
        <v>2.5600000000000001E-2</v>
      </c>
      <c r="K2869" s="26">
        <f t="shared" si="575"/>
        <v>0.75797544778988124</v>
      </c>
      <c r="L2869" s="27">
        <f t="shared" ca="1" si="576"/>
        <v>0</v>
      </c>
      <c r="M2869" s="27">
        <f t="shared" ca="1" si="577"/>
        <v>0</v>
      </c>
      <c r="N2869" s="28">
        <f t="shared" ca="1" si="578"/>
        <v>0</v>
      </c>
      <c r="O2869" s="29">
        <f t="shared" ca="1" si="579"/>
        <v>0</v>
      </c>
      <c r="P2869" s="30">
        <f t="shared" ca="1" si="580"/>
        <v>0</v>
      </c>
    </row>
    <row r="2870" spans="1:16" x14ac:dyDescent="0.25">
      <c r="A2870" s="3">
        <f t="shared" si="581"/>
        <v>50130</v>
      </c>
      <c r="B2870" s="21">
        <f t="shared" si="572"/>
        <v>36616</v>
      </c>
      <c r="C2870" s="21">
        <f t="shared" si="573"/>
        <v>36697</v>
      </c>
      <c r="D2870" s="1">
        <f t="shared" si="582"/>
        <v>0</v>
      </c>
      <c r="E2870" s="3">
        <f t="array" ref="E2870">INDEX($A$9:A2869, MAX(IF($D$9:D2869=1, ROW(D$9:$D2869)-ROW($D$9)+1, 0)))</f>
        <v>50119</v>
      </c>
      <c r="F2870" s="23">
        <f t="shared" si="574"/>
        <v>10.965092402464066</v>
      </c>
      <c r="G2870" s="5">
        <f>INDEX('Default Prob'!$P$5:$P$14,MIN(1+_xlfn.IFNA(MATCH(F2870,'Default Prob'!$F$5:$F$14,1),0),COUNT('Default Prob'!$P$5:$P$14)))</f>
        <v>8.0322462664562722E-2</v>
      </c>
      <c r="H2870" s="5">
        <f t="shared" si="583"/>
        <v>0.64978870620503426</v>
      </c>
      <c r="I2870" s="24">
        <f t="shared" si="584"/>
        <v>1.4291134395405525E-4</v>
      </c>
      <c r="J2870" s="25">
        <f>INDEX('Default Prob'!$C$3:$C$13, _xlfn.IFNA(MATCH(F2870, 'Default Prob'!$B$3:$B$13, 1), 1))</f>
        <v>2.5600000000000001E-2</v>
      </c>
      <c r="K2870" s="26">
        <f t="shared" si="575"/>
        <v>0.75792299250107986</v>
      </c>
      <c r="L2870" s="27">
        <f t="shared" ca="1" si="576"/>
        <v>0</v>
      </c>
      <c r="M2870" s="27">
        <f t="shared" ca="1" si="577"/>
        <v>0</v>
      </c>
      <c r="N2870" s="28">
        <f t="shared" ca="1" si="578"/>
        <v>0</v>
      </c>
      <c r="O2870" s="29">
        <f t="shared" ca="1" si="579"/>
        <v>0</v>
      </c>
      <c r="P2870" s="30">
        <f t="shared" ca="1" si="580"/>
        <v>0</v>
      </c>
    </row>
    <row r="2871" spans="1:16" x14ac:dyDescent="0.25">
      <c r="A2871" s="3">
        <f t="shared" si="581"/>
        <v>50131</v>
      </c>
      <c r="B2871" s="21">
        <f t="shared" si="572"/>
        <v>36617</v>
      </c>
      <c r="C2871" s="21">
        <f t="shared" si="573"/>
        <v>36697</v>
      </c>
      <c r="D2871" s="1">
        <f t="shared" si="582"/>
        <v>0</v>
      </c>
      <c r="E2871" s="3">
        <f t="array" ref="E2871">INDEX($A$9:A2870, MAX(IF($D$9:D2870=1, ROW(D$9:$D2870)-ROW($D$9)+1, 0)))</f>
        <v>50119</v>
      </c>
      <c r="F2871" s="23">
        <f t="shared" si="574"/>
        <v>10.967830253251197</v>
      </c>
      <c r="G2871" s="5">
        <f>INDEX('Default Prob'!$P$5:$P$14,MIN(1+_xlfn.IFNA(MATCH(F2871,'Default Prob'!$F$5:$F$14,1),0),COUNT('Default Prob'!$P$5:$P$14)))</f>
        <v>8.0322462664562722E-2</v>
      </c>
      <c r="H2871" s="5">
        <f t="shared" si="583"/>
        <v>0.64964582628538969</v>
      </c>
      <c r="I2871" s="24">
        <f t="shared" si="584"/>
        <v>1.4287991964456737E-4</v>
      </c>
      <c r="J2871" s="25">
        <f>INDEX('Default Prob'!$C$3:$C$13, _xlfn.IFNA(MATCH(F2871, 'Default Prob'!$B$3:$B$13, 1), 1))</f>
        <v>2.5600000000000001E-2</v>
      </c>
      <c r="K2871" s="26">
        <f t="shared" si="575"/>
        <v>0.75787054084241912</v>
      </c>
      <c r="L2871" s="27">
        <f t="shared" ca="1" si="576"/>
        <v>0</v>
      </c>
      <c r="M2871" s="27">
        <f t="shared" ca="1" si="577"/>
        <v>0</v>
      </c>
      <c r="N2871" s="28">
        <f t="shared" ca="1" si="578"/>
        <v>0</v>
      </c>
      <c r="O2871" s="29">
        <f t="shared" ca="1" si="579"/>
        <v>0</v>
      </c>
      <c r="P2871" s="30">
        <f t="shared" ca="1" si="580"/>
        <v>0</v>
      </c>
    </row>
    <row r="2872" spans="1:16" x14ac:dyDescent="0.25">
      <c r="A2872" s="3">
        <f t="shared" si="581"/>
        <v>50132</v>
      </c>
      <c r="B2872" s="21">
        <f t="shared" si="572"/>
        <v>36618</v>
      </c>
      <c r="C2872" s="21">
        <f t="shared" si="573"/>
        <v>36697</v>
      </c>
      <c r="D2872" s="1">
        <f t="shared" si="582"/>
        <v>0</v>
      </c>
      <c r="E2872" s="3">
        <f t="array" ref="E2872">INDEX($A$9:A2871, MAX(IF($D$9:D2871=1, ROW(D$9:$D2871)-ROW($D$9)+1, 0)))</f>
        <v>50119</v>
      </c>
      <c r="F2872" s="23">
        <f t="shared" si="574"/>
        <v>10.97056810403833</v>
      </c>
      <c r="G2872" s="5">
        <f>INDEX('Default Prob'!$P$5:$P$14,MIN(1+_xlfn.IFNA(MATCH(F2872,'Default Prob'!$F$5:$F$14,1),0),COUNT('Default Prob'!$P$5:$P$14)))</f>
        <v>8.0322462664562722E-2</v>
      </c>
      <c r="H2872" s="5">
        <f t="shared" si="583"/>
        <v>0.6495029777831447</v>
      </c>
      <c r="I2872" s="24">
        <f t="shared" si="584"/>
        <v>1.4284850224499657E-4</v>
      </c>
      <c r="J2872" s="25">
        <f>INDEX('Default Prob'!$C$3:$C$13, _xlfn.IFNA(MATCH(F2872, 'Default Prob'!$B$3:$B$13, 1), 1))</f>
        <v>2.5600000000000001E-2</v>
      </c>
      <c r="K2872" s="26">
        <f t="shared" si="575"/>
        <v>0.75781809281364754</v>
      </c>
      <c r="L2872" s="27">
        <f t="shared" ca="1" si="576"/>
        <v>0</v>
      </c>
      <c r="M2872" s="27">
        <f t="shared" ca="1" si="577"/>
        <v>0</v>
      </c>
      <c r="N2872" s="28">
        <f t="shared" ca="1" si="578"/>
        <v>0</v>
      </c>
      <c r="O2872" s="29">
        <f t="shared" ca="1" si="579"/>
        <v>0</v>
      </c>
      <c r="P2872" s="30">
        <f t="shared" ca="1" si="580"/>
        <v>0</v>
      </c>
    </row>
    <row r="2873" spans="1:16" x14ac:dyDescent="0.25">
      <c r="A2873" s="3">
        <f t="shared" si="581"/>
        <v>50133</v>
      </c>
      <c r="B2873" s="21">
        <f t="shared" si="572"/>
        <v>36619</v>
      </c>
      <c r="C2873" s="21">
        <f t="shared" si="573"/>
        <v>36697</v>
      </c>
      <c r="D2873" s="1">
        <f t="shared" si="582"/>
        <v>0</v>
      </c>
      <c r="E2873" s="3">
        <f t="array" ref="E2873">INDEX($A$9:A2872, MAX(IF($D$9:D2872=1, ROW(D$9:$D2872)-ROW($D$9)+1, 0)))</f>
        <v>50119</v>
      </c>
      <c r="F2873" s="23">
        <f t="shared" si="574"/>
        <v>10.973305954825461</v>
      </c>
      <c r="G2873" s="5">
        <f>INDEX('Default Prob'!$P$5:$P$14,MIN(1+_xlfn.IFNA(MATCH(F2873,'Default Prob'!$F$5:$F$14,1),0),COUNT('Default Prob'!$P$5:$P$14)))</f>
        <v>8.0322462664562722E-2</v>
      </c>
      <c r="H2873" s="5">
        <f t="shared" si="583"/>
        <v>0.64936016069139102</v>
      </c>
      <c r="I2873" s="24">
        <f t="shared" si="584"/>
        <v>1.4281709175367752E-4</v>
      </c>
      <c r="J2873" s="25">
        <f>INDEX('Default Prob'!$C$3:$C$13, _xlfn.IFNA(MATCH(F2873, 'Default Prob'!$B$3:$B$13, 1), 1))</f>
        <v>2.5600000000000001E-2</v>
      </c>
      <c r="K2873" s="26">
        <f t="shared" si="575"/>
        <v>0.75776564841451399</v>
      </c>
      <c r="L2873" s="27">
        <f t="shared" ca="1" si="576"/>
        <v>0</v>
      </c>
      <c r="M2873" s="27">
        <f t="shared" ca="1" si="577"/>
        <v>0</v>
      </c>
      <c r="N2873" s="28">
        <f t="shared" ca="1" si="578"/>
        <v>0</v>
      </c>
      <c r="O2873" s="29">
        <f t="shared" ca="1" si="579"/>
        <v>0</v>
      </c>
      <c r="P2873" s="30">
        <f t="shared" ca="1" si="580"/>
        <v>0</v>
      </c>
    </row>
    <row r="2874" spans="1:16" x14ac:dyDescent="0.25">
      <c r="A2874" s="3">
        <f t="shared" si="581"/>
        <v>50136</v>
      </c>
      <c r="B2874" s="21">
        <f t="shared" si="572"/>
        <v>36622</v>
      </c>
      <c r="C2874" s="21">
        <f t="shared" si="573"/>
        <v>36697</v>
      </c>
      <c r="D2874" s="1">
        <f t="shared" si="582"/>
        <v>0</v>
      </c>
      <c r="E2874" s="3">
        <f t="array" ref="E2874">INDEX($A$9:A2873, MAX(IF($D$9:D2873=1, ROW(D$9:$D2873)-ROW($D$9)+1, 0)))</f>
        <v>50119</v>
      </c>
      <c r="F2874" s="23">
        <f t="shared" si="574"/>
        <v>10.981519507186858</v>
      </c>
      <c r="G2874" s="5">
        <f>INDEX('Default Prob'!$P$5:$P$14,MIN(1+_xlfn.IFNA(MATCH(F2874,'Default Prob'!$F$5:$F$14,1),0),COUNT('Default Prob'!$P$5:$P$14)))</f>
        <v>8.0322462664562722E-2</v>
      </c>
      <c r="H2874" s="5">
        <f t="shared" si="583"/>
        <v>0.64893189781001803</v>
      </c>
      <c r="I2874" s="24">
        <f t="shared" si="584"/>
        <v>4.2826288137298718E-4</v>
      </c>
      <c r="J2874" s="25">
        <f>INDEX('Default Prob'!$C$3:$C$13, _xlfn.IFNA(MATCH(F2874, 'Default Prob'!$B$3:$B$13, 1), 1))</f>
        <v>2.5600000000000001E-2</v>
      </c>
      <c r="K2874" s="26">
        <f t="shared" si="575"/>
        <v>0.75760833699242947</v>
      </c>
      <c r="L2874" s="27">
        <f t="shared" ca="1" si="576"/>
        <v>0</v>
      </c>
      <c r="M2874" s="27">
        <f t="shared" ca="1" si="577"/>
        <v>0</v>
      </c>
      <c r="N2874" s="28">
        <f t="shared" ca="1" si="578"/>
        <v>0</v>
      </c>
      <c r="O2874" s="29">
        <f t="shared" ca="1" si="579"/>
        <v>0</v>
      </c>
      <c r="P2874" s="30">
        <f t="shared" ca="1" si="580"/>
        <v>0</v>
      </c>
    </row>
    <row r="2875" spans="1:16" x14ac:dyDescent="0.25">
      <c r="A2875" s="3">
        <f t="shared" si="581"/>
        <v>50137</v>
      </c>
      <c r="B2875" s="21">
        <f t="shared" si="572"/>
        <v>36623</v>
      </c>
      <c r="C2875" s="21">
        <f t="shared" si="573"/>
        <v>36697</v>
      </c>
      <c r="D2875" s="1">
        <f t="shared" si="582"/>
        <v>0</v>
      </c>
      <c r="E2875" s="3">
        <f t="array" ref="E2875">INDEX($A$9:A2874, MAX(IF($D$9:D2874=1, ROW(D$9:$D2874)-ROW($D$9)+1, 0)))</f>
        <v>50119</v>
      </c>
      <c r="F2875" s="23">
        <f t="shared" si="574"/>
        <v>10.984257357973991</v>
      </c>
      <c r="G2875" s="5">
        <f>INDEX('Default Prob'!$P$5:$P$14,MIN(1+_xlfn.IFNA(MATCH(F2875,'Default Prob'!$F$5:$F$14,1),0),COUNT('Default Prob'!$P$5:$P$14)))</f>
        <v>8.0322462664562722E-2</v>
      </c>
      <c r="H2875" s="5">
        <f t="shared" si="583"/>
        <v>0.64878920629117731</v>
      </c>
      <c r="I2875" s="24">
        <f t="shared" si="584"/>
        <v>1.4269151884072073E-4</v>
      </c>
      <c r="J2875" s="25">
        <f>INDEX('Default Prob'!$C$3:$C$13, _xlfn.IFNA(MATCH(F2875, 'Default Prob'!$B$3:$B$13, 1), 1))</f>
        <v>2.5600000000000001E-2</v>
      </c>
      <c r="K2875" s="26">
        <f t="shared" si="575"/>
        <v>0.75755590710933618</v>
      </c>
      <c r="L2875" s="27">
        <f t="shared" ca="1" si="576"/>
        <v>0</v>
      </c>
      <c r="M2875" s="27">
        <f t="shared" ca="1" si="577"/>
        <v>0</v>
      </c>
      <c r="N2875" s="28">
        <f t="shared" ca="1" si="578"/>
        <v>0</v>
      </c>
      <c r="O2875" s="29">
        <f t="shared" ca="1" si="579"/>
        <v>0</v>
      </c>
      <c r="P2875" s="30">
        <f t="shared" ca="1" si="580"/>
        <v>0</v>
      </c>
    </row>
    <row r="2876" spans="1:16" x14ac:dyDescent="0.25">
      <c r="A2876" s="3">
        <f t="shared" si="581"/>
        <v>50138</v>
      </c>
      <c r="B2876" s="21">
        <f t="shared" si="572"/>
        <v>36624</v>
      </c>
      <c r="C2876" s="21">
        <f t="shared" si="573"/>
        <v>36697</v>
      </c>
      <c r="D2876" s="1">
        <f t="shared" si="582"/>
        <v>0</v>
      </c>
      <c r="E2876" s="3">
        <f t="array" ref="E2876">INDEX($A$9:A2875, MAX(IF($D$9:D2875=1, ROW(D$9:$D2875)-ROW($D$9)+1, 0)))</f>
        <v>50119</v>
      </c>
      <c r="F2876" s="23">
        <f t="shared" si="574"/>
        <v>10.986995208761122</v>
      </c>
      <c r="G2876" s="5">
        <f>INDEX('Default Prob'!$P$5:$P$14,MIN(1+_xlfn.IFNA(MATCH(F2876,'Default Prob'!$F$5:$F$14,1),0),COUNT('Default Prob'!$P$5:$P$14)))</f>
        <v>8.0322462664562722E-2</v>
      </c>
      <c r="H2876" s="5">
        <f t="shared" si="583"/>
        <v>0.64864654614830941</v>
      </c>
      <c r="I2876" s="24">
        <f t="shared" si="584"/>
        <v>1.4266014286790085E-4</v>
      </c>
      <c r="J2876" s="25">
        <f>INDEX('Default Prob'!$C$3:$C$13, _xlfn.IFNA(MATCH(F2876, 'Default Prob'!$B$3:$B$13, 1), 1))</f>
        <v>2.5600000000000001E-2</v>
      </c>
      <c r="K2876" s="26">
        <f t="shared" si="575"/>
        <v>0.75750348085462516</v>
      </c>
      <c r="L2876" s="27">
        <f t="shared" ca="1" si="576"/>
        <v>0</v>
      </c>
      <c r="M2876" s="27">
        <f t="shared" ca="1" si="577"/>
        <v>0</v>
      </c>
      <c r="N2876" s="28">
        <f t="shared" ca="1" si="578"/>
        <v>0</v>
      </c>
      <c r="O2876" s="29">
        <f t="shared" ca="1" si="579"/>
        <v>0</v>
      </c>
      <c r="P2876" s="30">
        <f t="shared" ca="1" si="580"/>
        <v>0</v>
      </c>
    </row>
    <row r="2877" spans="1:16" x14ac:dyDescent="0.25">
      <c r="A2877" s="3">
        <f t="shared" si="581"/>
        <v>50139</v>
      </c>
      <c r="B2877" s="21">
        <f t="shared" si="572"/>
        <v>36625</v>
      </c>
      <c r="C2877" s="21">
        <f t="shared" si="573"/>
        <v>36697</v>
      </c>
      <c r="D2877" s="1">
        <f t="shared" si="582"/>
        <v>0</v>
      </c>
      <c r="E2877" s="3">
        <f t="array" ref="E2877">INDEX($A$9:A2876, MAX(IF($D$9:D2876=1, ROW(D$9:$D2876)-ROW($D$9)+1, 0)))</f>
        <v>50119</v>
      </c>
      <c r="F2877" s="23">
        <f t="shared" si="574"/>
        <v>10.989733059548255</v>
      </c>
      <c r="G2877" s="5">
        <f>INDEX('Default Prob'!$P$5:$P$14,MIN(1+_xlfn.IFNA(MATCH(F2877,'Default Prob'!$F$5:$F$14,1),0),COUNT('Default Prob'!$P$5:$P$14)))</f>
        <v>8.0322462664562722E-2</v>
      </c>
      <c r="H2877" s="5">
        <f t="shared" si="583"/>
        <v>0.64850391737451507</v>
      </c>
      <c r="I2877" s="24">
        <f t="shared" si="584"/>
        <v>1.4262877379433991E-4</v>
      </c>
      <c r="J2877" s="25">
        <f>INDEX('Default Prob'!$C$3:$C$13, _xlfn.IFNA(MATCH(F2877, 'Default Prob'!$B$3:$B$13, 1), 1))</f>
        <v>2.5600000000000001E-2</v>
      </c>
      <c r="K2877" s="26">
        <f t="shared" si="575"/>
        <v>0.75745105822804537</v>
      </c>
      <c r="L2877" s="27">
        <f t="shared" ca="1" si="576"/>
        <v>0</v>
      </c>
      <c r="M2877" s="27">
        <f t="shared" ca="1" si="577"/>
        <v>0</v>
      </c>
      <c r="N2877" s="28">
        <f t="shared" ca="1" si="578"/>
        <v>0</v>
      </c>
      <c r="O2877" s="29">
        <f t="shared" ca="1" si="579"/>
        <v>0</v>
      </c>
      <c r="P2877" s="30">
        <f t="shared" ca="1" si="580"/>
        <v>0</v>
      </c>
    </row>
    <row r="2878" spans="1:16" x14ac:dyDescent="0.25">
      <c r="A2878" s="3">
        <f t="shared" si="581"/>
        <v>50140</v>
      </c>
      <c r="B2878" s="21">
        <f t="shared" si="572"/>
        <v>36626</v>
      </c>
      <c r="C2878" s="21">
        <f t="shared" si="573"/>
        <v>36697</v>
      </c>
      <c r="D2878" s="1">
        <f t="shared" si="582"/>
        <v>0</v>
      </c>
      <c r="E2878" s="3">
        <f t="array" ref="E2878">INDEX($A$9:A2877, MAX(IF($D$9:D2877=1, ROW(D$9:$D2877)-ROW($D$9)+1, 0)))</f>
        <v>50119</v>
      </c>
      <c r="F2878" s="23">
        <f t="shared" si="574"/>
        <v>10.992470910335387</v>
      </c>
      <c r="G2878" s="5">
        <f>INDEX('Default Prob'!$P$5:$P$14,MIN(1+_xlfn.IFNA(MATCH(F2878,'Default Prob'!$F$5:$F$14,1),0),COUNT('Default Prob'!$P$5:$P$14)))</f>
        <v>8.0322462664562722E-2</v>
      </c>
      <c r="H2878" s="5">
        <f t="shared" si="583"/>
        <v>0.6483613199628967</v>
      </c>
      <c r="I2878" s="24">
        <f t="shared" si="584"/>
        <v>1.4259741161837258E-4</v>
      </c>
      <c r="J2878" s="25">
        <f>INDEX('Default Prob'!$C$3:$C$13, _xlfn.IFNA(MATCH(F2878, 'Default Prob'!$B$3:$B$13, 1), 1))</f>
        <v>2.5600000000000001E-2</v>
      </c>
      <c r="K2878" s="26">
        <f t="shared" si="575"/>
        <v>0.75739863922934558</v>
      </c>
      <c r="L2878" s="27">
        <f t="shared" ca="1" si="576"/>
        <v>0</v>
      </c>
      <c r="M2878" s="27">
        <f t="shared" ca="1" si="577"/>
        <v>0</v>
      </c>
      <c r="N2878" s="28">
        <f t="shared" ca="1" si="578"/>
        <v>0</v>
      </c>
      <c r="O2878" s="29">
        <f t="shared" ca="1" si="579"/>
        <v>0</v>
      </c>
      <c r="P2878" s="30">
        <f t="shared" ca="1" si="580"/>
        <v>0</v>
      </c>
    </row>
    <row r="2879" spans="1:16" x14ac:dyDescent="0.25">
      <c r="A2879" s="3">
        <f t="shared" si="581"/>
        <v>50143</v>
      </c>
      <c r="B2879" s="21">
        <f t="shared" si="572"/>
        <v>36629</v>
      </c>
      <c r="C2879" s="21">
        <f t="shared" si="573"/>
        <v>36697</v>
      </c>
      <c r="D2879" s="1">
        <f t="shared" si="582"/>
        <v>0</v>
      </c>
      <c r="E2879" s="3">
        <f t="array" ref="E2879">INDEX($A$9:A2878, MAX(IF($D$9:D2878=1, ROW(D$9:$D2878)-ROW($D$9)+1, 0)))</f>
        <v>50119</v>
      </c>
      <c r="F2879" s="23">
        <f t="shared" si="574"/>
        <v>11.000684462696784</v>
      </c>
      <c r="G2879" s="5">
        <f>INDEX('Default Prob'!$P$5:$P$14,MIN(1+_xlfn.IFNA(MATCH(F2879,'Default Prob'!$F$5:$F$14,1),0),COUNT('Default Prob'!$P$5:$P$14)))</f>
        <v>8.0322462664562722E-2</v>
      </c>
      <c r="H2879" s="5">
        <f t="shared" si="583"/>
        <v>0.64793371583214365</v>
      </c>
      <c r="I2879" s="24">
        <f t="shared" si="584"/>
        <v>4.2760413075304538E-4</v>
      </c>
      <c r="J2879" s="25">
        <f>INDEX('Default Prob'!$C$3:$C$13, _xlfn.IFNA(MATCH(F2879, 'Default Prob'!$B$3:$B$13, 1), 1))</f>
        <v>2.5600000000000001E-2</v>
      </c>
      <c r="K2879" s="26">
        <f t="shared" si="575"/>
        <v>0.75724140399801598</v>
      </c>
      <c r="L2879" s="27">
        <f t="shared" ca="1" si="576"/>
        <v>0</v>
      </c>
      <c r="M2879" s="27">
        <f t="shared" ca="1" si="577"/>
        <v>0</v>
      </c>
      <c r="N2879" s="28">
        <f t="shared" ca="1" si="578"/>
        <v>0</v>
      </c>
      <c r="O2879" s="29">
        <f t="shared" ca="1" si="579"/>
        <v>0</v>
      </c>
      <c r="P2879" s="30">
        <f t="shared" ca="1" si="580"/>
        <v>0</v>
      </c>
    </row>
    <row r="2880" spans="1:16" x14ac:dyDescent="0.25">
      <c r="A2880" s="3">
        <f t="shared" si="581"/>
        <v>50144</v>
      </c>
      <c r="B2880" s="21">
        <f t="shared" si="572"/>
        <v>36630</v>
      </c>
      <c r="C2880" s="21">
        <f t="shared" si="573"/>
        <v>36697</v>
      </c>
      <c r="D2880" s="1">
        <f t="shared" si="582"/>
        <v>0</v>
      </c>
      <c r="E2880" s="3">
        <f t="array" ref="E2880">INDEX($A$9:A2879, MAX(IF($D$9:D2879=1, ROW(D$9:$D2879)-ROW($D$9)+1, 0)))</f>
        <v>50119</v>
      </c>
      <c r="F2880" s="23">
        <f t="shared" si="574"/>
        <v>11.003422313483915</v>
      </c>
      <c r="G2880" s="5">
        <f>INDEX('Default Prob'!$P$5:$P$14,MIN(1+_xlfn.IFNA(MATCH(F2880,'Default Prob'!$F$5:$F$14,1),0),COUNT('Default Prob'!$P$5:$P$14)))</f>
        <v>8.0322462664562722E-2</v>
      </c>
      <c r="H2880" s="5">
        <f t="shared" si="583"/>
        <v>0.64779124380028308</v>
      </c>
      <c r="I2880" s="24">
        <f t="shared" si="584"/>
        <v>1.4247203186057433E-4</v>
      </c>
      <c r="J2880" s="25">
        <f>INDEX('Default Prob'!$C$3:$C$13, _xlfn.IFNA(MATCH(F2880, 'Default Prob'!$B$3:$B$13, 1), 1))</f>
        <v>2.5600000000000001E-2</v>
      </c>
      <c r="K2880" s="26">
        <f t="shared" si="575"/>
        <v>0.75718899950832608</v>
      </c>
      <c r="L2880" s="27">
        <f t="shared" ca="1" si="576"/>
        <v>0</v>
      </c>
      <c r="M2880" s="27">
        <f t="shared" ca="1" si="577"/>
        <v>0</v>
      </c>
      <c r="N2880" s="28">
        <f t="shared" ca="1" si="578"/>
        <v>0</v>
      </c>
      <c r="O2880" s="29">
        <f t="shared" ca="1" si="579"/>
        <v>0</v>
      </c>
      <c r="P2880" s="30">
        <f t="shared" ca="1" si="580"/>
        <v>0</v>
      </c>
    </row>
    <row r="2881" spans="1:16" x14ac:dyDescent="0.25">
      <c r="A2881" s="3">
        <f t="shared" si="581"/>
        <v>50145</v>
      </c>
      <c r="B2881" s="21">
        <f t="shared" si="572"/>
        <v>36631</v>
      </c>
      <c r="C2881" s="21">
        <f t="shared" si="573"/>
        <v>36697</v>
      </c>
      <c r="D2881" s="1">
        <f t="shared" si="582"/>
        <v>0</v>
      </c>
      <c r="E2881" s="3">
        <f t="array" ref="E2881">INDEX($A$9:A2880, MAX(IF($D$9:D2880=1, ROW(D$9:$D2880)-ROW($D$9)+1, 0)))</f>
        <v>50119</v>
      </c>
      <c r="F2881" s="23">
        <f t="shared" si="574"/>
        <v>11.006160164271048</v>
      </c>
      <c r="G2881" s="5">
        <f>INDEX('Default Prob'!$P$5:$P$14,MIN(1+_xlfn.IFNA(MATCH(F2881,'Default Prob'!$F$5:$F$14,1),0),COUNT('Default Prob'!$P$5:$P$14)))</f>
        <v>8.0322462664562722E-2</v>
      </c>
      <c r="H2881" s="5">
        <f t="shared" si="583"/>
        <v>0.64764880309613293</v>
      </c>
      <c r="I2881" s="24">
        <f t="shared" si="584"/>
        <v>1.4244070415014853E-4</v>
      </c>
      <c r="J2881" s="25">
        <f>INDEX('Default Prob'!$C$3:$C$13, _xlfn.IFNA(MATCH(F2881, 'Default Prob'!$B$3:$B$13, 1), 1))</f>
        <v>2.5600000000000001E-2</v>
      </c>
      <c r="K2881" s="26">
        <f t="shared" si="575"/>
        <v>0.75713659864526084</v>
      </c>
      <c r="L2881" s="27">
        <f t="shared" ca="1" si="576"/>
        <v>0</v>
      </c>
      <c r="M2881" s="27">
        <f t="shared" ca="1" si="577"/>
        <v>0</v>
      </c>
      <c r="N2881" s="28">
        <f t="shared" ca="1" si="578"/>
        <v>0</v>
      </c>
      <c r="O2881" s="29">
        <f t="shared" ca="1" si="579"/>
        <v>0</v>
      </c>
      <c r="P2881" s="30">
        <f t="shared" ca="1" si="580"/>
        <v>0</v>
      </c>
    </row>
    <row r="2882" spans="1:16" x14ac:dyDescent="0.25">
      <c r="A2882" s="3">
        <f t="shared" si="581"/>
        <v>50146</v>
      </c>
      <c r="B2882" s="21">
        <f t="shared" si="572"/>
        <v>36632</v>
      </c>
      <c r="C2882" s="21">
        <f t="shared" si="573"/>
        <v>36697</v>
      </c>
      <c r="D2882" s="1">
        <f t="shared" si="582"/>
        <v>0</v>
      </c>
      <c r="E2882" s="3">
        <f t="array" ref="E2882">INDEX($A$9:A2881, MAX(IF($D$9:D2881=1, ROW(D$9:$D2881)-ROW($D$9)+1, 0)))</f>
        <v>50119</v>
      </c>
      <c r="F2882" s="23">
        <f t="shared" si="574"/>
        <v>11.008898015058179</v>
      </c>
      <c r="G2882" s="5">
        <f>INDEX('Default Prob'!$P$5:$P$14,MIN(1+_xlfn.IFNA(MATCH(F2882,'Default Prob'!$F$5:$F$14,1),0),COUNT('Default Prob'!$P$5:$P$14)))</f>
        <v>8.0322462664562722E-2</v>
      </c>
      <c r="H2882" s="5">
        <f t="shared" si="583"/>
        <v>0.64750639371280472</v>
      </c>
      <c r="I2882" s="24">
        <f t="shared" si="584"/>
        <v>1.4240938332821251E-4</v>
      </c>
      <c r="J2882" s="25">
        <f>INDEX('Default Prob'!$C$3:$C$13, _xlfn.IFNA(MATCH(F2882, 'Default Prob'!$B$3:$B$13, 1), 1))</f>
        <v>2.5600000000000001E-2</v>
      </c>
      <c r="K2882" s="26">
        <f t="shared" si="575"/>
        <v>0.7570842014085698</v>
      </c>
      <c r="L2882" s="27">
        <f t="shared" ca="1" si="576"/>
        <v>0</v>
      </c>
      <c r="M2882" s="27">
        <f t="shared" ca="1" si="577"/>
        <v>0</v>
      </c>
      <c r="N2882" s="28">
        <f t="shared" ca="1" si="578"/>
        <v>0</v>
      </c>
      <c r="O2882" s="29">
        <f t="shared" ca="1" si="579"/>
        <v>0</v>
      </c>
      <c r="P2882" s="30">
        <f t="shared" ca="1" si="580"/>
        <v>0</v>
      </c>
    </row>
    <row r="2883" spans="1:16" x14ac:dyDescent="0.25">
      <c r="A2883" s="3">
        <f t="shared" si="581"/>
        <v>50147</v>
      </c>
      <c r="B2883" s="21">
        <f t="shared" si="572"/>
        <v>36633</v>
      </c>
      <c r="C2883" s="21">
        <f t="shared" si="573"/>
        <v>36697</v>
      </c>
      <c r="D2883" s="1">
        <f t="shared" si="582"/>
        <v>0</v>
      </c>
      <c r="E2883" s="3">
        <f t="array" ref="E2883">INDEX($A$9:A2882, MAX(IF($D$9:D2882=1, ROW(D$9:$D2882)-ROW($D$9)+1, 0)))</f>
        <v>50119</v>
      </c>
      <c r="F2883" s="23">
        <f t="shared" si="574"/>
        <v>11.011635865845312</v>
      </c>
      <c r="G2883" s="5">
        <f>INDEX('Default Prob'!$P$5:$P$14,MIN(1+_xlfn.IFNA(MATCH(F2883,'Default Prob'!$F$5:$F$14,1),0),COUNT('Default Prob'!$P$5:$P$14)))</f>
        <v>8.0322462664562722E-2</v>
      </c>
      <c r="H2883" s="5">
        <f t="shared" si="583"/>
        <v>0.64736401564341139</v>
      </c>
      <c r="I2883" s="24">
        <f t="shared" si="584"/>
        <v>1.4237806939332298E-4</v>
      </c>
      <c r="J2883" s="25">
        <f>INDEX('Default Prob'!$C$3:$C$13, _xlfn.IFNA(MATCH(F2883, 'Default Prob'!$B$3:$B$13, 1), 1))</f>
        <v>2.5600000000000001E-2</v>
      </c>
      <c r="K2883" s="26">
        <f t="shared" si="575"/>
        <v>0.75703180779800161</v>
      </c>
      <c r="L2883" s="27">
        <f t="shared" ca="1" si="576"/>
        <v>0</v>
      </c>
      <c r="M2883" s="27">
        <f t="shared" ca="1" si="577"/>
        <v>0</v>
      </c>
      <c r="N2883" s="28">
        <f t="shared" ca="1" si="578"/>
        <v>0</v>
      </c>
      <c r="O2883" s="29">
        <f t="shared" ca="1" si="579"/>
        <v>0</v>
      </c>
      <c r="P2883" s="30">
        <f t="shared" ca="1" si="580"/>
        <v>0</v>
      </c>
    </row>
    <row r="2884" spans="1:16" x14ac:dyDescent="0.25">
      <c r="A2884" s="3">
        <f t="shared" si="581"/>
        <v>50150</v>
      </c>
      <c r="B2884" s="21">
        <f t="shared" si="572"/>
        <v>36636</v>
      </c>
      <c r="C2884" s="21">
        <f t="shared" si="573"/>
        <v>36697</v>
      </c>
      <c r="D2884" s="1">
        <f t="shared" si="582"/>
        <v>0</v>
      </c>
      <c r="E2884" s="3">
        <f t="array" ref="E2884">INDEX($A$9:A2883, MAX(IF($D$9:D2883=1, ROW(D$9:$D2883)-ROW($D$9)+1, 0)))</f>
        <v>50119</v>
      </c>
      <c r="F2884" s="23">
        <f t="shared" si="574"/>
        <v>11.019849418206707</v>
      </c>
      <c r="G2884" s="5">
        <f>INDEX('Default Prob'!$P$5:$P$14,MIN(1+_xlfn.IFNA(MATCH(F2884,'Default Prob'!$F$5:$F$14,1),0),COUNT('Default Prob'!$P$5:$P$14)))</f>
        <v>8.0322462664562722E-2</v>
      </c>
      <c r="H2884" s="5">
        <f t="shared" si="583"/>
        <v>0.64693706924999328</v>
      </c>
      <c r="I2884" s="24">
        <f t="shared" si="584"/>
        <v>4.2694639341811502E-4</v>
      </c>
      <c r="J2884" s="25">
        <f>INDEX('Default Prob'!$C$3:$C$13, _xlfn.IFNA(MATCH(F2884, 'Default Prob'!$B$3:$B$13, 1), 1))</f>
        <v>2.5600000000000001E-2</v>
      </c>
      <c r="K2884" s="26">
        <f t="shared" si="575"/>
        <v>0.75687464872052557</v>
      </c>
      <c r="L2884" s="27">
        <f t="shared" ca="1" si="576"/>
        <v>0</v>
      </c>
      <c r="M2884" s="27">
        <f t="shared" ca="1" si="577"/>
        <v>0</v>
      </c>
      <c r="N2884" s="28">
        <f t="shared" ca="1" si="578"/>
        <v>0</v>
      </c>
      <c r="O2884" s="29">
        <f t="shared" ca="1" si="579"/>
        <v>0</v>
      </c>
      <c r="P2884" s="30">
        <f t="shared" ca="1" si="580"/>
        <v>0</v>
      </c>
    </row>
    <row r="2885" spans="1:16" x14ac:dyDescent="0.25">
      <c r="A2885" s="3">
        <f t="shared" si="581"/>
        <v>50151</v>
      </c>
      <c r="B2885" s="21">
        <f t="shared" si="572"/>
        <v>36637</v>
      </c>
      <c r="C2885" s="21">
        <f t="shared" si="573"/>
        <v>36697</v>
      </c>
      <c r="D2885" s="1">
        <f t="shared" si="582"/>
        <v>0</v>
      </c>
      <c r="E2885" s="3">
        <f t="array" ref="E2885">INDEX($A$9:A2884, MAX(IF($D$9:D2884=1, ROW(D$9:$D2884)-ROW($D$9)+1, 0)))</f>
        <v>50119</v>
      </c>
      <c r="F2885" s="23">
        <f t="shared" si="574"/>
        <v>11.02258726899384</v>
      </c>
      <c r="G2885" s="5">
        <f>INDEX('Default Prob'!$P$5:$P$14,MIN(1+_xlfn.IFNA(MATCH(F2885,'Default Prob'!$F$5:$F$14,1),0),COUNT('Default Prob'!$P$5:$P$14)))</f>
        <v>8.0322462664562722E-2</v>
      </c>
      <c r="H2885" s="5">
        <f t="shared" si="583"/>
        <v>0.64679481636749947</v>
      </c>
      <c r="I2885" s="24">
        <f t="shared" si="584"/>
        <v>1.4225288249380963E-4</v>
      </c>
      <c r="J2885" s="25">
        <f>INDEX('Default Prob'!$C$3:$C$13, _xlfn.IFNA(MATCH(F2885, 'Default Prob'!$B$3:$B$13, 1), 1))</f>
        <v>2.5600000000000001E-2</v>
      </c>
      <c r="K2885" s="26">
        <f t="shared" si="575"/>
        <v>0.75682226961193999</v>
      </c>
      <c r="L2885" s="27">
        <f t="shared" ca="1" si="576"/>
        <v>0</v>
      </c>
      <c r="M2885" s="27">
        <f t="shared" ca="1" si="577"/>
        <v>0</v>
      </c>
      <c r="N2885" s="28">
        <f t="shared" ca="1" si="578"/>
        <v>0</v>
      </c>
      <c r="O2885" s="29">
        <f t="shared" ca="1" si="579"/>
        <v>0</v>
      </c>
      <c r="P2885" s="30">
        <f t="shared" ca="1" si="580"/>
        <v>0</v>
      </c>
    </row>
    <row r="2886" spans="1:16" x14ac:dyDescent="0.25">
      <c r="A2886" s="3">
        <f t="shared" si="581"/>
        <v>50152</v>
      </c>
      <c r="B2886" s="21">
        <f t="shared" si="572"/>
        <v>36638</v>
      </c>
      <c r="C2886" s="21">
        <f t="shared" si="573"/>
        <v>36697</v>
      </c>
      <c r="D2886" s="1">
        <f t="shared" si="582"/>
        <v>0</v>
      </c>
      <c r="E2886" s="3">
        <f t="array" ref="E2886">INDEX($A$9:A2885, MAX(IF($D$9:D2885=1, ROW(D$9:$D2885)-ROW($D$9)+1, 0)))</f>
        <v>50119</v>
      </c>
      <c r="F2886" s="23">
        <f t="shared" si="574"/>
        <v>11.025325119780971</v>
      </c>
      <c r="G2886" s="5">
        <f>INDEX('Default Prob'!$P$5:$P$14,MIN(1+_xlfn.IFNA(MATCH(F2886,'Default Prob'!$F$5:$F$14,1),0),COUNT('Default Prob'!$P$5:$P$14)))</f>
        <v>8.0322462664562722E-2</v>
      </c>
      <c r="H2886" s="5">
        <f t="shared" si="583"/>
        <v>0.64665259476452819</v>
      </c>
      <c r="I2886" s="24">
        <f t="shared" si="584"/>
        <v>1.4222160297128195E-4</v>
      </c>
      <c r="J2886" s="25">
        <f>INDEX('Default Prob'!$C$3:$C$13, _xlfn.IFNA(MATCH(F2886, 'Default Prob'!$B$3:$B$13, 1), 1))</f>
        <v>2.5600000000000001E-2</v>
      </c>
      <c r="K2886" s="26">
        <f t="shared" si="575"/>
        <v>0.75676989412822282</v>
      </c>
      <c r="L2886" s="27">
        <f t="shared" ca="1" si="576"/>
        <v>0</v>
      </c>
      <c r="M2886" s="27">
        <f t="shared" ca="1" si="577"/>
        <v>0</v>
      </c>
      <c r="N2886" s="28">
        <f t="shared" ca="1" si="578"/>
        <v>0</v>
      </c>
      <c r="O2886" s="29">
        <f t="shared" ca="1" si="579"/>
        <v>0</v>
      </c>
      <c r="P2886" s="30">
        <f t="shared" ca="1" si="580"/>
        <v>0</v>
      </c>
    </row>
    <row r="2887" spans="1:16" x14ac:dyDescent="0.25">
      <c r="A2887" s="3">
        <f t="shared" si="581"/>
        <v>50153</v>
      </c>
      <c r="B2887" s="21">
        <f t="shared" si="572"/>
        <v>36639</v>
      </c>
      <c r="C2887" s="21">
        <f t="shared" si="573"/>
        <v>36697</v>
      </c>
      <c r="D2887" s="1">
        <f t="shared" si="582"/>
        <v>0</v>
      </c>
      <c r="E2887" s="3">
        <f t="array" ref="E2887">INDEX($A$9:A2886, MAX(IF($D$9:D2886=1, ROW(D$9:$D2886)-ROW($D$9)+1, 0)))</f>
        <v>50119</v>
      </c>
      <c r="F2887" s="23">
        <f t="shared" si="574"/>
        <v>11.028062970568104</v>
      </c>
      <c r="G2887" s="5">
        <f>INDEX('Default Prob'!$P$5:$P$14,MIN(1+_xlfn.IFNA(MATCH(F2887,'Default Prob'!$F$5:$F$14,1),0),COUNT('Default Prob'!$P$5:$P$14)))</f>
        <v>8.0322462664562722E-2</v>
      </c>
      <c r="H2887" s="5">
        <f t="shared" si="583"/>
        <v>0.64651040443420138</v>
      </c>
      <c r="I2887" s="24">
        <f t="shared" si="584"/>
        <v>1.4219033032680795E-4</v>
      </c>
      <c r="J2887" s="25">
        <f>INDEX('Default Prob'!$C$3:$C$13, _xlfn.IFNA(MATCH(F2887, 'Default Prob'!$B$3:$B$13, 1), 1))</f>
        <v>2.5600000000000001E-2</v>
      </c>
      <c r="K2887" s="26">
        <f t="shared" si="575"/>
        <v>0.75671752226912326</v>
      </c>
      <c r="L2887" s="27">
        <f t="shared" ca="1" si="576"/>
        <v>0</v>
      </c>
      <c r="M2887" s="27">
        <f t="shared" ca="1" si="577"/>
        <v>0</v>
      </c>
      <c r="N2887" s="28">
        <f t="shared" ca="1" si="578"/>
        <v>0</v>
      </c>
      <c r="O2887" s="29">
        <f t="shared" ca="1" si="579"/>
        <v>0</v>
      </c>
      <c r="P2887" s="30">
        <f t="shared" ca="1" si="580"/>
        <v>0</v>
      </c>
    </row>
    <row r="2888" spans="1:16" x14ac:dyDescent="0.25">
      <c r="A2888" s="3">
        <f t="shared" si="581"/>
        <v>50154</v>
      </c>
      <c r="B2888" s="21">
        <f t="shared" si="572"/>
        <v>36640</v>
      </c>
      <c r="C2888" s="21">
        <f t="shared" si="573"/>
        <v>36697</v>
      </c>
      <c r="D2888" s="1">
        <f t="shared" si="582"/>
        <v>0</v>
      </c>
      <c r="E2888" s="3">
        <f t="array" ref="E2888">INDEX($A$9:A2887, MAX(IF($D$9:D2887=1, ROW(D$9:$D2887)-ROW($D$9)+1, 0)))</f>
        <v>50119</v>
      </c>
      <c r="F2888" s="23">
        <f t="shared" si="574"/>
        <v>11.030800821355236</v>
      </c>
      <c r="G2888" s="5">
        <f>INDEX('Default Prob'!$P$5:$P$14,MIN(1+_xlfn.IFNA(MATCH(F2888,'Default Prob'!$F$5:$F$14,1),0),COUNT('Default Prob'!$P$5:$P$14)))</f>
        <v>8.0322462664562722E-2</v>
      </c>
      <c r="H2888" s="5">
        <f t="shared" si="583"/>
        <v>0.64636824536964266</v>
      </c>
      <c r="I2888" s="24">
        <f t="shared" si="584"/>
        <v>1.4215906455872229E-4</v>
      </c>
      <c r="J2888" s="25">
        <f>INDEX('Default Prob'!$C$3:$C$13, _xlfn.IFNA(MATCH(F2888, 'Default Prob'!$B$3:$B$13, 1), 1))</f>
        <v>2.5600000000000001E-2</v>
      </c>
      <c r="K2888" s="26">
        <f t="shared" si="575"/>
        <v>0.75666515403439039</v>
      </c>
      <c r="L2888" s="27">
        <f t="shared" ca="1" si="576"/>
        <v>0</v>
      </c>
      <c r="M2888" s="27">
        <f t="shared" ca="1" si="577"/>
        <v>0</v>
      </c>
      <c r="N2888" s="28">
        <f t="shared" ca="1" si="578"/>
        <v>0</v>
      </c>
      <c r="O2888" s="29">
        <f t="shared" ca="1" si="579"/>
        <v>0</v>
      </c>
      <c r="P2888" s="30">
        <f t="shared" ca="1" si="580"/>
        <v>0</v>
      </c>
    </row>
    <row r="2889" spans="1:16" x14ac:dyDescent="0.25">
      <c r="A2889" s="3">
        <f t="shared" si="581"/>
        <v>50157</v>
      </c>
      <c r="B2889" s="21">
        <f t="shared" ref="B2889:B2952" si="585">DATE(2000, MONTH(A2889), DAY(A2889))</f>
        <v>36643</v>
      </c>
      <c r="C2889" s="21">
        <f t="shared" ref="C2889:C2952" si="586">VLOOKUP(B2889, $R$9:$S$13, 2)</f>
        <v>36697</v>
      </c>
      <c r="D2889" s="1">
        <f t="shared" si="582"/>
        <v>0</v>
      </c>
      <c r="E2889" s="3">
        <f t="array" ref="E2889">INDEX($A$9:A2888, MAX(IF($D$9:D2888=1, ROW(D$9:$D2888)-ROW($D$9)+1, 0)))</f>
        <v>50119</v>
      </c>
      <c r="F2889" s="23">
        <f t="shared" ref="F2889:F2952" si="587">(A2889-$A$2)/365.25</f>
        <v>11.039014373716633</v>
      </c>
      <c r="G2889" s="5">
        <f>INDEX('Default Prob'!$P$5:$P$14,MIN(1+_xlfn.IFNA(MATCH(F2889,'Default Prob'!$F$5:$F$14,1),0),COUNT('Default Prob'!$P$5:$P$14)))</f>
        <v>8.0322462664562722E-2</v>
      </c>
      <c r="H2889" s="5">
        <f t="shared" si="583"/>
        <v>0.64594195570183299</v>
      </c>
      <c r="I2889" s="24">
        <f t="shared" si="584"/>
        <v>4.2628966780966504E-4</v>
      </c>
      <c r="J2889" s="25">
        <f>INDEX('Default Prob'!$C$3:$C$13, _xlfn.IFNA(MATCH(F2889, 'Default Prob'!$B$3:$B$13, 1), 1))</f>
        <v>2.5600000000000001E-2</v>
      </c>
      <c r="K2889" s="26">
        <f t="shared" ref="K2889:K2952" si="588">1/((1+J2889)^F2889)</f>
        <v>0.75650807107388407</v>
      </c>
      <c r="L2889" s="27">
        <f t="shared" ref="L2889:L2952" ca="1" si="589">IF(AND(D2889, A2889 &lt;= $G$2), $D$5*$D$2*(A2889-E2889)/365.25, 0)</f>
        <v>0</v>
      </c>
      <c r="M2889" s="27">
        <f t="shared" ref="M2889:M2952" ca="1" si="590">IF(A2889&lt;=$G$2, $D$5*$D$2*(A2889-E2889)/365.25, 0)</f>
        <v>0</v>
      </c>
      <c r="N2889" s="28">
        <f t="shared" ref="N2889:N2952" ca="1" si="591">(L2889*H2889 + M2889*I2889) * K2889</f>
        <v>0</v>
      </c>
      <c r="O2889" s="29">
        <f t="shared" ref="O2889:O2952" ca="1" si="592">IF(A2889&lt;=$G$2, $D$2*(1-$D$3), 0)</f>
        <v>0</v>
      </c>
      <c r="P2889" s="30">
        <f t="shared" ref="P2889:P2952" ca="1" si="593">O2889*I2889*K2889</f>
        <v>0</v>
      </c>
    </row>
    <row r="2890" spans="1:16" x14ac:dyDescent="0.25">
      <c r="A2890" s="3">
        <f t="shared" ref="A2890:A2953" si="594">WORKDAY(A2889, 1)</f>
        <v>50158</v>
      </c>
      <c r="B2890" s="21">
        <f t="shared" si="585"/>
        <v>36644</v>
      </c>
      <c r="C2890" s="21">
        <f t="shared" si="586"/>
        <v>36697</v>
      </c>
      <c r="D2890" s="1">
        <f t="shared" ref="D2890:D2953" si="595">IF(OR(C2890=B2890, AND(C2890&lt;&gt;C2889, C2889&gt;B2889)), 1, 0)</f>
        <v>0</v>
      </c>
      <c r="E2890" s="3">
        <f t="array" ref="E2890">INDEX($A$9:A2889, MAX(IF($D$9:D2889=1, ROW(D$9:$D2889)-ROW($D$9)+1, 0)))</f>
        <v>50119</v>
      </c>
      <c r="F2890" s="23">
        <f t="shared" si="587"/>
        <v>11.041752224503764</v>
      </c>
      <c r="G2890" s="5">
        <f>INDEX('Default Prob'!$P$5:$P$14,MIN(1+_xlfn.IFNA(MATCH(F2890,'Default Prob'!$F$5:$F$14,1),0),COUNT('Default Prob'!$P$5:$P$14)))</f>
        <v>8.0322462664562722E-2</v>
      </c>
      <c r="H2890" s="5">
        <f t="shared" ref="H2890:H2953" si="596">H2889*EXP(-G2889*(F2890-F2889))</f>
        <v>0.64579992163161226</v>
      </c>
      <c r="I2890" s="24">
        <f t="shared" ref="I2890:I2953" si="597">H2889-H2890</f>
        <v>1.4203407022073122E-4</v>
      </c>
      <c r="J2890" s="25">
        <f>INDEX('Default Prob'!$C$3:$C$13, _xlfn.IFNA(MATCH(F2890, 'Default Prob'!$B$3:$B$13, 1), 1))</f>
        <v>2.5600000000000001E-2</v>
      </c>
      <c r="K2890" s="26">
        <f t="shared" si="588"/>
        <v>0.7564557173341101</v>
      </c>
      <c r="L2890" s="27">
        <f t="shared" ca="1" si="589"/>
        <v>0</v>
      </c>
      <c r="M2890" s="27">
        <f t="shared" ca="1" si="590"/>
        <v>0</v>
      </c>
      <c r="N2890" s="28">
        <f t="shared" ca="1" si="591"/>
        <v>0</v>
      </c>
      <c r="O2890" s="29">
        <f t="shared" ca="1" si="592"/>
        <v>0</v>
      </c>
      <c r="P2890" s="30">
        <f t="shared" ca="1" si="593"/>
        <v>0</v>
      </c>
    </row>
    <row r="2891" spans="1:16" x14ac:dyDescent="0.25">
      <c r="A2891" s="3">
        <f t="shared" si="594"/>
        <v>50159</v>
      </c>
      <c r="B2891" s="21">
        <f t="shared" si="585"/>
        <v>36645</v>
      </c>
      <c r="C2891" s="21">
        <f t="shared" si="586"/>
        <v>36697</v>
      </c>
      <c r="D2891" s="1">
        <f t="shared" si="595"/>
        <v>0</v>
      </c>
      <c r="E2891" s="3">
        <f t="array" ref="E2891">INDEX($A$9:A2890, MAX(IF($D$9:D2890=1, ROW(D$9:$D2890)-ROW($D$9)+1, 0)))</f>
        <v>50119</v>
      </c>
      <c r="F2891" s="23">
        <f t="shared" si="587"/>
        <v>11.044490075290897</v>
      </c>
      <c r="G2891" s="5">
        <f>INDEX('Default Prob'!$P$5:$P$14,MIN(1+_xlfn.IFNA(MATCH(F2891,'Default Prob'!$F$5:$F$14,1),0),COUNT('Default Prob'!$P$5:$P$14)))</f>
        <v>8.0322462664562722E-2</v>
      </c>
      <c r="H2891" s="5">
        <f t="shared" si="596"/>
        <v>0.64565791879279999</v>
      </c>
      <c r="I2891" s="24">
        <f t="shared" si="597"/>
        <v>1.4200283881227183E-4</v>
      </c>
      <c r="J2891" s="25">
        <f>INDEX('Default Prob'!$C$3:$C$13, _xlfn.IFNA(MATCH(F2891, 'Default Prob'!$B$3:$B$13, 1), 1))</f>
        <v>2.5600000000000001E-2</v>
      </c>
      <c r="K2891" s="26">
        <f t="shared" si="588"/>
        <v>0.75640336721744883</v>
      </c>
      <c r="L2891" s="27">
        <f t="shared" ca="1" si="589"/>
        <v>0</v>
      </c>
      <c r="M2891" s="27">
        <f t="shared" ca="1" si="590"/>
        <v>0</v>
      </c>
      <c r="N2891" s="28">
        <f t="shared" ca="1" si="591"/>
        <v>0</v>
      </c>
      <c r="O2891" s="29">
        <f t="shared" ca="1" si="592"/>
        <v>0</v>
      </c>
      <c r="P2891" s="30">
        <f t="shared" ca="1" si="593"/>
        <v>0</v>
      </c>
    </row>
    <row r="2892" spans="1:16" x14ac:dyDescent="0.25">
      <c r="A2892" s="3">
        <f t="shared" si="594"/>
        <v>50160</v>
      </c>
      <c r="B2892" s="21">
        <f t="shared" si="585"/>
        <v>36646</v>
      </c>
      <c r="C2892" s="21">
        <f t="shared" si="586"/>
        <v>36697</v>
      </c>
      <c r="D2892" s="1">
        <f t="shared" si="595"/>
        <v>0</v>
      </c>
      <c r="E2892" s="3">
        <f t="array" ref="E2892">INDEX($A$9:A2891, MAX(IF($D$9:D2891=1, ROW(D$9:$D2891)-ROW($D$9)+1, 0)))</f>
        <v>50119</v>
      </c>
      <c r="F2892" s="23">
        <f t="shared" si="587"/>
        <v>11.047227926078028</v>
      </c>
      <c r="G2892" s="5">
        <f>INDEX('Default Prob'!$P$5:$P$14,MIN(1+_xlfn.IFNA(MATCH(F2892,'Default Prob'!$F$5:$F$14,1),0),COUNT('Default Prob'!$P$5:$P$14)))</f>
        <v>8.0322462664562722E-2</v>
      </c>
      <c r="H2892" s="5">
        <f t="shared" si="596"/>
        <v>0.645515947178529</v>
      </c>
      <c r="I2892" s="24">
        <f t="shared" si="597"/>
        <v>1.4197161427098592E-4</v>
      </c>
      <c r="J2892" s="25">
        <f>INDEX('Default Prob'!$C$3:$C$13, _xlfn.IFNA(MATCH(F2892, 'Default Prob'!$B$3:$B$13, 1), 1))</f>
        <v>2.5600000000000001E-2</v>
      </c>
      <c r="K2892" s="26">
        <f t="shared" si="588"/>
        <v>0.75635102072364979</v>
      </c>
      <c r="L2892" s="27">
        <f t="shared" ca="1" si="589"/>
        <v>0</v>
      </c>
      <c r="M2892" s="27">
        <f t="shared" ca="1" si="590"/>
        <v>0</v>
      </c>
      <c r="N2892" s="28">
        <f t="shared" ca="1" si="591"/>
        <v>0</v>
      </c>
      <c r="O2892" s="29">
        <f t="shared" ca="1" si="592"/>
        <v>0</v>
      </c>
      <c r="P2892" s="30">
        <f t="shared" ca="1" si="593"/>
        <v>0</v>
      </c>
    </row>
    <row r="2893" spans="1:16" x14ac:dyDescent="0.25">
      <c r="A2893" s="3">
        <f t="shared" si="594"/>
        <v>50161</v>
      </c>
      <c r="B2893" s="21">
        <f t="shared" si="585"/>
        <v>36647</v>
      </c>
      <c r="C2893" s="21">
        <f t="shared" si="586"/>
        <v>36697</v>
      </c>
      <c r="D2893" s="1">
        <f t="shared" si="595"/>
        <v>0</v>
      </c>
      <c r="E2893" s="3">
        <f t="array" ref="E2893">INDEX($A$9:A2892, MAX(IF($D$9:D2892=1, ROW(D$9:$D2892)-ROW($D$9)+1, 0)))</f>
        <v>50119</v>
      </c>
      <c r="F2893" s="23">
        <f t="shared" si="587"/>
        <v>11.049965776865161</v>
      </c>
      <c r="G2893" s="5">
        <f>INDEX('Default Prob'!$P$5:$P$14,MIN(1+_xlfn.IFNA(MATCH(F2893,'Default Prob'!$F$5:$F$14,1),0),COUNT('Default Prob'!$P$5:$P$14)))</f>
        <v>8.0322462664562722E-2</v>
      </c>
      <c r="H2893" s="5">
        <f t="shared" si="596"/>
        <v>0.64537400678193324</v>
      </c>
      <c r="I2893" s="24">
        <f t="shared" si="597"/>
        <v>1.419403965957633E-4</v>
      </c>
      <c r="J2893" s="25">
        <f>INDEX('Default Prob'!$C$3:$C$13, _xlfn.IFNA(MATCH(F2893, 'Default Prob'!$B$3:$B$13, 1), 1))</f>
        <v>2.5600000000000001E-2</v>
      </c>
      <c r="K2893" s="26">
        <f t="shared" si="588"/>
        <v>0.75629867785246196</v>
      </c>
      <c r="L2893" s="27">
        <f t="shared" ca="1" si="589"/>
        <v>0</v>
      </c>
      <c r="M2893" s="27">
        <f t="shared" ca="1" si="590"/>
        <v>0</v>
      </c>
      <c r="N2893" s="28">
        <f t="shared" ca="1" si="591"/>
        <v>0</v>
      </c>
      <c r="O2893" s="29">
        <f t="shared" ca="1" si="592"/>
        <v>0</v>
      </c>
      <c r="P2893" s="30">
        <f t="shared" ca="1" si="593"/>
        <v>0</v>
      </c>
    </row>
    <row r="2894" spans="1:16" x14ac:dyDescent="0.25">
      <c r="A2894" s="3">
        <f t="shared" si="594"/>
        <v>50164</v>
      </c>
      <c r="B2894" s="21">
        <f t="shared" si="585"/>
        <v>36650</v>
      </c>
      <c r="C2894" s="21">
        <f t="shared" si="586"/>
        <v>36697</v>
      </c>
      <c r="D2894" s="1">
        <f t="shared" si="595"/>
        <v>0</v>
      </c>
      <c r="E2894" s="3">
        <f t="array" ref="E2894">INDEX($A$9:A2893, MAX(IF($D$9:D2893=1, ROW(D$9:$D2893)-ROW($D$9)+1, 0)))</f>
        <v>50119</v>
      </c>
      <c r="F2894" s="23">
        <f t="shared" si="587"/>
        <v>11.058179329226558</v>
      </c>
      <c r="G2894" s="5">
        <f>INDEX('Default Prob'!$P$5:$P$14,MIN(1+_xlfn.IFNA(MATCH(F2894,'Default Prob'!$F$5:$F$14,1),0),COUNT('Default Prob'!$P$5:$P$14)))</f>
        <v>8.0322462664562722E-2</v>
      </c>
      <c r="H2894" s="5">
        <f t="shared" si="596"/>
        <v>0.64494837282956174</v>
      </c>
      <c r="I2894" s="24">
        <f t="shared" si="597"/>
        <v>4.2563395237149582E-4</v>
      </c>
      <c r="J2894" s="25">
        <f>INDEX('Default Prob'!$C$3:$C$13, _xlfn.IFNA(MATCH(F2894, 'Default Prob'!$B$3:$B$13, 1), 1))</f>
        <v>2.5600000000000001E-2</v>
      </c>
      <c r="K2894" s="26">
        <f t="shared" si="588"/>
        <v>0.75614167097205964</v>
      </c>
      <c r="L2894" s="27">
        <f t="shared" ca="1" si="589"/>
        <v>0</v>
      </c>
      <c r="M2894" s="27">
        <f t="shared" ca="1" si="590"/>
        <v>0</v>
      </c>
      <c r="N2894" s="28">
        <f t="shared" ca="1" si="591"/>
        <v>0</v>
      </c>
      <c r="O2894" s="29">
        <f t="shared" ca="1" si="592"/>
        <v>0</v>
      </c>
      <c r="P2894" s="30">
        <f t="shared" ca="1" si="593"/>
        <v>0</v>
      </c>
    </row>
    <row r="2895" spans="1:16" x14ac:dyDescent="0.25">
      <c r="A2895" s="3">
        <f t="shared" si="594"/>
        <v>50165</v>
      </c>
      <c r="B2895" s="21">
        <f t="shared" si="585"/>
        <v>36651</v>
      </c>
      <c r="C2895" s="21">
        <f t="shared" si="586"/>
        <v>36697</v>
      </c>
      <c r="D2895" s="1">
        <f t="shared" si="595"/>
        <v>0</v>
      </c>
      <c r="E2895" s="3">
        <f t="array" ref="E2895">INDEX($A$9:A2894, MAX(IF($D$9:D2894=1, ROW(D$9:$D2894)-ROW($D$9)+1, 0)))</f>
        <v>50119</v>
      </c>
      <c r="F2895" s="23">
        <f t="shared" si="587"/>
        <v>11.060917180013689</v>
      </c>
      <c r="G2895" s="5">
        <f>INDEX('Default Prob'!$P$5:$P$14,MIN(1+_xlfn.IFNA(MATCH(F2895,'Default Prob'!$F$5:$F$14,1),0),COUNT('Default Prob'!$P$5:$P$14)))</f>
        <v>8.0322462664562722E-2</v>
      </c>
      <c r="H2895" s="5">
        <f t="shared" si="596"/>
        <v>0.64480655723503877</v>
      </c>
      <c r="I2895" s="24">
        <f t="shared" si="597"/>
        <v>1.4181559452297599E-4</v>
      </c>
      <c r="J2895" s="25">
        <f>INDEX('Default Prob'!$C$3:$C$13, _xlfn.IFNA(MATCH(F2895, 'Default Prob'!$B$3:$B$13, 1), 1))</f>
        <v>2.5600000000000001E-2</v>
      </c>
      <c r="K2895" s="26">
        <f t="shared" si="588"/>
        <v>0.75608934258881044</v>
      </c>
      <c r="L2895" s="27">
        <f t="shared" ca="1" si="589"/>
        <v>0</v>
      </c>
      <c r="M2895" s="27">
        <f t="shared" ca="1" si="590"/>
        <v>0</v>
      </c>
      <c r="N2895" s="28">
        <f t="shared" ca="1" si="591"/>
        <v>0</v>
      </c>
      <c r="O2895" s="29">
        <f t="shared" ca="1" si="592"/>
        <v>0</v>
      </c>
      <c r="P2895" s="30">
        <f t="shared" ca="1" si="593"/>
        <v>0</v>
      </c>
    </row>
    <row r="2896" spans="1:16" x14ac:dyDescent="0.25">
      <c r="A2896" s="3">
        <f t="shared" si="594"/>
        <v>50166</v>
      </c>
      <c r="B2896" s="21">
        <f t="shared" si="585"/>
        <v>36652</v>
      </c>
      <c r="C2896" s="21">
        <f t="shared" si="586"/>
        <v>36697</v>
      </c>
      <c r="D2896" s="1">
        <f t="shared" si="595"/>
        <v>0</v>
      </c>
      <c r="E2896" s="3">
        <f t="array" ref="E2896">INDEX($A$9:A2895, MAX(IF($D$9:D2895=1, ROW(D$9:$D2895)-ROW($D$9)+1, 0)))</f>
        <v>50119</v>
      </c>
      <c r="F2896" s="23">
        <f t="shared" si="587"/>
        <v>11.063655030800822</v>
      </c>
      <c r="G2896" s="5">
        <f>INDEX('Default Prob'!$P$5:$P$14,MIN(1+_xlfn.IFNA(MATCH(F2896,'Default Prob'!$F$5:$F$14,1),0),COUNT('Default Prob'!$P$5:$P$14)))</f>
        <v>8.0322462664562722E-2</v>
      </c>
      <c r="H2896" s="5">
        <f t="shared" si="596"/>
        <v>0.64466477282388435</v>
      </c>
      <c r="I2896" s="24">
        <f t="shared" si="597"/>
        <v>1.4178441115442197E-4</v>
      </c>
      <c r="J2896" s="25">
        <f>INDEX('Default Prob'!$C$3:$C$13, _xlfn.IFNA(MATCH(F2896, 'Default Prob'!$B$3:$B$13, 1), 1))</f>
        <v>2.5600000000000001E-2</v>
      </c>
      <c r="K2896" s="26">
        <f t="shared" si="588"/>
        <v>0.75603701782691901</v>
      </c>
      <c r="L2896" s="27">
        <f t="shared" ca="1" si="589"/>
        <v>0</v>
      </c>
      <c r="M2896" s="27">
        <f t="shared" ca="1" si="590"/>
        <v>0</v>
      </c>
      <c r="N2896" s="28">
        <f t="shared" ca="1" si="591"/>
        <v>0</v>
      </c>
      <c r="O2896" s="29">
        <f t="shared" ca="1" si="592"/>
        <v>0</v>
      </c>
      <c r="P2896" s="30">
        <f t="shared" ca="1" si="593"/>
        <v>0</v>
      </c>
    </row>
    <row r="2897" spans="1:16" x14ac:dyDescent="0.25">
      <c r="A2897" s="3">
        <f t="shared" si="594"/>
        <v>50167</v>
      </c>
      <c r="B2897" s="21">
        <f t="shared" si="585"/>
        <v>36653</v>
      </c>
      <c r="C2897" s="21">
        <f t="shared" si="586"/>
        <v>36697</v>
      </c>
      <c r="D2897" s="1">
        <f t="shared" si="595"/>
        <v>0</v>
      </c>
      <c r="E2897" s="3">
        <f t="array" ref="E2897">INDEX($A$9:A2896, MAX(IF($D$9:D2896=1, ROW(D$9:$D2896)-ROW($D$9)+1, 0)))</f>
        <v>50119</v>
      </c>
      <c r="F2897" s="23">
        <f t="shared" si="587"/>
        <v>11.066392881587953</v>
      </c>
      <c r="G2897" s="5">
        <f>INDEX('Default Prob'!$P$5:$P$14,MIN(1+_xlfn.IFNA(MATCH(F2897,'Default Prob'!$F$5:$F$14,1),0),COUNT('Default Prob'!$P$5:$P$14)))</f>
        <v>8.0322462664562722E-2</v>
      </c>
      <c r="H2897" s="5">
        <f t="shared" si="596"/>
        <v>0.64452301958924185</v>
      </c>
      <c r="I2897" s="24">
        <f t="shared" si="597"/>
        <v>1.4175323464249434E-4</v>
      </c>
      <c r="J2897" s="25">
        <f>INDEX('Default Prob'!$C$3:$C$13, _xlfn.IFNA(MATCH(F2897, 'Default Prob'!$B$3:$B$13, 1), 1))</f>
        <v>2.5600000000000001E-2</v>
      </c>
      <c r="K2897" s="26">
        <f t="shared" si="588"/>
        <v>0.7559846966861351</v>
      </c>
      <c r="L2897" s="27">
        <f t="shared" ca="1" si="589"/>
        <v>0</v>
      </c>
      <c r="M2897" s="27">
        <f t="shared" ca="1" si="590"/>
        <v>0</v>
      </c>
      <c r="N2897" s="28">
        <f t="shared" ca="1" si="591"/>
        <v>0</v>
      </c>
      <c r="O2897" s="29">
        <f t="shared" ca="1" si="592"/>
        <v>0</v>
      </c>
      <c r="P2897" s="30">
        <f t="shared" ca="1" si="593"/>
        <v>0</v>
      </c>
    </row>
    <row r="2898" spans="1:16" x14ac:dyDescent="0.25">
      <c r="A2898" s="3">
        <f t="shared" si="594"/>
        <v>50168</v>
      </c>
      <c r="B2898" s="21">
        <f t="shared" si="585"/>
        <v>36654</v>
      </c>
      <c r="C2898" s="21">
        <f t="shared" si="586"/>
        <v>36697</v>
      </c>
      <c r="D2898" s="1">
        <f t="shared" si="595"/>
        <v>0</v>
      </c>
      <c r="E2898" s="3">
        <f t="array" ref="E2898">INDEX($A$9:A2897, MAX(IF($D$9:D2897=1, ROW(D$9:$D2897)-ROW($D$9)+1, 0)))</f>
        <v>50119</v>
      </c>
      <c r="F2898" s="23">
        <f t="shared" si="587"/>
        <v>11.069130732375086</v>
      </c>
      <c r="G2898" s="5">
        <f>INDEX('Default Prob'!$P$5:$P$14,MIN(1+_xlfn.IFNA(MATCH(F2898,'Default Prob'!$F$5:$F$14,1),0),COUNT('Default Prob'!$P$5:$P$14)))</f>
        <v>8.0322462664562722E-2</v>
      </c>
      <c r="H2898" s="5">
        <f t="shared" si="596"/>
        <v>0.64438129752425577</v>
      </c>
      <c r="I2898" s="24">
        <f t="shared" si="597"/>
        <v>1.4172206498608286E-4</v>
      </c>
      <c r="J2898" s="25">
        <f>INDEX('Default Prob'!$C$3:$C$13, _xlfn.IFNA(MATCH(F2898, 'Default Prob'!$B$3:$B$13, 1), 1))</f>
        <v>2.5600000000000001E-2</v>
      </c>
      <c r="K2898" s="26">
        <f t="shared" si="588"/>
        <v>0.75593237916620815</v>
      </c>
      <c r="L2898" s="27">
        <f t="shared" ca="1" si="589"/>
        <v>0</v>
      </c>
      <c r="M2898" s="27">
        <f t="shared" ca="1" si="590"/>
        <v>0</v>
      </c>
      <c r="N2898" s="28">
        <f t="shared" ca="1" si="591"/>
        <v>0</v>
      </c>
      <c r="O2898" s="29">
        <f t="shared" ca="1" si="592"/>
        <v>0</v>
      </c>
      <c r="P2898" s="30">
        <f t="shared" ca="1" si="593"/>
        <v>0</v>
      </c>
    </row>
    <row r="2899" spans="1:16" x14ac:dyDescent="0.25">
      <c r="A2899" s="3">
        <f t="shared" si="594"/>
        <v>50171</v>
      </c>
      <c r="B2899" s="21">
        <f t="shared" si="585"/>
        <v>36657</v>
      </c>
      <c r="C2899" s="21">
        <f t="shared" si="586"/>
        <v>36697</v>
      </c>
      <c r="D2899" s="1">
        <f t="shared" si="595"/>
        <v>0</v>
      </c>
      <c r="E2899" s="3">
        <f t="array" ref="E2899">INDEX($A$9:A2898, MAX(IF($D$9:D2898=1, ROW(D$9:$D2898)-ROW($D$9)+1, 0)))</f>
        <v>50119</v>
      </c>
      <c r="F2899" s="23">
        <f t="shared" si="587"/>
        <v>11.077344284736482</v>
      </c>
      <c r="G2899" s="5">
        <f>INDEX('Default Prob'!$P$5:$P$14,MIN(1+_xlfn.IFNA(MATCH(F2899,'Default Prob'!$F$5:$F$14,1),0),COUNT('Default Prob'!$P$5:$P$14)))</f>
        <v>8.0322462664562722E-2</v>
      </c>
      <c r="H2899" s="5">
        <f t="shared" si="596"/>
        <v>0.64395631827870625</v>
      </c>
      <c r="I2899" s="24">
        <f t="shared" si="597"/>
        <v>4.2497924554951716E-4</v>
      </c>
      <c r="J2899" s="25">
        <f>INDEX('Default Prob'!$C$3:$C$13, _xlfn.IFNA(MATCH(F2899, 'Default Prob'!$B$3:$B$13, 1), 1))</f>
        <v>2.5600000000000001E-2</v>
      </c>
      <c r="K2899" s="26">
        <f t="shared" si="588"/>
        <v>0.75577544832906185</v>
      </c>
      <c r="L2899" s="27">
        <f t="shared" ca="1" si="589"/>
        <v>0</v>
      </c>
      <c r="M2899" s="27">
        <f t="shared" ca="1" si="590"/>
        <v>0</v>
      </c>
      <c r="N2899" s="28">
        <f t="shared" ca="1" si="591"/>
        <v>0</v>
      </c>
      <c r="O2899" s="29">
        <f t="shared" ca="1" si="592"/>
        <v>0</v>
      </c>
      <c r="P2899" s="30">
        <f t="shared" ca="1" si="593"/>
        <v>0</v>
      </c>
    </row>
    <row r="2900" spans="1:16" x14ac:dyDescent="0.25">
      <c r="A2900" s="3">
        <f t="shared" si="594"/>
        <v>50172</v>
      </c>
      <c r="B2900" s="21">
        <f t="shared" si="585"/>
        <v>36658</v>
      </c>
      <c r="C2900" s="21">
        <f t="shared" si="586"/>
        <v>36697</v>
      </c>
      <c r="D2900" s="1">
        <f t="shared" si="595"/>
        <v>0</v>
      </c>
      <c r="E2900" s="3">
        <f t="array" ref="E2900">INDEX($A$9:A2899, MAX(IF($D$9:D2899=1, ROW(D$9:$D2899)-ROW($D$9)+1, 0)))</f>
        <v>50119</v>
      </c>
      <c r="F2900" s="23">
        <f t="shared" si="587"/>
        <v>11.080082135523615</v>
      </c>
      <c r="G2900" s="5">
        <f>INDEX('Default Prob'!$P$5:$P$14,MIN(1+_xlfn.IFNA(MATCH(F2900,'Default Prob'!$F$5:$F$14,1),0),COUNT('Default Prob'!$P$5:$P$14)))</f>
        <v>8.0322462664562722E-2</v>
      </c>
      <c r="H2900" s="5">
        <f t="shared" si="596"/>
        <v>0.64381472082382329</v>
      </c>
      <c r="I2900" s="24">
        <f t="shared" si="597"/>
        <v>1.4159745488295794E-4</v>
      </c>
      <c r="J2900" s="25">
        <f>INDEX('Default Prob'!$C$3:$C$13, _xlfn.IFNA(MATCH(F2900, 'Default Prob'!$B$3:$B$13, 1), 1))</f>
        <v>2.5600000000000001E-2</v>
      </c>
      <c r="K2900" s="26">
        <f t="shared" si="588"/>
        <v>0.75572314529005635</v>
      </c>
      <c r="L2900" s="27">
        <f t="shared" ca="1" si="589"/>
        <v>0</v>
      </c>
      <c r="M2900" s="27">
        <f t="shared" ca="1" si="590"/>
        <v>0</v>
      </c>
      <c r="N2900" s="28">
        <f t="shared" ca="1" si="591"/>
        <v>0</v>
      </c>
      <c r="O2900" s="29">
        <f t="shared" ca="1" si="592"/>
        <v>0</v>
      </c>
      <c r="P2900" s="30">
        <f t="shared" ca="1" si="593"/>
        <v>0</v>
      </c>
    </row>
    <row r="2901" spans="1:16" x14ac:dyDescent="0.25">
      <c r="A2901" s="3">
        <f t="shared" si="594"/>
        <v>50173</v>
      </c>
      <c r="B2901" s="21">
        <f t="shared" si="585"/>
        <v>36659</v>
      </c>
      <c r="C2901" s="21">
        <f t="shared" si="586"/>
        <v>36697</v>
      </c>
      <c r="D2901" s="1">
        <f t="shared" si="595"/>
        <v>0</v>
      </c>
      <c r="E2901" s="3">
        <f t="array" ref="E2901">INDEX($A$9:A2900, MAX(IF($D$9:D2900=1, ROW(D$9:$D2900)-ROW($D$9)+1, 0)))</f>
        <v>50119</v>
      </c>
      <c r="F2901" s="23">
        <f t="shared" si="587"/>
        <v>11.082819986310746</v>
      </c>
      <c r="G2901" s="5">
        <f>INDEX('Default Prob'!$P$5:$P$14,MIN(1+_xlfn.IFNA(MATCH(F2901,'Default Prob'!$F$5:$F$14,1),0),COUNT('Default Prob'!$P$5:$P$14)))</f>
        <v>8.0322462664562722E-2</v>
      </c>
      <c r="H2901" s="5">
        <f t="shared" si="596"/>
        <v>0.64367315450434304</v>
      </c>
      <c r="I2901" s="24">
        <f t="shared" si="597"/>
        <v>1.4156631948025744E-4</v>
      </c>
      <c r="J2901" s="25">
        <f>INDEX('Default Prob'!$C$3:$C$13, _xlfn.IFNA(MATCH(F2901, 'Default Prob'!$B$3:$B$13, 1), 1))</f>
        <v>2.5600000000000001E-2</v>
      </c>
      <c r="K2901" s="26">
        <f t="shared" si="588"/>
        <v>0.75567084587065481</v>
      </c>
      <c r="L2901" s="27">
        <f t="shared" ca="1" si="589"/>
        <v>0</v>
      </c>
      <c r="M2901" s="27">
        <f t="shared" ca="1" si="590"/>
        <v>0</v>
      </c>
      <c r="N2901" s="28">
        <f t="shared" ca="1" si="591"/>
        <v>0</v>
      </c>
      <c r="O2901" s="29">
        <f t="shared" ca="1" si="592"/>
        <v>0</v>
      </c>
      <c r="P2901" s="30">
        <f t="shared" ca="1" si="593"/>
        <v>0</v>
      </c>
    </row>
    <row r="2902" spans="1:16" x14ac:dyDescent="0.25">
      <c r="A2902" s="3">
        <f t="shared" si="594"/>
        <v>50174</v>
      </c>
      <c r="B2902" s="21">
        <f t="shared" si="585"/>
        <v>36660</v>
      </c>
      <c r="C2902" s="21">
        <f t="shared" si="586"/>
        <v>36697</v>
      </c>
      <c r="D2902" s="1">
        <f t="shared" si="595"/>
        <v>0</v>
      </c>
      <c r="E2902" s="3">
        <f t="array" ref="E2902">INDEX($A$9:A2901, MAX(IF($D$9:D2901=1, ROW(D$9:$D2901)-ROW($D$9)+1, 0)))</f>
        <v>50119</v>
      </c>
      <c r="F2902" s="23">
        <f t="shared" si="587"/>
        <v>11.085557837097879</v>
      </c>
      <c r="G2902" s="5">
        <f>INDEX('Default Prob'!$P$5:$P$14,MIN(1+_xlfn.IFNA(MATCH(F2902,'Default Prob'!$F$5:$F$14,1),0),COUNT('Default Prob'!$P$5:$P$14)))</f>
        <v>8.0322462664562722E-2</v>
      </c>
      <c r="H2902" s="5">
        <f t="shared" si="596"/>
        <v>0.64353161931341907</v>
      </c>
      <c r="I2902" s="24">
        <f t="shared" si="597"/>
        <v>1.4153519092396927E-4</v>
      </c>
      <c r="J2902" s="25">
        <f>INDEX('Default Prob'!$C$3:$C$13, _xlfn.IFNA(MATCH(F2902, 'Default Prob'!$B$3:$B$13, 1), 1))</f>
        <v>2.5600000000000001E-2</v>
      </c>
      <c r="K2902" s="26">
        <f t="shared" si="588"/>
        <v>0.75561855007060696</v>
      </c>
      <c r="L2902" s="27">
        <f t="shared" ca="1" si="589"/>
        <v>0</v>
      </c>
      <c r="M2902" s="27">
        <f t="shared" ca="1" si="590"/>
        <v>0</v>
      </c>
      <c r="N2902" s="28">
        <f t="shared" ca="1" si="591"/>
        <v>0</v>
      </c>
      <c r="O2902" s="29">
        <f t="shared" ca="1" si="592"/>
        <v>0</v>
      </c>
      <c r="P2902" s="30">
        <f t="shared" ca="1" si="593"/>
        <v>0</v>
      </c>
    </row>
    <row r="2903" spans="1:16" x14ac:dyDescent="0.25">
      <c r="A2903" s="3">
        <f t="shared" si="594"/>
        <v>50175</v>
      </c>
      <c r="B2903" s="21">
        <f t="shared" si="585"/>
        <v>36661</v>
      </c>
      <c r="C2903" s="21">
        <f t="shared" si="586"/>
        <v>36697</v>
      </c>
      <c r="D2903" s="1">
        <f t="shared" si="595"/>
        <v>0</v>
      </c>
      <c r="E2903" s="3">
        <f t="array" ref="E2903">INDEX($A$9:A2902, MAX(IF($D$9:D2902=1, ROW(D$9:$D2902)-ROW($D$9)+1, 0)))</f>
        <v>50119</v>
      </c>
      <c r="F2903" s="23">
        <f t="shared" si="587"/>
        <v>11.08829568788501</v>
      </c>
      <c r="G2903" s="5">
        <f>INDEX('Default Prob'!$P$5:$P$14,MIN(1+_xlfn.IFNA(MATCH(F2903,'Default Prob'!$F$5:$F$14,1),0),COUNT('Default Prob'!$P$5:$P$14)))</f>
        <v>8.0322462664562722E-2</v>
      </c>
      <c r="H2903" s="5">
        <f t="shared" si="596"/>
        <v>0.64339011524420675</v>
      </c>
      <c r="I2903" s="24">
        <f t="shared" si="597"/>
        <v>1.4150406921231706E-4</v>
      </c>
      <c r="J2903" s="25">
        <f>INDEX('Default Prob'!$C$3:$C$13, _xlfn.IFNA(MATCH(F2903, 'Default Prob'!$B$3:$B$13, 1), 1))</f>
        <v>2.5600000000000001E-2</v>
      </c>
      <c r="K2903" s="26">
        <f t="shared" si="588"/>
        <v>0.75556625788966214</v>
      </c>
      <c r="L2903" s="27">
        <f t="shared" ca="1" si="589"/>
        <v>0</v>
      </c>
      <c r="M2903" s="27">
        <f t="shared" ca="1" si="590"/>
        <v>0</v>
      </c>
      <c r="N2903" s="28">
        <f t="shared" ca="1" si="591"/>
        <v>0</v>
      </c>
      <c r="O2903" s="29">
        <f t="shared" ca="1" si="592"/>
        <v>0</v>
      </c>
      <c r="P2903" s="30">
        <f t="shared" ca="1" si="593"/>
        <v>0</v>
      </c>
    </row>
    <row r="2904" spans="1:16" x14ac:dyDescent="0.25">
      <c r="A2904" s="3">
        <f t="shared" si="594"/>
        <v>50178</v>
      </c>
      <c r="B2904" s="21">
        <f t="shared" si="585"/>
        <v>36664</v>
      </c>
      <c r="C2904" s="21">
        <f t="shared" si="586"/>
        <v>36697</v>
      </c>
      <c r="D2904" s="1">
        <f t="shared" si="595"/>
        <v>0</v>
      </c>
      <c r="E2904" s="3">
        <f t="array" ref="E2904">INDEX($A$9:A2903, MAX(IF($D$9:D2903=1, ROW(D$9:$D2903)-ROW($D$9)+1, 0)))</f>
        <v>50119</v>
      </c>
      <c r="F2904" s="23">
        <f t="shared" si="587"/>
        <v>11.096509240246407</v>
      </c>
      <c r="G2904" s="5">
        <f>INDEX('Default Prob'!$P$5:$P$14,MIN(1+_xlfn.IFNA(MATCH(F2904,'Default Prob'!$F$5:$F$14,1),0),COUNT('Default Prob'!$P$5:$P$14)))</f>
        <v>8.0322462664562722E-2</v>
      </c>
      <c r="H2904" s="5">
        <f t="shared" si="596"/>
        <v>0.64296578969841411</v>
      </c>
      <c r="I2904" s="24">
        <f t="shared" si="597"/>
        <v>4.2432554579263648E-4</v>
      </c>
      <c r="J2904" s="25">
        <f>INDEX('Default Prob'!$C$3:$C$13, _xlfn.IFNA(MATCH(F2904, 'Default Prob'!$B$3:$B$13, 1), 1))</f>
        <v>2.5600000000000001E-2</v>
      </c>
      <c r="K2904" s="26">
        <f t="shared" si="588"/>
        <v>0.75540940305894189</v>
      </c>
      <c r="L2904" s="27">
        <f t="shared" ca="1" si="589"/>
        <v>0</v>
      </c>
      <c r="M2904" s="27">
        <f t="shared" ca="1" si="590"/>
        <v>0</v>
      </c>
      <c r="N2904" s="28">
        <f t="shared" ca="1" si="591"/>
        <v>0</v>
      </c>
      <c r="O2904" s="29">
        <f t="shared" ca="1" si="592"/>
        <v>0</v>
      </c>
      <c r="P2904" s="30">
        <f t="shared" ca="1" si="593"/>
        <v>0</v>
      </c>
    </row>
    <row r="2905" spans="1:16" x14ac:dyDescent="0.25">
      <c r="A2905" s="3">
        <f t="shared" si="594"/>
        <v>50179</v>
      </c>
      <c r="B2905" s="21">
        <f t="shared" si="585"/>
        <v>36665</v>
      </c>
      <c r="C2905" s="21">
        <f t="shared" si="586"/>
        <v>36697</v>
      </c>
      <c r="D2905" s="1">
        <f t="shared" si="595"/>
        <v>0</v>
      </c>
      <c r="E2905" s="3">
        <f t="array" ref="E2905">INDEX($A$9:A2904, MAX(IF($D$9:D2904=1, ROW(D$9:$D2904)-ROW($D$9)+1, 0)))</f>
        <v>50119</v>
      </c>
      <c r="F2905" s="23">
        <f t="shared" si="587"/>
        <v>11.099247091033538</v>
      </c>
      <c r="G2905" s="5">
        <f>INDEX('Default Prob'!$P$5:$P$14,MIN(1+_xlfn.IFNA(MATCH(F2905,'Default Prob'!$F$5:$F$14,1),0),COUNT('Default Prob'!$P$5:$P$14)))</f>
        <v>8.0322462664562722E-2</v>
      </c>
      <c r="H2905" s="5">
        <f t="shared" si="596"/>
        <v>0.64282441004763069</v>
      </c>
      <c r="I2905" s="24">
        <f t="shared" si="597"/>
        <v>1.4137965078342418E-4</v>
      </c>
      <c r="J2905" s="25">
        <f>INDEX('Default Prob'!$C$3:$C$13, _xlfn.IFNA(MATCH(F2905, 'Default Prob'!$B$3:$B$13, 1), 1))</f>
        <v>2.5600000000000001E-2</v>
      </c>
      <c r="K2905" s="26">
        <f t="shared" si="588"/>
        <v>0.75535712535190513</v>
      </c>
      <c r="L2905" s="27">
        <f t="shared" ca="1" si="589"/>
        <v>0</v>
      </c>
      <c r="M2905" s="27">
        <f t="shared" ca="1" si="590"/>
        <v>0</v>
      </c>
      <c r="N2905" s="28">
        <f t="shared" ca="1" si="591"/>
        <v>0</v>
      </c>
      <c r="O2905" s="29">
        <f t="shared" ca="1" si="592"/>
        <v>0</v>
      </c>
      <c r="P2905" s="30">
        <f t="shared" ca="1" si="593"/>
        <v>0</v>
      </c>
    </row>
    <row r="2906" spans="1:16" x14ac:dyDescent="0.25">
      <c r="A2906" s="3">
        <f t="shared" si="594"/>
        <v>50180</v>
      </c>
      <c r="B2906" s="21">
        <f t="shared" si="585"/>
        <v>36666</v>
      </c>
      <c r="C2906" s="21">
        <f t="shared" si="586"/>
        <v>36697</v>
      </c>
      <c r="D2906" s="1">
        <f t="shared" si="595"/>
        <v>0</v>
      </c>
      <c r="E2906" s="3">
        <f t="array" ref="E2906">INDEX($A$9:A2905, MAX(IF($D$9:D2905=1, ROW(D$9:$D2905)-ROW($D$9)+1, 0)))</f>
        <v>50119</v>
      </c>
      <c r="F2906" s="23">
        <f t="shared" si="587"/>
        <v>11.101984941820671</v>
      </c>
      <c r="G2906" s="5">
        <f>INDEX('Default Prob'!$P$5:$P$14,MIN(1+_xlfn.IFNA(MATCH(F2906,'Default Prob'!$F$5:$F$14,1),0),COUNT('Default Prob'!$P$5:$P$14)))</f>
        <v>8.0322462664562722E-2</v>
      </c>
      <c r="H2906" s="5">
        <f t="shared" si="596"/>
        <v>0.6426830614843575</v>
      </c>
      <c r="I2906" s="24">
        <f t="shared" si="597"/>
        <v>1.4134856327319145E-4</v>
      </c>
      <c r="J2906" s="25">
        <f>INDEX('Default Prob'!$C$3:$C$13, _xlfn.IFNA(MATCH(F2906, 'Default Prob'!$B$3:$B$13, 1), 1))</f>
        <v>2.5600000000000001E-2</v>
      </c>
      <c r="K2906" s="26">
        <f t="shared" si="588"/>
        <v>0.75530485126271929</v>
      </c>
      <c r="L2906" s="27">
        <f t="shared" ca="1" si="589"/>
        <v>0</v>
      </c>
      <c r="M2906" s="27">
        <f t="shared" ca="1" si="590"/>
        <v>0</v>
      </c>
      <c r="N2906" s="28">
        <f t="shared" ca="1" si="591"/>
        <v>0</v>
      </c>
      <c r="O2906" s="29">
        <f t="shared" ca="1" si="592"/>
        <v>0</v>
      </c>
      <c r="P2906" s="30">
        <f t="shared" ca="1" si="593"/>
        <v>0</v>
      </c>
    </row>
    <row r="2907" spans="1:16" x14ac:dyDescent="0.25">
      <c r="A2907" s="3">
        <f t="shared" si="594"/>
        <v>50181</v>
      </c>
      <c r="B2907" s="21">
        <f t="shared" si="585"/>
        <v>36667</v>
      </c>
      <c r="C2907" s="21">
        <f t="shared" si="586"/>
        <v>36697</v>
      </c>
      <c r="D2907" s="1">
        <f t="shared" si="595"/>
        <v>0</v>
      </c>
      <c r="E2907" s="3">
        <f t="array" ref="E2907">INDEX($A$9:A2906, MAX(IF($D$9:D2906=1, ROW(D$9:$D2906)-ROW($D$9)+1, 0)))</f>
        <v>50119</v>
      </c>
      <c r="F2907" s="23">
        <f t="shared" si="587"/>
        <v>11.104722792607802</v>
      </c>
      <c r="G2907" s="5">
        <f>INDEX('Default Prob'!$P$5:$P$14,MIN(1+_xlfn.IFNA(MATCH(F2907,'Default Prob'!$F$5:$F$14,1),0),COUNT('Default Prob'!$P$5:$P$14)))</f>
        <v>8.0322462664562722E-2</v>
      </c>
      <c r="H2907" s="5">
        <f t="shared" si="596"/>
        <v>0.64254174400175901</v>
      </c>
      <c r="I2907" s="24">
        <f t="shared" si="597"/>
        <v>1.4131748259849086E-4</v>
      </c>
      <c r="J2907" s="25">
        <f>INDEX('Default Prob'!$C$3:$C$13, _xlfn.IFNA(MATCH(F2907, 'Default Prob'!$B$3:$B$13, 1), 1))</f>
        <v>2.5600000000000001E-2</v>
      </c>
      <c r="K2907" s="26">
        <f t="shared" si="588"/>
        <v>0.75525258079113422</v>
      </c>
      <c r="L2907" s="27">
        <f t="shared" ca="1" si="589"/>
        <v>0</v>
      </c>
      <c r="M2907" s="27">
        <f t="shared" ca="1" si="590"/>
        <v>0</v>
      </c>
      <c r="N2907" s="28">
        <f t="shared" ca="1" si="591"/>
        <v>0</v>
      </c>
      <c r="O2907" s="29">
        <f t="shared" ca="1" si="592"/>
        <v>0</v>
      </c>
      <c r="P2907" s="30">
        <f t="shared" ca="1" si="593"/>
        <v>0</v>
      </c>
    </row>
    <row r="2908" spans="1:16" x14ac:dyDescent="0.25">
      <c r="A2908" s="3">
        <f t="shared" si="594"/>
        <v>50182</v>
      </c>
      <c r="B2908" s="21">
        <f t="shared" si="585"/>
        <v>36668</v>
      </c>
      <c r="C2908" s="21">
        <f t="shared" si="586"/>
        <v>36697</v>
      </c>
      <c r="D2908" s="1">
        <f t="shared" si="595"/>
        <v>0</v>
      </c>
      <c r="E2908" s="3">
        <f t="array" ref="E2908">INDEX($A$9:A2907, MAX(IF($D$9:D2907=1, ROW(D$9:$D2907)-ROW($D$9)+1, 0)))</f>
        <v>50119</v>
      </c>
      <c r="F2908" s="23">
        <f t="shared" si="587"/>
        <v>11.107460643394935</v>
      </c>
      <c r="G2908" s="5">
        <f>INDEX('Default Prob'!$P$5:$P$14,MIN(1+_xlfn.IFNA(MATCH(F2908,'Default Prob'!$F$5:$F$14,1),0),COUNT('Default Prob'!$P$5:$P$14)))</f>
        <v>8.0322462664562722E-2</v>
      </c>
      <c r="H2908" s="5">
        <f t="shared" si="596"/>
        <v>0.64240045759300091</v>
      </c>
      <c r="I2908" s="24">
        <f t="shared" si="597"/>
        <v>1.4128640875810117E-4</v>
      </c>
      <c r="J2908" s="25">
        <f>INDEX('Default Prob'!$C$3:$C$13, _xlfn.IFNA(MATCH(F2908, 'Default Prob'!$B$3:$B$13, 1), 1))</f>
        <v>2.5600000000000001E-2</v>
      </c>
      <c r="K2908" s="26">
        <f t="shared" si="588"/>
        <v>0.75520031393689924</v>
      </c>
      <c r="L2908" s="27">
        <f t="shared" ca="1" si="589"/>
        <v>0</v>
      </c>
      <c r="M2908" s="27">
        <f t="shared" ca="1" si="590"/>
        <v>0</v>
      </c>
      <c r="N2908" s="28">
        <f t="shared" ca="1" si="591"/>
        <v>0</v>
      </c>
      <c r="O2908" s="29">
        <f t="shared" ca="1" si="592"/>
        <v>0</v>
      </c>
      <c r="P2908" s="30">
        <f t="shared" ca="1" si="593"/>
        <v>0</v>
      </c>
    </row>
    <row r="2909" spans="1:16" x14ac:dyDescent="0.25">
      <c r="A2909" s="3">
        <f t="shared" si="594"/>
        <v>50185</v>
      </c>
      <c r="B2909" s="21">
        <f t="shared" si="585"/>
        <v>36671</v>
      </c>
      <c r="C2909" s="21">
        <f t="shared" si="586"/>
        <v>36697</v>
      </c>
      <c r="D2909" s="1">
        <f t="shared" si="595"/>
        <v>0</v>
      </c>
      <c r="E2909" s="3">
        <f t="array" ref="E2909">INDEX($A$9:A2908, MAX(IF($D$9:D2908=1, ROW(D$9:$D2908)-ROW($D$9)+1, 0)))</f>
        <v>50119</v>
      </c>
      <c r="F2909" s="23">
        <f t="shared" si="587"/>
        <v>11.115674195756331</v>
      </c>
      <c r="G2909" s="5">
        <f>INDEX('Default Prob'!$P$5:$P$14,MIN(1+_xlfn.IFNA(MATCH(F2909,'Default Prob'!$F$5:$F$14,1),0),COUNT('Default Prob'!$P$5:$P$14)))</f>
        <v>8.0322462664562722E-2</v>
      </c>
      <c r="H2909" s="5">
        <f t="shared" si="596"/>
        <v>0.64197678474144948</v>
      </c>
      <c r="I2909" s="24">
        <f t="shared" si="597"/>
        <v>4.2367285155142653E-4</v>
      </c>
      <c r="J2909" s="25">
        <f>INDEX('Default Prob'!$C$3:$C$13, _xlfn.IFNA(MATCH(F2909, 'Default Prob'!$B$3:$B$13, 1), 1))</f>
        <v>2.5600000000000001E-2</v>
      </c>
      <c r="K2909" s="26">
        <f t="shared" si="588"/>
        <v>0.75504353507579269</v>
      </c>
      <c r="L2909" s="27">
        <f t="shared" ca="1" si="589"/>
        <v>0</v>
      </c>
      <c r="M2909" s="27">
        <f t="shared" ca="1" si="590"/>
        <v>0</v>
      </c>
      <c r="N2909" s="28">
        <f t="shared" ca="1" si="591"/>
        <v>0</v>
      </c>
      <c r="O2909" s="29">
        <f t="shared" ca="1" si="592"/>
        <v>0</v>
      </c>
      <c r="P2909" s="30">
        <f t="shared" ca="1" si="593"/>
        <v>0</v>
      </c>
    </row>
    <row r="2910" spans="1:16" x14ac:dyDescent="0.25">
      <c r="A2910" s="3">
        <f t="shared" si="594"/>
        <v>50186</v>
      </c>
      <c r="B2910" s="21">
        <f t="shared" si="585"/>
        <v>36672</v>
      </c>
      <c r="C2910" s="21">
        <f t="shared" si="586"/>
        <v>36697</v>
      </c>
      <c r="D2910" s="1">
        <f t="shared" si="595"/>
        <v>0</v>
      </c>
      <c r="E2910" s="3">
        <f t="array" ref="E2910">INDEX($A$9:A2909, MAX(IF($D$9:D2909=1, ROW(D$9:$D2909)-ROW($D$9)+1, 0)))</f>
        <v>50119</v>
      </c>
      <c r="F2910" s="23">
        <f t="shared" si="587"/>
        <v>11.118412046543463</v>
      </c>
      <c r="G2910" s="5">
        <f>INDEX('Default Prob'!$P$5:$P$14,MIN(1+_xlfn.IFNA(MATCH(F2910,'Default Prob'!$F$5:$F$14,1),0),COUNT('Default Prob'!$P$5:$P$14)))</f>
        <v>8.0322462664562722E-2</v>
      </c>
      <c r="H2910" s="5">
        <f t="shared" si="596"/>
        <v>0.6418356225597408</v>
      </c>
      <c r="I2910" s="24">
        <f t="shared" si="597"/>
        <v>1.4116218170867612E-4</v>
      </c>
      <c r="J2910" s="25">
        <f>INDEX('Default Prob'!$C$3:$C$13, _xlfn.IFNA(MATCH(F2910, 'Default Prob'!$B$3:$B$13, 1), 1))</f>
        <v>2.5600000000000001E-2</v>
      </c>
      <c r="K2910" s="26">
        <f t="shared" si="588"/>
        <v>0.75499128268845561</v>
      </c>
      <c r="L2910" s="27">
        <f t="shared" ca="1" si="589"/>
        <v>0</v>
      </c>
      <c r="M2910" s="27">
        <f t="shared" ca="1" si="590"/>
        <v>0</v>
      </c>
      <c r="N2910" s="28">
        <f t="shared" ca="1" si="591"/>
        <v>0</v>
      </c>
      <c r="O2910" s="29">
        <f t="shared" ca="1" si="592"/>
        <v>0</v>
      </c>
      <c r="P2910" s="30">
        <f t="shared" ca="1" si="593"/>
        <v>0</v>
      </c>
    </row>
    <row r="2911" spans="1:16" x14ac:dyDescent="0.25">
      <c r="A2911" s="3">
        <f t="shared" si="594"/>
        <v>50187</v>
      </c>
      <c r="B2911" s="21">
        <f t="shared" si="585"/>
        <v>36673</v>
      </c>
      <c r="C2911" s="21">
        <f t="shared" si="586"/>
        <v>36697</v>
      </c>
      <c r="D2911" s="1">
        <f t="shared" si="595"/>
        <v>0</v>
      </c>
      <c r="E2911" s="3">
        <f t="array" ref="E2911">INDEX($A$9:A2910, MAX(IF($D$9:D2910=1, ROW(D$9:$D2910)-ROW($D$9)+1, 0)))</f>
        <v>50119</v>
      </c>
      <c r="F2911" s="23">
        <f t="shared" si="587"/>
        <v>11.121149897330595</v>
      </c>
      <c r="G2911" s="5">
        <f>INDEX('Default Prob'!$P$5:$P$14,MIN(1+_xlfn.IFNA(MATCH(F2911,'Default Prob'!$F$5:$F$14,1),0),COUNT('Default Prob'!$P$5:$P$14)))</f>
        <v>8.0322462664562722E-2</v>
      </c>
      <c r="H2911" s="5">
        <f t="shared" si="596"/>
        <v>0.64169449141772394</v>
      </c>
      <c r="I2911" s="24">
        <f t="shared" si="597"/>
        <v>1.4113114201685928E-4</v>
      </c>
      <c r="J2911" s="25">
        <f>INDEX('Default Prob'!$C$3:$C$13, _xlfn.IFNA(MATCH(F2911, 'Default Prob'!$B$3:$B$13, 1), 1))</f>
        <v>2.5600000000000001E-2</v>
      </c>
      <c r="K2911" s="26">
        <f t="shared" si="588"/>
        <v>0.75493903391721728</v>
      </c>
      <c r="L2911" s="27">
        <f t="shared" ca="1" si="589"/>
        <v>0</v>
      </c>
      <c r="M2911" s="27">
        <f t="shared" ca="1" si="590"/>
        <v>0</v>
      </c>
      <c r="N2911" s="28">
        <f t="shared" ca="1" si="591"/>
        <v>0</v>
      </c>
      <c r="O2911" s="29">
        <f t="shared" ca="1" si="592"/>
        <v>0</v>
      </c>
      <c r="P2911" s="30">
        <f t="shared" ca="1" si="593"/>
        <v>0</v>
      </c>
    </row>
    <row r="2912" spans="1:16" x14ac:dyDescent="0.25">
      <c r="A2912" s="3">
        <f t="shared" si="594"/>
        <v>50188</v>
      </c>
      <c r="B2912" s="21">
        <f t="shared" si="585"/>
        <v>36674</v>
      </c>
      <c r="C2912" s="21">
        <f t="shared" si="586"/>
        <v>36697</v>
      </c>
      <c r="D2912" s="1">
        <f t="shared" si="595"/>
        <v>0</v>
      </c>
      <c r="E2912" s="3">
        <f t="array" ref="E2912">INDEX($A$9:A2911, MAX(IF($D$9:D2911=1, ROW(D$9:$D2911)-ROW($D$9)+1, 0)))</f>
        <v>50119</v>
      </c>
      <c r="F2912" s="23">
        <f t="shared" si="587"/>
        <v>11.123887748117728</v>
      </c>
      <c r="G2912" s="5">
        <f>INDEX('Default Prob'!$P$5:$P$14,MIN(1+_xlfn.IFNA(MATCH(F2912,'Default Prob'!$F$5:$F$14,1),0),COUNT('Default Prob'!$P$5:$P$14)))</f>
        <v>8.0322462664562722E-2</v>
      </c>
      <c r="H2912" s="5">
        <f t="shared" si="596"/>
        <v>0.64155339130857358</v>
      </c>
      <c r="I2912" s="24">
        <f t="shared" si="597"/>
        <v>1.4110010915036053E-4</v>
      </c>
      <c r="J2912" s="25">
        <f>INDEX('Default Prob'!$C$3:$C$13, _xlfn.IFNA(MATCH(F2912, 'Default Prob'!$B$3:$B$13, 1), 1))</f>
        <v>2.5600000000000001E-2</v>
      </c>
      <c r="K2912" s="26">
        <f t="shared" si="588"/>
        <v>0.75488678876182747</v>
      </c>
      <c r="L2912" s="27">
        <f t="shared" ca="1" si="589"/>
        <v>0</v>
      </c>
      <c r="M2912" s="27">
        <f t="shared" ca="1" si="590"/>
        <v>0</v>
      </c>
      <c r="N2912" s="28">
        <f t="shared" ca="1" si="591"/>
        <v>0</v>
      </c>
      <c r="O2912" s="29">
        <f t="shared" ca="1" si="592"/>
        <v>0</v>
      </c>
      <c r="P2912" s="30">
        <f t="shared" ca="1" si="593"/>
        <v>0</v>
      </c>
    </row>
    <row r="2913" spans="1:16" x14ac:dyDescent="0.25">
      <c r="A2913" s="3">
        <f t="shared" si="594"/>
        <v>50189</v>
      </c>
      <c r="B2913" s="21">
        <f t="shared" si="585"/>
        <v>36675</v>
      </c>
      <c r="C2913" s="21">
        <f t="shared" si="586"/>
        <v>36697</v>
      </c>
      <c r="D2913" s="1">
        <f t="shared" si="595"/>
        <v>0</v>
      </c>
      <c r="E2913" s="3">
        <f t="array" ref="E2913">INDEX($A$9:A2912, MAX(IF($D$9:D2912=1, ROW(D$9:$D2912)-ROW($D$9)+1, 0)))</f>
        <v>50119</v>
      </c>
      <c r="F2913" s="23">
        <f t="shared" si="587"/>
        <v>11.126625598904859</v>
      </c>
      <c r="G2913" s="5">
        <f>INDEX('Default Prob'!$P$5:$P$14,MIN(1+_xlfn.IFNA(MATCH(F2913,'Default Prob'!$F$5:$F$14,1),0),COUNT('Default Prob'!$P$5:$P$14)))</f>
        <v>8.0322462664562722E-2</v>
      </c>
      <c r="H2913" s="5">
        <f t="shared" si="596"/>
        <v>0.64141232222546618</v>
      </c>
      <c r="I2913" s="24">
        <f t="shared" si="597"/>
        <v>1.4106908310740351E-4</v>
      </c>
      <c r="J2913" s="25">
        <f>INDEX('Default Prob'!$C$3:$C$13, _xlfn.IFNA(MATCH(F2913, 'Default Prob'!$B$3:$B$13, 1), 1))</f>
        <v>2.5600000000000001E-2</v>
      </c>
      <c r="K2913" s="26">
        <f t="shared" si="588"/>
        <v>0.75483454722203591</v>
      </c>
      <c r="L2913" s="27">
        <f t="shared" ca="1" si="589"/>
        <v>0</v>
      </c>
      <c r="M2913" s="27">
        <f t="shared" ca="1" si="590"/>
        <v>0</v>
      </c>
      <c r="N2913" s="28">
        <f t="shared" ca="1" si="591"/>
        <v>0</v>
      </c>
      <c r="O2913" s="29">
        <f t="shared" ca="1" si="592"/>
        <v>0</v>
      </c>
      <c r="P2913" s="30">
        <f t="shared" ca="1" si="593"/>
        <v>0</v>
      </c>
    </row>
    <row r="2914" spans="1:16" x14ac:dyDescent="0.25">
      <c r="A2914" s="3">
        <f t="shared" si="594"/>
        <v>50192</v>
      </c>
      <c r="B2914" s="21">
        <f t="shared" si="585"/>
        <v>36678</v>
      </c>
      <c r="C2914" s="21">
        <f t="shared" si="586"/>
        <v>36697</v>
      </c>
      <c r="D2914" s="1">
        <f t="shared" si="595"/>
        <v>0</v>
      </c>
      <c r="E2914" s="3">
        <f t="array" ref="E2914">INDEX($A$9:A2913, MAX(IF($D$9:D2913=1, ROW(D$9:$D2913)-ROW($D$9)+1, 0)))</f>
        <v>50119</v>
      </c>
      <c r="F2914" s="23">
        <f t="shared" si="587"/>
        <v>11.134839151266256</v>
      </c>
      <c r="G2914" s="5">
        <f>INDEX('Default Prob'!$P$5:$P$14,MIN(1+_xlfn.IFNA(MATCH(F2914,'Default Prob'!$F$5:$F$14,1),0),COUNT('Default Prob'!$P$5:$P$14)))</f>
        <v>8.0322462664562722E-2</v>
      </c>
      <c r="H2914" s="5">
        <f t="shared" si="596"/>
        <v>0.6409893010641865</v>
      </c>
      <c r="I2914" s="24">
        <f t="shared" si="597"/>
        <v>4.230211612796797E-4</v>
      </c>
      <c r="J2914" s="25">
        <f>INDEX('Default Prob'!$C$3:$C$13, _xlfn.IFNA(MATCH(F2914, 'Default Prob'!$B$3:$B$13, 1), 1))</f>
        <v>2.5600000000000001E-2</v>
      </c>
      <c r="K2914" s="26">
        <f t="shared" si="588"/>
        <v>0.75467784429374873</v>
      </c>
      <c r="L2914" s="27">
        <f t="shared" ca="1" si="589"/>
        <v>0</v>
      </c>
      <c r="M2914" s="27">
        <f t="shared" ca="1" si="590"/>
        <v>0</v>
      </c>
      <c r="N2914" s="28">
        <f t="shared" ca="1" si="591"/>
        <v>0</v>
      </c>
      <c r="O2914" s="29">
        <f t="shared" ca="1" si="592"/>
        <v>0</v>
      </c>
      <c r="P2914" s="30">
        <f t="shared" ca="1" si="593"/>
        <v>0</v>
      </c>
    </row>
    <row r="2915" spans="1:16" x14ac:dyDescent="0.25">
      <c r="A2915" s="3">
        <f t="shared" si="594"/>
        <v>50193</v>
      </c>
      <c r="B2915" s="21">
        <f t="shared" si="585"/>
        <v>36679</v>
      </c>
      <c r="C2915" s="21">
        <f t="shared" si="586"/>
        <v>36697</v>
      </c>
      <c r="D2915" s="1">
        <f t="shared" si="595"/>
        <v>0</v>
      </c>
      <c r="E2915" s="3">
        <f t="array" ref="E2915">INDEX($A$9:A2914, MAX(IF($D$9:D2914=1, ROW(D$9:$D2914)-ROW($D$9)+1, 0)))</f>
        <v>50119</v>
      </c>
      <c r="F2915" s="23">
        <f t="shared" si="587"/>
        <v>11.137577002053389</v>
      </c>
      <c r="G2915" s="5">
        <f>INDEX('Default Prob'!$P$5:$P$14,MIN(1+_xlfn.IFNA(MATCH(F2915,'Default Prob'!$F$5:$F$14,1),0),COUNT('Default Prob'!$P$5:$P$14)))</f>
        <v>8.0322462664562722E-2</v>
      </c>
      <c r="H2915" s="5">
        <f t="shared" si="596"/>
        <v>0.64084835601704337</v>
      </c>
      <c r="I2915" s="24">
        <f t="shared" si="597"/>
        <v>1.4094504714312617E-4</v>
      </c>
      <c r="J2915" s="25">
        <f>INDEX('Default Prob'!$C$3:$C$13, _xlfn.IFNA(MATCH(F2915, 'Default Prob'!$B$3:$B$13, 1), 1))</f>
        <v>2.5600000000000001E-2</v>
      </c>
      <c r="K2915" s="26">
        <f t="shared" si="588"/>
        <v>0.75462561721384813</v>
      </c>
      <c r="L2915" s="27">
        <f t="shared" ca="1" si="589"/>
        <v>0</v>
      </c>
      <c r="M2915" s="27">
        <f t="shared" ca="1" si="590"/>
        <v>0</v>
      </c>
      <c r="N2915" s="28">
        <f t="shared" ca="1" si="591"/>
        <v>0</v>
      </c>
      <c r="O2915" s="29">
        <f t="shared" ca="1" si="592"/>
        <v>0</v>
      </c>
      <c r="P2915" s="30">
        <f t="shared" ca="1" si="593"/>
        <v>0</v>
      </c>
    </row>
    <row r="2916" spans="1:16" x14ac:dyDescent="0.25">
      <c r="A2916" s="3">
        <f t="shared" si="594"/>
        <v>50194</v>
      </c>
      <c r="B2916" s="21">
        <f t="shared" si="585"/>
        <v>36680</v>
      </c>
      <c r="C2916" s="21">
        <f t="shared" si="586"/>
        <v>36697</v>
      </c>
      <c r="D2916" s="1">
        <f t="shared" si="595"/>
        <v>0</v>
      </c>
      <c r="E2916" s="3">
        <f t="array" ref="E2916">INDEX($A$9:A2915, MAX(IF($D$9:D2915=1, ROW(D$9:$D2915)-ROW($D$9)+1, 0)))</f>
        <v>50119</v>
      </c>
      <c r="F2916" s="23">
        <f t="shared" si="587"/>
        <v>11.14031485284052</v>
      </c>
      <c r="G2916" s="5">
        <f>INDEX('Default Prob'!$P$5:$P$14,MIN(1+_xlfn.IFNA(MATCH(F2916,'Default Prob'!$F$5:$F$14,1),0),COUNT('Default Prob'!$P$5:$P$14)))</f>
        <v>8.0322462664562722E-2</v>
      </c>
      <c r="H2916" s="5">
        <f t="shared" si="596"/>
        <v>0.64070744196184715</v>
      </c>
      <c r="I2916" s="24">
        <f t="shared" si="597"/>
        <v>1.4091405519622846E-4</v>
      </c>
      <c r="J2916" s="25">
        <f>INDEX('Default Prob'!$C$3:$C$13, _xlfn.IFNA(MATCH(F2916, 'Default Prob'!$B$3:$B$13, 1), 1))</f>
        <v>2.5600000000000001E-2</v>
      </c>
      <c r="K2916" s="26">
        <f t="shared" si="588"/>
        <v>0.75457339374829502</v>
      </c>
      <c r="L2916" s="27">
        <f t="shared" ca="1" si="589"/>
        <v>0</v>
      </c>
      <c r="M2916" s="27">
        <f t="shared" ca="1" si="590"/>
        <v>0</v>
      </c>
      <c r="N2916" s="28">
        <f t="shared" ca="1" si="591"/>
        <v>0</v>
      </c>
      <c r="O2916" s="29">
        <f t="shared" ca="1" si="592"/>
        <v>0</v>
      </c>
      <c r="P2916" s="30">
        <f t="shared" ca="1" si="593"/>
        <v>0</v>
      </c>
    </row>
    <row r="2917" spans="1:16" x14ac:dyDescent="0.25">
      <c r="A2917" s="3">
        <f t="shared" si="594"/>
        <v>50195</v>
      </c>
      <c r="B2917" s="21">
        <f t="shared" si="585"/>
        <v>36681</v>
      </c>
      <c r="C2917" s="21">
        <f t="shared" si="586"/>
        <v>36697</v>
      </c>
      <c r="D2917" s="1">
        <f t="shared" si="595"/>
        <v>0</v>
      </c>
      <c r="E2917" s="3">
        <f t="array" ref="E2917">INDEX($A$9:A2916, MAX(IF($D$9:D2916=1, ROW(D$9:$D2916)-ROW($D$9)+1, 0)))</f>
        <v>50119</v>
      </c>
      <c r="F2917" s="23">
        <f t="shared" si="587"/>
        <v>11.143052703627653</v>
      </c>
      <c r="G2917" s="5">
        <f>INDEX('Default Prob'!$P$5:$P$14,MIN(1+_xlfn.IFNA(MATCH(F2917,'Default Prob'!$F$5:$F$14,1),0),COUNT('Default Prob'!$P$5:$P$14)))</f>
        <v>8.0322462664562722E-2</v>
      </c>
      <c r="H2917" s="5">
        <f t="shared" si="596"/>
        <v>0.64056655889178293</v>
      </c>
      <c r="I2917" s="24">
        <f t="shared" si="597"/>
        <v>1.4088307006421275E-4</v>
      </c>
      <c r="J2917" s="25">
        <f>INDEX('Default Prob'!$C$3:$C$13, _xlfn.IFNA(MATCH(F2917, 'Default Prob'!$B$3:$B$13, 1), 1))</f>
        <v>2.5600000000000001E-2</v>
      </c>
      <c r="K2917" s="26">
        <f t="shared" si="588"/>
        <v>0.75452117389683915</v>
      </c>
      <c r="L2917" s="27">
        <f t="shared" ca="1" si="589"/>
        <v>0</v>
      </c>
      <c r="M2917" s="27">
        <f t="shared" ca="1" si="590"/>
        <v>0</v>
      </c>
      <c r="N2917" s="28">
        <f t="shared" ca="1" si="591"/>
        <v>0</v>
      </c>
      <c r="O2917" s="29">
        <f t="shared" ca="1" si="592"/>
        <v>0</v>
      </c>
      <c r="P2917" s="30">
        <f t="shared" ca="1" si="593"/>
        <v>0</v>
      </c>
    </row>
    <row r="2918" spans="1:16" x14ac:dyDescent="0.25">
      <c r="A2918" s="3">
        <f t="shared" si="594"/>
        <v>50196</v>
      </c>
      <c r="B2918" s="21">
        <f t="shared" si="585"/>
        <v>36682</v>
      </c>
      <c r="C2918" s="21">
        <f t="shared" si="586"/>
        <v>36697</v>
      </c>
      <c r="D2918" s="1">
        <f t="shared" si="595"/>
        <v>0</v>
      </c>
      <c r="E2918" s="3">
        <f t="array" ref="E2918">INDEX($A$9:A2917, MAX(IF($D$9:D2917=1, ROW(D$9:$D2917)-ROW($D$9)+1, 0)))</f>
        <v>50119</v>
      </c>
      <c r="F2918" s="23">
        <f t="shared" si="587"/>
        <v>11.145790554414784</v>
      </c>
      <c r="G2918" s="5">
        <f>INDEX('Default Prob'!$P$5:$P$14,MIN(1+_xlfn.IFNA(MATCH(F2918,'Default Prob'!$F$5:$F$14,1),0),COUNT('Default Prob'!$P$5:$P$14)))</f>
        <v>8.0322462664562722E-2</v>
      </c>
      <c r="H2918" s="5">
        <f t="shared" si="596"/>
        <v>0.64042570680003763</v>
      </c>
      <c r="I2918" s="24">
        <f t="shared" si="597"/>
        <v>1.4085209174530267E-4</v>
      </c>
      <c r="J2918" s="25">
        <f>INDEX('Default Prob'!$C$3:$C$13, _xlfn.IFNA(MATCH(F2918, 'Default Prob'!$B$3:$B$13, 1), 1))</f>
        <v>2.5600000000000001E-2</v>
      </c>
      <c r="K2918" s="26">
        <f t="shared" si="588"/>
        <v>0.75446895765923039</v>
      </c>
      <c r="L2918" s="27">
        <f t="shared" ca="1" si="589"/>
        <v>0</v>
      </c>
      <c r="M2918" s="27">
        <f t="shared" ca="1" si="590"/>
        <v>0</v>
      </c>
      <c r="N2918" s="28">
        <f t="shared" ca="1" si="591"/>
        <v>0</v>
      </c>
      <c r="O2918" s="29">
        <f t="shared" ca="1" si="592"/>
        <v>0</v>
      </c>
      <c r="P2918" s="30">
        <f t="shared" ca="1" si="593"/>
        <v>0</v>
      </c>
    </row>
    <row r="2919" spans="1:16" x14ac:dyDescent="0.25">
      <c r="A2919" s="3">
        <f t="shared" si="594"/>
        <v>50199</v>
      </c>
      <c r="B2919" s="21">
        <f t="shared" si="585"/>
        <v>36685</v>
      </c>
      <c r="C2919" s="21">
        <f t="shared" si="586"/>
        <v>36697</v>
      </c>
      <c r="D2919" s="1">
        <f t="shared" si="595"/>
        <v>0</v>
      </c>
      <c r="E2919" s="3">
        <f t="array" ref="E2919">INDEX($A$9:A2918, MAX(IF($D$9:D2918=1, ROW(D$9:$D2918)-ROW($D$9)+1, 0)))</f>
        <v>50119</v>
      </c>
      <c r="F2919" s="23">
        <f t="shared" si="587"/>
        <v>11.154004106776181</v>
      </c>
      <c r="G2919" s="5">
        <f>INDEX('Default Prob'!$P$5:$P$14,MIN(1+_xlfn.IFNA(MATCH(F2919,'Default Prob'!$F$5:$F$14,1),0),COUNT('Default Prob'!$P$5:$P$14)))</f>
        <v>8.0322462664562722E-2</v>
      </c>
      <c r="H2919" s="5">
        <f t="shared" si="596"/>
        <v>0.640003336326605</v>
      </c>
      <c r="I2919" s="24">
        <f t="shared" si="597"/>
        <v>4.2237047343263168E-4</v>
      </c>
      <c r="J2919" s="25">
        <f>INDEX('Default Prob'!$C$3:$C$13, _xlfn.IFNA(MATCH(F2919, 'Default Prob'!$B$3:$B$13, 1), 1))</f>
        <v>2.5600000000000001E-2</v>
      </c>
      <c r="K2919" s="26">
        <f t="shared" si="588"/>
        <v>0.75431233062698588</v>
      </c>
      <c r="L2919" s="27">
        <f t="shared" ca="1" si="589"/>
        <v>0</v>
      </c>
      <c r="M2919" s="27">
        <f t="shared" ca="1" si="590"/>
        <v>0</v>
      </c>
      <c r="N2919" s="28">
        <f t="shared" ca="1" si="591"/>
        <v>0</v>
      </c>
      <c r="O2919" s="29">
        <f t="shared" ca="1" si="592"/>
        <v>0</v>
      </c>
      <c r="P2919" s="30">
        <f t="shared" ca="1" si="593"/>
        <v>0</v>
      </c>
    </row>
    <row r="2920" spans="1:16" x14ac:dyDescent="0.25">
      <c r="A2920" s="3">
        <f t="shared" si="594"/>
        <v>50200</v>
      </c>
      <c r="B2920" s="21">
        <f t="shared" si="585"/>
        <v>36686</v>
      </c>
      <c r="C2920" s="21">
        <f t="shared" si="586"/>
        <v>36697</v>
      </c>
      <c r="D2920" s="1">
        <f t="shared" si="595"/>
        <v>0</v>
      </c>
      <c r="E2920" s="3">
        <f t="array" ref="E2920">INDEX($A$9:A2919, MAX(IF($D$9:D2919=1, ROW(D$9:$D2919)-ROW($D$9)+1, 0)))</f>
        <v>50119</v>
      </c>
      <c r="F2920" s="23">
        <f t="shared" si="587"/>
        <v>11.156741957563312</v>
      </c>
      <c r="G2920" s="5">
        <f>INDEX('Default Prob'!$P$5:$P$14,MIN(1+_xlfn.IFNA(MATCH(F2920,'Default Prob'!$F$5:$F$14,1),0),COUNT('Default Prob'!$P$5:$P$14)))</f>
        <v>8.0322462664562722E-2</v>
      </c>
      <c r="H2920" s="5">
        <f t="shared" si="596"/>
        <v>0.63986260808003292</v>
      </c>
      <c r="I2920" s="24">
        <f t="shared" si="597"/>
        <v>1.4072824657207494E-4</v>
      </c>
      <c r="J2920" s="25">
        <f>INDEX('Default Prob'!$C$3:$C$13, _xlfn.IFNA(MATCH(F2920, 'Default Prob'!$B$3:$B$13, 1), 1))</f>
        <v>2.5600000000000001E-2</v>
      </c>
      <c r="K2920" s="26">
        <f t="shared" si="588"/>
        <v>0.75426012884226479</v>
      </c>
      <c r="L2920" s="27">
        <f t="shared" ca="1" si="589"/>
        <v>0</v>
      </c>
      <c r="M2920" s="27">
        <f t="shared" ca="1" si="590"/>
        <v>0</v>
      </c>
      <c r="N2920" s="28">
        <f t="shared" ca="1" si="591"/>
        <v>0</v>
      </c>
      <c r="O2920" s="29">
        <f t="shared" ca="1" si="592"/>
        <v>0</v>
      </c>
      <c r="P2920" s="30">
        <f t="shared" ca="1" si="593"/>
        <v>0</v>
      </c>
    </row>
    <row r="2921" spans="1:16" x14ac:dyDescent="0.25">
      <c r="A2921" s="3">
        <f t="shared" si="594"/>
        <v>50201</v>
      </c>
      <c r="B2921" s="21">
        <f t="shared" si="585"/>
        <v>36687</v>
      </c>
      <c r="C2921" s="21">
        <f t="shared" si="586"/>
        <v>36697</v>
      </c>
      <c r="D2921" s="1">
        <f t="shared" si="595"/>
        <v>0</v>
      </c>
      <c r="E2921" s="3">
        <f t="array" ref="E2921">INDEX($A$9:A2920, MAX(IF($D$9:D2920=1, ROW(D$9:$D2920)-ROW($D$9)+1, 0)))</f>
        <v>50119</v>
      </c>
      <c r="F2921" s="23">
        <f t="shared" si="587"/>
        <v>11.159479808350445</v>
      </c>
      <c r="G2921" s="5">
        <f>INDEX('Default Prob'!$P$5:$P$14,MIN(1+_xlfn.IFNA(MATCH(F2921,'Default Prob'!$F$5:$F$14,1),0),COUNT('Default Prob'!$P$5:$P$14)))</f>
        <v>8.0322462664562722E-2</v>
      </c>
      <c r="H2921" s="5">
        <f t="shared" si="596"/>
        <v>0.63972191077773599</v>
      </c>
      <c r="I2921" s="24">
        <f t="shared" si="597"/>
        <v>1.4069730229693267E-4</v>
      </c>
      <c r="J2921" s="25">
        <f>INDEX('Default Prob'!$C$3:$C$13, _xlfn.IFNA(MATCH(F2921, 'Default Prob'!$B$3:$B$13, 1), 1))</f>
        <v>2.5600000000000001E-2</v>
      </c>
      <c r="K2921" s="26">
        <f t="shared" si="588"/>
        <v>0.75420793067014058</v>
      </c>
      <c r="L2921" s="27">
        <f t="shared" ca="1" si="589"/>
        <v>0</v>
      </c>
      <c r="M2921" s="27">
        <f t="shared" ca="1" si="590"/>
        <v>0</v>
      </c>
      <c r="N2921" s="28">
        <f t="shared" ca="1" si="591"/>
        <v>0</v>
      </c>
      <c r="O2921" s="29">
        <f t="shared" ca="1" si="592"/>
        <v>0</v>
      </c>
      <c r="P2921" s="30">
        <f t="shared" ca="1" si="593"/>
        <v>0</v>
      </c>
    </row>
    <row r="2922" spans="1:16" x14ac:dyDescent="0.25">
      <c r="A2922" s="3">
        <f t="shared" si="594"/>
        <v>50202</v>
      </c>
      <c r="B2922" s="21">
        <f t="shared" si="585"/>
        <v>36688</v>
      </c>
      <c r="C2922" s="21">
        <f t="shared" si="586"/>
        <v>36697</v>
      </c>
      <c r="D2922" s="1">
        <f t="shared" si="595"/>
        <v>0</v>
      </c>
      <c r="E2922" s="3">
        <f t="array" ref="E2922">INDEX($A$9:A2921, MAX(IF($D$9:D2921=1, ROW(D$9:$D2921)-ROW($D$9)+1, 0)))</f>
        <v>50119</v>
      </c>
      <c r="F2922" s="23">
        <f t="shared" si="587"/>
        <v>11.162217659137577</v>
      </c>
      <c r="G2922" s="5">
        <f>INDEX('Default Prob'!$P$5:$P$14,MIN(1+_xlfn.IFNA(MATCH(F2922,'Default Prob'!$F$5:$F$14,1),0),COUNT('Default Prob'!$P$5:$P$14)))</f>
        <v>8.0322462664562722E-2</v>
      </c>
      <c r="H2922" s="5">
        <f t="shared" si="596"/>
        <v>0.63958124441291009</v>
      </c>
      <c r="I2922" s="24">
        <f t="shared" si="597"/>
        <v>1.4066636482590322E-4</v>
      </c>
      <c r="J2922" s="25">
        <f>INDEX('Default Prob'!$C$3:$C$13, _xlfn.IFNA(MATCH(F2922, 'Default Prob'!$B$3:$B$13, 1), 1))</f>
        <v>2.5600000000000001E-2</v>
      </c>
      <c r="K2922" s="26">
        <f t="shared" si="588"/>
        <v>0.75415573611036313</v>
      </c>
      <c r="L2922" s="27">
        <f t="shared" ca="1" si="589"/>
        <v>0</v>
      </c>
      <c r="M2922" s="27">
        <f t="shared" ca="1" si="590"/>
        <v>0</v>
      </c>
      <c r="N2922" s="28">
        <f t="shared" ca="1" si="591"/>
        <v>0</v>
      </c>
      <c r="O2922" s="29">
        <f t="shared" ca="1" si="592"/>
        <v>0</v>
      </c>
      <c r="P2922" s="30">
        <f t="shared" ca="1" si="593"/>
        <v>0</v>
      </c>
    </row>
    <row r="2923" spans="1:16" x14ac:dyDescent="0.25">
      <c r="A2923" s="3">
        <f t="shared" si="594"/>
        <v>50203</v>
      </c>
      <c r="B2923" s="21">
        <f t="shared" si="585"/>
        <v>36689</v>
      </c>
      <c r="C2923" s="21">
        <f t="shared" si="586"/>
        <v>36697</v>
      </c>
      <c r="D2923" s="1">
        <f t="shared" si="595"/>
        <v>0</v>
      </c>
      <c r="E2923" s="3">
        <f t="array" ref="E2923">INDEX($A$9:A2922, MAX(IF($D$9:D2922=1, ROW(D$9:$D2922)-ROW($D$9)+1, 0)))</f>
        <v>50119</v>
      </c>
      <c r="F2923" s="23">
        <f t="shared" si="587"/>
        <v>11.16495550992471</v>
      </c>
      <c r="G2923" s="5">
        <f>INDEX('Default Prob'!$P$5:$P$14,MIN(1+_xlfn.IFNA(MATCH(F2923,'Default Prob'!$F$5:$F$14,1),0),COUNT('Default Prob'!$P$5:$P$14)))</f>
        <v>8.0322462664562722E-2</v>
      </c>
      <c r="H2923" s="5">
        <f t="shared" si="596"/>
        <v>0.63944060897875232</v>
      </c>
      <c r="I2923" s="24">
        <f t="shared" si="597"/>
        <v>1.4063543415776536E-4</v>
      </c>
      <c r="J2923" s="25">
        <f>INDEX('Default Prob'!$C$3:$C$13, _xlfn.IFNA(MATCH(F2923, 'Default Prob'!$B$3:$B$13, 1), 1))</f>
        <v>2.5600000000000001E-2</v>
      </c>
      <c r="K2923" s="26">
        <f t="shared" si="588"/>
        <v>0.75410354516268241</v>
      </c>
      <c r="L2923" s="27">
        <f t="shared" ca="1" si="589"/>
        <v>0</v>
      </c>
      <c r="M2923" s="27">
        <f t="shared" ca="1" si="590"/>
        <v>0</v>
      </c>
      <c r="N2923" s="28">
        <f t="shared" ca="1" si="591"/>
        <v>0</v>
      </c>
      <c r="O2923" s="29">
        <f t="shared" ca="1" si="592"/>
        <v>0</v>
      </c>
      <c r="P2923" s="30">
        <f t="shared" ca="1" si="593"/>
        <v>0</v>
      </c>
    </row>
    <row r="2924" spans="1:16" x14ac:dyDescent="0.25">
      <c r="A2924" s="3">
        <f t="shared" si="594"/>
        <v>50206</v>
      </c>
      <c r="B2924" s="21">
        <f t="shared" si="585"/>
        <v>36692</v>
      </c>
      <c r="C2924" s="21">
        <f t="shared" si="586"/>
        <v>36697</v>
      </c>
      <c r="D2924" s="1">
        <f t="shared" si="595"/>
        <v>0</v>
      </c>
      <c r="E2924" s="3">
        <f t="array" ref="E2924">INDEX($A$9:A2923, MAX(IF($D$9:D2923=1, ROW(D$9:$D2923)-ROW($D$9)+1, 0)))</f>
        <v>50119</v>
      </c>
      <c r="F2924" s="23">
        <f t="shared" si="587"/>
        <v>11.173169062286105</v>
      </c>
      <c r="G2924" s="5">
        <f>INDEX('Default Prob'!$P$5:$P$14,MIN(1+_xlfn.IFNA(MATCH(F2924,'Default Prob'!$F$5:$F$14,1),0),COUNT('Default Prob'!$P$5:$P$14)))</f>
        <v>8.0322462664562722E-2</v>
      </c>
      <c r="H2924" s="5">
        <f t="shared" si="596"/>
        <v>0.63901888819228381</v>
      </c>
      <c r="I2924" s="24">
        <f t="shared" si="597"/>
        <v>4.2172078646851574E-4</v>
      </c>
      <c r="J2924" s="25">
        <f>INDEX('Default Prob'!$C$3:$C$13, _xlfn.IFNA(MATCH(F2924, 'Default Prob'!$B$3:$B$13, 1), 1))</f>
        <v>2.5600000000000001E-2</v>
      </c>
      <c r="K2924" s="26">
        <f t="shared" si="588"/>
        <v>0.75394699398972198</v>
      </c>
      <c r="L2924" s="27">
        <f t="shared" ca="1" si="589"/>
        <v>0</v>
      </c>
      <c r="M2924" s="27">
        <f t="shared" ca="1" si="590"/>
        <v>0</v>
      </c>
      <c r="N2924" s="28">
        <f t="shared" ca="1" si="591"/>
        <v>0</v>
      </c>
      <c r="O2924" s="29">
        <f t="shared" ca="1" si="592"/>
        <v>0</v>
      </c>
      <c r="P2924" s="30">
        <f t="shared" ca="1" si="593"/>
        <v>0</v>
      </c>
    </row>
    <row r="2925" spans="1:16" x14ac:dyDescent="0.25">
      <c r="A2925" s="3">
        <f t="shared" si="594"/>
        <v>50207</v>
      </c>
      <c r="B2925" s="21">
        <f t="shared" si="585"/>
        <v>36693</v>
      </c>
      <c r="C2925" s="21">
        <f t="shared" si="586"/>
        <v>36697</v>
      </c>
      <c r="D2925" s="1">
        <f t="shared" si="595"/>
        <v>0</v>
      </c>
      <c r="E2925" s="3">
        <f t="array" ref="E2925">INDEX($A$9:A2924, MAX(IF($D$9:D2924=1, ROW(D$9:$D2924)-ROW($D$9)+1, 0)))</f>
        <v>50119</v>
      </c>
      <c r="F2925" s="23">
        <f t="shared" si="587"/>
        <v>11.175906913073238</v>
      </c>
      <c r="G2925" s="5">
        <f>INDEX('Default Prob'!$P$5:$P$14,MIN(1+_xlfn.IFNA(MATCH(F2925,'Default Prob'!$F$5:$F$14,1),0),COUNT('Default Prob'!$P$5:$P$14)))</f>
        <v>8.0322462664562722E-2</v>
      </c>
      <c r="H2925" s="5">
        <f t="shared" si="596"/>
        <v>0.63887837641280154</v>
      </c>
      <c r="I2925" s="24">
        <f t="shared" si="597"/>
        <v>1.4051177948226634E-4</v>
      </c>
      <c r="J2925" s="25">
        <f>INDEX('Default Prob'!$C$3:$C$13, _xlfn.IFNA(MATCH(F2925, 'Default Prob'!$B$3:$B$13, 1), 1))</f>
        <v>2.5600000000000001E-2</v>
      </c>
      <c r="K2925" s="26">
        <f t="shared" si="588"/>
        <v>0.75389481748792908</v>
      </c>
      <c r="L2925" s="27">
        <f t="shared" ca="1" si="589"/>
        <v>0</v>
      </c>
      <c r="M2925" s="27">
        <f t="shared" ca="1" si="590"/>
        <v>0</v>
      </c>
      <c r="N2925" s="28">
        <f t="shared" ca="1" si="591"/>
        <v>0</v>
      </c>
      <c r="O2925" s="29">
        <f t="shared" ca="1" si="592"/>
        <v>0</v>
      </c>
      <c r="P2925" s="30">
        <f t="shared" ca="1" si="593"/>
        <v>0</v>
      </c>
    </row>
    <row r="2926" spans="1:16" x14ac:dyDescent="0.25">
      <c r="A2926" s="3">
        <f t="shared" si="594"/>
        <v>50208</v>
      </c>
      <c r="B2926" s="21">
        <f t="shared" si="585"/>
        <v>36694</v>
      </c>
      <c r="C2926" s="21">
        <f t="shared" si="586"/>
        <v>36697</v>
      </c>
      <c r="D2926" s="1">
        <f t="shared" si="595"/>
        <v>0</v>
      </c>
      <c r="E2926" s="3">
        <f t="array" ref="E2926">INDEX($A$9:A2925, MAX(IF($D$9:D2925=1, ROW(D$9:$D2925)-ROW($D$9)+1, 0)))</f>
        <v>50119</v>
      </c>
      <c r="F2926" s="23">
        <f t="shared" si="587"/>
        <v>11.178644763860369</v>
      </c>
      <c r="G2926" s="5">
        <f>INDEX('Default Prob'!$P$5:$P$14,MIN(1+_xlfn.IFNA(MATCH(F2926,'Default Prob'!$F$5:$F$14,1),0),COUNT('Default Prob'!$P$5:$P$14)))</f>
        <v>8.0322462664562722E-2</v>
      </c>
      <c r="H2926" s="5">
        <f t="shared" si="596"/>
        <v>0.63873789552999638</v>
      </c>
      <c r="I2926" s="24">
        <f t="shared" si="597"/>
        <v>1.4048088280516069E-4</v>
      </c>
      <c r="J2926" s="25">
        <f>INDEX('Default Prob'!$C$3:$C$13, _xlfn.IFNA(MATCH(F2926, 'Default Prob'!$B$3:$B$13, 1), 1))</f>
        <v>2.5600000000000001E-2</v>
      </c>
      <c r="K2926" s="26">
        <f t="shared" si="588"/>
        <v>0.75384264459698336</v>
      </c>
      <c r="L2926" s="27">
        <f t="shared" ca="1" si="589"/>
        <v>0</v>
      </c>
      <c r="M2926" s="27">
        <f t="shared" ca="1" si="590"/>
        <v>0</v>
      </c>
      <c r="N2926" s="28">
        <f t="shared" ca="1" si="591"/>
        <v>0</v>
      </c>
      <c r="O2926" s="29">
        <f t="shared" ca="1" si="592"/>
        <v>0</v>
      </c>
      <c r="P2926" s="30">
        <f t="shared" ca="1" si="593"/>
        <v>0</v>
      </c>
    </row>
    <row r="2927" spans="1:16" x14ac:dyDescent="0.25">
      <c r="A2927" s="3">
        <f t="shared" si="594"/>
        <v>50209</v>
      </c>
      <c r="B2927" s="21">
        <f t="shared" si="585"/>
        <v>36695</v>
      </c>
      <c r="C2927" s="21">
        <f t="shared" si="586"/>
        <v>36697</v>
      </c>
      <c r="D2927" s="1">
        <f t="shared" si="595"/>
        <v>0</v>
      </c>
      <c r="E2927" s="3">
        <f t="array" ref="E2927">INDEX($A$9:A2926, MAX(IF($D$9:D2926=1, ROW(D$9:$D2926)-ROW($D$9)+1, 0)))</f>
        <v>50119</v>
      </c>
      <c r="F2927" s="23">
        <f t="shared" si="587"/>
        <v>11.181382614647502</v>
      </c>
      <c r="G2927" s="5">
        <f>INDEX('Default Prob'!$P$5:$P$14,MIN(1+_xlfn.IFNA(MATCH(F2927,'Default Prob'!$F$5:$F$14,1),0),COUNT('Default Prob'!$P$5:$P$14)))</f>
        <v>8.0322462664562722E-2</v>
      </c>
      <c r="H2927" s="5">
        <f t="shared" si="596"/>
        <v>0.63859744553707432</v>
      </c>
      <c r="I2927" s="24">
        <f t="shared" si="597"/>
        <v>1.4044999292206484E-4</v>
      </c>
      <c r="J2927" s="25">
        <f>INDEX('Default Prob'!$C$3:$C$13, _xlfn.IFNA(MATCH(F2927, 'Default Prob'!$B$3:$B$13, 1), 1))</f>
        <v>2.5600000000000001E-2</v>
      </c>
      <c r="K2927" s="26">
        <f t="shared" si="588"/>
        <v>0.75379047531663479</v>
      </c>
      <c r="L2927" s="27">
        <f t="shared" ca="1" si="589"/>
        <v>0</v>
      </c>
      <c r="M2927" s="27">
        <f t="shared" ca="1" si="590"/>
        <v>0</v>
      </c>
      <c r="N2927" s="28">
        <f t="shared" ca="1" si="591"/>
        <v>0</v>
      </c>
      <c r="O2927" s="29">
        <f t="shared" ca="1" si="592"/>
        <v>0</v>
      </c>
      <c r="P2927" s="30">
        <f t="shared" ca="1" si="593"/>
        <v>0</v>
      </c>
    </row>
    <row r="2928" spans="1:16" x14ac:dyDescent="0.25">
      <c r="A2928" s="3">
        <f t="shared" si="594"/>
        <v>50210</v>
      </c>
      <c r="B2928" s="21">
        <f t="shared" si="585"/>
        <v>36696</v>
      </c>
      <c r="C2928" s="21">
        <f t="shared" si="586"/>
        <v>36697</v>
      </c>
      <c r="D2928" s="1">
        <f t="shared" si="595"/>
        <v>0</v>
      </c>
      <c r="E2928" s="3">
        <f t="array" ref="E2928">INDEX($A$9:A2927, MAX(IF($D$9:D2927=1, ROW(D$9:$D2927)-ROW($D$9)+1, 0)))</f>
        <v>50119</v>
      </c>
      <c r="F2928" s="23">
        <f t="shared" si="587"/>
        <v>11.184120465434633</v>
      </c>
      <c r="G2928" s="5">
        <f>INDEX('Default Prob'!$P$5:$P$14,MIN(1+_xlfn.IFNA(MATCH(F2928,'Default Prob'!$F$5:$F$14,1),0),COUNT('Default Prob'!$P$5:$P$14)))</f>
        <v>8.0322462664562722E-2</v>
      </c>
      <c r="H2928" s="5">
        <f t="shared" si="596"/>
        <v>0.63845702642724333</v>
      </c>
      <c r="I2928" s="24">
        <f t="shared" si="597"/>
        <v>1.4041910983098038E-4</v>
      </c>
      <c r="J2928" s="25">
        <f>INDEX('Default Prob'!$C$3:$C$13, _xlfn.IFNA(MATCH(F2928, 'Default Prob'!$B$3:$B$13, 1), 1))</f>
        <v>2.5600000000000001E-2</v>
      </c>
      <c r="K2928" s="26">
        <f t="shared" si="588"/>
        <v>0.75373830964663369</v>
      </c>
      <c r="L2928" s="27">
        <f t="shared" ca="1" si="589"/>
        <v>0</v>
      </c>
      <c r="M2928" s="27">
        <f t="shared" ca="1" si="590"/>
        <v>0</v>
      </c>
      <c r="N2928" s="28">
        <f t="shared" ca="1" si="591"/>
        <v>0</v>
      </c>
      <c r="O2928" s="29">
        <f t="shared" ca="1" si="592"/>
        <v>0</v>
      </c>
      <c r="P2928" s="30">
        <f t="shared" ca="1" si="593"/>
        <v>0</v>
      </c>
    </row>
    <row r="2929" spans="1:16" x14ac:dyDescent="0.25">
      <c r="A2929" s="3">
        <f t="shared" si="594"/>
        <v>50213</v>
      </c>
      <c r="B2929" s="21">
        <f t="shared" si="585"/>
        <v>36699</v>
      </c>
      <c r="C2929" s="21">
        <f t="shared" si="586"/>
        <v>36789</v>
      </c>
      <c r="D2929" s="1">
        <f t="shared" si="595"/>
        <v>1</v>
      </c>
      <c r="E2929" s="3">
        <f t="array" ref="E2929">INDEX($A$9:A2928, MAX(IF($D$9:D2928=1, ROW(D$9:$D2928)-ROW($D$9)+1, 0)))</f>
        <v>50119</v>
      </c>
      <c r="F2929" s="23">
        <f t="shared" si="587"/>
        <v>11.19233401779603</v>
      </c>
      <c r="G2929" s="5">
        <f>INDEX('Default Prob'!$P$5:$P$14,MIN(1+_xlfn.IFNA(MATCH(F2929,'Default Prob'!$F$5:$F$14,1),0),COUNT('Default Prob'!$P$5:$P$14)))</f>
        <v>8.0322462664562722E-2</v>
      </c>
      <c r="H2929" s="5">
        <f t="shared" si="596"/>
        <v>0.63803595432839544</v>
      </c>
      <c r="I2929" s="24">
        <f t="shared" si="597"/>
        <v>4.2107209884789665E-4</v>
      </c>
      <c r="J2929" s="25">
        <f>INDEX('Default Prob'!$C$3:$C$13, _xlfn.IFNA(MATCH(F2929, 'Default Prob'!$B$3:$B$13, 1), 1))</f>
        <v>2.5600000000000001E-2</v>
      </c>
      <c r="K2929" s="26">
        <f t="shared" si="588"/>
        <v>0.75358183429621606</v>
      </c>
      <c r="L2929" s="27">
        <f t="shared" ca="1" si="589"/>
        <v>0</v>
      </c>
      <c r="M2929" s="27">
        <f t="shared" ca="1" si="590"/>
        <v>0</v>
      </c>
      <c r="N2929" s="28">
        <f t="shared" ca="1" si="591"/>
        <v>0</v>
      </c>
      <c r="O2929" s="29">
        <f t="shared" ca="1" si="592"/>
        <v>0</v>
      </c>
      <c r="P2929" s="30">
        <f t="shared" ca="1" si="593"/>
        <v>0</v>
      </c>
    </row>
    <row r="2930" spans="1:16" x14ac:dyDescent="0.25">
      <c r="A2930" s="3">
        <f t="shared" si="594"/>
        <v>50214</v>
      </c>
      <c r="B2930" s="21">
        <f t="shared" si="585"/>
        <v>36700</v>
      </c>
      <c r="C2930" s="21">
        <f t="shared" si="586"/>
        <v>36789</v>
      </c>
      <c r="D2930" s="1">
        <f t="shared" si="595"/>
        <v>0</v>
      </c>
      <c r="E2930" s="3">
        <f t="array" ref="E2930">INDEX($A$9:A2929, MAX(IF($D$9:D2929=1, ROW(D$9:$D2929)-ROW($D$9)+1, 0)))</f>
        <v>50213</v>
      </c>
      <c r="F2930" s="23">
        <f t="shared" si="587"/>
        <v>11.195071868583161</v>
      </c>
      <c r="G2930" s="5">
        <f>INDEX('Default Prob'!$P$5:$P$14,MIN(1+_xlfn.IFNA(MATCH(F2930,'Default Prob'!$F$5:$F$14,1),0),COUNT('Default Prob'!$P$5:$P$14)))</f>
        <v>8.0322462664562722E-2</v>
      </c>
      <c r="H2930" s="5">
        <f t="shared" si="596"/>
        <v>0.63789565868303533</v>
      </c>
      <c r="I2930" s="24">
        <f t="shared" si="597"/>
        <v>1.4029564536011119E-4</v>
      </c>
      <c r="J2930" s="25">
        <f>INDEX('Default Prob'!$C$3:$C$13, _xlfn.IFNA(MATCH(F2930, 'Default Prob'!$B$3:$B$13, 1), 1))</f>
        <v>2.5600000000000001E-2</v>
      </c>
      <c r="K2930" s="26">
        <f t="shared" si="588"/>
        <v>0.75352968306510604</v>
      </c>
      <c r="L2930" s="27">
        <f t="shared" ca="1" si="589"/>
        <v>0</v>
      </c>
      <c r="M2930" s="27">
        <f t="shared" ca="1" si="590"/>
        <v>0</v>
      </c>
      <c r="N2930" s="28">
        <f t="shared" ca="1" si="591"/>
        <v>0</v>
      </c>
      <c r="O2930" s="29">
        <f t="shared" ca="1" si="592"/>
        <v>0</v>
      </c>
      <c r="P2930" s="30">
        <f t="shared" ca="1" si="593"/>
        <v>0</v>
      </c>
    </row>
    <row r="2931" spans="1:16" x14ac:dyDescent="0.25">
      <c r="A2931" s="3">
        <f t="shared" si="594"/>
        <v>50215</v>
      </c>
      <c r="B2931" s="21">
        <f t="shared" si="585"/>
        <v>36701</v>
      </c>
      <c r="C2931" s="21">
        <f t="shared" si="586"/>
        <v>36789</v>
      </c>
      <c r="D2931" s="1">
        <f t="shared" si="595"/>
        <v>0</v>
      </c>
      <c r="E2931" s="3">
        <f t="array" ref="E2931">INDEX($A$9:A2930, MAX(IF($D$9:D2930=1, ROW(D$9:$D2930)-ROW($D$9)+1, 0)))</f>
        <v>50213</v>
      </c>
      <c r="F2931" s="23">
        <f t="shared" si="587"/>
        <v>11.197809719370294</v>
      </c>
      <c r="G2931" s="5">
        <f>INDEX('Default Prob'!$P$5:$P$14,MIN(1+_xlfn.IFNA(MATCH(F2931,'Default Prob'!$F$5:$F$14,1),0),COUNT('Default Prob'!$P$5:$P$14)))</f>
        <v>8.0322462664562722E-2</v>
      </c>
      <c r="H2931" s="5">
        <f t="shared" si="596"/>
        <v>0.637755393886827</v>
      </c>
      <c r="I2931" s="24">
        <f t="shared" si="597"/>
        <v>1.4026479620832255E-4</v>
      </c>
      <c r="J2931" s="25">
        <f>INDEX('Default Prob'!$C$3:$C$13, _xlfn.IFNA(MATCH(F2931, 'Default Prob'!$B$3:$B$13, 1), 1))</f>
        <v>2.5600000000000001E-2</v>
      </c>
      <c r="K2931" s="26">
        <f t="shared" si="588"/>
        <v>0.75347753544309448</v>
      </c>
      <c r="L2931" s="27">
        <f t="shared" ca="1" si="589"/>
        <v>0</v>
      </c>
      <c r="M2931" s="27">
        <f t="shared" ca="1" si="590"/>
        <v>0</v>
      </c>
      <c r="N2931" s="28">
        <f t="shared" ca="1" si="591"/>
        <v>0</v>
      </c>
      <c r="O2931" s="29">
        <f t="shared" ca="1" si="592"/>
        <v>0</v>
      </c>
      <c r="P2931" s="30">
        <f t="shared" ca="1" si="593"/>
        <v>0</v>
      </c>
    </row>
    <row r="2932" spans="1:16" x14ac:dyDescent="0.25">
      <c r="A2932" s="3">
        <f t="shared" si="594"/>
        <v>50216</v>
      </c>
      <c r="B2932" s="21">
        <f t="shared" si="585"/>
        <v>36702</v>
      </c>
      <c r="C2932" s="21">
        <f t="shared" si="586"/>
        <v>36789</v>
      </c>
      <c r="D2932" s="1">
        <f t="shared" si="595"/>
        <v>0</v>
      </c>
      <c r="E2932" s="3">
        <f t="array" ref="E2932">INDEX($A$9:A2931, MAX(IF($D$9:D2931=1, ROW(D$9:$D2931)-ROW($D$9)+1, 0)))</f>
        <v>50213</v>
      </c>
      <c r="F2932" s="23">
        <f t="shared" si="587"/>
        <v>11.200547570157427</v>
      </c>
      <c r="G2932" s="5">
        <f>INDEX('Default Prob'!$P$5:$P$14,MIN(1+_xlfn.IFNA(MATCH(F2932,'Default Prob'!$F$5:$F$14,1),0),COUNT('Default Prob'!$P$5:$P$14)))</f>
        <v>8.0322462664562722E-2</v>
      </c>
      <c r="H2932" s="5">
        <f t="shared" si="596"/>
        <v>0.63761515993298734</v>
      </c>
      <c r="I2932" s="24">
        <f t="shared" si="597"/>
        <v>1.4023395383966353E-4</v>
      </c>
      <c r="J2932" s="25">
        <f>INDEX('Default Prob'!$C$3:$C$13, _xlfn.IFNA(MATCH(F2932, 'Default Prob'!$B$3:$B$13, 1), 1))</f>
        <v>2.5600000000000001E-2</v>
      </c>
      <c r="K2932" s="26">
        <f t="shared" si="588"/>
        <v>0.75342539142993126</v>
      </c>
      <c r="L2932" s="27">
        <f t="shared" ca="1" si="589"/>
        <v>0</v>
      </c>
      <c r="M2932" s="27">
        <f t="shared" ca="1" si="590"/>
        <v>0</v>
      </c>
      <c r="N2932" s="28">
        <f t="shared" ca="1" si="591"/>
        <v>0</v>
      </c>
      <c r="O2932" s="29">
        <f t="shared" ca="1" si="592"/>
        <v>0</v>
      </c>
      <c r="P2932" s="30">
        <f t="shared" ca="1" si="593"/>
        <v>0</v>
      </c>
    </row>
    <row r="2933" spans="1:16" x14ac:dyDescent="0.25">
      <c r="A2933" s="3">
        <f t="shared" si="594"/>
        <v>50217</v>
      </c>
      <c r="B2933" s="21">
        <f t="shared" si="585"/>
        <v>36703</v>
      </c>
      <c r="C2933" s="21">
        <f t="shared" si="586"/>
        <v>36789</v>
      </c>
      <c r="D2933" s="1">
        <f t="shared" si="595"/>
        <v>0</v>
      </c>
      <c r="E2933" s="3">
        <f t="array" ref="E2933">INDEX($A$9:A2932, MAX(IF($D$9:D2932=1, ROW(D$9:$D2932)-ROW($D$9)+1, 0)))</f>
        <v>50213</v>
      </c>
      <c r="F2933" s="23">
        <f t="shared" si="587"/>
        <v>11.203285420944558</v>
      </c>
      <c r="G2933" s="5">
        <f>INDEX('Default Prob'!$P$5:$P$14,MIN(1+_xlfn.IFNA(MATCH(F2933,'Default Prob'!$F$5:$F$14,1),0),COUNT('Default Prob'!$P$5:$P$14)))</f>
        <v>8.0322462664562722E-2</v>
      </c>
      <c r="H2933" s="5">
        <f t="shared" si="596"/>
        <v>0.63747495681473454</v>
      </c>
      <c r="I2933" s="24">
        <f t="shared" si="597"/>
        <v>1.4020311825280185E-4</v>
      </c>
      <c r="J2933" s="25">
        <f>INDEX('Default Prob'!$C$3:$C$13, _xlfn.IFNA(MATCH(F2933, 'Default Prob'!$B$3:$B$13, 1), 1))</f>
        <v>2.5600000000000001E-2</v>
      </c>
      <c r="K2933" s="26">
        <f t="shared" si="588"/>
        <v>0.75337325102536679</v>
      </c>
      <c r="L2933" s="27">
        <f t="shared" ca="1" si="589"/>
        <v>0</v>
      </c>
      <c r="M2933" s="27">
        <f t="shared" ca="1" si="590"/>
        <v>0</v>
      </c>
      <c r="N2933" s="28">
        <f t="shared" ca="1" si="591"/>
        <v>0</v>
      </c>
      <c r="O2933" s="29">
        <f t="shared" ca="1" si="592"/>
        <v>0</v>
      </c>
      <c r="P2933" s="30">
        <f t="shared" ca="1" si="593"/>
        <v>0</v>
      </c>
    </row>
    <row r="2934" spans="1:16" x14ac:dyDescent="0.25">
      <c r="A2934" s="3">
        <f t="shared" si="594"/>
        <v>50220</v>
      </c>
      <c r="B2934" s="21">
        <f t="shared" si="585"/>
        <v>36706</v>
      </c>
      <c r="C2934" s="21">
        <f t="shared" si="586"/>
        <v>36789</v>
      </c>
      <c r="D2934" s="1">
        <f t="shared" si="595"/>
        <v>0</v>
      </c>
      <c r="E2934" s="3">
        <f t="array" ref="E2934">INDEX($A$9:A2933, MAX(IF($D$9:D2933=1, ROW(D$9:$D2933)-ROW($D$9)+1, 0)))</f>
        <v>50213</v>
      </c>
      <c r="F2934" s="23">
        <f t="shared" si="587"/>
        <v>11.211498973305956</v>
      </c>
      <c r="G2934" s="5">
        <f>INDEX('Default Prob'!$P$5:$P$14,MIN(1+_xlfn.IFNA(MATCH(F2934,'Default Prob'!$F$5:$F$14,1),0),COUNT('Default Prob'!$P$5:$P$14)))</f>
        <v>8.0322462664562722E-2</v>
      </c>
      <c r="H2934" s="5">
        <f t="shared" si="596"/>
        <v>0.63705453240570098</v>
      </c>
      <c r="I2934" s="24">
        <f t="shared" si="597"/>
        <v>4.204244090335596E-4</v>
      </c>
      <c r="J2934" s="25">
        <f>INDEX('Default Prob'!$C$3:$C$13, _xlfn.IFNA(MATCH(F2934, 'Default Prob'!$B$3:$B$13, 1), 1))</f>
        <v>2.5600000000000001E-2</v>
      </c>
      <c r="K2934" s="26">
        <f t="shared" si="588"/>
        <v>0.753216851460769</v>
      </c>
      <c r="L2934" s="27">
        <f t="shared" ca="1" si="589"/>
        <v>0</v>
      </c>
      <c r="M2934" s="27">
        <f t="shared" ca="1" si="590"/>
        <v>0</v>
      </c>
      <c r="N2934" s="28">
        <f t="shared" ca="1" si="591"/>
        <v>0</v>
      </c>
      <c r="O2934" s="29">
        <f t="shared" ca="1" si="592"/>
        <v>0</v>
      </c>
      <c r="P2934" s="30">
        <f t="shared" ca="1" si="593"/>
        <v>0</v>
      </c>
    </row>
    <row r="2935" spans="1:16" x14ac:dyDescent="0.25">
      <c r="A2935" s="3">
        <f t="shared" si="594"/>
        <v>50221</v>
      </c>
      <c r="B2935" s="21">
        <f t="shared" si="585"/>
        <v>36707</v>
      </c>
      <c r="C2935" s="21">
        <f t="shared" si="586"/>
        <v>36789</v>
      </c>
      <c r="D2935" s="1">
        <f t="shared" si="595"/>
        <v>0</v>
      </c>
      <c r="E2935" s="3">
        <f t="array" ref="E2935">INDEX($A$9:A2934, MAX(IF($D$9:D2934=1, ROW(D$9:$D2934)-ROW($D$9)+1, 0)))</f>
        <v>50213</v>
      </c>
      <c r="F2935" s="23">
        <f t="shared" si="587"/>
        <v>11.214236824093087</v>
      </c>
      <c r="G2935" s="5">
        <f>INDEX('Default Prob'!$P$5:$P$14,MIN(1+_xlfn.IFNA(MATCH(F2935,'Default Prob'!$F$5:$F$14,1),0),COUNT('Default Prob'!$P$5:$P$14)))</f>
        <v>8.0322462664562722E-2</v>
      </c>
      <c r="H2935" s="5">
        <f t="shared" si="596"/>
        <v>0.63691445256200696</v>
      </c>
      <c r="I2935" s="24">
        <f t="shared" si="597"/>
        <v>1.4007984369401871E-4</v>
      </c>
      <c r="J2935" s="25">
        <f>INDEX('Default Prob'!$C$3:$C$13, _xlfn.IFNA(MATCH(F2935, 'Default Prob'!$B$3:$B$13, 1), 1))</f>
        <v>2.5600000000000001E-2</v>
      </c>
      <c r="K2935" s="26">
        <f t="shared" si="588"/>
        <v>0.75316472548810254</v>
      </c>
      <c r="L2935" s="27">
        <f t="shared" ca="1" si="589"/>
        <v>0</v>
      </c>
      <c r="M2935" s="27">
        <f t="shared" ca="1" si="590"/>
        <v>0</v>
      </c>
      <c r="N2935" s="28">
        <f t="shared" ca="1" si="591"/>
        <v>0</v>
      </c>
      <c r="O2935" s="29">
        <f t="shared" ca="1" si="592"/>
        <v>0</v>
      </c>
      <c r="P2935" s="30">
        <f t="shared" ca="1" si="593"/>
        <v>0</v>
      </c>
    </row>
    <row r="2936" spans="1:16" x14ac:dyDescent="0.25">
      <c r="A2936" s="3">
        <f t="shared" si="594"/>
        <v>50222</v>
      </c>
      <c r="B2936" s="21">
        <f t="shared" si="585"/>
        <v>36708</v>
      </c>
      <c r="C2936" s="21">
        <f t="shared" si="586"/>
        <v>36789</v>
      </c>
      <c r="D2936" s="1">
        <f t="shared" si="595"/>
        <v>0</v>
      </c>
      <c r="E2936" s="3">
        <f t="array" ref="E2936">INDEX($A$9:A2935, MAX(IF($D$9:D2935=1, ROW(D$9:$D2935)-ROW($D$9)+1, 0)))</f>
        <v>50213</v>
      </c>
      <c r="F2936" s="23">
        <f t="shared" si="587"/>
        <v>11.21697467488022</v>
      </c>
      <c r="G2936" s="5">
        <f>INDEX('Default Prob'!$P$5:$P$14,MIN(1+_xlfn.IFNA(MATCH(F2936,'Default Prob'!$F$5:$F$14,1),0),COUNT('Default Prob'!$P$5:$P$14)))</f>
        <v>8.0322462664562722E-2</v>
      </c>
      <c r="H2936" s="5">
        <f t="shared" si="596"/>
        <v>0.63677440352001291</v>
      </c>
      <c r="I2936" s="24">
        <f t="shared" si="597"/>
        <v>1.4004904199405033E-4</v>
      </c>
      <c r="J2936" s="25">
        <f>INDEX('Default Prob'!$C$3:$C$13, _xlfn.IFNA(MATCH(F2936, 'Default Prob'!$B$3:$B$13, 1), 1))</f>
        <v>2.5600000000000001E-2</v>
      </c>
      <c r="K2936" s="26">
        <f t="shared" si="588"/>
        <v>0.75311260312278627</v>
      </c>
      <c r="L2936" s="27">
        <f t="shared" ca="1" si="589"/>
        <v>0</v>
      </c>
      <c r="M2936" s="27">
        <f t="shared" ca="1" si="590"/>
        <v>0</v>
      </c>
      <c r="N2936" s="28">
        <f t="shared" ca="1" si="591"/>
        <v>0</v>
      </c>
      <c r="O2936" s="29">
        <f t="shared" ca="1" si="592"/>
        <v>0</v>
      </c>
      <c r="P2936" s="30">
        <f t="shared" ca="1" si="593"/>
        <v>0</v>
      </c>
    </row>
    <row r="2937" spans="1:16" x14ac:dyDescent="0.25">
      <c r="A2937" s="3">
        <f t="shared" si="594"/>
        <v>50223</v>
      </c>
      <c r="B2937" s="21">
        <f t="shared" si="585"/>
        <v>36709</v>
      </c>
      <c r="C2937" s="21">
        <f t="shared" si="586"/>
        <v>36789</v>
      </c>
      <c r="D2937" s="1">
        <f t="shared" si="595"/>
        <v>0</v>
      </c>
      <c r="E2937" s="3">
        <f t="array" ref="E2937">INDEX($A$9:A2936, MAX(IF($D$9:D2936=1, ROW(D$9:$D2936)-ROW($D$9)+1, 0)))</f>
        <v>50213</v>
      </c>
      <c r="F2937" s="23">
        <f t="shared" si="587"/>
        <v>11.219712525667351</v>
      </c>
      <c r="G2937" s="5">
        <f>INDEX('Default Prob'!$P$5:$P$14,MIN(1+_xlfn.IFNA(MATCH(F2937,'Default Prob'!$F$5:$F$14,1),0),COUNT('Default Prob'!$P$5:$P$14)))</f>
        <v>8.0322462664562722E-2</v>
      </c>
      <c r="H2937" s="5">
        <f t="shared" si="596"/>
        <v>0.63663438527294602</v>
      </c>
      <c r="I2937" s="24">
        <f t="shared" si="597"/>
        <v>1.4001824706688648E-4</v>
      </c>
      <c r="J2937" s="25">
        <f>INDEX('Default Prob'!$C$3:$C$13, _xlfn.IFNA(MATCH(F2937, 'Default Prob'!$B$3:$B$13, 1), 1))</f>
        <v>2.5600000000000001E-2</v>
      </c>
      <c r="K2937" s="26">
        <f t="shared" si="588"/>
        <v>0.75306048436457096</v>
      </c>
      <c r="L2937" s="27">
        <f t="shared" ca="1" si="589"/>
        <v>0</v>
      </c>
      <c r="M2937" s="27">
        <f t="shared" ca="1" si="590"/>
        <v>0</v>
      </c>
      <c r="N2937" s="28">
        <f t="shared" ca="1" si="591"/>
        <v>0</v>
      </c>
      <c r="O2937" s="29">
        <f t="shared" ca="1" si="592"/>
        <v>0</v>
      </c>
      <c r="P2937" s="30">
        <f t="shared" ca="1" si="593"/>
        <v>0</v>
      </c>
    </row>
    <row r="2938" spans="1:16" x14ac:dyDescent="0.25">
      <c r="A2938" s="3">
        <f t="shared" si="594"/>
        <v>50224</v>
      </c>
      <c r="B2938" s="21">
        <f t="shared" si="585"/>
        <v>36710</v>
      </c>
      <c r="C2938" s="21">
        <f t="shared" si="586"/>
        <v>36789</v>
      </c>
      <c r="D2938" s="1">
        <f t="shared" si="595"/>
        <v>0</v>
      </c>
      <c r="E2938" s="3">
        <f t="array" ref="E2938">INDEX($A$9:A2937, MAX(IF($D$9:D2937=1, ROW(D$9:$D2937)-ROW($D$9)+1, 0)))</f>
        <v>50213</v>
      </c>
      <c r="F2938" s="23">
        <f t="shared" si="587"/>
        <v>11.222450376454484</v>
      </c>
      <c r="G2938" s="5">
        <f>INDEX('Default Prob'!$P$5:$P$14,MIN(1+_xlfn.IFNA(MATCH(F2938,'Default Prob'!$F$5:$F$14,1),0),COUNT('Default Prob'!$P$5:$P$14)))</f>
        <v>8.0322462664562722E-2</v>
      </c>
      <c r="H2938" s="5">
        <f t="shared" si="596"/>
        <v>0.63649439781403483</v>
      </c>
      <c r="I2938" s="24">
        <f t="shared" si="597"/>
        <v>1.3998745891119491E-4</v>
      </c>
      <c r="J2938" s="25">
        <f>INDEX('Default Prob'!$C$3:$C$13, _xlfn.IFNA(MATCH(F2938, 'Default Prob'!$B$3:$B$13, 1), 1))</f>
        <v>2.5600000000000001E-2</v>
      </c>
      <c r="K2938" s="26">
        <f t="shared" si="588"/>
        <v>0.75300836921320635</v>
      </c>
      <c r="L2938" s="27">
        <f t="shared" ca="1" si="589"/>
        <v>0</v>
      </c>
      <c r="M2938" s="27">
        <f t="shared" ca="1" si="590"/>
        <v>0</v>
      </c>
      <c r="N2938" s="28">
        <f t="shared" ca="1" si="591"/>
        <v>0</v>
      </c>
      <c r="O2938" s="29">
        <f t="shared" ca="1" si="592"/>
        <v>0</v>
      </c>
      <c r="P2938" s="30">
        <f t="shared" ca="1" si="593"/>
        <v>0</v>
      </c>
    </row>
    <row r="2939" spans="1:16" x14ac:dyDescent="0.25">
      <c r="A2939" s="3">
        <f t="shared" si="594"/>
        <v>50227</v>
      </c>
      <c r="B2939" s="21">
        <f t="shared" si="585"/>
        <v>36713</v>
      </c>
      <c r="C2939" s="21">
        <f t="shared" si="586"/>
        <v>36789</v>
      </c>
      <c r="D2939" s="1">
        <f t="shared" si="595"/>
        <v>0</v>
      </c>
      <c r="E2939" s="3">
        <f t="array" ref="E2939">INDEX($A$9:A2938, MAX(IF($D$9:D2938=1, ROW(D$9:$D2938)-ROW($D$9)+1, 0)))</f>
        <v>50213</v>
      </c>
      <c r="F2939" s="23">
        <f t="shared" si="587"/>
        <v>11.230663928815879</v>
      </c>
      <c r="G2939" s="5">
        <f>INDEX('Default Prob'!$P$5:$P$14,MIN(1+_xlfn.IFNA(MATCH(F2939,'Default Prob'!$F$5:$F$14,1),0),COUNT('Default Prob'!$P$5:$P$14)))</f>
        <v>8.0322462664562722E-2</v>
      </c>
      <c r="H2939" s="5">
        <f t="shared" si="596"/>
        <v>0.63607462009854443</v>
      </c>
      <c r="I2939" s="24">
        <f t="shared" si="597"/>
        <v>4.1977771549039922E-4</v>
      </c>
      <c r="J2939" s="25">
        <f>INDEX('Default Prob'!$C$3:$C$13, _xlfn.IFNA(MATCH(F2939, 'Default Prob'!$B$3:$B$13, 1), 1))</f>
        <v>2.5600000000000001E-2</v>
      </c>
      <c r="K2939" s="26">
        <f t="shared" si="588"/>
        <v>0.75285204539772299</v>
      </c>
      <c r="L2939" s="27">
        <f t="shared" ca="1" si="589"/>
        <v>0</v>
      </c>
      <c r="M2939" s="27">
        <f t="shared" ca="1" si="590"/>
        <v>0</v>
      </c>
      <c r="N2939" s="28">
        <f t="shared" ca="1" si="591"/>
        <v>0</v>
      </c>
      <c r="O2939" s="29">
        <f t="shared" ca="1" si="592"/>
        <v>0</v>
      </c>
      <c r="P2939" s="30">
        <f t="shared" ca="1" si="593"/>
        <v>0</v>
      </c>
    </row>
    <row r="2940" spans="1:16" x14ac:dyDescent="0.25">
      <c r="A2940" s="3">
        <f t="shared" si="594"/>
        <v>50228</v>
      </c>
      <c r="B2940" s="21">
        <f t="shared" si="585"/>
        <v>36714</v>
      </c>
      <c r="C2940" s="21">
        <f t="shared" si="586"/>
        <v>36789</v>
      </c>
      <c r="D2940" s="1">
        <f t="shared" si="595"/>
        <v>0</v>
      </c>
      <c r="E2940" s="3">
        <f t="array" ref="E2940">INDEX($A$9:A2939, MAX(IF($D$9:D2939=1, ROW(D$9:$D2939)-ROW($D$9)+1, 0)))</f>
        <v>50213</v>
      </c>
      <c r="F2940" s="23">
        <f t="shared" si="587"/>
        <v>11.233401779603012</v>
      </c>
      <c r="G2940" s="5">
        <f>INDEX('Default Prob'!$P$5:$P$14,MIN(1+_xlfn.IFNA(MATCH(F2940,'Default Prob'!$F$5:$F$14,1),0),COUNT('Default Prob'!$P$5:$P$14)))</f>
        <v>8.0322462664562722E-2</v>
      </c>
      <c r="H2940" s="5">
        <f t="shared" si="596"/>
        <v>0.63593475572457203</v>
      </c>
      <c r="I2940" s="24">
        <f t="shared" si="597"/>
        <v>1.3986437397239815E-4</v>
      </c>
      <c r="J2940" s="25">
        <f>INDEX('Default Prob'!$C$3:$C$13, _xlfn.IFNA(MATCH(F2940, 'Default Prob'!$B$3:$B$13, 1), 1))</f>
        <v>2.5600000000000001E-2</v>
      </c>
      <c r="K2940" s="26">
        <f t="shared" si="588"/>
        <v>0.75279994467126654</v>
      </c>
      <c r="L2940" s="27">
        <f t="shared" ca="1" si="589"/>
        <v>0</v>
      </c>
      <c r="M2940" s="27">
        <f t="shared" ca="1" si="590"/>
        <v>0</v>
      </c>
      <c r="N2940" s="28">
        <f t="shared" ca="1" si="591"/>
        <v>0</v>
      </c>
      <c r="O2940" s="29">
        <f t="shared" ca="1" si="592"/>
        <v>0</v>
      </c>
      <c r="P2940" s="30">
        <f t="shared" ca="1" si="593"/>
        <v>0</v>
      </c>
    </row>
    <row r="2941" spans="1:16" x14ac:dyDescent="0.25">
      <c r="A2941" s="3">
        <f t="shared" si="594"/>
        <v>50229</v>
      </c>
      <c r="B2941" s="21">
        <f t="shared" si="585"/>
        <v>36715</v>
      </c>
      <c r="C2941" s="21">
        <f t="shared" si="586"/>
        <v>36789</v>
      </c>
      <c r="D2941" s="1">
        <f t="shared" si="595"/>
        <v>0</v>
      </c>
      <c r="E2941" s="3">
        <f t="array" ref="E2941">INDEX($A$9:A2940, MAX(IF($D$9:D2940=1, ROW(D$9:$D2940)-ROW($D$9)+1, 0)))</f>
        <v>50213</v>
      </c>
      <c r="F2941" s="23">
        <f t="shared" si="587"/>
        <v>11.236139630390143</v>
      </c>
      <c r="G2941" s="5">
        <f>INDEX('Default Prob'!$P$5:$P$14,MIN(1+_xlfn.IFNA(MATCH(F2941,'Default Prob'!$F$5:$F$14,1),0),COUNT('Default Prob'!$P$5:$P$14)))</f>
        <v>8.0322462664562722E-2</v>
      </c>
      <c r="H2941" s="5">
        <f t="shared" si="596"/>
        <v>0.63579492210492083</v>
      </c>
      <c r="I2941" s="24">
        <f t="shared" si="597"/>
        <v>1.3983361965119734E-4</v>
      </c>
      <c r="J2941" s="25">
        <f>INDEX('Default Prob'!$C$3:$C$13, _xlfn.IFNA(MATCH(F2941, 'Default Prob'!$B$3:$B$13, 1), 1))</f>
        <v>2.5600000000000001E-2</v>
      </c>
      <c r="K2941" s="26">
        <f t="shared" si="588"/>
        <v>0.75274784755041324</v>
      </c>
      <c r="L2941" s="27">
        <f t="shared" ca="1" si="589"/>
        <v>0</v>
      </c>
      <c r="M2941" s="27">
        <f t="shared" ca="1" si="590"/>
        <v>0</v>
      </c>
      <c r="N2941" s="28">
        <f t="shared" ca="1" si="591"/>
        <v>0</v>
      </c>
      <c r="O2941" s="29">
        <f t="shared" ca="1" si="592"/>
        <v>0</v>
      </c>
      <c r="P2941" s="30">
        <f t="shared" ca="1" si="593"/>
        <v>0</v>
      </c>
    </row>
    <row r="2942" spans="1:16" x14ac:dyDescent="0.25">
      <c r="A2942" s="3">
        <f t="shared" si="594"/>
        <v>50230</v>
      </c>
      <c r="B2942" s="21">
        <f t="shared" si="585"/>
        <v>36716</v>
      </c>
      <c r="C2942" s="21">
        <f t="shared" si="586"/>
        <v>36789</v>
      </c>
      <c r="D2942" s="1">
        <f t="shared" si="595"/>
        <v>0</v>
      </c>
      <c r="E2942" s="3">
        <f t="array" ref="E2942">INDEX($A$9:A2941, MAX(IF($D$9:D2941=1, ROW(D$9:$D2941)-ROW($D$9)+1, 0)))</f>
        <v>50213</v>
      </c>
      <c r="F2942" s="23">
        <f t="shared" si="587"/>
        <v>11.238877481177276</v>
      </c>
      <c r="G2942" s="5">
        <f>INDEX('Default Prob'!$P$5:$P$14,MIN(1+_xlfn.IFNA(MATCH(F2942,'Default Prob'!$F$5:$F$14,1),0),COUNT('Default Prob'!$P$5:$P$14)))</f>
        <v>8.0322462664562722E-2</v>
      </c>
      <c r="H2942" s="5">
        <f t="shared" si="596"/>
        <v>0.63565511923282825</v>
      </c>
      <c r="I2942" s="24">
        <f t="shared" si="597"/>
        <v>1.3980287209258702E-4</v>
      </c>
      <c r="J2942" s="25">
        <f>INDEX('Default Prob'!$C$3:$C$13, _xlfn.IFNA(MATCH(F2942, 'Default Prob'!$B$3:$B$13, 1), 1))</f>
        <v>2.5600000000000001E-2</v>
      </c>
      <c r="K2942" s="26">
        <f t="shared" si="588"/>
        <v>0.75269575403491362</v>
      </c>
      <c r="L2942" s="27">
        <f t="shared" ca="1" si="589"/>
        <v>0</v>
      </c>
      <c r="M2942" s="27">
        <f t="shared" ca="1" si="590"/>
        <v>0</v>
      </c>
      <c r="N2942" s="28">
        <f t="shared" ca="1" si="591"/>
        <v>0</v>
      </c>
      <c r="O2942" s="29">
        <f t="shared" ca="1" si="592"/>
        <v>0</v>
      </c>
      <c r="P2942" s="30">
        <f t="shared" ca="1" si="593"/>
        <v>0</v>
      </c>
    </row>
    <row r="2943" spans="1:16" x14ac:dyDescent="0.25">
      <c r="A2943" s="3">
        <f t="shared" si="594"/>
        <v>50231</v>
      </c>
      <c r="B2943" s="21">
        <f t="shared" si="585"/>
        <v>36717</v>
      </c>
      <c r="C2943" s="21">
        <f t="shared" si="586"/>
        <v>36789</v>
      </c>
      <c r="D2943" s="1">
        <f t="shared" si="595"/>
        <v>0</v>
      </c>
      <c r="E2943" s="3">
        <f t="array" ref="E2943">INDEX($A$9:A2942, MAX(IF($D$9:D2942=1, ROW(D$9:$D2942)-ROW($D$9)+1, 0)))</f>
        <v>50213</v>
      </c>
      <c r="F2943" s="23">
        <f t="shared" si="587"/>
        <v>11.241615331964407</v>
      </c>
      <c r="G2943" s="5">
        <f>INDEX('Default Prob'!$P$5:$P$14,MIN(1+_xlfn.IFNA(MATCH(F2943,'Default Prob'!$F$5:$F$14,1),0),COUNT('Default Prob'!$P$5:$P$14)))</f>
        <v>8.0322462664562722E-2</v>
      </c>
      <c r="H2943" s="5">
        <f t="shared" si="596"/>
        <v>0.63551534710153335</v>
      </c>
      <c r="I2943" s="24">
        <f t="shared" si="597"/>
        <v>1.3977213129490185E-4</v>
      </c>
      <c r="J2943" s="25">
        <f>INDEX('Default Prob'!$C$3:$C$13, _xlfn.IFNA(MATCH(F2943, 'Default Prob'!$B$3:$B$13, 1), 1))</f>
        <v>2.5600000000000001E-2</v>
      </c>
      <c r="K2943" s="26">
        <f t="shared" si="588"/>
        <v>0.75264366412451811</v>
      </c>
      <c r="L2943" s="27">
        <f t="shared" ca="1" si="589"/>
        <v>0</v>
      </c>
      <c r="M2943" s="27">
        <f t="shared" ca="1" si="590"/>
        <v>0</v>
      </c>
      <c r="N2943" s="28">
        <f t="shared" ca="1" si="591"/>
        <v>0</v>
      </c>
      <c r="O2943" s="29">
        <f t="shared" ca="1" si="592"/>
        <v>0</v>
      </c>
      <c r="P2943" s="30">
        <f t="shared" ca="1" si="593"/>
        <v>0</v>
      </c>
    </row>
    <row r="2944" spans="1:16" x14ac:dyDescent="0.25">
      <c r="A2944" s="3">
        <f t="shared" si="594"/>
        <v>50234</v>
      </c>
      <c r="B2944" s="21">
        <f t="shared" si="585"/>
        <v>36720</v>
      </c>
      <c r="C2944" s="21">
        <f t="shared" si="586"/>
        <v>36789</v>
      </c>
      <c r="D2944" s="1">
        <f t="shared" si="595"/>
        <v>0</v>
      </c>
      <c r="E2944" s="3">
        <f t="array" ref="E2944">INDEX($A$9:A2943, MAX(IF($D$9:D2943=1, ROW(D$9:$D2943)-ROW($D$9)+1, 0)))</f>
        <v>50213</v>
      </c>
      <c r="F2944" s="23">
        <f t="shared" si="587"/>
        <v>11.249828884325805</v>
      </c>
      <c r="G2944" s="5">
        <f>INDEX('Default Prob'!$P$5:$P$14,MIN(1+_xlfn.IFNA(MATCH(F2944,'Default Prob'!$F$5:$F$14,1),0),COUNT('Default Prob'!$P$5:$P$14)))</f>
        <v>8.0322462664562722E-2</v>
      </c>
      <c r="H2944" s="5">
        <f t="shared" si="596"/>
        <v>0.63509621508484682</v>
      </c>
      <c r="I2944" s="24">
        <f t="shared" si="597"/>
        <v>4.1913201668652977E-4</v>
      </c>
      <c r="J2944" s="25">
        <f>INDEX('Default Prob'!$C$3:$C$13, _xlfn.IFNA(MATCH(F2944, 'Default Prob'!$B$3:$B$13, 1), 1))</f>
        <v>2.5600000000000001E-2</v>
      </c>
      <c r="K2944" s="26">
        <f t="shared" si="588"/>
        <v>0.75248741602146141</v>
      </c>
      <c r="L2944" s="27">
        <f t="shared" ca="1" si="589"/>
        <v>0</v>
      </c>
      <c r="M2944" s="27">
        <f t="shared" ca="1" si="590"/>
        <v>0</v>
      </c>
      <c r="N2944" s="28">
        <f t="shared" ca="1" si="591"/>
        <v>0</v>
      </c>
      <c r="O2944" s="29">
        <f t="shared" ca="1" si="592"/>
        <v>0</v>
      </c>
      <c r="P2944" s="30">
        <f t="shared" ca="1" si="593"/>
        <v>0</v>
      </c>
    </row>
    <row r="2945" spans="1:16" x14ac:dyDescent="0.25">
      <c r="A2945" s="3">
        <f t="shared" si="594"/>
        <v>50235</v>
      </c>
      <c r="B2945" s="21">
        <f t="shared" si="585"/>
        <v>36721</v>
      </c>
      <c r="C2945" s="21">
        <f t="shared" si="586"/>
        <v>36789</v>
      </c>
      <c r="D2945" s="1">
        <f t="shared" si="595"/>
        <v>0</v>
      </c>
      <c r="E2945" s="3">
        <f t="array" ref="E2945">INDEX($A$9:A2944, MAX(IF($D$9:D2944=1, ROW(D$9:$D2944)-ROW($D$9)+1, 0)))</f>
        <v>50213</v>
      </c>
      <c r="F2945" s="23">
        <f t="shared" si="587"/>
        <v>11.252566735112936</v>
      </c>
      <c r="G2945" s="5">
        <f>INDEX('Default Prob'!$P$5:$P$14,MIN(1+_xlfn.IFNA(MATCH(F2945,'Default Prob'!$F$5:$F$14,1),0),COUNT('Default Prob'!$P$5:$P$14)))</f>
        <v>8.0322462664562722E-2</v>
      </c>
      <c r="H2945" s="5">
        <f t="shared" si="596"/>
        <v>0.63495656584916238</v>
      </c>
      <c r="I2945" s="24">
        <f t="shared" si="597"/>
        <v>1.3964923568443588E-4</v>
      </c>
      <c r="J2945" s="25">
        <f>INDEX('Default Prob'!$C$3:$C$13, _xlfn.IFNA(MATCH(F2945, 'Default Prob'!$B$3:$B$13, 1), 1))</f>
        <v>2.5600000000000001E-2</v>
      </c>
      <c r="K2945" s="26">
        <f t="shared" si="588"/>
        <v>0.75243534052898764</v>
      </c>
      <c r="L2945" s="27">
        <f t="shared" ca="1" si="589"/>
        <v>0</v>
      </c>
      <c r="M2945" s="27">
        <f t="shared" ca="1" si="590"/>
        <v>0</v>
      </c>
      <c r="N2945" s="28">
        <f t="shared" ca="1" si="591"/>
        <v>0</v>
      </c>
      <c r="O2945" s="29">
        <f t="shared" ca="1" si="592"/>
        <v>0</v>
      </c>
      <c r="P2945" s="30">
        <f t="shared" ca="1" si="593"/>
        <v>0</v>
      </c>
    </row>
    <row r="2946" spans="1:16" x14ac:dyDescent="0.25">
      <c r="A2946" s="3">
        <f t="shared" si="594"/>
        <v>50236</v>
      </c>
      <c r="B2946" s="21">
        <f t="shared" si="585"/>
        <v>36722</v>
      </c>
      <c r="C2946" s="21">
        <f t="shared" si="586"/>
        <v>36789</v>
      </c>
      <c r="D2946" s="1">
        <f t="shared" si="595"/>
        <v>0</v>
      </c>
      <c r="E2946" s="3">
        <f t="array" ref="E2946">INDEX($A$9:A2945, MAX(IF($D$9:D2945=1, ROW(D$9:$D2945)-ROW($D$9)+1, 0)))</f>
        <v>50213</v>
      </c>
      <c r="F2946" s="23">
        <f t="shared" si="587"/>
        <v>11.255304585900069</v>
      </c>
      <c r="G2946" s="5">
        <f>INDEX('Default Prob'!$P$5:$P$14,MIN(1+_xlfn.IFNA(MATCH(F2946,'Default Prob'!$F$5:$F$14,1),0),COUNT('Default Prob'!$P$5:$P$14)))</f>
        <v>8.0322462664562722E-2</v>
      </c>
      <c r="H2946" s="5">
        <f t="shared" si="596"/>
        <v>0.63481694732049299</v>
      </c>
      <c r="I2946" s="24">
        <f t="shared" si="597"/>
        <v>1.3961852866939406E-4</v>
      </c>
      <c r="J2946" s="25">
        <f>INDEX('Default Prob'!$C$3:$C$13, _xlfn.IFNA(MATCH(F2946, 'Default Prob'!$B$3:$B$13, 1), 1))</f>
        <v>2.5600000000000001E-2</v>
      </c>
      <c r="K2946" s="26">
        <f t="shared" si="588"/>
        <v>0.75238326864037064</v>
      </c>
      <c r="L2946" s="27">
        <f t="shared" ca="1" si="589"/>
        <v>0</v>
      </c>
      <c r="M2946" s="27">
        <f t="shared" ca="1" si="590"/>
        <v>0</v>
      </c>
      <c r="N2946" s="28">
        <f t="shared" ca="1" si="591"/>
        <v>0</v>
      </c>
      <c r="O2946" s="29">
        <f t="shared" ca="1" si="592"/>
        <v>0</v>
      </c>
      <c r="P2946" s="30">
        <f t="shared" ca="1" si="593"/>
        <v>0</v>
      </c>
    </row>
    <row r="2947" spans="1:16" x14ac:dyDescent="0.25">
      <c r="A2947" s="3">
        <f t="shared" si="594"/>
        <v>50237</v>
      </c>
      <c r="B2947" s="21">
        <f t="shared" si="585"/>
        <v>36723</v>
      </c>
      <c r="C2947" s="21">
        <f t="shared" si="586"/>
        <v>36789</v>
      </c>
      <c r="D2947" s="1">
        <f t="shared" si="595"/>
        <v>0</v>
      </c>
      <c r="E2947" s="3">
        <f t="array" ref="E2947">INDEX($A$9:A2946, MAX(IF($D$9:D2946=1, ROW(D$9:$D2946)-ROW($D$9)+1, 0)))</f>
        <v>50213</v>
      </c>
      <c r="F2947" s="23">
        <f t="shared" si="587"/>
        <v>11.2580424366872</v>
      </c>
      <c r="G2947" s="5">
        <f>INDEX('Default Prob'!$P$5:$P$14,MIN(1+_xlfn.IFNA(MATCH(F2947,'Default Prob'!$F$5:$F$14,1),0),COUNT('Default Prob'!$P$5:$P$14)))</f>
        <v>8.0322462664562722E-2</v>
      </c>
      <c r="H2947" s="5">
        <f t="shared" si="596"/>
        <v>0.63467735949208659</v>
      </c>
      <c r="I2947" s="24">
        <f t="shared" si="597"/>
        <v>1.3958782840639561E-4</v>
      </c>
      <c r="J2947" s="25">
        <f>INDEX('Default Prob'!$C$3:$C$13, _xlfn.IFNA(MATCH(F2947, 'Default Prob'!$B$3:$B$13, 1), 1))</f>
        <v>2.5600000000000001E-2</v>
      </c>
      <c r="K2947" s="26">
        <f t="shared" si="588"/>
        <v>0.75233120035536116</v>
      </c>
      <c r="L2947" s="27">
        <f t="shared" ca="1" si="589"/>
        <v>0</v>
      </c>
      <c r="M2947" s="27">
        <f t="shared" ca="1" si="590"/>
        <v>0</v>
      </c>
      <c r="N2947" s="28">
        <f t="shared" ca="1" si="591"/>
        <v>0</v>
      </c>
      <c r="O2947" s="29">
        <f t="shared" ca="1" si="592"/>
        <v>0</v>
      </c>
      <c r="P2947" s="30">
        <f t="shared" ca="1" si="593"/>
        <v>0</v>
      </c>
    </row>
    <row r="2948" spans="1:16" x14ac:dyDescent="0.25">
      <c r="A2948" s="3">
        <f t="shared" si="594"/>
        <v>50238</v>
      </c>
      <c r="B2948" s="21">
        <f t="shared" si="585"/>
        <v>36724</v>
      </c>
      <c r="C2948" s="21">
        <f t="shared" si="586"/>
        <v>36789</v>
      </c>
      <c r="D2948" s="1">
        <f t="shared" si="595"/>
        <v>0</v>
      </c>
      <c r="E2948" s="3">
        <f t="array" ref="E2948">INDEX($A$9:A2947, MAX(IF($D$9:D2947=1, ROW(D$9:$D2947)-ROW($D$9)+1, 0)))</f>
        <v>50213</v>
      </c>
      <c r="F2948" s="23">
        <f t="shared" si="587"/>
        <v>11.260780287474333</v>
      </c>
      <c r="G2948" s="5">
        <f>INDEX('Default Prob'!$P$5:$P$14,MIN(1+_xlfn.IFNA(MATCH(F2948,'Default Prob'!$F$5:$F$14,1),0),COUNT('Default Prob'!$P$5:$P$14)))</f>
        <v>8.0322462664562722E-2</v>
      </c>
      <c r="H2948" s="5">
        <f t="shared" si="596"/>
        <v>0.63453780235719248</v>
      </c>
      <c r="I2948" s="24">
        <f t="shared" si="597"/>
        <v>1.3955713489410826E-4</v>
      </c>
      <c r="J2948" s="25">
        <f>INDEX('Default Prob'!$C$3:$C$13, _xlfn.IFNA(MATCH(F2948, 'Default Prob'!$B$3:$B$13, 1), 1))</f>
        <v>2.5600000000000001E-2</v>
      </c>
      <c r="K2948" s="26">
        <f t="shared" si="588"/>
        <v>0.75227913567370963</v>
      </c>
      <c r="L2948" s="27">
        <f t="shared" ca="1" si="589"/>
        <v>0</v>
      </c>
      <c r="M2948" s="27">
        <f t="shared" ca="1" si="590"/>
        <v>0</v>
      </c>
      <c r="N2948" s="28">
        <f t="shared" ca="1" si="591"/>
        <v>0</v>
      </c>
      <c r="O2948" s="29">
        <f t="shared" ca="1" si="592"/>
        <v>0</v>
      </c>
      <c r="P2948" s="30">
        <f t="shared" ca="1" si="593"/>
        <v>0</v>
      </c>
    </row>
    <row r="2949" spans="1:16" x14ac:dyDescent="0.25">
      <c r="A2949" s="3">
        <f t="shared" si="594"/>
        <v>50241</v>
      </c>
      <c r="B2949" s="21">
        <f t="shared" si="585"/>
        <v>36727</v>
      </c>
      <c r="C2949" s="21">
        <f t="shared" si="586"/>
        <v>36789</v>
      </c>
      <c r="D2949" s="1">
        <f t="shared" si="595"/>
        <v>0</v>
      </c>
      <c r="E2949" s="3">
        <f t="array" ref="E2949">INDEX($A$9:A2948, MAX(IF($D$9:D2948=1, ROW(D$9:$D2948)-ROW($D$9)+1, 0)))</f>
        <v>50213</v>
      </c>
      <c r="F2949" s="23">
        <f t="shared" si="587"/>
        <v>11.268993839835728</v>
      </c>
      <c r="G2949" s="5">
        <f>INDEX('Default Prob'!$P$5:$P$14,MIN(1+_xlfn.IFNA(MATCH(F2949,'Default Prob'!$F$5:$F$14,1),0),COUNT('Default Prob'!$P$5:$P$14)))</f>
        <v>8.0322462664562722E-2</v>
      </c>
      <c r="H2949" s="5">
        <f t="shared" si="596"/>
        <v>0.6341193150461012</v>
      </c>
      <c r="I2949" s="24">
        <f t="shared" si="597"/>
        <v>4.1848731109128678E-4</v>
      </c>
      <c r="J2949" s="25">
        <f>INDEX('Default Prob'!$C$3:$C$13, _xlfn.IFNA(MATCH(F2949, 'Default Prob'!$B$3:$B$13, 1), 1))</f>
        <v>2.5600000000000001E-2</v>
      </c>
      <c r="K2949" s="26">
        <f t="shared" si="588"/>
        <v>0.7521229632464097</v>
      </c>
      <c r="L2949" s="27">
        <f t="shared" ca="1" si="589"/>
        <v>0</v>
      </c>
      <c r="M2949" s="27">
        <f t="shared" ca="1" si="590"/>
        <v>0</v>
      </c>
      <c r="N2949" s="28">
        <f t="shared" ca="1" si="591"/>
        <v>0</v>
      </c>
      <c r="O2949" s="29">
        <f t="shared" ca="1" si="592"/>
        <v>0</v>
      </c>
      <c r="P2949" s="30">
        <f t="shared" ca="1" si="593"/>
        <v>0</v>
      </c>
    </row>
    <row r="2950" spans="1:16" x14ac:dyDescent="0.25">
      <c r="A2950" s="3">
        <f t="shared" si="594"/>
        <v>50242</v>
      </c>
      <c r="B2950" s="21">
        <f t="shared" si="585"/>
        <v>36728</v>
      </c>
      <c r="C2950" s="21">
        <f t="shared" si="586"/>
        <v>36789</v>
      </c>
      <c r="D2950" s="1">
        <f t="shared" si="595"/>
        <v>0</v>
      </c>
      <c r="E2950" s="3">
        <f t="array" ref="E2950">INDEX($A$9:A2949, MAX(IF($D$9:D2949=1, ROW(D$9:$D2949)-ROW($D$9)+1, 0)))</f>
        <v>50213</v>
      </c>
      <c r="F2950" s="23">
        <f t="shared" si="587"/>
        <v>11.271731690622861</v>
      </c>
      <c r="G2950" s="5">
        <f>INDEX('Default Prob'!$P$5:$P$14,MIN(1+_xlfn.IFNA(MATCH(F2950,'Default Prob'!$F$5:$F$14,1),0),COUNT('Default Prob'!$P$5:$P$14)))</f>
        <v>8.0322462664562722E-2</v>
      </c>
      <c r="H2950" s="5">
        <f t="shared" si="596"/>
        <v>0.63397988061778054</v>
      </c>
      <c r="I2950" s="24">
        <f t="shared" si="597"/>
        <v>1.3943442832065056E-4</v>
      </c>
      <c r="J2950" s="25">
        <f>INDEX('Default Prob'!$C$3:$C$13, _xlfn.IFNA(MATCH(F2950, 'Default Prob'!$B$3:$B$13, 1), 1))</f>
        <v>2.5600000000000001E-2</v>
      </c>
      <c r="K2950" s="26">
        <f t="shared" si="588"/>
        <v>0.75207091297569684</v>
      </c>
      <c r="L2950" s="27">
        <f t="shared" ca="1" si="589"/>
        <v>0</v>
      </c>
      <c r="M2950" s="27">
        <f t="shared" ca="1" si="590"/>
        <v>0</v>
      </c>
      <c r="N2950" s="28">
        <f t="shared" ca="1" si="591"/>
        <v>0</v>
      </c>
      <c r="O2950" s="29">
        <f t="shared" ca="1" si="592"/>
        <v>0</v>
      </c>
      <c r="P2950" s="30">
        <f t="shared" ca="1" si="593"/>
        <v>0</v>
      </c>
    </row>
    <row r="2951" spans="1:16" x14ac:dyDescent="0.25">
      <c r="A2951" s="3">
        <f t="shared" si="594"/>
        <v>50243</v>
      </c>
      <c r="B2951" s="21">
        <f t="shared" si="585"/>
        <v>36729</v>
      </c>
      <c r="C2951" s="21">
        <f t="shared" si="586"/>
        <v>36789</v>
      </c>
      <c r="D2951" s="1">
        <f t="shared" si="595"/>
        <v>0</v>
      </c>
      <c r="E2951" s="3">
        <f t="array" ref="E2951">INDEX($A$9:A2950, MAX(IF($D$9:D2950=1, ROW(D$9:$D2950)-ROW($D$9)+1, 0)))</f>
        <v>50213</v>
      </c>
      <c r="F2951" s="23">
        <f t="shared" si="587"/>
        <v>11.274469541409994</v>
      </c>
      <c r="G2951" s="5">
        <f>INDEX('Default Prob'!$P$5:$P$14,MIN(1+_xlfn.IFNA(MATCH(F2951,'Default Prob'!$F$5:$F$14,1),0),COUNT('Default Prob'!$P$5:$P$14)))</f>
        <v>8.0322462664562722E-2</v>
      </c>
      <c r="H2951" s="5">
        <f t="shared" si="596"/>
        <v>0.63384047684924172</v>
      </c>
      <c r="I2951" s="24">
        <f t="shared" si="597"/>
        <v>1.3940376853882608E-4</v>
      </c>
      <c r="J2951" s="25">
        <f>INDEX('Default Prob'!$C$3:$C$13, _xlfn.IFNA(MATCH(F2951, 'Default Prob'!$B$3:$B$13, 1), 1))</f>
        <v>2.5600000000000001E-2</v>
      </c>
      <c r="K2951" s="26">
        <f t="shared" si="588"/>
        <v>0.75201886630709547</v>
      </c>
      <c r="L2951" s="27">
        <f t="shared" ca="1" si="589"/>
        <v>0</v>
      </c>
      <c r="M2951" s="27">
        <f t="shared" ca="1" si="590"/>
        <v>0</v>
      </c>
      <c r="N2951" s="28">
        <f t="shared" ca="1" si="591"/>
        <v>0</v>
      </c>
      <c r="O2951" s="29">
        <f t="shared" ca="1" si="592"/>
        <v>0</v>
      </c>
      <c r="P2951" s="30">
        <f t="shared" ca="1" si="593"/>
        <v>0</v>
      </c>
    </row>
    <row r="2952" spans="1:16" x14ac:dyDescent="0.25">
      <c r="A2952" s="3">
        <f t="shared" si="594"/>
        <v>50244</v>
      </c>
      <c r="B2952" s="21">
        <f t="shared" si="585"/>
        <v>36730</v>
      </c>
      <c r="C2952" s="21">
        <f t="shared" si="586"/>
        <v>36789</v>
      </c>
      <c r="D2952" s="1">
        <f t="shared" si="595"/>
        <v>0</v>
      </c>
      <c r="E2952" s="3">
        <f t="array" ref="E2952">INDEX($A$9:A2951, MAX(IF($D$9:D2951=1, ROW(D$9:$D2951)-ROW($D$9)+1, 0)))</f>
        <v>50213</v>
      </c>
      <c r="F2952" s="23">
        <f t="shared" si="587"/>
        <v>11.277207392197125</v>
      </c>
      <c r="G2952" s="5">
        <f>INDEX('Default Prob'!$P$5:$P$14,MIN(1+_xlfn.IFNA(MATCH(F2952,'Default Prob'!$F$5:$F$14,1),0),COUNT('Default Prob'!$P$5:$P$14)))</f>
        <v>8.0322462664562722E-2</v>
      </c>
      <c r="H2952" s="5">
        <f t="shared" si="596"/>
        <v>0.633701103733743</v>
      </c>
      <c r="I2952" s="24">
        <f t="shared" si="597"/>
        <v>1.3937311549871989E-4</v>
      </c>
      <c r="J2952" s="25">
        <f>INDEX('Default Prob'!$C$3:$C$13, _xlfn.IFNA(MATCH(F2952, 'Default Prob'!$B$3:$B$13, 1), 1))</f>
        <v>2.5600000000000001E-2</v>
      </c>
      <c r="K2952" s="26">
        <f t="shared" si="588"/>
        <v>0.75196682324035624</v>
      </c>
      <c r="L2952" s="27">
        <f t="shared" ca="1" si="589"/>
        <v>0</v>
      </c>
      <c r="M2952" s="27">
        <f t="shared" ca="1" si="590"/>
        <v>0</v>
      </c>
      <c r="N2952" s="28">
        <f t="shared" ca="1" si="591"/>
        <v>0</v>
      </c>
      <c r="O2952" s="29">
        <f t="shared" ca="1" si="592"/>
        <v>0</v>
      </c>
      <c r="P2952" s="30">
        <f t="shared" ca="1" si="593"/>
        <v>0</v>
      </c>
    </row>
    <row r="2953" spans="1:16" x14ac:dyDescent="0.25">
      <c r="A2953" s="3">
        <f t="shared" si="594"/>
        <v>50245</v>
      </c>
      <c r="B2953" s="21">
        <f t="shared" ref="B2953:B3003" si="598">DATE(2000, MONTH(A2953), DAY(A2953))</f>
        <v>36731</v>
      </c>
      <c r="C2953" s="21">
        <f t="shared" ref="C2953:C3003" si="599">VLOOKUP(B2953, $R$9:$S$13, 2)</f>
        <v>36789</v>
      </c>
      <c r="D2953" s="1">
        <f t="shared" si="595"/>
        <v>0</v>
      </c>
      <c r="E2953" s="3">
        <f t="array" ref="E2953">INDEX($A$9:A2952, MAX(IF($D$9:D2952=1, ROW(D$9:$D2952)-ROW($D$9)+1, 0)))</f>
        <v>50213</v>
      </c>
      <c r="F2953" s="23">
        <f t="shared" ref="F2953:F3003" si="600">(A2953-$A$2)/365.25</f>
        <v>11.279945242984258</v>
      </c>
      <c r="G2953" s="5">
        <f>INDEX('Default Prob'!$P$5:$P$14,MIN(1+_xlfn.IFNA(MATCH(F2953,'Default Prob'!$F$5:$F$14,1),0),COUNT('Default Prob'!$P$5:$P$14)))</f>
        <v>8.0322462664562722E-2</v>
      </c>
      <c r="H2953" s="5">
        <f t="shared" si="596"/>
        <v>0.63356176126454411</v>
      </c>
      <c r="I2953" s="24">
        <f t="shared" si="597"/>
        <v>1.3934246919888871E-4</v>
      </c>
      <c r="J2953" s="25">
        <f>INDEX('Default Prob'!$C$3:$C$13, _xlfn.IFNA(MATCH(F2953, 'Default Prob'!$B$3:$B$13, 1), 1))</f>
        <v>2.5600000000000001E-2</v>
      </c>
      <c r="K2953" s="26">
        <f t="shared" ref="K2953:K3003" si="601">1/((1+J2953)^F2953)</f>
        <v>0.75191478377522958</v>
      </c>
      <c r="L2953" s="27">
        <f t="shared" ref="L2953:L3003" ca="1" si="602">IF(AND(D2953, A2953 &lt;= $G$2), $D$5*$D$2*(A2953-E2953)/365.25, 0)</f>
        <v>0</v>
      </c>
      <c r="M2953" s="27">
        <f t="shared" ref="M2953:M3003" ca="1" si="603">IF(A2953&lt;=$G$2, $D$5*$D$2*(A2953-E2953)/365.25, 0)</f>
        <v>0</v>
      </c>
      <c r="N2953" s="28">
        <f t="shared" ref="N2953:N3003" ca="1" si="604">(L2953*H2953 + M2953*I2953) * K2953</f>
        <v>0</v>
      </c>
      <c r="O2953" s="29">
        <f t="shared" ref="O2953:O3003" ca="1" si="605">IF(A2953&lt;=$G$2, $D$2*(1-$D$3), 0)</f>
        <v>0</v>
      </c>
      <c r="P2953" s="30">
        <f t="shared" ref="P2953:P3003" ca="1" si="606">O2953*I2953*K2953</f>
        <v>0</v>
      </c>
    </row>
    <row r="2954" spans="1:16" x14ac:dyDescent="0.25">
      <c r="A2954" s="3">
        <f t="shared" ref="A2954:A3003" si="607">WORKDAY(A2953, 1)</f>
        <v>50248</v>
      </c>
      <c r="B2954" s="21">
        <f t="shared" si="598"/>
        <v>36734</v>
      </c>
      <c r="C2954" s="21">
        <f t="shared" si="599"/>
        <v>36789</v>
      </c>
      <c r="D2954" s="1">
        <f t="shared" ref="D2954:D3003" si="608">IF(OR(C2954=B2954, AND(C2954&lt;&gt;C2953, C2953&gt;B2953)), 1, 0)</f>
        <v>0</v>
      </c>
      <c r="E2954" s="3">
        <f t="array" ref="E2954">INDEX($A$9:A2953, MAX(IF($D$9:D2953=1, ROW(D$9:$D2953)-ROW($D$9)+1, 0)))</f>
        <v>50213</v>
      </c>
      <c r="F2954" s="23">
        <f t="shared" si="600"/>
        <v>11.288158795345653</v>
      </c>
      <c r="G2954" s="5">
        <f>INDEX('Default Prob'!$P$5:$P$14,MIN(1+_xlfn.IFNA(MATCH(F2954,'Default Prob'!$F$5:$F$14,1),0),COUNT('Default Prob'!$P$5:$P$14)))</f>
        <v>8.0322462664562722E-2</v>
      </c>
      <c r="H2954" s="5">
        <f t="shared" ref="H2954:H3003" si="609">H2953*EXP(-G2953*(F2954-F2953))</f>
        <v>0.63314391766736688</v>
      </c>
      <c r="I2954" s="24">
        <f t="shared" ref="I2954:I3003" si="610">H2953-H2954</f>
        <v>4.1784359717722541E-4</v>
      </c>
      <c r="J2954" s="25">
        <f>INDEX('Default Prob'!$C$3:$C$13, _xlfn.IFNA(MATCH(F2954, 'Default Prob'!$B$3:$B$13, 1), 1))</f>
        <v>2.5600000000000001E-2</v>
      </c>
      <c r="K2954" s="26">
        <f t="shared" si="601"/>
        <v>0.75175868698703463</v>
      </c>
      <c r="L2954" s="27">
        <f t="shared" ca="1" si="602"/>
        <v>0</v>
      </c>
      <c r="M2954" s="27">
        <f t="shared" ca="1" si="603"/>
        <v>0</v>
      </c>
      <c r="N2954" s="28">
        <f t="shared" ca="1" si="604"/>
        <v>0</v>
      </c>
      <c r="O2954" s="29">
        <f t="shared" ca="1" si="605"/>
        <v>0</v>
      </c>
      <c r="P2954" s="30">
        <f t="shared" ca="1" si="606"/>
        <v>0</v>
      </c>
    </row>
    <row r="2955" spans="1:16" x14ac:dyDescent="0.25">
      <c r="A2955" s="3">
        <f t="shared" si="607"/>
        <v>50249</v>
      </c>
      <c r="B2955" s="21">
        <f t="shared" si="598"/>
        <v>36735</v>
      </c>
      <c r="C2955" s="21">
        <f t="shared" si="599"/>
        <v>36789</v>
      </c>
      <c r="D2955" s="1">
        <f t="shared" si="608"/>
        <v>0</v>
      </c>
      <c r="E2955" s="3">
        <f t="array" ref="E2955">INDEX($A$9:A2954, MAX(IF($D$9:D2954=1, ROW(D$9:$D2954)-ROW($D$9)+1, 0)))</f>
        <v>50213</v>
      </c>
      <c r="F2955" s="23">
        <f t="shared" si="600"/>
        <v>11.290896646132786</v>
      </c>
      <c r="G2955" s="5">
        <f>INDEX('Default Prob'!$P$5:$P$14,MIN(1+_xlfn.IFNA(MATCH(F2955,'Default Prob'!$F$5:$F$14,1),0),COUNT('Default Prob'!$P$5:$P$14)))</f>
        <v>8.0322462664562722E-2</v>
      </c>
      <c r="H2955" s="5">
        <f t="shared" si="609"/>
        <v>0.6330046977159951</v>
      </c>
      <c r="I2955" s="24">
        <f t="shared" si="610"/>
        <v>1.3921995137178289E-4</v>
      </c>
      <c r="J2955" s="25">
        <f>INDEX('Default Prob'!$C$3:$C$13, _xlfn.IFNA(MATCH(F2955, 'Default Prob'!$B$3:$B$13, 1), 1))</f>
        <v>2.5600000000000001E-2</v>
      </c>
      <c r="K2955" s="26">
        <f t="shared" si="601"/>
        <v>0.75170666192586699</v>
      </c>
      <c r="L2955" s="27">
        <f t="shared" ca="1" si="602"/>
        <v>0</v>
      </c>
      <c r="M2955" s="27">
        <f t="shared" ca="1" si="603"/>
        <v>0</v>
      </c>
      <c r="N2955" s="28">
        <f t="shared" ca="1" si="604"/>
        <v>0</v>
      </c>
      <c r="O2955" s="29">
        <f t="shared" ca="1" si="605"/>
        <v>0</v>
      </c>
      <c r="P2955" s="30">
        <f t="shared" ca="1" si="606"/>
        <v>0</v>
      </c>
    </row>
    <row r="2956" spans="1:16" x14ac:dyDescent="0.25">
      <c r="A2956" s="3">
        <f t="shared" si="607"/>
        <v>50250</v>
      </c>
      <c r="B2956" s="21">
        <f t="shared" si="598"/>
        <v>36736</v>
      </c>
      <c r="C2956" s="21">
        <f t="shared" si="599"/>
        <v>36789</v>
      </c>
      <c r="D2956" s="1">
        <f t="shared" si="608"/>
        <v>0</v>
      </c>
      <c r="E2956" s="3">
        <f t="array" ref="E2956">INDEX($A$9:A2955, MAX(IF($D$9:D2955=1, ROW(D$9:$D2955)-ROW($D$9)+1, 0)))</f>
        <v>50213</v>
      </c>
      <c r="F2956" s="23">
        <f t="shared" si="600"/>
        <v>11.293634496919918</v>
      </c>
      <c r="G2956" s="5">
        <f>INDEX('Default Prob'!$P$5:$P$14,MIN(1+_xlfn.IFNA(MATCH(F2956,'Default Prob'!$F$5:$F$14,1),0),COUNT('Default Prob'!$P$5:$P$14)))</f>
        <v>8.0322462664562722E-2</v>
      </c>
      <c r="H2956" s="5">
        <f t="shared" si="609"/>
        <v>0.63286550837724453</v>
      </c>
      <c r="I2956" s="24">
        <f t="shared" si="610"/>
        <v>1.3918933875056716E-4</v>
      </c>
      <c r="J2956" s="25">
        <f>INDEX('Default Prob'!$C$3:$C$13, _xlfn.IFNA(MATCH(F2956, 'Default Prob'!$B$3:$B$13, 1), 1))</f>
        <v>2.5600000000000001E-2</v>
      </c>
      <c r="K2956" s="26">
        <f t="shared" si="601"/>
        <v>0.75165464046506625</v>
      </c>
      <c r="L2956" s="27">
        <f t="shared" ca="1" si="602"/>
        <v>0</v>
      </c>
      <c r="M2956" s="27">
        <f t="shared" ca="1" si="603"/>
        <v>0</v>
      </c>
      <c r="N2956" s="28">
        <f t="shared" ca="1" si="604"/>
        <v>0</v>
      </c>
      <c r="O2956" s="29">
        <f t="shared" ca="1" si="605"/>
        <v>0</v>
      </c>
      <c r="P2956" s="30">
        <f t="shared" ca="1" si="606"/>
        <v>0</v>
      </c>
    </row>
    <row r="2957" spans="1:16" x14ac:dyDescent="0.25">
      <c r="A2957" s="3">
        <f t="shared" si="607"/>
        <v>50251</v>
      </c>
      <c r="B2957" s="21">
        <f t="shared" si="598"/>
        <v>36737</v>
      </c>
      <c r="C2957" s="21">
        <f t="shared" si="599"/>
        <v>36789</v>
      </c>
      <c r="D2957" s="1">
        <f t="shared" si="608"/>
        <v>0</v>
      </c>
      <c r="E2957" s="3">
        <f t="array" ref="E2957">INDEX($A$9:A2956, MAX(IF($D$9:D2956=1, ROW(D$9:$D2956)-ROW($D$9)+1, 0)))</f>
        <v>50213</v>
      </c>
      <c r="F2957" s="23">
        <f t="shared" si="600"/>
        <v>11.296372347707051</v>
      </c>
      <c r="G2957" s="5">
        <f>INDEX('Default Prob'!$P$5:$P$14,MIN(1+_xlfn.IFNA(MATCH(F2957,'Default Prob'!$F$5:$F$14,1),0),COUNT('Default Prob'!$P$5:$P$14)))</f>
        <v>8.0322462664562722E-2</v>
      </c>
      <c r="H2957" s="5">
        <f t="shared" si="609"/>
        <v>0.63272634964438368</v>
      </c>
      <c r="I2957" s="24">
        <f t="shared" si="610"/>
        <v>1.3915873286085567E-4</v>
      </c>
      <c r="J2957" s="25">
        <f>INDEX('Default Prob'!$C$3:$C$13, _xlfn.IFNA(MATCH(F2957, 'Default Prob'!$B$3:$B$13, 1), 1))</f>
        <v>2.5600000000000001E-2</v>
      </c>
      <c r="K2957" s="26">
        <f t="shared" si="601"/>
        <v>0.75160262260438315</v>
      </c>
      <c r="L2957" s="27">
        <f t="shared" ca="1" si="602"/>
        <v>0</v>
      </c>
      <c r="M2957" s="27">
        <f t="shared" ca="1" si="603"/>
        <v>0</v>
      </c>
      <c r="N2957" s="28">
        <f t="shared" ca="1" si="604"/>
        <v>0</v>
      </c>
      <c r="O2957" s="29">
        <f t="shared" ca="1" si="605"/>
        <v>0</v>
      </c>
      <c r="P2957" s="30">
        <f t="shared" ca="1" si="606"/>
        <v>0</v>
      </c>
    </row>
    <row r="2958" spans="1:16" x14ac:dyDescent="0.25">
      <c r="A2958" s="3">
        <f t="shared" si="607"/>
        <v>50252</v>
      </c>
      <c r="B2958" s="21">
        <f t="shared" si="598"/>
        <v>36738</v>
      </c>
      <c r="C2958" s="21">
        <f t="shared" si="599"/>
        <v>36789</v>
      </c>
      <c r="D2958" s="1">
        <f t="shared" si="608"/>
        <v>0</v>
      </c>
      <c r="E2958" s="3">
        <f t="array" ref="E2958">INDEX($A$9:A2957, MAX(IF($D$9:D2957=1, ROW(D$9:$D2957)-ROW($D$9)+1, 0)))</f>
        <v>50213</v>
      </c>
      <c r="F2958" s="23">
        <f t="shared" si="600"/>
        <v>11.299110198494182</v>
      </c>
      <c r="G2958" s="5">
        <f>INDEX('Default Prob'!$P$5:$P$14,MIN(1+_xlfn.IFNA(MATCH(F2958,'Default Prob'!$F$5:$F$14,1),0),COUNT('Default Prob'!$P$5:$P$14)))</f>
        <v>8.0322462664562722E-2</v>
      </c>
      <c r="H2958" s="5">
        <f t="shared" si="609"/>
        <v>0.63258722151068281</v>
      </c>
      <c r="I2958" s="24">
        <f t="shared" si="610"/>
        <v>1.3912813370087207E-4</v>
      </c>
      <c r="J2958" s="25">
        <f>INDEX('Default Prob'!$C$3:$C$13, _xlfn.IFNA(MATCH(F2958, 'Default Prob'!$B$3:$B$13, 1), 1))</f>
        <v>2.5600000000000001E-2</v>
      </c>
      <c r="K2958" s="26">
        <f t="shared" si="601"/>
        <v>0.75155060834356846</v>
      </c>
      <c r="L2958" s="27">
        <f t="shared" ca="1" si="602"/>
        <v>0</v>
      </c>
      <c r="M2958" s="27">
        <f t="shared" ca="1" si="603"/>
        <v>0</v>
      </c>
      <c r="N2958" s="28">
        <f t="shared" ca="1" si="604"/>
        <v>0</v>
      </c>
      <c r="O2958" s="29">
        <f t="shared" ca="1" si="605"/>
        <v>0</v>
      </c>
      <c r="P2958" s="30">
        <f t="shared" ca="1" si="606"/>
        <v>0</v>
      </c>
    </row>
    <row r="2959" spans="1:16" x14ac:dyDescent="0.25">
      <c r="A2959" s="3">
        <f t="shared" si="607"/>
        <v>50255</v>
      </c>
      <c r="B2959" s="21">
        <f t="shared" si="598"/>
        <v>36741</v>
      </c>
      <c r="C2959" s="21">
        <f t="shared" si="599"/>
        <v>36789</v>
      </c>
      <c r="D2959" s="1">
        <f t="shared" si="608"/>
        <v>0</v>
      </c>
      <c r="E2959" s="3">
        <f t="array" ref="E2959">INDEX($A$9:A2958, MAX(IF($D$9:D2958=1, ROW(D$9:$D2958)-ROW($D$9)+1, 0)))</f>
        <v>50213</v>
      </c>
      <c r="F2959" s="23">
        <f t="shared" si="600"/>
        <v>11.307323750855579</v>
      </c>
      <c r="G2959" s="5">
        <f>INDEX('Default Prob'!$P$5:$P$14,MIN(1+_xlfn.IFNA(MATCH(F2959,'Default Prob'!$F$5:$F$14,1),0),COUNT('Default Prob'!$P$5:$P$14)))</f>
        <v>8.0322462664562722E-2</v>
      </c>
      <c r="H2959" s="5">
        <f t="shared" si="609"/>
        <v>0.63217002063726391</v>
      </c>
      <c r="I2959" s="24">
        <f t="shared" si="610"/>
        <v>4.1720087341889922E-4</v>
      </c>
      <c r="J2959" s="25">
        <f>INDEX('Default Prob'!$C$3:$C$13, _xlfn.IFNA(MATCH(F2959, 'Default Prob'!$B$3:$B$13, 1), 1))</f>
        <v>2.5600000000000001E-2</v>
      </c>
      <c r="K2959" s="26">
        <f t="shared" si="601"/>
        <v>0.7513945871578438</v>
      </c>
      <c r="L2959" s="27">
        <f t="shared" ca="1" si="602"/>
        <v>0</v>
      </c>
      <c r="M2959" s="27">
        <f t="shared" ca="1" si="603"/>
        <v>0</v>
      </c>
      <c r="N2959" s="28">
        <f t="shared" ca="1" si="604"/>
        <v>0</v>
      </c>
      <c r="O2959" s="29">
        <f t="shared" ca="1" si="605"/>
        <v>0</v>
      </c>
      <c r="P2959" s="30">
        <f t="shared" ca="1" si="606"/>
        <v>0</v>
      </c>
    </row>
    <row r="2960" spans="1:16" x14ac:dyDescent="0.25">
      <c r="A2960" s="3">
        <f t="shared" si="607"/>
        <v>50256</v>
      </c>
      <c r="B2960" s="21">
        <f t="shared" si="598"/>
        <v>36742</v>
      </c>
      <c r="C2960" s="21">
        <f t="shared" si="599"/>
        <v>36789</v>
      </c>
      <c r="D2960" s="1">
        <f t="shared" si="608"/>
        <v>0</v>
      </c>
      <c r="E2960" s="3">
        <f t="array" ref="E2960">INDEX($A$9:A2959, MAX(IF($D$9:D2959=1, ROW(D$9:$D2959)-ROW($D$9)+1, 0)))</f>
        <v>50213</v>
      </c>
      <c r="F2960" s="23">
        <f t="shared" si="600"/>
        <v>11.31006160164271</v>
      </c>
      <c r="G2960" s="5">
        <f>INDEX('Default Prob'!$P$5:$P$14,MIN(1+_xlfn.IFNA(MATCH(F2960,'Default Prob'!$F$5:$F$14,1),0),COUNT('Default Prob'!$P$5:$P$14)))</f>
        <v>8.0322462664562722E-2</v>
      </c>
      <c r="H2960" s="5">
        <f t="shared" si="609"/>
        <v>0.63203101483293422</v>
      </c>
      <c r="I2960" s="24">
        <f t="shared" si="610"/>
        <v>1.3900580432968379E-4</v>
      </c>
      <c r="J2960" s="25">
        <f>INDEX('Default Prob'!$C$3:$C$13, _xlfn.IFNA(MATCH(F2960, 'Default Prob'!$B$3:$B$13, 1), 1))</f>
        <v>2.5600000000000001E-2</v>
      </c>
      <c r="K2960" s="26">
        <f t="shared" si="601"/>
        <v>0.75134258729401182</v>
      </c>
      <c r="L2960" s="27">
        <f t="shared" ca="1" si="602"/>
        <v>0</v>
      </c>
      <c r="M2960" s="27">
        <f t="shared" ca="1" si="603"/>
        <v>0</v>
      </c>
      <c r="N2960" s="28">
        <f t="shared" ca="1" si="604"/>
        <v>0</v>
      </c>
      <c r="O2960" s="29">
        <f t="shared" ca="1" si="605"/>
        <v>0</v>
      </c>
      <c r="P2960" s="30">
        <f t="shared" ca="1" si="606"/>
        <v>0</v>
      </c>
    </row>
    <row r="2961" spans="1:16" x14ac:dyDescent="0.25">
      <c r="A2961" s="3">
        <f t="shared" si="607"/>
        <v>50257</v>
      </c>
      <c r="B2961" s="21">
        <f t="shared" si="598"/>
        <v>36743</v>
      </c>
      <c r="C2961" s="21">
        <f t="shared" si="599"/>
        <v>36789</v>
      </c>
      <c r="D2961" s="1">
        <f t="shared" si="608"/>
        <v>0</v>
      </c>
      <c r="E2961" s="3">
        <f t="array" ref="E2961">INDEX($A$9:A2960, MAX(IF($D$9:D2960=1, ROW(D$9:$D2960)-ROW($D$9)+1, 0)))</f>
        <v>50213</v>
      </c>
      <c r="F2961" s="23">
        <f t="shared" si="600"/>
        <v>11.312799452429843</v>
      </c>
      <c r="G2961" s="5">
        <f>INDEX('Default Prob'!$P$5:$P$14,MIN(1+_xlfn.IFNA(MATCH(F2961,'Default Prob'!$F$5:$F$14,1),0),COUNT('Default Prob'!$P$5:$P$14)))</f>
        <v>8.0322462664562722E-2</v>
      </c>
      <c r="H2961" s="5">
        <f t="shared" si="609"/>
        <v>0.63189203959413753</v>
      </c>
      <c r="I2961" s="24">
        <f t="shared" si="610"/>
        <v>1.3897523879669027E-4</v>
      </c>
      <c r="J2961" s="25">
        <f>INDEX('Default Prob'!$C$3:$C$13, _xlfn.IFNA(MATCH(F2961, 'Default Prob'!$B$3:$B$13, 1), 1))</f>
        <v>2.5600000000000001E-2</v>
      </c>
      <c r="K2961" s="26">
        <f t="shared" si="601"/>
        <v>0.7512905910288028</v>
      </c>
      <c r="L2961" s="27">
        <f t="shared" ca="1" si="602"/>
        <v>0</v>
      </c>
      <c r="M2961" s="27">
        <f t="shared" ca="1" si="603"/>
        <v>0</v>
      </c>
      <c r="N2961" s="28">
        <f t="shared" ca="1" si="604"/>
        <v>0</v>
      </c>
      <c r="O2961" s="29">
        <f t="shared" ca="1" si="605"/>
        <v>0</v>
      </c>
      <c r="P2961" s="30">
        <f t="shared" ca="1" si="606"/>
        <v>0</v>
      </c>
    </row>
    <row r="2962" spans="1:16" x14ac:dyDescent="0.25">
      <c r="A2962" s="3">
        <f t="shared" si="607"/>
        <v>50258</v>
      </c>
      <c r="B2962" s="21">
        <f t="shared" si="598"/>
        <v>36744</v>
      </c>
      <c r="C2962" s="21">
        <f t="shared" si="599"/>
        <v>36789</v>
      </c>
      <c r="D2962" s="1">
        <f t="shared" si="608"/>
        <v>0</v>
      </c>
      <c r="E2962" s="3">
        <f t="array" ref="E2962">INDEX($A$9:A2961, MAX(IF($D$9:D2961=1, ROW(D$9:$D2961)-ROW($D$9)+1, 0)))</f>
        <v>50213</v>
      </c>
      <c r="F2962" s="23">
        <f t="shared" si="600"/>
        <v>11.315537303216974</v>
      </c>
      <c r="G2962" s="5">
        <f>INDEX('Default Prob'!$P$5:$P$14,MIN(1+_xlfn.IFNA(MATCH(F2962,'Default Prob'!$F$5:$F$14,1),0),COUNT('Default Prob'!$P$5:$P$14)))</f>
        <v>8.0322462664562722E-2</v>
      </c>
      <c r="H2962" s="5">
        <f t="shared" si="609"/>
        <v>0.63175309491415299</v>
      </c>
      <c r="I2962" s="24">
        <f t="shared" si="610"/>
        <v>1.3894467998454285E-4</v>
      </c>
      <c r="J2962" s="25">
        <f>INDEX('Default Prob'!$C$3:$C$13, _xlfn.IFNA(MATCH(F2962, 'Default Prob'!$B$3:$B$13, 1), 1))</f>
        <v>2.5600000000000001E-2</v>
      </c>
      <c r="K2962" s="26">
        <f t="shared" si="601"/>
        <v>0.75123859836196782</v>
      </c>
      <c r="L2962" s="27">
        <f t="shared" ca="1" si="602"/>
        <v>0</v>
      </c>
      <c r="M2962" s="27">
        <f t="shared" ca="1" si="603"/>
        <v>0</v>
      </c>
      <c r="N2962" s="28">
        <f t="shared" ca="1" si="604"/>
        <v>0</v>
      </c>
      <c r="O2962" s="29">
        <f t="shared" ca="1" si="605"/>
        <v>0</v>
      </c>
      <c r="P2962" s="30">
        <f t="shared" ca="1" si="606"/>
        <v>0</v>
      </c>
    </row>
    <row r="2963" spans="1:16" x14ac:dyDescent="0.25">
      <c r="A2963" s="3">
        <f t="shared" si="607"/>
        <v>50259</v>
      </c>
      <c r="B2963" s="21">
        <f t="shared" si="598"/>
        <v>36745</v>
      </c>
      <c r="C2963" s="21">
        <f t="shared" si="599"/>
        <v>36789</v>
      </c>
      <c r="D2963" s="1">
        <f t="shared" si="608"/>
        <v>0</v>
      </c>
      <c r="E2963" s="3">
        <f t="array" ref="E2963">INDEX($A$9:A2962, MAX(IF($D$9:D2962=1, ROW(D$9:$D2962)-ROW($D$9)+1, 0)))</f>
        <v>50213</v>
      </c>
      <c r="F2963" s="23">
        <f t="shared" si="600"/>
        <v>11.318275154004107</v>
      </c>
      <c r="G2963" s="5">
        <f>INDEX('Default Prob'!$P$5:$P$14,MIN(1+_xlfn.IFNA(MATCH(F2963,'Default Prob'!$F$5:$F$14,1),0),COUNT('Default Prob'!$P$5:$P$14)))</f>
        <v>8.0322462664562722E-2</v>
      </c>
      <c r="H2963" s="5">
        <f t="shared" si="609"/>
        <v>0.63161418078626097</v>
      </c>
      <c r="I2963" s="24">
        <f t="shared" si="610"/>
        <v>1.3891412789202029E-4</v>
      </c>
      <c r="J2963" s="25">
        <f>INDEX('Default Prob'!$C$3:$C$13, _xlfn.IFNA(MATCH(F2963, 'Default Prob'!$B$3:$B$13, 1), 1))</f>
        <v>2.5600000000000001E-2</v>
      </c>
      <c r="K2963" s="26">
        <f t="shared" si="601"/>
        <v>0.75118660929325765</v>
      </c>
      <c r="L2963" s="27">
        <f t="shared" ca="1" si="602"/>
        <v>0</v>
      </c>
      <c r="M2963" s="27">
        <f t="shared" ca="1" si="603"/>
        <v>0</v>
      </c>
      <c r="N2963" s="28">
        <f t="shared" ca="1" si="604"/>
        <v>0</v>
      </c>
      <c r="O2963" s="29">
        <f t="shared" ca="1" si="605"/>
        <v>0</v>
      </c>
      <c r="P2963" s="30">
        <f t="shared" ca="1" si="606"/>
        <v>0</v>
      </c>
    </row>
    <row r="2964" spans="1:16" x14ac:dyDescent="0.25">
      <c r="A2964" s="3">
        <f t="shared" si="607"/>
        <v>50262</v>
      </c>
      <c r="B2964" s="21">
        <f t="shared" si="598"/>
        <v>36748</v>
      </c>
      <c r="C2964" s="21">
        <f t="shared" si="599"/>
        <v>36789</v>
      </c>
      <c r="D2964" s="1">
        <f t="shared" si="608"/>
        <v>0</v>
      </c>
      <c r="E2964" s="3">
        <f t="array" ref="E2964">INDEX($A$9:A2963, MAX(IF($D$9:D2963=1, ROW(D$9:$D2963)-ROW($D$9)+1, 0)))</f>
        <v>50213</v>
      </c>
      <c r="F2964" s="23">
        <f t="shared" si="600"/>
        <v>11.326488706365502</v>
      </c>
      <c r="G2964" s="5">
        <f>INDEX('Default Prob'!$P$5:$P$14,MIN(1+_xlfn.IFNA(MATCH(F2964,'Default Prob'!$F$5:$F$14,1),0),COUNT('Default Prob'!$P$5:$P$14)))</f>
        <v>8.0322462664562722E-2</v>
      </c>
      <c r="H2964" s="5">
        <f t="shared" si="609"/>
        <v>0.63119762164796778</v>
      </c>
      <c r="I2964" s="24">
        <f t="shared" si="610"/>
        <v>4.1655913829319324E-4</v>
      </c>
      <c r="J2964" s="25">
        <f>INDEX('Default Prob'!$C$3:$C$13, _xlfn.IFNA(MATCH(F2964, 'Default Prob'!$B$3:$B$13, 1), 1))</f>
        <v>2.5600000000000001E-2</v>
      </c>
      <c r="K2964" s="26">
        <f t="shared" si="601"/>
        <v>0.75103066367338689</v>
      </c>
      <c r="L2964" s="27">
        <f t="shared" ca="1" si="602"/>
        <v>0</v>
      </c>
      <c r="M2964" s="27">
        <f t="shared" ca="1" si="603"/>
        <v>0</v>
      </c>
      <c r="N2964" s="28">
        <f t="shared" ca="1" si="604"/>
        <v>0</v>
      </c>
      <c r="O2964" s="29">
        <f t="shared" ca="1" si="605"/>
        <v>0</v>
      </c>
      <c r="P2964" s="30">
        <f t="shared" ca="1" si="606"/>
        <v>0</v>
      </c>
    </row>
    <row r="2965" spans="1:16" x14ac:dyDescent="0.25">
      <c r="A2965" s="3">
        <f t="shared" si="607"/>
        <v>50263</v>
      </c>
      <c r="B2965" s="21">
        <f t="shared" si="598"/>
        <v>36749</v>
      </c>
      <c r="C2965" s="21">
        <f t="shared" si="599"/>
        <v>36789</v>
      </c>
      <c r="D2965" s="1">
        <f t="shared" si="608"/>
        <v>0</v>
      </c>
      <c r="E2965" s="3">
        <f t="array" ref="E2965">INDEX($A$9:A2964, MAX(IF($D$9:D2964=1, ROW(D$9:$D2964)-ROW($D$9)+1, 0)))</f>
        <v>50213</v>
      </c>
      <c r="F2965" s="23">
        <f t="shared" si="600"/>
        <v>11.329226557152635</v>
      </c>
      <c r="G2965" s="5">
        <f>INDEX('Default Prob'!$P$5:$P$14,MIN(1+_xlfn.IFNA(MATCH(F2965,'Default Prob'!$F$5:$F$14,1),0),COUNT('Default Prob'!$P$5:$P$14)))</f>
        <v>8.0322462664562722E-2</v>
      </c>
      <c r="H2965" s="5">
        <f t="shared" si="609"/>
        <v>0.6310588296612808</v>
      </c>
      <c r="I2965" s="24">
        <f t="shared" si="610"/>
        <v>1.3879198668698134E-4</v>
      </c>
      <c r="J2965" s="25">
        <f>INDEX('Default Prob'!$C$3:$C$13, _xlfn.IFNA(MATCH(F2965, 'Default Prob'!$B$3:$B$13, 1), 1))</f>
        <v>2.5600000000000001E-2</v>
      </c>
      <c r="K2965" s="26">
        <f t="shared" si="601"/>
        <v>0.75097868899468667</v>
      </c>
      <c r="L2965" s="27">
        <f t="shared" ca="1" si="602"/>
        <v>0</v>
      </c>
      <c r="M2965" s="27">
        <f t="shared" ca="1" si="603"/>
        <v>0</v>
      </c>
      <c r="N2965" s="28">
        <f t="shared" ca="1" si="604"/>
        <v>0</v>
      </c>
      <c r="O2965" s="29">
        <f t="shared" ca="1" si="605"/>
        <v>0</v>
      </c>
      <c r="P2965" s="30">
        <f t="shared" ca="1" si="606"/>
        <v>0</v>
      </c>
    </row>
    <row r="2966" spans="1:16" x14ac:dyDescent="0.25">
      <c r="A2966" s="3">
        <f t="shared" si="607"/>
        <v>50264</v>
      </c>
      <c r="B2966" s="21">
        <f t="shared" si="598"/>
        <v>36750</v>
      </c>
      <c r="C2966" s="21">
        <f t="shared" si="599"/>
        <v>36789</v>
      </c>
      <c r="D2966" s="1">
        <f t="shared" si="608"/>
        <v>0</v>
      </c>
      <c r="E2966" s="3">
        <f t="array" ref="E2966">INDEX($A$9:A2965, MAX(IF($D$9:D2965=1, ROW(D$9:$D2965)-ROW($D$9)+1, 0)))</f>
        <v>50213</v>
      </c>
      <c r="F2966" s="23">
        <f t="shared" si="600"/>
        <v>11.331964407939767</v>
      </c>
      <c r="G2966" s="5">
        <f>INDEX('Default Prob'!$P$5:$P$14,MIN(1+_xlfn.IFNA(MATCH(F2966,'Default Prob'!$F$5:$F$14,1),0),COUNT('Default Prob'!$P$5:$P$14)))</f>
        <v>8.0322462664562722E-2</v>
      </c>
      <c r="H2966" s="5">
        <f t="shared" si="609"/>
        <v>0.63092006819311131</v>
      </c>
      <c r="I2966" s="24">
        <f t="shared" si="610"/>
        <v>1.3876146816949042E-4</v>
      </c>
      <c r="J2966" s="25">
        <f>INDEX('Default Prob'!$C$3:$C$13, _xlfn.IFNA(MATCH(F2966, 'Default Prob'!$B$3:$B$13, 1), 1))</f>
        <v>2.5600000000000001E-2</v>
      </c>
      <c r="K2966" s="26">
        <f t="shared" si="601"/>
        <v>0.75092671791286647</v>
      </c>
      <c r="L2966" s="27">
        <f t="shared" ca="1" si="602"/>
        <v>0</v>
      </c>
      <c r="M2966" s="27">
        <f t="shared" ca="1" si="603"/>
        <v>0</v>
      </c>
      <c r="N2966" s="28">
        <f t="shared" ca="1" si="604"/>
        <v>0</v>
      </c>
      <c r="O2966" s="29">
        <f t="shared" ca="1" si="605"/>
        <v>0</v>
      </c>
      <c r="P2966" s="30">
        <f t="shared" ca="1" si="606"/>
        <v>0</v>
      </c>
    </row>
    <row r="2967" spans="1:16" x14ac:dyDescent="0.25">
      <c r="A2967" s="3">
        <f t="shared" si="607"/>
        <v>50265</v>
      </c>
      <c r="B2967" s="21">
        <f t="shared" si="598"/>
        <v>36751</v>
      </c>
      <c r="C2967" s="21">
        <f t="shared" si="599"/>
        <v>36789</v>
      </c>
      <c r="D2967" s="1">
        <f t="shared" si="608"/>
        <v>0</v>
      </c>
      <c r="E2967" s="3">
        <f t="array" ref="E2967">INDEX($A$9:A2966, MAX(IF($D$9:D2966=1, ROW(D$9:$D2966)-ROW($D$9)+1, 0)))</f>
        <v>50213</v>
      </c>
      <c r="F2967" s="23">
        <f t="shared" si="600"/>
        <v>11.3347022587269</v>
      </c>
      <c r="G2967" s="5">
        <f>INDEX('Default Prob'!$P$5:$P$14,MIN(1+_xlfn.IFNA(MATCH(F2967,'Default Prob'!$F$5:$F$14,1),0),COUNT('Default Prob'!$P$5:$P$14)))</f>
        <v>8.0322462664562722E-2</v>
      </c>
      <c r="H2967" s="5">
        <f t="shared" si="609"/>
        <v>0.63078133723674845</v>
      </c>
      <c r="I2967" s="24">
        <f t="shared" si="610"/>
        <v>1.387309563628536E-4</v>
      </c>
      <c r="J2967" s="25">
        <f>INDEX('Default Prob'!$C$3:$C$13, _xlfn.IFNA(MATCH(F2967, 'Default Prob'!$B$3:$B$13, 1), 1))</f>
        <v>2.5600000000000001E-2</v>
      </c>
      <c r="K2967" s="26">
        <f t="shared" si="601"/>
        <v>0.75087475042767737</v>
      </c>
      <c r="L2967" s="27">
        <f t="shared" ca="1" si="602"/>
        <v>0</v>
      </c>
      <c r="M2967" s="27">
        <f t="shared" ca="1" si="603"/>
        <v>0</v>
      </c>
      <c r="N2967" s="28">
        <f t="shared" ca="1" si="604"/>
        <v>0</v>
      </c>
      <c r="O2967" s="29">
        <f t="shared" ca="1" si="605"/>
        <v>0</v>
      </c>
      <c r="P2967" s="30">
        <f t="shared" ca="1" si="606"/>
        <v>0</v>
      </c>
    </row>
    <row r="2968" spans="1:16" x14ac:dyDescent="0.25">
      <c r="A2968" s="3">
        <f t="shared" si="607"/>
        <v>50266</v>
      </c>
      <c r="B2968" s="21">
        <f t="shared" si="598"/>
        <v>36752</v>
      </c>
      <c r="C2968" s="21">
        <f t="shared" si="599"/>
        <v>36789</v>
      </c>
      <c r="D2968" s="1">
        <f t="shared" si="608"/>
        <v>0</v>
      </c>
      <c r="E2968" s="3">
        <f t="array" ref="E2968">INDEX($A$9:A2967, MAX(IF($D$9:D2967=1, ROW(D$9:$D2967)-ROW($D$9)+1, 0)))</f>
        <v>50213</v>
      </c>
      <c r="F2968" s="23">
        <f t="shared" si="600"/>
        <v>11.337440109514031</v>
      </c>
      <c r="G2968" s="5">
        <f>INDEX('Default Prob'!$P$5:$P$14,MIN(1+_xlfn.IFNA(MATCH(F2968,'Default Prob'!$F$5:$F$14,1),0),COUNT('Default Prob'!$P$5:$P$14)))</f>
        <v>8.0322462664562722E-2</v>
      </c>
      <c r="H2968" s="5">
        <f t="shared" si="609"/>
        <v>0.63064263678548327</v>
      </c>
      <c r="I2968" s="24">
        <f t="shared" si="610"/>
        <v>1.3870045126518349E-4</v>
      </c>
      <c r="J2968" s="25">
        <f>INDEX('Default Prob'!$C$3:$C$13, _xlfn.IFNA(MATCH(F2968, 'Default Prob'!$B$3:$B$13, 1), 1))</f>
        <v>2.5600000000000001E-2</v>
      </c>
      <c r="K2968" s="26">
        <f t="shared" si="601"/>
        <v>0.75082278653887058</v>
      </c>
      <c r="L2968" s="27">
        <f t="shared" ca="1" si="602"/>
        <v>0</v>
      </c>
      <c r="M2968" s="27">
        <f t="shared" ca="1" si="603"/>
        <v>0</v>
      </c>
      <c r="N2968" s="28">
        <f t="shared" ca="1" si="604"/>
        <v>0</v>
      </c>
      <c r="O2968" s="29">
        <f t="shared" ca="1" si="605"/>
        <v>0</v>
      </c>
      <c r="P2968" s="30">
        <f t="shared" ca="1" si="606"/>
        <v>0</v>
      </c>
    </row>
    <row r="2969" spans="1:16" x14ac:dyDescent="0.25">
      <c r="A2969" s="3">
        <f t="shared" si="607"/>
        <v>50269</v>
      </c>
      <c r="B2969" s="21">
        <f t="shared" si="598"/>
        <v>36755</v>
      </c>
      <c r="C2969" s="21">
        <f t="shared" si="599"/>
        <v>36789</v>
      </c>
      <c r="D2969" s="1">
        <f t="shared" si="608"/>
        <v>0</v>
      </c>
      <c r="E2969" s="3">
        <f t="array" ref="E2969">INDEX($A$9:A2968, MAX(IF($D$9:D2968=1, ROW(D$9:$D2968)-ROW($D$9)+1, 0)))</f>
        <v>50213</v>
      </c>
      <c r="F2969" s="23">
        <f t="shared" si="600"/>
        <v>11.345653661875428</v>
      </c>
      <c r="G2969" s="5">
        <f>INDEX('Default Prob'!$P$5:$P$14,MIN(1+_xlfn.IFNA(MATCH(F2969,'Default Prob'!$F$5:$F$14,1),0),COUNT('Default Prob'!$P$5:$P$14)))</f>
        <v>8.0322462664562722E-2</v>
      </c>
      <c r="H2969" s="5">
        <f t="shared" si="609"/>
        <v>0.63022671839520372</v>
      </c>
      <c r="I2969" s="24">
        <f t="shared" si="610"/>
        <v>4.1591839027954602E-4</v>
      </c>
      <c r="J2969" s="25">
        <f>INDEX('Default Prob'!$C$3:$C$13, _xlfn.IFNA(MATCH(F2969, 'Default Prob'!$B$3:$B$13, 1), 1))</f>
        <v>2.5600000000000001E-2</v>
      </c>
      <c r="K2969" s="26">
        <f t="shared" si="601"/>
        <v>0.75066691644825478</v>
      </c>
      <c r="L2969" s="27">
        <f t="shared" ca="1" si="602"/>
        <v>0</v>
      </c>
      <c r="M2969" s="27">
        <f t="shared" ca="1" si="603"/>
        <v>0</v>
      </c>
      <c r="N2969" s="28">
        <f t="shared" ca="1" si="604"/>
        <v>0</v>
      </c>
      <c r="O2969" s="29">
        <f t="shared" ca="1" si="605"/>
        <v>0</v>
      </c>
      <c r="P2969" s="30">
        <f t="shared" ca="1" si="606"/>
        <v>0</v>
      </c>
    </row>
    <row r="2970" spans="1:16" x14ac:dyDescent="0.25">
      <c r="A2970" s="3">
        <f t="shared" si="607"/>
        <v>50270</v>
      </c>
      <c r="B2970" s="21">
        <f t="shared" si="598"/>
        <v>36756</v>
      </c>
      <c r="C2970" s="21">
        <f t="shared" si="599"/>
        <v>36789</v>
      </c>
      <c r="D2970" s="1">
        <f t="shared" si="608"/>
        <v>0</v>
      </c>
      <c r="E2970" s="3">
        <f t="array" ref="E2970">INDEX($A$9:A2969, MAX(IF($D$9:D2969=1, ROW(D$9:$D2969)-ROW($D$9)+1, 0)))</f>
        <v>50213</v>
      </c>
      <c r="F2970" s="23">
        <f t="shared" si="600"/>
        <v>11.348391512662561</v>
      </c>
      <c r="G2970" s="5">
        <f>INDEX('Default Prob'!$P$5:$P$14,MIN(1+_xlfn.IFNA(MATCH(F2970,'Default Prob'!$F$5:$F$14,1),0),COUNT('Default Prob'!$P$5:$P$14)))</f>
        <v>8.0322462664562722E-2</v>
      </c>
      <c r="H2970" s="5">
        <f t="shared" si="609"/>
        <v>0.63008813989726686</v>
      </c>
      <c r="I2970" s="24">
        <f t="shared" si="610"/>
        <v>1.3857849793685872E-4</v>
      </c>
      <c r="J2970" s="25">
        <f>INDEX('Default Prob'!$C$3:$C$13, _xlfn.IFNA(MATCH(F2970, 'Default Prob'!$B$3:$B$13, 1), 1))</f>
        <v>2.5600000000000001E-2</v>
      </c>
      <c r="K2970" s="26">
        <f t="shared" si="601"/>
        <v>0.7506149669424883</v>
      </c>
      <c r="L2970" s="27">
        <f t="shared" ca="1" si="602"/>
        <v>0</v>
      </c>
      <c r="M2970" s="27">
        <f t="shared" ca="1" si="603"/>
        <v>0</v>
      </c>
      <c r="N2970" s="28">
        <f t="shared" ca="1" si="604"/>
        <v>0</v>
      </c>
      <c r="O2970" s="29">
        <f t="shared" ca="1" si="605"/>
        <v>0</v>
      </c>
      <c r="P2970" s="30">
        <f t="shared" ca="1" si="606"/>
        <v>0</v>
      </c>
    </row>
    <row r="2971" spans="1:16" x14ac:dyDescent="0.25">
      <c r="A2971" s="3">
        <f t="shared" si="607"/>
        <v>50271</v>
      </c>
      <c r="B2971" s="21">
        <f t="shared" si="598"/>
        <v>36757</v>
      </c>
      <c r="C2971" s="21">
        <f t="shared" si="599"/>
        <v>36789</v>
      </c>
      <c r="D2971" s="1">
        <f t="shared" si="608"/>
        <v>0</v>
      </c>
      <c r="E2971" s="3">
        <f t="array" ref="E2971">INDEX($A$9:A2970, MAX(IF($D$9:D2970=1, ROW(D$9:$D2970)-ROW($D$9)+1, 0)))</f>
        <v>50213</v>
      </c>
      <c r="F2971" s="23">
        <f t="shared" si="600"/>
        <v>11.351129363449692</v>
      </c>
      <c r="G2971" s="5">
        <f>INDEX('Default Prob'!$P$5:$P$14,MIN(1+_xlfn.IFNA(MATCH(F2971,'Default Prob'!$F$5:$F$14,1),0),COUNT('Default Prob'!$P$5:$P$14)))</f>
        <v>8.0322462664562722E-2</v>
      </c>
      <c r="H2971" s="5">
        <f t="shared" si="609"/>
        <v>0.62994959187090416</v>
      </c>
      <c r="I2971" s="24">
        <f t="shared" si="610"/>
        <v>1.3854802636270591E-4</v>
      </c>
      <c r="J2971" s="25">
        <f>INDEX('Default Prob'!$C$3:$C$13, _xlfn.IFNA(MATCH(F2971, 'Default Prob'!$B$3:$B$13, 1), 1))</f>
        <v>2.5600000000000001E-2</v>
      </c>
      <c r="K2971" s="26">
        <f t="shared" si="601"/>
        <v>0.75056302103185979</v>
      </c>
      <c r="L2971" s="27">
        <f t="shared" ca="1" si="602"/>
        <v>0</v>
      </c>
      <c r="M2971" s="27">
        <f t="shared" ca="1" si="603"/>
        <v>0</v>
      </c>
      <c r="N2971" s="28">
        <f t="shared" ca="1" si="604"/>
        <v>0</v>
      </c>
      <c r="O2971" s="29">
        <f t="shared" ca="1" si="605"/>
        <v>0</v>
      </c>
      <c r="P2971" s="30">
        <f t="shared" ca="1" si="606"/>
        <v>0</v>
      </c>
    </row>
    <row r="2972" spans="1:16" x14ac:dyDescent="0.25">
      <c r="A2972" s="3">
        <f t="shared" si="607"/>
        <v>50272</v>
      </c>
      <c r="B2972" s="21">
        <f t="shared" si="598"/>
        <v>36758</v>
      </c>
      <c r="C2972" s="21">
        <f t="shared" si="599"/>
        <v>36789</v>
      </c>
      <c r="D2972" s="1">
        <f t="shared" si="608"/>
        <v>0</v>
      </c>
      <c r="E2972" s="3">
        <f t="array" ref="E2972">INDEX($A$9:A2971, MAX(IF($D$9:D2971=1, ROW(D$9:$D2971)-ROW($D$9)+1, 0)))</f>
        <v>50213</v>
      </c>
      <c r="F2972" s="23">
        <f t="shared" si="600"/>
        <v>11.353867214236825</v>
      </c>
      <c r="G2972" s="5">
        <f>INDEX('Default Prob'!$P$5:$P$14,MIN(1+_xlfn.IFNA(MATCH(F2972,'Default Prob'!$F$5:$F$14,1),0),COUNT('Default Prob'!$P$5:$P$14)))</f>
        <v>8.0322462664562722E-2</v>
      </c>
      <c r="H2972" s="5">
        <f t="shared" si="609"/>
        <v>0.62981107430941508</v>
      </c>
      <c r="I2972" s="24">
        <f t="shared" si="610"/>
        <v>1.3851756148908212E-4</v>
      </c>
      <c r="J2972" s="25">
        <f>INDEX('Default Prob'!$C$3:$C$13, _xlfn.IFNA(MATCH(F2972, 'Default Prob'!$B$3:$B$13, 1), 1))</f>
        <v>2.5600000000000001E-2</v>
      </c>
      <c r="K2972" s="26">
        <f t="shared" si="601"/>
        <v>0.75051107871612033</v>
      </c>
      <c r="L2972" s="27">
        <f t="shared" ca="1" si="602"/>
        <v>0</v>
      </c>
      <c r="M2972" s="27">
        <f t="shared" ca="1" si="603"/>
        <v>0</v>
      </c>
      <c r="N2972" s="28">
        <f t="shared" ca="1" si="604"/>
        <v>0</v>
      </c>
      <c r="O2972" s="29">
        <f t="shared" ca="1" si="605"/>
        <v>0</v>
      </c>
      <c r="P2972" s="30">
        <f t="shared" ca="1" si="606"/>
        <v>0</v>
      </c>
    </row>
    <row r="2973" spans="1:16" x14ac:dyDescent="0.25">
      <c r="A2973" s="3">
        <f t="shared" si="607"/>
        <v>50273</v>
      </c>
      <c r="B2973" s="21">
        <f t="shared" si="598"/>
        <v>36759</v>
      </c>
      <c r="C2973" s="21">
        <f t="shared" si="599"/>
        <v>36789</v>
      </c>
      <c r="D2973" s="1">
        <f t="shared" si="608"/>
        <v>0</v>
      </c>
      <c r="E2973" s="3">
        <f t="array" ref="E2973">INDEX($A$9:A2972, MAX(IF($D$9:D2972=1, ROW(D$9:$D2972)-ROW($D$9)+1, 0)))</f>
        <v>50213</v>
      </c>
      <c r="F2973" s="23">
        <f t="shared" si="600"/>
        <v>11.356605065023956</v>
      </c>
      <c r="G2973" s="5">
        <f>INDEX('Default Prob'!$P$5:$P$14,MIN(1+_xlfn.IFNA(MATCH(F2973,'Default Prob'!$F$5:$F$14,1),0),COUNT('Default Prob'!$P$5:$P$14)))</f>
        <v>8.0322462664562722E-2</v>
      </c>
      <c r="H2973" s="5">
        <f t="shared" si="609"/>
        <v>0.62967258720610098</v>
      </c>
      <c r="I2973" s="24">
        <f t="shared" si="610"/>
        <v>1.3848710331409997E-4</v>
      </c>
      <c r="J2973" s="25">
        <f>INDEX('Default Prob'!$C$3:$C$13, _xlfn.IFNA(MATCH(F2973, 'Default Prob'!$B$3:$B$13, 1), 1))</f>
        <v>2.5600000000000001E-2</v>
      </c>
      <c r="K2973" s="26">
        <f t="shared" si="601"/>
        <v>0.75045913999502156</v>
      </c>
      <c r="L2973" s="27">
        <f t="shared" ca="1" si="602"/>
        <v>0</v>
      </c>
      <c r="M2973" s="27">
        <f t="shared" ca="1" si="603"/>
        <v>0</v>
      </c>
      <c r="N2973" s="28">
        <f t="shared" ca="1" si="604"/>
        <v>0</v>
      </c>
      <c r="O2973" s="29">
        <f t="shared" ca="1" si="605"/>
        <v>0</v>
      </c>
      <c r="P2973" s="30">
        <f t="shared" ca="1" si="606"/>
        <v>0</v>
      </c>
    </row>
    <row r="2974" spans="1:16" x14ac:dyDescent="0.25">
      <c r="A2974" s="3">
        <f t="shared" si="607"/>
        <v>50276</v>
      </c>
      <c r="B2974" s="21">
        <f t="shared" si="598"/>
        <v>36762</v>
      </c>
      <c r="C2974" s="21">
        <f t="shared" si="599"/>
        <v>36789</v>
      </c>
      <c r="D2974" s="1">
        <f t="shared" si="608"/>
        <v>0</v>
      </c>
      <c r="E2974" s="3">
        <f t="array" ref="E2974">INDEX($A$9:A2973, MAX(IF($D$9:D2973=1, ROW(D$9:$D2973)-ROW($D$9)+1, 0)))</f>
        <v>50213</v>
      </c>
      <c r="F2974" s="23">
        <f t="shared" si="600"/>
        <v>11.364818617385353</v>
      </c>
      <c r="G2974" s="5">
        <f>INDEX('Default Prob'!$P$5:$P$14,MIN(1+_xlfn.IFNA(MATCH(F2974,'Default Prob'!$F$5:$F$14,1),0),COUNT('Default Prob'!$P$5:$P$14)))</f>
        <v>8.0322462664562722E-2</v>
      </c>
      <c r="H2974" s="5">
        <f t="shared" si="609"/>
        <v>0.62925730857824158</v>
      </c>
      <c r="I2974" s="24">
        <f t="shared" si="610"/>
        <v>4.1527862785939451E-4</v>
      </c>
      <c r="J2974" s="25">
        <f>INDEX('Default Prob'!$C$3:$C$13, _xlfn.IFNA(MATCH(F2974, 'Default Prob'!$B$3:$B$13, 1), 1))</f>
        <v>2.5600000000000001E-2</v>
      </c>
      <c r="K2974" s="26">
        <f t="shared" si="601"/>
        <v>0.75030334539707955</v>
      </c>
      <c r="L2974" s="27">
        <f t="shared" ca="1" si="602"/>
        <v>0</v>
      </c>
      <c r="M2974" s="27">
        <f t="shared" ca="1" si="603"/>
        <v>0</v>
      </c>
      <c r="N2974" s="28">
        <f t="shared" ca="1" si="604"/>
        <v>0</v>
      </c>
      <c r="O2974" s="29">
        <f t="shared" ca="1" si="605"/>
        <v>0</v>
      </c>
      <c r="P2974" s="30">
        <f t="shared" ca="1" si="606"/>
        <v>0</v>
      </c>
    </row>
    <row r="2975" spans="1:16" x14ac:dyDescent="0.25">
      <c r="A2975" s="3">
        <f t="shared" si="607"/>
        <v>50277</v>
      </c>
      <c r="B2975" s="21">
        <f t="shared" si="598"/>
        <v>36763</v>
      </c>
      <c r="C2975" s="21">
        <f t="shared" si="599"/>
        <v>36789</v>
      </c>
      <c r="D2975" s="1">
        <f t="shared" si="608"/>
        <v>0</v>
      </c>
      <c r="E2975" s="3">
        <f t="array" ref="E2975">INDEX($A$9:A2974, MAX(IF($D$9:D2974=1, ROW(D$9:$D2974)-ROW($D$9)+1, 0)))</f>
        <v>50213</v>
      </c>
      <c r="F2975" s="23">
        <f t="shared" si="600"/>
        <v>11.367556468172484</v>
      </c>
      <c r="G2975" s="5">
        <f>INDEX('Default Prob'!$P$5:$P$14,MIN(1+_xlfn.IFNA(MATCH(F2975,'Default Prob'!$F$5:$F$14,1),0),COUNT('Default Prob'!$P$5:$P$14)))</f>
        <v>8.0322462664562722E-2</v>
      </c>
      <c r="H2975" s="5">
        <f t="shared" si="609"/>
        <v>0.62911894324066819</v>
      </c>
      <c r="I2975" s="24">
        <f t="shared" si="610"/>
        <v>1.3836533757338731E-4</v>
      </c>
      <c r="J2975" s="25">
        <f>INDEX('Default Prob'!$C$3:$C$13, _xlfn.IFNA(MATCH(F2975, 'Default Prob'!$B$3:$B$13, 1), 1))</f>
        <v>2.5600000000000001E-2</v>
      </c>
      <c r="K2975" s="26">
        <f t="shared" si="601"/>
        <v>0.75025142105205478</v>
      </c>
      <c r="L2975" s="27">
        <f t="shared" ca="1" si="602"/>
        <v>0</v>
      </c>
      <c r="M2975" s="27">
        <f t="shared" ca="1" si="603"/>
        <v>0</v>
      </c>
      <c r="N2975" s="28">
        <f t="shared" ca="1" si="604"/>
        <v>0</v>
      </c>
      <c r="O2975" s="29">
        <f t="shared" ca="1" si="605"/>
        <v>0</v>
      </c>
      <c r="P2975" s="30">
        <f t="shared" ca="1" si="606"/>
        <v>0</v>
      </c>
    </row>
    <row r="2976" spans="1:16" x14ac:dyDescent="0.25">
      <c r="A2976" s="3">
        <f t="shared" si="607"/>
        <v>50278</v>
      </c>
      <c r="B2976" s="21">
        <f t="shared" si="598"/>
        <v>36764</v>
      </c>
      <c r="C2976" s="21">
        <f t="shared" si="599"/>
        <v>36789</v>
      </c>
      <c r="D2976" s="1">
        <f t="shared" si="608"/>
        <v>0</v>
      </c>
      <c r="E2976" s="3">
        <f t="array" ref="E2976">INDEX($A$9:A2975, MAX(IF($D$9:D2975=1, ROW(D$9:$D2975)-ROW($D$9)+1, 0)))</f>
        <v>50213</v>
      </c>
      <c r="F2976" s="23">
        <f t="shared" si="600"/>
        <v>11.370294318959617</v>
      </c>
      <c r="G2976" s="5">
        <f>INDEX('Default Prob'!$P$5:$P$14,MIN(1+_xlfn.IFNA(MATCH(F2976,'Default Prob'!$F$5:$F$14,1),0),COUNT('Default Prob'!$P$5:$P$14)))</f>
        <v>8.0322462664562722E-2</v>
      </c>
      <c r="H2976" s="5">
        <f t="shared" si="609"/>
        <v>0.62898060832779767</v>
      </c>
      <c r="I2976" s="24">
        <f t="shared" si="610"/>
        <v>1.3833491287051913E-4</v>
      </c>
      <c r="J2976" s="25">
        <f>INDEX('Default Prob'!$C$3:$C$13, _xlfn.IFNA(MATCH(F2976, 'Default Prob'!$B$3:$B$13, 1), 1))</f>
        <v>2.5600000000000001E-2</v>
      </c>
      <c r="K2976" s="26">
        <f t="shared" si="601"/>
        <v>0.7501995003004267</v>
      </c>
      <c r="L2976" s="27">
        <f t="shared" ca="1" si="602"/>
        <v>0</v>
      </c>
      <c r="M2976" s="27">
        <f t="shared" ca="1" si="603"/>
        <v>0</v>
      </c>
      <c r="N2976" s="28">
        <f t="shared" ca="1" si="604"/>
        <v>0</v>
      </c>
      <c r="O2976" s="29">
        <f t="shared" ca="1" si="605"/>
        <v>0</v>
      </c>
      <c r="P2976" s="30">
        <f t="shared" ca="1" si="606"/>
        <v>0</v>
      </c>
    </row>
    <row r="2977" spans="1:16" x14ac:dyDescent="0.25">
      <c r="A2977" s="3">
        <f t="shared" si="607"/>
        <v>50279</v>
      </c>
      <c r="B2977" s="21">
        <f t="shared" si="598"/>
        <v>36765</v>
      </c>
      <c r="C2977" s="21">
        <f t="shared" si="599"/>
        <v>36789</v>
      </c>
      <c r="D2977" s="1">
        <f t="shared" si="608"/>
        <v>0</v>
      </c>
      <c r="E2977" s="3">
        <f t="array" ref="E2977">INDEX($A$9:A2976, MAX(IF($D$9:D2976=1, ROW(D$9:$D2976)-ROW($D$9)+1, 0)))</f>
        <v>50213</v>
      </c>
      <c r="F2977" s="23">
        <f t="shared" si="600"/>
        <v>11.373032169746748</v>
      </c>
      <c r="G2977" s="5">
        <f>INDEX('Default Prob'!$P$5:$P$14,MIN(1+_xlfn.IFNA(MATCH(F2977,'Default Prob'!$F$5:$F$14,1),0),COUNT('Default Prob'!$P$5:$P$14)))</f>
        <v>8.0322462664562722E-2</v>
      </c>
      <c r="H2977" s="5">
        <f t="shared" si="609"/>
        <v>0.62884230383294004</v>
      </c>
      <c r="I2977" s="24">
        <f t="shared" si="610"/>
        <v>1.3830449485763285E-4</v>
      </c>
      <c r="J2977" s="25">
        <f>INDEX('Default Prob'!$C$3:$C$13, _xlfn.IFNA(MATCH(F2977, 'Default Prob'!$B$3:$B$13, 1), 1))</f>
        <v>2.5600000000000001E-2</v>
      </c>
      <c r="K2977" s="26">
        <f t="shared" si="601"/>
        <v>0.75014758314194685</v>
      </c>
      <c r="L2977" s="27">
        <f t="shared" ca="1" si="602"/>
        <v>0</v>
      </c>
      <c r="M2977" s="27">
        <f t="shared" ca="1" si="603"/>
        <v>0</v>
      </c>
      <c r="N2977" s="28">
        <f t="shared" ca="1" si="604"/>
        <v>0</v>
      </c>
      <c r="O2977" s="29">
        <f t="shared" ca="1" si="605"/>
        <v>0</v>
      </c>
      <c r="P2977" s="30">
        <f t="shared" ca="1" si="606"/>
        <v>0</v>
      </c>
    </row>
    <row r="2978" spans="1:16" x14ac:dyDescent="0.25">
      <c r="A2978" s="3">
        <f t="shared" si="607"/>
        <v>50280</v>
      </c>
      <c r="B2978" s="21">
        <f t="shared" si="598"/>
        <v>36766</v>
      </c>
      <c r="C2978" s="21">
        <f t="shared" si="599"/>
        <v>36789</v>
      </c>
      <c r="D2978" s="1">
        <f t="shared" si="608"/>
        <v>0</v>
      </c>
      <c r="E2978" s="3">
        <f t="array" ref="E2978">INDEX($A$9:A2977, MAX(IF($D$9:D2977=1, ROW(D$9:$D2977)-ROW($D$9)+1, 0)))</f>
        <v>50213</v>
      </c>
      <c r="F2978" s="23">
        <f t="shared" si="600"/>
        <v>11.375770020533881</v>
      </c>
      <c r="G2978" s="5">
        <f>INDEX('Default Prob'!$P$5:$P$14,MIN(1+_xlfn.IFNA(MATCH(F2978,'Default Prob'!$F$5:$F$14,1),0),COUNT('Default Prob'!$P$5:$P$14)))</f>
        <v>8.0322462664562722E-2</v>
      </c>
      <c r="H2978" s="5">
        <f t="shared" si="609"/>
        <v>0.62870402974940676</v>
      </c>
      <c r="I2978" s="24">
        <f t="shared" si="610"/>
        <v>1.3827408353328519E-4</v>
      </c>
      <c r="J2978" s="25">
        <f>INDEX('Default Prob'!$C$3:$C$13, _xlfn.IFNA(MATCH(F2978, 'Default Prob'!$B$3:$B$13, 1), 1))</f>
        <v>2.5600000000000001E-2</v>
      </c>
      <c r="K2978" s="26">
        <f t="shared" si="601"/>
        <v>0.75009566957636642</v>
      </c>
      <c r="L2978" s="27">
        <f t="shared" ca="1" si="602"/>
        <v>0</v>
      </c>
      <c r="M2978" s="27">
        <f t="shared" ca="1" si="603"/>
        <v>0</v>
      </c>
      <c r="N2978" s="28">
        <f t="shared" ca="1" si="604"/>
        <v>0</v>
      </c>
      <c r="O2978" s="29">
        <f t="shared" ca="1" si="605"/>
        <v>0</v>
      </c>
      <c r="P2978" s="30">
        <f t="shared" ca="1" si="606"/>
        <v>0</v>
      </c>
    </row>
    <row r="2979" spans="1:16" x14ac:dyDescent="0.25">
      <c r="A2979" s="3">
        <f t="shared" si="607"/>
        <v>50283</v>
      </c>
      <c r="B2979" s="21">
        <f t="shared" si="598"/>
        <v>36769</v>
      </c>
      <c r="C2979" s="21">
        <f t="shared" si="599"/>
        <v>36789</v>
      </c>
      <c r="D2979" s="1">
        <f t="shared" si="608"/>
        <v>0</v>
      </c>
      <c r="E2979" s="3">
        <f t="array" ref="E2979">INDEX($A$9:A2978, MAX(IF($D$9:D2978=1, ROW(D$9:$D2978)-ROW($D$9)+1, 0)))</f>
        <v>50213</v>
      </c>
      <c r="F2979" s="23">
        <f t="shared" si="600"/>
        <v>11.383983572895277</v>
      </c>
      <c r="G2979" s="5">
        <f>INDEX('Default Prob'!$P$5:$P$14,MIN(1+_xlfn.IFNA(MATCH(F2979,'Default Prob'!$F$5:$F$14,1),0),COUNT('Default Prob'!$P$5:$P$14)))</f>
        <v>8.0322462664562722E-2</v>
      </c>
      <c r="H2979" s="5">
        <f t="shared" si="609"/>
        <v>0.62828938989989003</v>
      </c>
      <c r="I2979" s="24">
        <f t="shared" si="610"/>
        <v>4.1463984951672916E-4</v>
      </c>
      <c r="J2979" s="25">
        <f>INDEX('Default Prob'!$C$3:$C$13, _xlfn.IFNA(MATCH(F2979, 'Default Prob'!$B$3:$B$13, 1), 1))</f>
        <v>2.5600000000000001E-2</v>
      </c>
      <c r="K2979" s="26">
        <f t="shared" si="601"/>
        <v>0.74993995043453487</v>
      </c>
      <c r="L2979" s="27">
        <f t="shared" ca="1" si="602"/>
        <v>0</v>
      </c>
      <c r="M2979" s="27">
        <f t="shared" ca="1" si="603"/>
        <v>0</v>
      </c>
      <c r="N2979" s="28">
        <f t="shared" ca="1" si="604"/>
        <v>0</v>
      </c>
      <c r="O2979" s="29">
        <f t="shared" ca="1" si="605"/>
        <v>0</v>
      </c>
      <c r="P2979" s="30">
        <f t="shared" ca="1" si="606"/>
        <v>0</v>
      </c>
    </row>
    <row r="2980" spans="1:16" x14ac:dyDescent="0.25">
      <c r="A2980" s="3">
        <f t="shared" si="607"/>
        <v>50284</v>
      </c>
      <c r="B2980" s="21">
        <f t="shared" si="598"/>
        <v>36770</v>
      </c>
      <c r="C2980" s="21">
        <f t="shared" si="599"/>
        <v>36789</v>
      </c>
      <c r="D2980" s="1">
        <f t="shared" si="608"/>
        <v>0</v>
      </c>
      <c r="E2980" s="3">
        <f t="array" ref="E2980">INDEX($A$9:A2979, MAX(IF($D$9:D2979=1, ROW(D$9:$D2979)-ROW($D$9)+1, 0)))</f>
        <v>50213</v>
      </c>
      <c r="F2980" s="23">
        <f t="shared" si="600"/>
        <v>11.38672142368241</v>
      </c>
      <c r="G2980" s="5">
        <f>INDEX('Default Prob'!$P$5:$P$14,MIN(1+_xlfn.IFNA(MATCH(F2980,'Default Prob'!$F$5:$F$14,1),0),COUNT('Default Prob'!$P$5:$P$14)))</f>
        <v>8.0322462664562722E-2</v>
      </c>
      <c r="H2980" s="5">
        <f t="shared" si="609"/>
        <v>0.62815123739479839</v>
      </c>
      <c r="I2980" s="24">
        <f t="shared" si="610"/>
        <v>1.3815250509163768E-4</v>
      </c>
      <c r="J2980" s="25">
        <f>INDEX('Default Prob'!$C$3:$C$13, _xlfn.IFNA(MATCH(F2980, 'Default Prob'!$B$3:$B$13, 1), 1))</f>
        <v>2.5600000000000001E-2</v>
      </c>
      <c r="K2980" s="26">
        <f t="shared" si="601"/>
        <v>0.74988805123806568</v>
      </c>
      <c r="L2980" s="27">
        <f t="shared" ca="1" si="602"/>
        <v>0</v>
      </c>
      <c r="M2980" s="27">
        <f t="shared" ca="1" si="603"/>
        <v>0</v>
      </c>
      <c r="N2980" s="28">
        <f t="shared" ca="1" si="604"/>
        <v>0</v>
      </c>
      <c r="O2980" s="29">
        <f t="shared" ca="1" si="605"/>
        <v>0</v>
      </c>
      <c r="P2980" s="30">
        <f t="shared" ca="1" si="606"/>
        <v>0</v>
      </c>
    </row>
    <row r="2981" spans="1:16" x14ac:dyDescent="0.25">
      <c r="A2981" s="3">
        <f t="shared" si="607"/>
        <v>50285</v>
      </c>
      <c r="B2981" s="21">
        <f t="shared" si="598"/>
        <v>36771</v>
      </c>
      <c r="C2981" s="21">
        <f t="shared" si="599"/>
        <v>36789</v>
      </c>
      <c r="D2981" s="1">
        <f t="shared" si="608"/>
        <v>0</v>
      </c>
      <c r="E2981" s="3">
        <f t="array" ref="E2981">INDEX($A$9:A2980, MAX(IF($D$9:D2980=1, ROW(D$9:$D2980)-ROW($D$9)+1, 0)))</f>
        <v>50213</v>
      </c>
      <c r="F2981" s="23">
        <f t="shared" si="600"/>
        <v>11.389459274469541</v>
      </c>
      <c r="G2981" s="5">
        <f>INDEX('Default Prob'!$P$5:$P$14,MIN(1+_xlfn.IFNA(MATCH(F2981,'Default Prob'!$F$5:$F$14,1),0),COUNT('Default Prob'!$P$5:$P$14)))</f>
        <v>8.0322462664562722E-2</v>
      </c>
      <c r="H2981" s="5">
        <f t="shared" si="609"/>
        <v>0.62801311526761061</v>
      </c>
      <c r="I2981" s="24">
        <f t="shared" si="610"/>
        <v>1.3812212718777861E-4</v>
      </c>
      <c r="J2981" s="25">
        <f>INDEX('Default Prob'!$C$3:$C$13, _xlfn.IFNA(MATCH(F2981, 'Default Prob'!$B$3:$B$13, 1), 1))</f>
        <v>2.5600000000000001E-2</v>
      </c>
      <c r="K2981" s="26">
        <f t="shared" si="601"/>
        <v>0.74983615563325301</v>
      </c>
      <c r="L2981" s="27">
        <f t="shared" ca="1" si="602"/>
        <v>0</v>
      </c>
      <c r="M2981" s="27">
        <f t="shared" ca="1" si="603"/>
        <v>0</v>
      </c>
      <c r="N2981" s="28">
        <f t="shared" ca="1" si="604"/>
        <v>0</v>
      </c>
      <c r="O2981" s="29">
        <f t="shared" ca="1" si="605"/>
        <v>0</v>
      </c>
      <c r="P2981" s="30">
        <f t="shared" ca="1" si="606"/>
        <v>0</v>
      </c>
    </row>
    <row r="2982" spans="1:16" x14ac:dyDescent="0.25">
      <c r="A2982" s="3">
        <f t="shared" si="607"/>
        <v>50286</v>
      </c>
      <c r="B2982" s="21">
        <f t="shared" si="598"/>
        <v>36772</v>
      </c>
      <c r="C2982" s="21">
        <f t="shared" si="599"/>
        <v>36789</v>
      </c>
      <c r="D2982" s="1">
        <f t="shared" si="608"/>
        <v>0</v>
      </c>
      <c r="E2982" s="3">
        <f t="array" ref="E2982">INDEX($A$9:A2981, MAX(IF($D$9:D2981=1, ROW(D$9:$D2981)-ROW($D$9)+1, 0)))</f>
        <v>50213</v>
      </c>
      <c r="F2982" s="23">
        <f t="shared" si="600"/>
        <v>11.392197125256674</v>
      </c>
      <c r="G2982" s="5">
        <f>INDEX('Default Prob'!$P$5:$P$14,MIN(1+_xlfn.IFNA(MATCH(F2982,'Default Prob'!$F$5:$F$14,1),0),COUNT('Default Prob'!$P$5:$P$14)))</f>
        <v>8.0322462664562722E-2</v>
      </c>
      <c r="H2982" s="5">
        <f t="shared" si="609"/>
        <v>0.62787502351164692</v>
      </c>
      <c r="I2982" s="24">
        <f t="shared" si="610"/>
        <v>1.3809175596368739E-4</v>
      </c>
      <c r="J2982" s="25">
        <f>INDEX('Default Prob'!$C$3:$C$13, _xlfn.IFNA(MATCH(F2982, 'Default Prob'!$B$3:$B$13, 1), 1))</f>
        <v>2.5600000000000001E-2</v>
      </c>
      <c r="K2982" s="26">
        <f t="shared" si="601"/>
        <v>0.74978426361984796</v>
      </c>
      <c r="L2982" s="27">
        <f t="shared" ca="1" si="602"/>
        <v>0</v>
      </c>
      <c r="M2982" s="27">
        <f t="shared" ca="1" si="603"/>
        <v>0</v>
      </c>
      <c r="N2982" s="28">
        <f t="shared" ca="1" si="604"/>
        <v>0</v>
      </c>
      <c r="O2982" s="29">
        <f t="shared" ca="1" si="605"/>
        <v>0</v>
      </c>
      <c r="P2982" s="30">
        <f t="shared" ca="1" si="606"/>
        <v>0</v>
      </c>
    </row>
    <row r="2983" spans="1:16" x14ac:dyDescent="0.25">
      <c r="A2983" s="3">
        <f t="shared" si="607"/>
        <v>50287</v>
      </c>
      <c r="B2983" s="21">
        <f t="shared" si="598"/>
        <v>36773</v>
      </c>
      <c r="C2983" s="21">
        <f t="shared" si="599"/>
        <v>36789</v>
      </c>
      <c r="D2983" s="1">
        <f t="shared" si="608"/>
        <v>0</v>
      </c>
      <c r="E2983" s="3">
        <f t="array" ref="E2983">INDEX($A$9:A2982, MAX(IF($D$9:D2982=1, ROW(D$9:$D2982)-ROW($D$9)+1, 0)))</f>
        <v>50213</v>
      </c>
      <c r="F2983" s="23">
        <f t="shared" si="600"/>
        <v>11.394934976043805</v>
      </c>
      <c r="G2983" s="5">
        <f>INDEX('Default Prob'!$P$5:$P$14,MIN(1+_xlfn.IFNA(MATCH(F2983,'Default Prob'!$F$5:$F$14,1),0),COUNT('Default Prob'!$P$5:$P$14)))</f>
        <v>8.0322462664562722E-2</v>
      </c>
      <c r="H2983" s="5">
        <f t="shared" si="609"/>
        <v>0.62773696212022922</v>
      </c>
      <c r="I2983" s="24">
        <f t="shared" si="610"/>
        <v>1.3806139141769869E-4</v>
      </c>
      <c r="J2983" s="25">
        <f>INDEX('Default Prob'!$C$3:$C$13, _xlfn.IFNA(MATCH(F2983, 'Default Prob'!$B$3:$B$13, 1), 1))</f>
        <v>2.5600000000000001E-2</v>
      </c>
      <c r="K2983" s="26">
        <f t="shared" si="601"/>
        <v>0.74973237519760227</v>
      </c>
      <c r="L2983" s="27">
        <f t="shared" ca="1" si="602"/>
        <v>0</v>
      </c>
      <c r="M2983" s="27">
        <f t="shared" ca="1" si="603"/>
        <v>0</v>
      </c>
      <c r="N2983" s="28">
        <f t="shared" ca="1" si="604"/>
        <v>0</v>
      </c>
      <c r="O2983" s="29">
        <f t="shared" ca="1" si="605"/>
        <v>0</v>
      </c>
      <c r="P2983" s="30">
        <f t="shared" ca="1" si="606"/>
        <v>0</v>
      </c>
    </row>
    <row r="2984" spans="1:16" x14ac:dyDescent="0.25">
      <c r="A2984" s="3">
        <f t="shared" si="607"/>
        <v>50290</v>
      </c>
      <c r="B2984" s="21">
        <f t="shared" si="598"/>
        <v>36776</v>
      </c>
      <c r="C2984" s="21">
        <f t="shared" si="599"/>
        <v>36789</v>
      </c>
      <c r="D2984" s="1">
        <f t="shared" si="608"/>
        <v>0</v>
      </c>
      <c r="E2984" s="3">
        <f t="array" ref="E2984">INDEX($A$9:A2983, MAX(IF($D$9:D2983=1, ROW(D$9:$D2983)-ROW($D$9)+1, 0)))</f>
        <v>50213</v>
      </c>
      <c r="F2984" s="23">
        <f t="shared" si="600"/>
        <v>11.403148528405202</v>
      </c>
      <c r="G2984" s="5">
        <f>INDEX('Default Prob'!$P$5:$P$14,MIN(1+_xlfn.IFNA(MATCH(F2984,'Default Prob'!$F$5:$F$14,1),0),COUNT('Default Prob'!$P$5:$P$14)))</f>
        <v>8.0322462664562722E-2</v>
      </c>
      <c r="H2984" s="5">
        <f t="shared" si="609"/>
        <v>0.62732296006649113</v>
      </c>
      <c r="I2984" s="24">
        <f t="shared" si="610"/>
        <v>4.1400205373809396E-4</v>
      </c>
      <c r="J2984" s="25">
        <f>INDEX('Default Prob'!$C$3:$C$13, _xlfn.IFNA(MATCH(F2984, 'Default Prob'!$B$3:$B$13, 1), 1))</f>
        <v>2.5600000000000001E-2</v>
      </c>
      <c r="K2984" s="26">
        <f t="shared" si="601"/>
        <v>0.74957673147533543</v>
      </c>
      <c r="L2984" s="27">
        <f t="shared" ca="1" si="602"/>
        <v>0</v>
      </c>
      <c r="M2984" s="27">
        <f t="shared" ca="1" si="603"/>
        <v>0</v>
      </c>
      <c r="N2984" s="28">
        <f t="shared" ca="1" si="604"/>
        <v>0</v>
      </c>
      <c r="O2984" s="29">
        <f t="shared" ca="1" si="605"/>
        <v>0</v>
      </c>
      <c r="P2984" s="30">
        <f t="shared" ca="1" si="606"/>
        <v>0</v>
      </c>
    </row>
    <row r="2985" spans="1:16" x14ac:dyDescent="0.25">
      <c r="A2985" s="3">
        <f t="shared" si="607"/>
        <v>50291</v>
      </c>
      <c r="B2985" s="21">
        <f t="shared" si="598"/>
        <v>36777</v>
      </c>
      <c r="C2985" s="21">
        <f t="shared" si="599"/>
        <v>36789</v>
      </c>
      <c r="D2985" s="1">
        <f t="shared" si="608"/>
        <v>0</v>
      </c>
      <c r="E2985" s="3">
        <f t="array" ref="E2985">INDEX($A$9:A2984, MAX(IF($D$9:D2984=1, ROW(D$9:$D2984)-ROW($D$9)+1, 0)))</f>
        <v>50213</v>
      </c>
      <c r="F2985" s="23">
        <f t="shared" si="600"/>
        <v>11.405886379192333</v>
      </c>
      <c r="G2985" s="5">
        <f>INDEX('Default Prob'!$P$5:$P$14,MIN(1+_xlfn.IFNA(MATCH(F2985,'Default Prob'!$F$5:$F$14,1),0),COUNT('Default Prob'!$P$5:$P$14)))</f>
        <v>8.0322462664562722E-2</v>
      </c>
      <c r="H2985" s="5">
        <f t="shared" si="609"/>
        <v>0.62718502006650412</v>
      </c>
      <c r="I2985" s="24">
        <f t="shared" si="610"/>
        <v>1.3793999998701345E-4</v>
      </c>
      <c r="J2985" s="25">
        <f>INDEX('Default Prob'!$C$3:$C$13, _xlfn.IFNA(MATCH(F2985, 'Default Prob'!$B$3:$B$13, 1), 1))</f>
        <v>2.5600000000000001E-2</v>
      </c>
      <c r="K2985" s="26">
        <f t="shared" si="601"/>
        <v>0.74952485741524177</v>
      </c>
      <c r="L2985" s="27">
        <f t="shared" ca="1" si="602"/>
        <v>0</v>
      </c>
      <c r="M2985" s="27">
        <f t="shared" ca="1" si="603"/>
        <v>0</v>
      </c>
      <c r="N2985" s="28">
        <f t="shared" ca="1" si="604"/>
        <v>0</v>
      </c>
      <c r="O2985" s="29">
        <f t="shared" ca="1" si="605"/>
        <v>0</v>
      </c>
      <c r="P2985" s="30">
        <f t="shared" ca="1" si="606"/>
        <v>0</v>
      </c>
    </row>
    <row r="2986" spans="1:16" x14ac:dyDescent="0.25">
      <c r="A2986" s="3">
        <f t="shared" si="607"/>
        <v>50292</v>
      </c>
      <c r="B2986" s="21">
        <f t="shared" si="598"/>
        <v>36778</v>
      </c>
      <c r="C2986" s="21">
        <f t="shared" si="599"/>
        <v>36789</v>
      </c>
      <c r="D2986" s="1">
        <f t="shared" si="608"/>
        <v>0</v>
      </c>
      <c r="E2986" s="3">
        <f t="array" ref="E2986">INDEX($A$9:A2985, MAX(IF($D$9:D2985=1, ROW(D$9:$D2985)-ROW($D$9)+1, 0)))</f>
        <v>50213</v>
      </c>
      <c r="F2986" s="23">
        <f t="shared" si="600"/>
        <v>11.408624229979466</v>
      </c>
      <c r="G2986" s="5">
        <f>INDEX('Default Prob'!$P$5:$P$14,MIN(1+_xlfn.IFNA(MATCH(F2986,'Default Prob'!$F$5:$F$14,1),0),COUNT('Default Prob'!$P$5:$P$14)))</f>
        <v>8.0322462664562722E-2</v>
      </c>
      <c r="H2986" s="5">
        <f t="shared" si="609"/>
        <v>0.62704711039769379</v>
      </c>
      <c r="I2986" s="24">
        <f t="shared" si="610"/>
        <v>1.3790966881033206E-4</v>
      </c>
      <c r="J2986" s="25">
        <f>INDEX('Default Prob'!$C$3:$C$13, _xlfn.IFNA(MATCH(F2986, 'Default Prob'!$B$3:$B$13, 1), 1))</f>
        <v>2.5600000000000001E-2</v>
      </c>
      <c r="K2986" s="26">
        <f t="shared" si="601"/>
        <v>0.74947298694506481</v>
      </c>
      <c r="L2986" s="27">
        <f t="shared" ca="1" si="602"/>
        <v>0</v>
      </c>
      <c r="M2986" s="27">
        <f t="shared" ca="1" si="603"/>
        <v>0</v>
      </c>
      <c r="N2986" s="28">
        <f t="shared" ca="1" si="604"/>
        <v>0</v>
      </c>
      <c r="O2986" s="29">
        <f t="shared" ca="1" si="605"/>
        <v>0</v>
      </c>
      <c r="P2986" s="30">
        <f t="shared" ca="1" si="606"/>
        <v>0</v>
      </c>
    </row>
    <row r="2987" spans="1:16" x14ac:dyDescent="0.25">
      <c r="A2987" s="3">
        <f t="shared" si="607"/>
        <v>50293</v>
      </c>
      <c r="B2987" s="21">
        <f t="shared" si="598"/>
        <v>36779</v>
      </c>
      <c r="C2987" s="21">
        <f t="shared" si="599"/>
        <v>36789</v>
      </c>
      <c r="D2987" s="1">
        <f t="shared" si="608"/>
        <v>0</v>
      </c>
      <c r="E2987" s="3">
        <f t="array" ref="E2987">INDEX($A$9:A2986, MAX(IF($D$9:D2986=1, ROW(D$9:$D2986)-ROW($D$9)+1, 0)))</f>
        <v>50213</v>
      </c>
      <c r="F2987" s="23">
        <f t="shared" si="600"/>
        <v>11.411362080766597</v>
      </c>
      <c r="G2987" s="5">
        <f>INDEX('Default Prob'!$P$5:$P$14,MIN(1+_xlfn.IFNA(MATCH(F2987,'Default Prob'!$F$5:$F$14,1),0),COUNT('Default Prob'!$P$5:$P$14)))</f>
        <v>8.0322462664562722E-2</v>
      </c>
      <c r="H2987" s="5">
        <f t="shared" si="609"/>
        <v>0.62690923105339091</v>
      </c>
      <c r="I2987" s="24">
        <f t="shared" si="610"/>
        <v>1.3787934430287141E-4</v>
      </c>
      <c r="J2987" s="25">
        <f>INDEX('Default Prob'!$C$3:$C$13, _xlfn.IFNA(MATCH(F2987, 'Default Prob'!$B$3:$B$13, 1), 1))</f>
        <v>2.5600000000000001E-2</v>
      </c>
      <c r="K2987" s="26">
        <f t="shared" si="601"/>
        <v>0.74942112006455619</v>
      </c>
      <c r="L2987" s="27">
        <f t="shared" ca="1" si="602"/>
        <v>0</v>
      </c>
      <c r="M2987" s="27">
        <f t="shared" ca="1" si="603"/>
        <v>0</v>
      </c>
      <c r="N2987" s="28">
        <f t="shared" ca="1" si="604"/>
        <v>0</v>
      </c>
      <c r="O2987" s="29">
        <f t="shared" ca="1" si="605"/>
        <v>0</v>
      </c>
      <c r="P2987" s="30">
        <f t="shared" ca="1" si="606"/>
        <v>0</v>
      </c>
    </row>
    <row r="2988" spans="1:16" x14ac:dyDescent="0.25">
      <c r="A2988" s="3">
        <f t="shared" si="607"/>
        <v>50294</v>
      </c>
      <c r="B2988" s="21">
        <f t="shared" si="598"/>
        <v>36780</v>
      </c>
      <c r="C2988" s="21">
        <f t="shared" si="599"/>
        <v>36789</v>
      </c>
      <c r="D2988" s="1">
        <f t="shared" si="608"/>
        <v>0</v>
      </c>
      <c r="E2988" s="3">
        <f t="array" ref="E2988">INDEX($A$9:A2987, MAX(IF($D$9:D2987=1, ROW(D$9:$D2987)-ROW($D$9)+1, 0)))</f>
        <v>50213</v>
      </c>
      <c r="F2988" s="23">
        <f t="shared" si="600"/>
        <v>11.41409993155373</v>
      </c>
      <c r="G2988" s="5">
        <f>INDEX('Default Prob'!$P$5:$P$14,MIN(1+_xlfn.IFNA(MATCH(F2988,'Default Prob'!$F$5:$F$14,1),0),COUNT('Default Prob'!$P$5:$P$14)))</f>
        <v>8.0322462664562722E-2</v>
      </c>
      <c r="H2988" s="5">
        <f t="shared" si="609"/>
        <v>0.62677138202692739</v>
      </c>
      <c r="I2988" s="24">
        <f t="shared" si="610"/>
        <v>1.3784902646352126E-4</v>
      </c>
      <c r="J2988" s="25">
        <f>INDEX('Default Prob'!$C$3:$C$13, _xlfn.IFNA(MATCH(F2988, 'Default Prob'!$B$3:$B$13, 1), 1))</f>
        <v>2.5600000000000001E-2</v>
      </c>
      <c r="K2988" s="26">
        <f t="shared" si="601"/>
        <v>0.74936925677346766</v>
      </c>
      <c r="L2988" s="27">
        <f t="shared" ca="1" si="602"/>
        <v>0</v>
      </c>
      <c r="M2988" s="27">
        <f t="shared" ca="1" si="603"/>
        <v>0</v>
      </c>
      <c r="N2988" s="28">
        <f t="shared" ca="1" si="604"/>
        <v>0</v>
      </c>
      <c r="O2988" s="29">
        <f t="shared" ca="1" si="605"/>
        <v>0</v>
      </c>
      <c r="P2988" s="30">
        <f t="shared" ca="1" si="606"/>
        <v>0</v>
      </c>
    </row>
    <row r="2989" spans="1:16" x14ac:dyDescent="0.25">
      <c r="A2989" s="3">
        <f t="shared" si="607"/>
        <v>50297</v>
      </c>
      <c r="B2989" s="21">
        <f t="shared" si="598"/>
        <v>36783</v>
      </c>
      <c r="C2989" s="21">
        <f t="shared" si="599"/>
        <v>36789</v>
      </c>
      <c r="D2989" s="1">
        <f t="shared" si="608"/>
        <v>0</v>
      </c>
      <c r="E2989" s="3">
        <f t="array" ref="E2989">INDEX($A$9:A2988, MAX(IF($D$9:D2988=1, ROW(D$9:$D2988)-ROW($D$9)+1, 0)))</f>
        <v>50213</v>
      </c>
      <c r="F2989" s="23">
        <f t="shared" si="600"/>
        <v>11.422313483915127</v>
      </c>
      <c r="G2989" s="5">
        <f>INDEX('Default Prob'!$P$5:$P$14,MIN(1+_xlfn.IFNA(MATCH(F2989,'Default Prob'!$F$5:$F$14,1),0),COUNT('Default Prob'!$P$5:$P$14)))</f>
        <v>8.0322462664562722E-2</v>
      </c>
      <c r="H2989" s="5">
        <f t="shared" si="609"/>
        <v>0.62635801678791558</v>
      </c>
      <c r="I2989" s="24">
        <f t="shared" si="610"/>
        <v>4.1336523901180922E-4</v>
      </c>
      <c r="J2989" s="25">
        <f>INDEX('Default Prob'!$C$3:$C$13, _xlfn.IFNA(MATCH(F2989, 'Default Prob'!$B$3:$B$13, 1), 1))</f>
        <v>2.5600000000000001E-2</v>
      </c>
      <c r="K2989" s="26">
        <f t="shared" si="601"/>
        <v>0.74921368843423752</v>
      </c>
      <c r="L2989" s="27">
        <f t="shared" ca="1" si="602"/>
        <v>0</v>
      </c>
      <c r="M2989" s="27">
        <f t="shared" ca="1" si="603"/>
        <v>0</v>
      </c>
      <c r="N2989" s="28">
        <f t="shared" ca="1" si="604"/>
        <v>0</v>
      </c>
      <c r="O2989" s="29">
        <f t="shared" ca="1" si="605"/>
        <v>0</v>
      </c>
      <c r="P2989" s="30">
        <f t="shared" ca="1" si="606"/>
        <v>0</v>
      </c>
    </row>
    <row r="2990" spans="1:16" x14ac:dyDescent="0.25">
      <c r="A2990" s="3">
        <f t="shared" si="607"/>
        <v>50298</v>
      </c>
      <c r="B2990" s="21">
        <f t="shared" si="598"/>
        <v>36784</v>
      </c>
      <c r="C2990" s="21">
        <f t="shared" si="599"/>
        <v>36789</v>
      </c>
      <c r="D2990" s="1">
        <f t="shared" si="608"/>
        <v>0</v>
      </c>
      <c r="E2990" s="3">
        <f t="array" ref="E2990">INDEX($A$9:A2989, MAX(IF($D$9:D2989=1, ROW(D$9:$D2989)-ROW($D$9)+1, 0)))</f>
        <v>50213</v>
      </c>
      <c r="F2990" s="23">
        <f t="shared" si="600"/>
        <v>11.425051334702259</v>
      </c>
      <c r="G2990" s="5">
        <f>INDEX('Default Prob'!$P$5:$P$14,MIN(1+_xlfn.IFNA(MATCH(F2990,'Default Prob'!$F$5:$F$14,1),0),COUNT('Default Prob'!$P$5:$P$14)))</f>
        <v>8.0322462664562722E-2</v>
      </c>
      <c r="H2990" s="5">
        <f t="shared" si="609"/>
        <v>0.62622028896615944</v>
      </c>
      <c r="I2990" s="24">
        <f t="shared" si="610"/>
        <v>1.3772782175613951E-4</v>
      </c>
      <c r="J2990" s="25">
        <f>INDEX('Default Prob'!$C$3:$C$13, _xlfn.IFNA(MATCH(F2990, 'Default Prob'!$B$3:$B$13, 1), 1))</f>
        <v>2.5600000000000001E-2</v>
      </c>
      <c r="K2990" s="26">
        <f t="shared" si="601"/>
        <v>0.74916183949834492</v>
      </c>
      <c r="L2990" s="27">
        <f t="shared" ca="1" si="602"/>
        <v>0</v>
      </c>
      <c r="M2990" s="27">
        <f t="shared" ca="1" si="603"/>
        <v>0</v>
      </c>
      <c r="N2990" s="28">
        <f t="shared" ca="1" si="604"/>
        <v>0</v>
      </c>
      <c r="O2990" s="29">
        <f t="shared" ca="1" si="605"/>
        <v>0</v>
      </c>
      <c r="P2990" s="30">
        <f t="shared" ca="1" si="606"/>
        <v>0</v>
      </c>
    </row>
    <row r="2991" spans="1:16" x14ac:dyDescent="0.25">
      <c r="A2991" s="3">
        <f t="shared" si="607"/>
        <v>50299</v>
      </c>
      <c r="B2991" s="21">
        <f t="shared" si="598"/>
        <v>36785</v>
      </c>
      <c r="C2991" s="21">
        <f t="shared" si="599"/>
        <v>36789</v>
      </c>
      <c r="D2991" s="1">
        <f t="shared" si="608"/>
        <v>0</v>
      </c>
      <c r="E2991" s="3">
        <f t="array" ref="E2991">INDEX($A$9:A2990, MAX(IF($D$9:D2990=1, ROW(D$9:$D2990)-ROW($D$9)+1, 0)))</f>
        <v>50213</v>
      </c>
      <c r="F2991" s="23">
        <f t="shared" si="600"/>
        <v>11.427789185489392</v>
      </c>
      <c r="G2991" s="5">
        <f>INDEX('Default Prob'!$P$5:$P$14,MIN(1+_xlfn.IFNA(MATCH(F2991,'Default Prob'!$F$5:$F$14,1),0),COUNT('Default Prob'!$P$5:$P$14)))</f>
        <v>8.0322462664562722E-2</v>
      </c>
      <c r="H2991" s="5">
        <f t="shared" si="609"/>
        <v>0.62608259142892475</v>
      </c>
      <c r="I2991" s="24">
        <f t="shared" si="610"/>
        <v>1.3769753723469336E-4</v>
      </c>
      <c r="J2991" s="25">
        <f>INDEX('Default Prob'!$C$3:$C$13, _xlfn.IFNA(MATCH(F2991, 'Default Prob'!$B$3:$B$13, 1), 1))</f>
        <v>2.5600000000000001E-2</v>
      </c>
      <c r="K2991" s="26">
        <f t="shared" si="601"/>
        <v>0.7491099941506304</v>
      </c>
      <c r="L2991" s="27">
        <f t="shared" ca="1" si="602"/>
        <v>0</v>
      </c>
      <c r="M2991" s="27">
        <f t="shared" ca="1" si="603"/>
        <v>0</v>
      </c>
      <c r="N2991" s="28">
        <f t="shared" ca="1" si="604"/>
        <v>0</v>
      </c>
      <c r="O2991" s="29">
        <f t="shared" ca="1" si="605"/>
        <v>0</v>
      </c>
      <c r="P2991" s="30">
        <f t="shared" ca="1" si="606"/>
        <v>0</v>
      </c>
    </row>
    <row r="2992" spans="1:16" x14ac:dyDescent="0.25">
      <c r="A2992" s="3">
        <f t="shared" si="607"/>
        <v>50300</v>
      </c>
      <c r="B2992" s="21">
        <f t="shared" si="598"/>
        <v>36786</v>
      </c>
      <c r="C2992" s="21">
        <f t="shared" si="599"/>
        <v>36789</v>
      </c>
      <c r="D2992" s="1">
        <f t="shared" si="608"/>
        <v>0</v>
      </c>
      <c r="E2992" s="3">
        <f t="array" ref="E2992">INDEX($A$9:A2991, MAX(IF($D$9:D2991=1, ROW(D$9:$D2991)-ROW($D$9)+1, 0)))</f>
        <v>50213</v>
      </c>
      <c r="F2992" s="23">
        <f t="shared" si="600"/>
        <v>11.430527036276523</v>
      </c>
      <c r="G2992" s="5">
        <f>INDEX('Default Prob'!$P$5:$P$14,MIN(1+_xlfn.IFNA(MATCH(F2992,'Default Prob'!$F$5:$F$14,1),0),COUNT('Default Prob'!$P$5:$P$14)))</f>
        <v>8.0322462664562722E-2</v>
      </c>
      <c r="H2992" s="5">
        <f t="shared" si="609"/>
        <v>0.62594492416955261</v>
      </c>
      <c r="I2992" s="24">
        <f t="shared" si="610"/>
        <v>1.3766725937214286E-4</v>
      </c>
      <c r="J2992" s="25">
        <f>INDEX('Default Prob'!$C$3:$C$13, _xlfn.IFNA(MATCH(F2992, 'Default Prob'!$B$3:$B$13, 1), 1))</f>
        <v>2.5600000000000001E-2</v>
      </c>
      <c r="K2992" s="26">
        <f t="shared" si="601"/>
        <v>0.74905815239084561</v>
      </c>
      <c r="L2992" s="27">
        <f t="shared" ca="1" si="602"/>
        <v>0</v>
      </c>
      <c r="M2992" s="27">
        <f t="shared" ca="1" si="603"/>
        <v>0</v>
      </c>
      <c r="N2992" s="28">
        <f t="shared" ca="1" si="604"/>
        <v>0</v>
      </c>
      <c r="O2992" s="29">
        <f t="shared" ca="1" si="605"/>
        <v>0</v>
      </c>
      <c r="P2992" s="30">
        <f t="shared" ca="1" si="606"/>
        <v>0</v>
      </c>
    </row>
    <row r="2993" spans="1:16" x14ac:dyDescent="0.25">
      <c r="A2993" s="3">
        <f t="shared" si="607"/>
        <v>50301</v>
      </c>
      <c r="B2993" s="21">
        <f t="shared" si="598"/>
        <v>36787</v>
      </c>
      <c r="C2993" s="21">
        <f t="shared" si="599"/>
        <v>36789</v>
      </c>
      <c r="D2993" s="1">
        <f t="shared" si="608"/>
        <v>0</v>
      </c>
      <c r="E2993" s="3">
        <f t="array" ref="E2993">INDEX($A$9:A2992, MAX(IF($D$9:D2992=1, ROW(D$9:$D2992)-ROW($D$9)+1, 0)))</f>
        <v>50213</v>
      </c>
      <c r="F2993" s="23">
        <f t="shared" si="600"/>
        <v>11.433264887063656</v>
      </c>
      <c r="G2993" s="5">
        <f>INDEX('Default Prob'!$P$5:$P$14,MIN(1+_xlfn.IFNA(MATCH(F2993,'Default Prob'!$F$5:$F$14,1),0),COUNT('Default Prob'!$P$5:$P$14)))</f>
        <v>8.0322462664562722E-2</v>
      </c>
      <c r="H2993" s="5">
        <f t="shared" si="609"/>
        <v>0.62580728718138512</v>
      </c>
      <c r="I2993" s="24">
        <f t="shared" si="610"/>
        <v>1.3763698816748882E-4</v>
      </c>
      <c r="J2993" s="25">
        <f>INDEX('Default Prob'!$C$3:$C$13, _xlfn.IFNA(MATCH(F2993, 'Default Prob'!$B$3:$B$13, 1), 1))</f>
        <v>2.5600000000000001E-2</v>
      </c>
      <c r="K2993" s="26">
        <f t="shared" si="601"/>
        <v>0.74900631421874231</v>
      </c>
      <c r="L2993" s="27">
        <f t="shared" ca="1" si="602"/>
        <v>0</v>
      </c>
      <c r="M2993" s="27">
        <f t="shared" ca="1" si="603"/>
        <v>0</v>
      </c>
      <c r="N2993" s="28">
        <f t="shared" ca="1" si="604"/>
        <v>0</v>
      </c>
      <c r="O2993" s="29">
        <f t="shared" ca="1" si="605"/>
        <v>0</v>
      </c>
      <c r="P2993" s="30">
        <f t="shared" ca="1" si="606"/>
        <v>0</v>
      </c>
    </row>
    <row r="2994" spans="1:16" x14ac:dyDescent="0.25">
      <c r="A2994" s="3">
        <f t="shared" si="607"/>
        <v>50304</v>
      </c>
      <c r="B2994" s="21">
        <f t="shared" si="598"/>
        <v>36790</v>
      </c>
      <c r="C2994" s="21">
        <f t="shared" si="599"/>
        <v>36880</v>
      </c>
      <c r="D2994" s="1">
        <f t="shared" si="608"/>
        <v>1</v>
      </c>
      <c r="E2994" s="3">
        <f t="array" ref="E2994">INDEX($A$9:A2993, MAX(IF($D$9:D2993=1, ROW(D$9:$D2993)-ROW($D$9)+1, 0)))</f>
        <v>50213</v>
      </c>
      <c r="F2994" s="23">
        <f t="shared" si="600"/>
        <v>11.441478439425051</v>
      </c>
      <c r="G2994" s="5">
        <f>INDEX('Default Prob'!$P$5:$P$14,MIN(1+_xlfn.IFNA(MATCH(F2994,'Default Prob'!$F$5:$F$14,1),0),COUNT('Default Prob'!$P$5:$P$14)))</f>
        <v>8.0322462664562722E-2</v>
      </c>
      <c r="H2994" s="5">
        <f t="shared" si="609"/>
        <v>0.62539455777755615</v>
      </c>
      <c r="I2994" s="24">
        <f t="shared" si="610"/>
        <v>4.1272940382897083E-4</v>
      </c>
      <c r="J2994" s="25">
        <f>INDEX('Default Prob'!$C$3:$C$13, _xlfn.IFNA(MATCH(F2994, 'Default Prob'!$B$3:$B$13, 1), 1))</f>
        <v>2.5600000000000001E-2</v>
      </c>
      <c r="K2994" s="26">
        <f t="shared" si="601"/>
        <v>0.74885082122603863</v>
      </c>
      <c r="L2994" s="27">
        <f t="shared" ca="1" si="602"/>
        <v>0</v>
      </c>
      <c r="M2994" s="27">
        <f t="shared" ca="1" si="603"/>
        <v>0</v>
      </c>
      <c r="N2994" s="28">
        <f t="shared" ca="1" si="604"/>
        <v>0</v>
      </c>
      <c r="O2994" s="29">
        <f t="shared" ca="1" si="605"/>
        <v>0</v>
      </c>
      <c r="P2994" s="30">
        <f t="shared" ca="1" si="606"/>
        <v>0</v>
      </c>
    </row>
    <row r="2995" spans="1:16" x14ac:dyDescent="0.25">
      <c r="A2995" s="3">
        <f t="shared" si="607"/>
        <v>50305</v>
      </c>
      <c r="B2995" s="21">
        <f t="shared" si="598"/>
        <v>36791</v>
      </c>
      <c r="C2995" s="21">
        <f t="shared" si="599"/>
        <v>36880</v>
      </c>
      <c r="D2995" s="1">
        <f t="shared" si="608"/>
        <v>0</v>
      </c>
      <c r="E2995" s="3">
        <f t="array" ref="E2995">INDEX($A$9:A2994, MAX(IF($D$9:D2994=1, ROW(D$9:$D2994)-ROW($D$9)+1, 0)))</f>
        <v>50304</v>
      </c>
      <c r="F2995" s="23">
        <f t="shared" si="600"/>
        <v>11.444216290212184</v>
      </c>
      <c r="G2995" s="5">
        <f>INDEX('Default Prob'!$P$5:$P$14,MIN(1+_xlfn.IFNA(MATCH(F2995,'Default Prob'!$F$5:$F$14,1),0),COUNT('Default Prob'!$P$5:$P$14)))</f>
        <v>8.0322462664562722E-2</v>
      </c>
      <c r="H2995" s="5">
        <f t="shared" si="609"/>
        <v>0.62525704180765984</v>
      </c>
      <c r="I2995" s="24">
        <f t="shared" si="610"/>
        <v>1.3751596989630688E-4</v>
      </c>
      <c r="J2995" s="25">
        <f>INDEX('Default Prob'!$C$3:$C$13, _xlfn.IFNA(MATCH(F2995, 'Default Prob'!$B$3:$B$13, 1), 1))</f>
        <v>2.5600000000000001E-2</v>
      </c>
      <c r="K2995" s="26">
        <f t="shared" si="601"/>
        <v>0.74879899740217859</v>
      </c>
      <c r="L2995" s="27">
        <f t="shared" ca="1" si="602"/>
        <v>0</v>
      </c>
      <c r="M2995" s="27">
        <f t="shared" ca="1" si="603"/>
        <v>0</v>
      </c>
      <c r="N2995" s="28">
        <f t="shared" ca="1" si="604"/>
        <v>0</v>
      </c>
      <c r="O2995" s="29">
        <f t="shared" ca="1" si="605"/>
        <v>0</v>
      </c>
      <c r="P2995" s="30">
        <f t="shared" ca="1" si="606"/>
        <v>0</v>
      </c>
    </row>
    <row r="2996" spans="1:16" x14ac:dyDescent="0.25">
      <c r="A2996" s="3">
        <f t="shared" si="607"/>
        <v>50306</v>
      </c>
      <c r="B2996" s="21">
        <f t="shared" si="598"/>
        <v>36792</v>
      </c>
      <c r="C2996" s="21">
        <f t="shared" si="599"/>
        <v>36880</v>
      </c>
      <c r="D2996" s="1">
        <f t="shared" si="608"/>
        <v>0</v>
      </c>
      <c r="E2996" s="3">
        <f t="array" ref="E2996">INDEX($A$9:A2995, MAX(IF($D$9:D2995=1, ROW(D$9:$D2995)-ROW($D$9)+1, 0)))</f>
        <v>50304</v>
      </c>
      <c r="F2996" s="23">
        <f t="shared" si="600"/>
        <v>11.446954140999315</v>
      </c>
      <c r="G2996" s="5">
        <f>INDEX('Default Prob'!$P$5:$P$14,MIN(1+_xlfn.IFNA(MATCH(F2996,'Default Prob'!$F$5:$F$14,1),0),COUNT('Default Prob'!$P$5:$P$14)))</f>
        <v>8.0322462664562722E-2</v>
      </c>
      <c r="H2996" s="5">
        <f t="shared" si="609"/>
        <v>0.6251195560757018</v>
      </c>
      <c r="I2996" s="24">
        <f t="shared" si="610"/>
        <v>1.3748573195804248E-4</v>
      </c>
      <c r="J2996" s="25">
        <f>INDEX('Default Prob'!$C$3:$C$13, _xlfn.IFNA(MATCH(F2996, 'Default Prob'!$B$3:$B$13, 1), 1))</f>
        <v>2.5600000000000001E-2</v>
      </c>
      <c r="K2996" s="26">
        <f t="shared" si="601"/>
        <v>0.7487471771647588</v>
      </c>
      <c r="L2996" s="27">
        <f t="shared" ca="1" si="602"/>
        <v>0</v>
      </c>
      <c r="M2996" s="27">
        <f t="shared" ca="1" si="603"/>
        <v>0</v>
      </c>
      <c r="N2996" s="28">
        <f t="shared" ca="1" si="604"/>
        <v>0</v>
      </c>
      <c r="O2996" s="29">
        <f t="shared" ca="1" si="605"/>
        <v>0</v>
      </c>
      <c r="P2996" s="30">
        <f t="shared" ca="1" si="606"/>
        <v>0</v>
      </c>
    </row>
    <row r="2997" spans="1:16" x14ac:dyDescent="0.25">
      <c r="A2997" s="3">
        <f t="shared" si="607"/>
        <v>50307</v>
      </c>
      <c r="B2997" s="21">
        <f t="shared" si="598"/>
        <v>36793</v>
      </c>
      <c r="C2997" s="21">
        <f t="shared" si="599"/>
        <v>36880</v>
      </c>
      <c r="D2997" s="1">
        <f t="shared" si="608"/>
        <v>0</v>
      </c>
      <c r="E2997" s="3">
        <f t="array" ref="E2997">INDEX($A$9:A2996, MAX(IF($D$9:D2996=1, ROW(D$9:$D2996)-ROW($D$9)+1, 0)))</f>
        <v>50304</v>
      </c>
      <c r="F2997" s="23">
        <f t="shared" si="600"/>
        <v>11.449691991786448</v>
      </c>
      <c r="G2997" s="5">
        <f>INDEX('Default Prob'!$P$5:$P$14,MIN(1+_xlfn.IFNA(MATCH(F2997,'Default Prob'!$F$5:$F$14,1),0),COUNT('Default Prob'!$P$5:$P$14)))</f>
        <v>8.0322462664562722E-2</v>
      </c>
      <c r="H2997" s="5">
        <f t="shared" si="609"/>
        <v>0.6249821005750329</v>
      </c>
      <c r="I2997" s="24">
        <f t="shared" si="610"/>
        <v>1.3745550066890377E-4</v>
      </c>
      <c r="J2997" s="25">
        <f>INDEX('Default Prob'!$C$3:$C$13, _xlfn.IFNA(MATCH(F2997, 'Default Prob'!$B$3:$B$13, 1), 1))</f>
        <v>2.5600000000000001E-2</v>
      </c>
      <c r="K2997" s="26">
        <f t="shared" si="601"/>
        <v>0.74869536051353125</v>
      </c>
      <c r="L2997" s="27">
        <f t="shared" ca="1" si="602"/>
        <v>0</v>
      </c>
      <c r="M2997" s="27">
        <f t="shared" ca="1" si="603"/>
        <v>0</v>
      </c>
      <c r="N2997" s="28">
        <f t="shared" ca="1" si="604"/>
        <v>0</v>
      </c>
      <c r="O2997" s="29">
        <f t="shared" ca="1" si="605"/>
        <v>0</v>
      </c>
      <c r="P2997" s="30">
        <f t="shared" ca="1" si="606"/>
        <v>0</v>
      </c>
    </row>
    <row r="2998" spans="1:16" x14ac:dyDescent="0.25">
      <c r="A2998" s="3">
        <f t="shared" si="607"/>
        <v>50308</v>
      </c>
      <c r="B2998" s="21">
        <f t="shared" si="598"/>
        <v>36794</v>
      </c>
      <c r="C2998" s="21">
        <f t="shared" si="599"/>
        <v>36880</v>
      </c>
      <c r="D2998" s="1">
        <f t="shared" si="608"/>
        <v>0</v>
      </c>
      <c r="E2998" s="3">
        <f t="array" ref="E2998">INDEX($A$9:A2997, MAX(IF($D$9:D2997=1, ROW(D$9:$D2997)-ROW($D$9)+1, 0)))</f>
        <v>50304</v>
      </c>
      <c r="F2998" s="23">
        <f t="shared" si="600"/>
        <v>11.452429842573579</v>
      </c>
      <c r="G2998" s="5">
        <f>INDEX('Default Prob'!$P$5:$P$14,MIN(1+_xlfn.IFNA(MATCH(F2998,'Default Prob'!$F$5:$F$14,1),0),COUNT('Default Prob'!$P$5:$P$14)))</f>
        <v>8.0322462664562722E-2</v>
      </c>
      <c r="H2998" s="5">
        <f t="shared" si="609"/>
        <v>0.62484467529900589</v>
      </c>
      <c r="I2998" s="24">
        <f t="shared" si="610"/>
        <v>1.3742527602700338E-4</v>
      </c>
      <c r="J2998" s="25">
        <f>INDEX('Default Prob'!$C$3:$C$13, _xlfn.IFNA(MATCH(F2998, 'Default Prob'!$B$3:$B$13, 1), 1))</f>
        <v>2.5600000000000001E-2</v>
      </c>
      <c r="K2998" s="26">
        <f t="shared" si="601"/>
        <v>0.74864354744824735</v>
      </c>
      <c r="L2998" s="27">
        <f t="shared" ca="1" si="602"/>
        <v>0</v>
      </c>
      <c r="M2998" s="27">
        <f t="shared" ca="1" si="603"/>
        <v>0</v>
      </c>
      <c r="N2998" s="28">
        <f t="shared" ca="1" si="604"/>
        <v>0</v>
      </c>
      <c r="O2998" s="29">
        <f t="shared" ca="1" si="605"/>
        <v>0</v>
      </c>
      <c r="P2998" s="30">
        <f t="shared" ca="1" si="606"/>
        <v>0</v>
      </c>
    </row>
    <row r="2999" spans="1:16" x14ac:dyDescent="0.25">
      <c r="A2999" s="3">
        <f t="shared" si="607"/>
        <v>50311</v>
      </c>
      <c r="B2999" s="21">
        <f t="shared" si="598"/>
        <v>36797</v>
      </c>
      <c r="C2999" s="21">
        <f t="shared" si="599"/>
        <v>36880</v>
      </c>
      <c r="D2999" s="1">
        <f t="shared" si="608"/>
        <v>0</v>
      </c>
      <c r="E2999" s="3">
        <f t="array" ref="E2999">INDEX($A$9:A2998, MAX(IF($D$9:D2998=1, ROW(D$9:$D2998)-ROW($D$9)+1, 0)))</f>
        <v>50304</v>
      </c>
      <c r="F2999" s="23">
        <f t="shared" si="600"/>
        <v>11.460643394934976</v>
      </c>
      <c r="G2999" s="5">
        <f>INDEX('Default Prob'!$P$5:$P$14,MIN(1+_xlfn.IFNA(MATCH(F2999,'Default Prob'!$F$5:$F$14,1),0),COUNT('Default Prob'!$P$5:$P$14)))</f>
        <v>8.0322462664562722E-2</v>
      </c>
      <c r="H2999" s="5">
        <f t="shared" si="609"/>
        <v>0.62443258075232289</v>
      </c>
      <c r="I2999" s="24">
        <f t="shared" si="610"/>
        <v>4.1209454668300616E-4</v>
      </c>
      <c r="J2999" s="25">
        <f>INDEX('Default Prob'!$C$3:$C$13, _xlfn.IFNA(MATCH(F2999, 'Default Prob'!$B$3:$B$13, 1), 1))</f>
        <v>2.5600000000000001E-2</v>
      </c>
      <c r="K2999" s="26">
        <f t="shared" si="601"/>
        <v>0.74848812976557733</v>
      </c>
      <c r="L2999" s="27">
        <f t="shared" ca="1" si="602"/>
        <v>0</v>
      </c>
      <c r="M2999" s="27">
        <f t="shared" ca="1" si="603"/>
        <v>0</v>
      </c>
      <c r="N2999" s="28">
        <f t="shared" ca="1" si="604"/>
        <v>0</v>
      </c>
      <c r="O2999" s="29">
        <f t="shared" ca="1" si="605"/>
        <v>0</v>
      </c>
      <c r="P2999" s="30">
        <f t="shared" ca="1" si="606"/>
        <v>0</v>
      </c>
    </row>
    <row r="3000" spans="1:16" x14ac:dyDescent="0.25">
      <c r="A3000" s="3">
        <f t="shared" si="607"/>
        <v>50312</v>
      </c>
      <c r="B3000" s="21">
        <f t="shared" si="598"/>
        <v>36798</v>
      </c>
      <c r="C3000" s="21">
        <f t="shared" si="599"/>
        <v>36880</v>
      </c>
      <c r="D3000" s="1">
        <f t="shared" si="608"/>
        <v>0</v>
      </c>
      <c r="E3000" s="3">
        <f t="array" ref="E3000">INDEX($A$9:A2999, MAX(IF($D$9:D2999=1, ROW(D$9:$D2999)-ROW($D$9)+1, 0)))</f>
        <v>50304</v>
      </c>
      <c r="F3000" s="23">
        <f t="shared" si="600"/>
        <v>11.463381245722108</v>
      </c>
      <c r="G3000" s="5">
        <f>INDEX('Default Prob'!$P$5:$P$14,MIN(1+_xlfn.IFNA(MATCH(F3000,'Default Prob'!$F$5:$F$14,1),0),COUNT('Default Prob'!$P$5:$P$14)))</f>
        <v>8.0322462664562722E-2</v>
      </c>
      <c r="H3000" s="5">
        <f t="shared" si="609"/>
        <v>0.62429527630841775</v>
      </c>
      <c r="I3000" s="24">
        <f t="shared" si="610"/>
        <v>1.3730444390513963E-4</v>
      </c>
      <c r="J3000" s="25">
        <f>INDEX('Default Prob'!$C$3:$C$13, _xlfn.IFNA(MATCH(F3000, 'Default Prob'!$B$3:$B$13, 1), 1))</f>
        <v>2.5600000000000001E-2</v>
      </c>
      <c r="K3000" s="26">
        <f t="shared" si="601"/>
        <v>0.74843633104158747</v>
      </c>
      <c r="L3000" s="27">
        <f t="shared" ca="1" si="602"/>
        <v>0</v>
      </c>
      <c r="M3000" s="27">
        <f t="shared" ca="1" si="603"/>
        <v>0</v>
      </c>
      <c r="N3000" s="28">
        <f t="shared" ca="1" si="604"/>
        <v>0</v>
      </c>
      <c r="O3000" s="29">
        <f t="shared" ca="1" si="605"/>
        <v>0</v>
      </c>
      <c r="P3000" s="30">
        <f t="shared" ca="1" si="606"/>
        <v>0</v>
      </c>
    </row>
    <row r="3001" spans="1:16" x14ac:dyDescent="0.25">
      <c r="A3001" s="3">
        <f t="shared" si="607"/>
        <v>50313</v>
      </c>
      <c r="B3001" s="21">
        <f t="shared" si="598"/>
        <v>36799</v>
      </c>
      <c r="C3001" s="21">
        <f t="shared" si="599"/>
        <v>36880</v>
      </c>
      <c r="D3001" s="1">
        <f t="shared" si="608"/>
        <v>0</v>
      </c>
      <c r="E3001" s="3">
        <f t="array" ref="E3001">INDEX($A$9:A3000, MAX(IF($D$9:D3000=1, ROW(D$9:$D3000)-ROW($D$9)+1, 0)))</f>
        <v>50304</v>
      </c>
      <c r="F3001" s="23">
        <f t="shared" si="600"/>
        <v>11.466119096509241</v>
      </c>
      <c r="G3001" s="5">
        <f>INDEX('Default Prob'!$P$5:$P$14,MIN(1+_xlfn.IFNA(MATCH(F3001,'Default Prob'!$F$5:$F$14,1),0),COUNT('Default Prob'!$P$5:$P$14)))</f>
        <v>8.0322462664562722E-2</v>
      </c>
      <c r="H3001" s="5">
        <f t="shared" si="609"/>
        <v>0.62415800205593897</v>
      </c>
      <c r="I3001" s="24">
        <f t="shared" si="610"/>
        <v>1.3727425247878067E-4</v>
      </c>
      <c r="J3001" s="25">
        <f>INDEX('Default Prob'!$C$3:$C$13, _xlfn.IFNA(MATCH(F3001, 'Default Prob'!$B$3:$B$13, 1), 1))</f>
        <v>2.5600000000000001E-2</v>
      </c>
      <c r="K3001" s="26">
        <f t="shared" si="601"/>
        <v>0.74838453590230081</v>
      </c>
      <c r="L3001" s="27">
        <f t="shared" ca="1" si="602"/>
        <v>0</v>
      </c>
      <c r="M3001" s="27">
        <f t="shared" ca="1" si="603"/>
        <v>0</v>
      </c>
      <c r="N3001" s="28">
        <f t="shared" ca="1" si="604"/>
        <v>0</v>
      </c>
      <c r="O3001" s="29">
        <f t="shared" ca="1" si="605"/>
        <v>0</v>
      </c>
      <c r="P3001" s="30">
        <f t="shared" ca="1" si="606"/>
        <v>0</v>
      </c>
    </row>
    <row r="3002" spans="1:16" x14ac:dyDescent="0.25">
      <c r="A3002" s="3">
        <f t="shared" si="607"/>
        <v>50314</v>
      </c>
      <c r="B3002" s="21">
        <f t="shared" si="598"/>
        <v>36800</v>
      </c>
      <c r="C3002" s="21">
        <f t="shared" si="599"/>
        <v>36880</v>
      </c>
      <c r="D3002" s="1">
        <f t="shared" si="608"/>
        <v>0</v>
      </c>
      <c r="E3002" s="3">
        <f t="array" ref="E3002">INDEX($A$9:A3001, MAX(IF($D$9:D3001=1, ROW(D$9:$D3001)-ROW($D$9)+1, 0)))</f>
        <v>50304</v>
      </c>
      <c r="F3002" s="23">
        <f t="shared" si="600"/>
        <v>11.468856947296372</v>
      </c>
      <c r="G3002" s="5">
        <f>INDEX('Default Prob'!$P$5:$P$14,MIN(1+_xlfn.IFNA(MATCH(F3002,'Default Prob'!$F$5:$F$14,1),0),COUNT('Default Prob'!$P$5:$P$14)))</f>
        <v>8.0322462664562722E-2</v>
      </c>
      <c r="H3002" s="5">
        <f t="shared" si="609"/>
        <v>0.62402075798824796</v>
      </c>
      <c r="I3002" s="24">
        <f t="shared" si="610"/>
        <v>1.3724406769100028E-4</v>
      </c>
      <c r="J3002" s="25">
        <f>INDEX('Default Prob'!$C$3:$C$13, _xlfn.IFNA(MATCH(F3002, 'Default Prob'!$B$3:$B$13, 1), 1))</f>
        <v>2.5600000000000001E-2</v>
      </c>
      <c r="K3002" s="26">
        <f t="shared" si="601"/>
        <v>0.74833274434746933</v>
      </c>
      <c r="L3002" s="27">
        <f t="shared" ca="1" si="602"/>
        <v>0</v>
      </c>
      <c r="M3002" s="27">
        <f t="shared" ca="1" si="603"/>
        <v>0</v>
      </c>
      <c r="N3002" s="28">
        <f t="shared" ca="1" si="604"/>
        <v>0</v>
      </c>
      <c r="O3002" s="29">
        <f t="shared" ca="1" si="605"/>
        <v>0</v>
      </c>
      <c r="P3002" s="30">
        <f t="shared" ca="1" si="606"/>
        <v>0</v>
      </c>
    </row>
    <row r="3003" spans="1:16" x14ac:dyDescent="0.25">
      <c r="A3003" s="3">
        <f t="shared" si="607"/>
        <v>50315</v>
      </c>
      <c r="B3003" s="21">
        <f t="shared" si="598"/>
        <v>36801</v>
      </c>
      <c r="C3003" s="21">
        <f t="shared" si="599"/>
        <v>36880</v>
      </c>
      <c r="D3003" s="1">
        <f t="shared" si="608"/>
        <v>0</v>
      </c>
      <c r="E3003" s="3">
        <f t="array" ref="E3003">INDEX($A$9:A3002, MAX(IF($D$9:D3002=1, ROW(D$9:$D3002)-ROW($D$9)+1, 0)))</f>
        <v>50304</v>
      </c>
      <c r="F3003" s="23">
        <f t="shared" si="600"/>
        <v>11.471594798083505</v>
      </c>
      <c r="G3003" s="5">
        <f>INDEX('Default Prob'!$P$5:$P$14,MIN(1+_xlfn.IFNA(MATCH(F3003,'Default Prob'!$F$5:$F$14,1),0),COUNT('Default Prob'!$P$5:$P$14)))</f>
        <v>8.0322462664562722E-2</v>
      </c>
      <c r="H3003" s="5">
        <f t="shared" si="609"/>
        <v>0.62388354409870739</v>
      </c>
      <c r="I3003" s="24">
        <f t="shared" si="610"/>
        <v>1.3721388954057723E-4</v>
      </c>
      <c r="J3003" s="25">
        <f>INDEX('Default Prob'!$C$3:$C$13, _xlfn.IFNA(MATCH(F3003, 'Default Prob'!$B$3:$B$13, 1), 1))</f>
        <v>2.5600000000000001E-2</v>
      </c>
      <c r="K3003" s="26">
        <f t="shared" si="601"/>
        <v>0.74828095637684489</v>
      </c>
      <c r="L3003" s="27">
        <f t="shared" ca="1" si="602"/>
        <v>0</v>
      </c>
      <c r="M3003" s="27">
        <f t="shared" ca="1" si="603"/>
        <v>0</v>
      </c>
      <c r="N3003" s="28">
        <f t="shared" ca="1" si="604"/>
        <v>0</v>
      </c>
      <c r="O3003" s="29">
        <f t="shared" ca="1" si="605"/>
        <v>0</v>
      </c>
      <c r="P3003" s="30">
        <f t="shared" ca="1" si="606"/>
        <v>0</v>
      </c>
    </row>
  </sheetData>
  <mergeCells count="17">
    <mergeCell ref="O7:P7"/>
    <mergeCell ref="H7:H8"/>
    <mergeCell ref="I7:I8"/>
    <mergeCell ref="J7:J8"/>
    <mergeCell ref="K7:K8"/>
    <mergeCell ref="L7:N7"/>
    <mergeCell ref="C1:D1"/>
    <mergeCell ref="F1:G1"/>
    <mergeCell ref="F4:F5"/>
    <mergeCell ref="G4:G5"/>
    <mergeCell ref="A7:A8"/>
    <mergeCell ref="B7:B8"/>
    <mergeCell ref="C7:C8"/>
    <mergeCell ref="D7:D8"/>
    <mergeCell ref="E7:E8"/>
    <mergeCell ref="F7:F8"/>
    <mergeCell ref="G7:G8"/>
  </mergeCells>
  <conditionalFormatting sqref="A9:K3003">
    <cfRule type="expression" dxfId="2" priority="2">
      <formula>$D9=1</formula>
    </cfRule>
  </conditionalFormatting>
  <conditionalFormatting sqref="L9:N3003">
    <cfRule type="expression" dxfId="1" priority="3">
      <formula>$D9=1</formula>
    </cfRule>
  </conditionalFormatting>
  <conditionalFormatting sqref="O9:P3003">
    <cfRule type="expression" dxfId="0" priority="4">
      <formula>$D9=1</formula>
    </cfRule>
  </conditionalFormatting>
  <dataValidations count="1">
    <dataValidation type="list" allowBlank="1" showInputMessage="1" showErrorMessage="1" sqref="D4" xr:uid="{00000000-0002-0000-0100-000000000000}">
      <formula1>"1,2,3,4,5,6,7,8,9,10"</formula1>
      <formula2>0</formula2>
    </dataValidation>
  </dataValidations>
  <pageMargins left="0.7" right="0.7" top="0.75" bottom="0.75" header="0.51180555555555496" footer="0.3"/>
  <pageSetup paperSize="9" firstPageNumber="0" orientation="portrait" horizontalDpi="300" verticalDpi="300"/>
  <headerFooter>
    <oddFooter>&amp;C&amp;10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zoomScaleNormal="100" workbookViewId="0">
      <selection activeCell="B9" sqref="B9"/>
    </sheetView>
  </sheetViews>
  <sheetFormatPr defaultColWidth="9.28515625" defaultRowHeight="15" x14ac:dyDescent="0.25"/>
  <sheetData>
    <row r="1" spans="1:11" x14ac:dyDescent="0.25">
      <c r="A1" s="40" t="s">
        <v>59</v>
      </c>
      <c r="B1" s="40"/>
      <c r="D1" s="40" t="s">
        <v>18</v>
      </c>
      <c r="E1" s="40"/>
    </row>
    <row r="2" spans="1:11" x14ac:dyDescent="0.25">
      <c r="A2" t="s">
        <v>2</v>
      </c>
      <c r="B2" s="20" t="s">
        <v>60</v>
      </c>
      <c r="D2" t="s">
        <v>2</v>
      </c>
      <c r="E2" t="s">
        <v>60</v>
      </c>
    </row>
    <row r="3" spans="1:11" x14ac:dyDescent="0.25">
      <c r="A3" t="s">
        <v>20</v>
      </c>
      <c r="B3" s="20">
        <v>4.0828238893955131</v>
      </c>
      <c r="D3" t="s">
        <v>20</v>
      </c>
      <c r="E3" s="20">
        <v>-3.604592692827282</v>
      </c>
      <c r="J3" s="10"/>
      <c r="K3" s="10"/>
    </row>
    <row r="4" spans="1:11" x14ac:dyDescent="0.25">
      <c r="A4" t="s">
        <v>21</v>
      </c>
      <c r="B4" s="20">
        <v>7.035186234403227</v>
      </c>
      <c r="D4" t="s">
        <v>21</v>
      </c>
      <c r="E4" s="20">
        <v>-7.073430400378129</v>
      </c>
      <c r="J4" s="10"/>
      <c r="K4" s="10"/>
    </row>
    <row r="5" spans="1:11" x14ac:dyDescent="0.25">
      <c r="A5" t="s">
        <v>22</v>
      </c>
      <c r="B5" s="20">
        <v>9.4763983284501592</v>
      </c>
      <c r="D5" t="s">
        <v>22</v>
      </c>
      <c r="E5" s="20">
        <v>-9.7891965338640148</v>
      </c>
      <c r="J5" s="10"/>
      <c r="K5" s="10"/>
    </row>
    <row r="6" spans="1:11" x14ac:dyDescent="0.25">
      <c r="A6" t="s">
        <v>23</v>
      </c>
      <c r="B6" s="20">
        <v>18.086171277107496</v>
      </c>
      <c r="D6" t="s">
        <v>23</v>
      </c>
      <c r="E6" s="20">
        <v>-18.03979105030885</v>
      </c>
      <c r="J6" s="10"/>
      <c r="K6" s="10"/>
    </row>
    <row r="7" spans="1:11" x14ac:dyDescent="0.25">
      <c r="A7" t="s">
        <v>24</v>
      </c>
      <c r="B7" s="20">
        <v>337.03619357123534</v>
      </c>
      <c r="D7" t="s">
        <v>24</v>
      </c>
      <c r="E7" s="20">
        <v>-341.70889615159103</v>
      </c>
      <c r="J7" s="10"/>
      <c r="K7" s="10"/>
    </row>
    <row r="8" spans="1:11" x14ac:dyDescent="0.25">
      <c r="A8" t="s">
        <v>25</v>
      </c>
      <c r="B8" s="20">
        <v>98.639362457608513</v>
      </c>
      <c r="D8" t="s">
        <v>25</v>
      </c>
      <c r="E8" s="20">
        <v>-99.966760534822242</v>
      </c>
      <c r="J8" s="10"/>
      <c r="K8" s="10"/>
    </row>
    <row r="9" spans="1:11" x14ac:dyDescent="0.25">
      <c r="A9" t="s">
        <v>26</v>
      </c>
      <c r="B9" s="20">
        <v>-1.3824319466948509E-10</v>
      </c>
      <c r="D9" t="s">
        <v>26</v>
      </c>
      <c r="E9" s="20">
        <v>-1.3824319466948509E-10</v>
      </c>
      <c r="J9" s="10"/>
      <c r="K9" s="10"/>
    </row>
    <row r="10" spans="1:11" x14ac:dyDescent="0.25">
      <c r="A10" t="s">
        <v>61</v>
      </c>
      <c r="B10" s="20">
        <f>SUM(B3:B9)</f>
        <v>474.35613575806201</v>
      </c>
      <c r="D10" t="s">
        <v>61</v>
      </c>
      <c r="E10" s="20">
        <f>SUM(E3:E9)</f>
        <v>-480.1826673639298</v>
      </c>
      <c r="J10" s="10"/>
      <c r="K10" s="10"/>
    </row>
    <row r="11" spans="1:11" x14ac:dyDescent="0.25">
      <c r="J11" s="10"/>
      <c r="K11" s="10"/>
    </row>
    <row r="12" spans="1:11" x14ac:dyDescent="0.25">
      <c r="J12" s="10"/>
      <c r="K12" s="10"/>
    </row>
    <row r="13" spans="1:11" x14ac:dyDescent="0.25">
      <c r="J13" s="10"/>
      <c r="K13" s="10"/>
    </row>
    <row r="46" spans="6:6" x14ac:dyDescent="0.25">
      <c r="F46">
        <v>0</v>
      </c>
    </row>
  </sheetData>
  <mergeCells count="2">
    <mergeCell ref="A1:B1"/>
    <mergeCell ref="D1:E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 Prob</vt:lpstr>
      <vt:lpstr>Credit Default Swap</vt:lpstr>
      <vt:lpstr>Sensitivities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Artem Bakulin</dc:creator>
  <cp:keywords>For internal use only</cp:keywords>
  <dc:description/>
  <cp:lastModifiedBy>Artem Bakulin</cp:lastModifiedBy>
  <cp:revision>9</cp:revision>
  <dcterms:created xsi:type="dcterms:W3CDTF">2018-04-19T14:16:48Z</dcterms:created>
  <dcterms:modified xsi:type="dcterms:W3CDTF">2026-04-09T19:12:16Z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Deutsche Bank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SIP_Label_af1741f6-9e47-426e-a683-937c37d4ebc5_ActionId">
    <vt:lpwstr>2c76e57b-4d92-4626-b01f-dcd282304f43</vt:lpwstr>
  </property>
  <property fmtid="{D5CDD505-2E9C-101B-9397-08002B2CF9AE}" pid="8" name="MSIP_Label_af1741f6-9e47-426e-a683-937c37d4ebc5_Application">
    <vt:lpwstr>Microsoft Azure Information Protection</vt:lpwstr>
  </property>
  <property fmtid="{D5CDD505-2E9C-101B-9397-08002B2CF9AE}" pid="9" name="MSIP_Label_af1741f6-9e47-426e-a683-937c37d4ebc5_Enabled">
    <vt:lpwstr>True</vt:lpwstr>
  </property>
  <property fmtid="{D5CDD505-2E9C-101B-9397-08002B2CF9AE}" pid="10" name="MSIP_Label_af1741f6-9e47-426e-a683-937c37d4ebc5_Extended_MSFT_Method">
    <vt:lpwstr>Automatic</vt:lpwstr>
  </property>
  <property fmtid="{D5CDD505-2E9C-101B-9397-08002B2CF9AE}" pid="11" name="MSIP_Label_af1741f6-9e47-426e-a683-937c37d4ebc5_Name">
    <vt:lpwstr>For internal use only</vt:lpwstr>
  </property>
  <property fmtid="{D5CDD505-2E9C-101B-9397-08002B2CF9AE}" pid="12" name="MSIP_Label_af1741f6-9e47-426e-a683-937c37d4ebc5_Owner">
    <vt:lpwstr>Artem.Bakulin@db.com</vt:lpwstr>
  </property>
  <property fmtid="{D5CDD505-2E9C-101B-9397-08002B2CF9AE}" pid="13" name="MSIP_Label_af1741f6-9e47-426e-a683-937c37d4ebc5_SetDate">
    <vt:lpwstr>2019-11-28T12:31:02.8783974Z</vt:lpwstr>
  </property>
  <property fmtid="{D5CDD505-2E9C-101B-9397-08002B2CF9AE}" pid="14" name="MSIP_Label_af1741f6-9e47-426e-a683-937c37d4ebc5_SiteId">
    <vt:lpwstr>1e9b61e8-e590-4abc-b1af-24125e330d2a</vt:lpwstr>
  </property>
  <property fmtid="{D5CDD505-2E9C-101B-9397-08002B2CF9AE}" pid="15" name="ScaleCrop">
    <vt:bool>false</vt:bool>
  </property>
  <property fmtid="{D5CDD505-2E9C-101B-9397-08002B2CF9AE}" pid="16" name="ShareDoc">
    <vt:bool>false</vt:bool>
  </property>
  <property fmtid="{D5CDD505-2E9C-101B-9397-08002B2CF9AE}" pid="17" name="TitusGUID">
    <vt:lpwstr>3445d705-a709-42da-8761-c9d8d5b5fea8</vt:lpwstr>
  </property>
  <property fmtid="{D5CDD505-2E9C-101B-9397-08002B2CF9AE}" pid="18" name="aliashDocumentMarking">
    <vt:lpwstr>For internal use only</vt:lpwstr>
  </property>
  <property fmtid="{D5CDD505-2E9C-101B-9397-08002B2CF9AE}" pid="19" name="db.comClassification">
    <vt:lpwstr>For internal use only</vt:lpwstr>
  </property>
</Properties>
</file>